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Producto" sheetId="3" state="visible" r:id="rId5"/>
    <sheet name="Pipeline" sheetId="4" state="visible" r:id="rId6"/>
    <sheet name="Logistica" sheetId="5" state="visible" r:id="rId7"/>
    <sheet name="Hipótesis" sheetId="6" state="visible" r:id="rId8"/>
    <sheet name="Mano_de_obra" sheetId="7" state="visible" r:id="rId9"/>
    <sheet name="CAPEX" sheetId="8" state="visible" r:id="rId10"/>
    <sheet name="Modelo_Mensual" sheetId="9" state="visible" r:id="rId11"/>
    <sheet name="Resumen_Anual" sheetId="10" state="visible" r:id="rId12"/>
    <sheet name="Sensibilidad" sheetId="11" state="visible" r:id="rId13"/>
    <sheet name="Esc_Conservador" sheetId="12" state="visible" r:id="rId14"/>
    <sheet name="Esc_Base" sheetId="13" state="visible" r:id="rId15"/>
    <sheet name="Esc_Optimista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<sst xmlns="http://schemas.openxmlformats.org/spreadsheetml/2006/main" count="1268" uniqueCount="682">
  <si>
    <t xml:space="preserve">ROOTFLOW HYDROPONICS S.L.</t>
  </si>
  <si>
    <t xml:space="preserve">Modelo financiero — Ronda ENISA + Inversor privado</t>
  </si>
  <si>
    <t xml:space="preserve">Microbrotes y flores comestibles · Canal HORECA premium · Madrid</t>
  </si>
  <si>
    <t xml:space="preserve">Qué hay dentro</t>
  </si>
  <si>
    <t xml:space="preserve">· PRODUCTO: COGS reales por variedad (semilla + sustrato + envase, sin IVA). Solo se produce lo activo.</t>
  </si>
  <si>
    <t xml:space="preserve">· PIPELINE: matriz cliente × variedad. La demanda identificada ALIMENTA el modelo: se sirve primero.</t>
  </si>
  <si>
    <t xml:space="preserve">· HIPÓTESIS: escenarios, capa adicional de nuevas cuentas, NÓMINAS (12 líneas, socios con sueldo reducido) y capital stack.</t>
  </si>
  <si>
    <t xml:space="preserve">· LOGISTICA: Madrid con furgo propia; fuera de Madrid, Athos por CCAA y tramo de peso. Alimenta el OPEX.</t>
  </si>
  <si>
    <t xml:space="preserve">· MODELO_MENSUAL (84 meses) · RESUMEN · RESUMEN_ANUAL.</t>
  </si>
  <si>
    <t xml:space="preserve">Cómo tocar las nóminas (sin romper nada)</t>
  </si>
  <si>
    <t xml:space="preserve">Cada línea de nómina de "Hipótesis" alimenta SU PROPIA fila de OPEX en el modelo mensual.</t>
  </si>
  <si>
    <t xml:space="preserve">NO insertes filas: usa las líneas "(libre)" que ya están puestas y cámbiales el nombre, el bruto y el mes de alta.</t>
  </si>
  <si>
    <t xml:space="preserve">La columna "Horas bandeja/mes" dice cuánto trabaja cada persona EN BANDEJA (Pedro y Nico van a 0). La de "¿Socio?" activa el sueldo reducido.</t>
  </si>
  <si>
    <t xml:space="preserve">Leyenda: Azul = input · Negro = fórmula · Verde = enlace entre hojas · Gris = desactivado</t>
  </si>
  <si>
    <t xml:space="preserve">v10 · Julio 2026 · 3 escenarios (Conservador/Base/Optimista) con precios, minutos, coste y CAPEX por caso; plantilla calculada.</t>
  </si>
  <si>
    <t xml:space="preserve">AVISO CLAVE — el tiempo por bandeja</t>
  </si>
  <si>
    <t xml:space="preserve">Producción MIDE 10 min/bandeja (sembrar+cosechar+limpiar). Con 2.880 posiciones y cultivos de rotación rápida salen ~20.000 bandejas/mes</t>
  </si>
  <si>
    <t xml:space="preserve">es decir 3.300 h/mes = 21 personas. El modelo Base asume 5 min/bandeja gracias a la automatización del CAPEX (25.000 €).</t>
  </si>
  <si>
    <t xml:space="preserve">Si NO se automatiza (10 min), el EBITDA año 5 cae de 325k a 85k. Es LA variable del negocio. Validar con Guzmán antes de la ronda.</t>
  </si>
  <si>
    <t xml:space="preserve">El nº de operarios se CALCULA según los minutos: menos minutos ⇒ menos gente. Se cambia de caso en Hipótesis!C4.</t>
  </si>
  <si>
    <t xml:space="preserve">SUELDOS DE SOCIOS</t>
  </si>
  <si>
    <t xml:space="preserve">Tabla editable año a año en Hipótesis: 2.000 € brutos/mes al arrancar y salto a partir del año 3, hasta 5.600 € en el año 7.</t>
  </si>
  <si>
    <t xml:space="preserve">Justo encima hay una fórmula que despeja el SUELDO MÁXIMO de socio para que la necesidad cuadre con la ronda objetivo (200.000 €).</t>
  </si>
  <si>
    <t xml:space="preserve">Si subes la ronda objetivo o bajas el CAPEX, esa celda te dice al instante cuánto podéis cobrar sin pedir más dinero.</t>
  </si>
  <si>
    <t xml:space="preserve">ESTRUCTURA DE FINANCIACIÓN</t>
  </si>
  <si>
    <t xml:space="preserve">RONDA (200.000 €): obra, automatización, racks y colchón de arranque. Es deuda a largo (inversor + ENISA).</t>
  </si>
  <si>
    <t xml:space="preserve">FACTORING (60% de las facturas): anticipo de facturas de los clientes grandes. El banco mira su solvencia, no la nuestra.</t>
  </si>
  <si>
    <t xml:space="preserve">PÓLIZA DE CRÉDITO (50.000 €): solo el circulante que no cubre el factoring. Pico real necesario: ~22.000 € en el mes 14.</t>
  </si>
  <si>
    <t xml:space="preserve">DIVIDENDOS: bloqueados hasta que TODA la deuda esté pagada (condición ENISA). Antes de eso, la retribución es vía nómina.</t>
  </si>
  <si>
    <t xml:space="preserve">ROOTFLOW — Resumen para ENISA e inversores</t>
  </si>
  <si>
    <t xml:space="preserve">Cuadro de mando. Portfolio real + demanda identificada + capital stack.</t>
  </si>
  <si>
    <t xml:space="preserve">COMPARATIVA DE ESCENARIOS  —  se recalcula sola al cambiar cualquier variable del modelo</t>
  </si>
  <si>
    <t xml:space="preserve">Palanca / resultado</t>
  </si>
  <si>
    <t xml:space="preserve">CONSERVADOR</t>
  </si>
  <si>
    <t xml:space="preserve">BASE</t>
  </si>
  <si>
    <t xml:space="preserve">OPTIMISTA</t>
  </si>
  <si>
    <t xml:space="preserve">LO QUE SE MODIFICA EN CADA CASO</t>
  </si>
  <si>
    <t xml:space="preserve">Minutos por bandeja</t>
  </si>
  <si>
    <t xml:space="preserve">Precio medio de venta (índice, Conservador=100%)</t>
  </si>
  <si>
    <t xml:space="preserve">Coste de producto (índice, Conservador=100%)</t>
  </si>
  <si>
    <t xml:space="preserve">Inversión en automatización (€)</t>
  </si>
  <si>
    <t xml:space="preserve">Inversión total = necesidad de financiación (€)</t>
  </si>
  <si>
    <t xml:space="preserve">PLANTILLA (se calcula sola según los minutos)</t>
  </si>
  <si>
    <t xml:space="preserve">Operarios de cultivo en régimen (nº)</t>
  </si>
  <si>
    <t xml:space="preserve">Plantilla TOTAL en régimen (nº)</t>
  </si>
  <si>
    <t xml:space="preserve">Coste de nóminas en régimen (€/mes)</t>
  </si>
  <si>
    <t xml:space="preserve">RESULTADO EN RÉGIMEN (año 5)</t>
  </si>
  <si>
    <t xml:space="preserve">Ingresos (€)</t>
  </si>
  <si>
    <t xml:space="preserve">EBITDA (€)</t>
  </si>
  <si>
    <t xml:space="preserve">Margen EBITDA (%)</t>
  </si>
  <si>
    <t xml:space="preserve">Producción (kg/mes)</t>
  </si>
  <si>
    <t xml:space="preserve">RESULTADO DE LA OPERACIÓN</t>
  </si>
  <si>
    <t xml:space="preserve">Ingresos año 1 (€)</t>
  </si>
  <si>
    <t xml:space="preserve">Caja mínima del plan (€)</t>
  </si>
  <si>
    <t xml:space="preserve">DSCR mínimo (años 2-7)</t>
  </si>
  <si>
    <t xml:space="preserve">TIR del inversor (TAE)</t>
  </si>
  <si>
    <t xml:space="preserve">MOIC (múltiplo)</t>
  </si>
  <si>
    <t xml:space="preserve">Payback del inversor (meses)</t>
  </si>
  <si>
    <t xml:space="preserve">Financiación levantada (€)</t>
  </si>
  <si>
    <t xml:space="preserve">Póliza de crédito — máximo dispuesto (€)</t>
  </si>
  <si>
    <t xml:space="preserve">LO QUE SE LLEVA CADA SOCIO (30% cada uno)</t>
  </si>
  <si>
    <t xml:space="preserve">Neto €/mes en el año 3 (sueldo)</t>
  </si>
  <si>
    <t xml:space="preserve">Neto €/mes en el año 5 (sueldo + dividendo)</t>
  </si>
  <si>
    <t xml:space="preserve">Neto €/mes en el año 7 (sueldo + dividendo)</t>
  </si>
  <si>
    <t xml:space="preserve">Dividendos cobrados por socio en 7 años (neto)</t>
  </si>
  <si>
    <t xml:space="preserve">Fondo Hito 4 acumulado (€)</t>
  </si>
  <si>
    <t xml:space="preserve">Caja + fondo Hito 4 en la empresa (año 7)</t>
  </si>
  <si>
    <t xml:space="preserve">  · de eso, le corresponde a CADA socio (30%)</t>
  </si>
  <si>
    <t xml:space="preserve">Valor de su 30% al múltiplo de salida</t>
  </si>
  <si>
    <t xml:space="preserve">¿La financiación CUBRE la necesidad?</t>
  </si>
  <si>
    <t xml:space="preserve">Todo lo de arriba son FÓRMULAS: cambia precios, minutos, SUELDOS, circulante o CAPEX y los tres casos se actualizan a la vez.</t>
  </si>
  <si>
    <t xml:space="preserve">El circulante (clientes a 30 días) se financia con la póliza, no con la ronda de la caja. El fondo Hito 4 aparta dinero para la siguiente ampliación.</t>
  </si>
  <si>
    <t xml:space="preserve">ESCENARIO ACTIVO EN EL MODELO (detalle mensual y financiación)</t>
  </si>
  <si>
    <t xml:space="preserve">Caja mínima acumulada (€)</t>
  </si>
  <si>
    <t xml:space="preserve">DSCR mínimo años 2-7</t>
  </si>
  <si>
    <t xml:space="preserve">Precio medio ponderado — directo (€/kg)</t>
  </si>
  <si>
    <t xml:space="preserve">Plantilla total en régimen (nº)</t>
  </si>
  <si>
    <t xml:space="preserve">Producción en régimen (kg/mes)</t>
  </si>
  <si>
    <t xml:space="preserve">% del AÑO 1 ya identificado</t>
  </si>
  <si>
    <t xml:space="preserve">Pipeline ponderado por probabilidad (€/mes)</t>
  </si>
  <si>
    <t xml:space="preserve">Payback (meses)</t>
  </si>
  <si>
    <t xml:space="preserve">Estructura del tramo inversor</t>
  </si>
  <si>
    <t xml:space="preserve">Coste efectivo ENISA (TAE)</t>
  </si>
  <si>
    <t xml:space="preserve">Múltiplo (MOIC)</t>
  </si>
  <si>
    <t xml:space="preserve">DEMANDA — PIPELINE (escenario activo)</t>
  </si>
  <si>
    <t xml:space="preserve">TIR anual del inversor (TAE)</t>
  </si>
  <si>
    <t xml:space="preserve">¿Cubre la inversión?</t>
  </si>
  <si>
    <t xml:space="preserve">Necesidad de inversión (€)</t>
  </si>
  <si>
    <t xml:space="preserve">Total financiación levantada (€)</t>
  </si>
  <si>
    <t xml:space="preserve">Escenario activo</t>
  </si>
  <si>
    <t xml:space="preserve">ROOTFLOW — Portfolio de producto y COGS reales</t>
  </si>
  <si>
    <t xml:space="preserve">Coste real por bandeja (semilla + sustrato + envase, sin IVA). Solo se produce lo ACTIVO. El % de luz de las activas debe sumar 100%.</t>
  </si>
  <si>
    <t xml:space="preserve">Parámetros globales</t>
  </si>
  <si>
    <t xml:space="preserve">Ratio precio DIRECTO ÷ DISTRIBUIDOR</t>
  </si>
  <si>
    <t xml:space="preserve">Días medios por mes (365/12)</t>
  </si>
  <si>
    <t xml:space="preserve">Días muertos entre ciclos (limpieza/resiembra)</t>
  </si>
  <si>
    <t xml:space="preserve">Minutos por bandeja — CONSERVADOR (a mano, sin automatización)</t>
  </si>
  <si>
    <t xml:space="preserve">CLAVE: el tiempo por bandeja es LA variable del negocio y define cuántos operarios hacen falta. Cada nivel de minutos se consigue con la automatización del CAPEX (ver hoja CAPEX).</t>
  </si>
  <si>
    <t xml:space="preserve">Minutos por bandeja — BASE (lavadora + cinta/cosecha asistida)</t>
  </si>
  <si>
    <t xml:space="preserve">Minutos por bandeja — OPTIMISTA (+ sembradora automática)</t>
  </si>
  <si>
    <t xml:space="preserve">MINUTOS POR BANDEJA — según escenario activo</t>
  </si>
  <si>
    <t xml:space="preserve">Variedad</t>
  </si>
  <si>
    <t xml:space="preserve">Estado dato</t>
  </si>
  <si>
    <t xml:space="preserve">Activo
(1/0)</t>
  </si>
  <si>
    <t xml:space="preserve">% luz
(bandejas)</t>
  </si>
  <si>
    <t xml:space="preserve">Formato
(g/tarrina)</t>
  </si>
  <si>
    <t xml:space="preserve">Precio DIR
€/tarrina</t>
  </si>
  <si>
    <t xml:space="preserve">€/kg DIR
— calc</t>
  </si>
  <si>
    <t xml:space="preserve">Días
luz</t>
  </si>
  <si>
    <t xml:space="preserve">Días
germ.</t>
  </si>
  <si>
    <t xml:space="preserve">Ciclos/mes
— calc</t>
  </si>
  <si>
    <t xml:space="preserve">Rendim.
(g/band)</t>
  </si>
  <si>
    <t xml:space="preserve">Tarrinas
/band — calc</t>
  </si>
  <si>
    <t xml:space="preserve">kg/band
/mes — calc</t>
  </si>
  <si>
    <t xml:space="preserve">Semilla
€/band</t>
  </si>
  <si>
    <t xml:space="preserve">Sustrato
€/band</t>
  </si>
  <si>
    <t xml:space="preserve">Envase
€/tarrina</t>
  </si>
  <si>
    <t xml:space="preserve">Envase
€/band — calc</t>
  </si>
  <si>
    <t xml:space="preserve">COGS €/band
/ciclo — calc</t>
  </si>
  <si>
    <t xml:space="preserve">COGS €/band
/mes — calc</t>
  </si>
  <si>
    <t xml:space="preserve">Ingreso DIR
€/band/mes</t>
  </si>
  <si>
    <t xml:space="preserve">MB
%</t>
  </si>
  <si>
    <t xml:space="preserve">MARGEN
€/hora trabajo</t>
  </si>
  <si>
    <t xml:space="preserve">Micromezclum (mix 7 var.)</t>
  </si>
  <si>
    <t xml:space="preserve">PROVISIONAL</t>
  </si>
  <si>
    <t xml:space="preserve">Cilantro split</t>
  </si>
  <si>
    <t xml:space="preserve">CONFIRMADO</t>
  </si>
  <si>
    <t xml:space="preserve">Albahaca genovesa</t>
  </si>
  <si>
    <t xml:space="preserve">Rábano daikon</t>
  </si>
  <si>
    <t xml:space="preserve">Rúcula rocket</t>
  </si>
  <si>
    <t xml:space="preserve">Rábano rose</t>
  </si>
  <si>
    <t xml:space="preserve">Mostaza Red Giant</t>
  </si>
  <si>
    <t xml:space="preserve">Brócoli calabrese</t>
  </si>
  <si>
    <t xml:space="preserve">Amaranto rojo</t>
  </si>
  <si>
    <t xml:space="preserve">Rábano red</t>
  </si>
  <si>
    <t xml:space="preserve">INACTIVO</t>
  </si>
  <si>
    <t xml:space="preserve">Guisante (pea shoots)</t>
  </si>
  <si>
    <t xml:space="preserve">Remolacha roja</t>
  </si>
  <si>
    <t xml:space="preserve">Remolacha amarilla</t>
  </si>
  <si>
    <t xml:space="preserve">Hinojo</t>
  </si>
  <si>
    <t xml:space="preserve">Cebolla Barbra</t>
  </si>
  <si>
    <t xml:space="preserve">Cebollino chino</t>
  </si>
  <si>
    <t xml:space="preserve">PORTFOLIO ACTIVO (media ponderada por % de luz)</t>
  </si>
  <si>
    <t xml:space="preserve">Comprobación: % de luz de las ACTIVAS suma</t>
  </si>
  <si>
    <t xml:space="preserve">MARGEN €/HORA de trabajo: la métrica que manda cuando la mano de obra es el cuello de botella. Compárala con el coste/hora cargado (~14 €/h).</t>
  </si>
  <si>
    <t xml:space="preserve">Precio medio ponderado del portfolio — DIRECTO (€/kg)</t>
  </si>
  <si>
    <t xml:space="preserve">Margen bruto del portfolio (s/ ingreso directo)</t>
  </si>
  <si>
    <t xml:space="preserve">ROOTFLOW — Pipeline comercial: demanda identificada por cliente y variedad</t>
  </si>
  <si>
    <t xml:space="preserve">Esta hoja ALIMENTA el modelo: cada cliente pide tarrinas/semana de variedades concretas. El modelo sirve primero esta demanda y añade encima la capa de nuevas cuentas.</t>
  </si>
  <si>
    <t xml:space="preserve">Semanas por mes (365/7/12)</t>
  </si>
  <si>
    <t xml:space="preserve">Parámetros por variedad (enlazados de Producto — no tocar)</t>
  </si>
  <si>
    <t xml:space="preserve">Micromez.</t>
  </si>
  <si>
    <t xml:space="preserve">Cilantro</t>
  </si>
  <si>
    <t xml:space="preserve">Albahaca</t>
  </si>
  <si>
    <t xml:space="preserve">R. daikon</t>
  </si>
  <si>
    <t xml:space="preserve">Rúcula</t>
  </si>
  <si>
    <t xml:space="preserve">R. rose</t>
  </si>
  <si>
    <t xml:space="preserve">Mostaza</t>
  </si>
  <si>
    <t xml:space="preserve">Brócoli</t>
  </si>
  <si>
    <t xml:space="preserve">Amaranto</t>
  </si>
  <si>
    <t xml:space="preserve">Precio directo €/tarrina</t>
  </si>
  <si>
    <t xml:space="preserve">Tarrinas por bandeja</t>
  </si>
  <si>
    <t xml:space="preserve">Ciclos/mes</t>
  </si>
  <si>
    <t xml:space="preserve">COGS €/tarrina</t>
  </si>
  <si>
    <t xml:space="preserve">Peso tarrina (g)</t>
  </si>
  <si>
    <t xml:space="preserve">Posiciones por tarrina·mes</t>
  </si>
  <si>
    <t xml:space="preserve">Bandejas por tarrina</t>
  </si>
  <si>
    <t xml:space="preserve">tarrinas por SEMANA que pide cada cliente, por variedad</t>
  </si>
  <si>
    <t xml:space="preserve">Cliente</t>
  </si>
  <si>
    <t xml:space="preserve">Estado</t>
  </si>
  <si>
    <t xml:space="preserve">Desc.
canal</t>
  </si>
  <si>
    <t xml:space="preserve">Prob.</t>
  </si>
  <si>
    <t xml:space="preserve">Mes
inicio</t>
  </si>
  <si>
    <t xml:space="preserve">Rampa
(meses)</t>
  </si>
  <si>
    <t xml:space="preserve">Tarrinas
/mes</t>
  </si>
  <si>
    <t xml:space="preserve">€/mes
POTENCIAL</t>
  </si>
  <si>
    <t xml:space="preserve">€/mes
PONDERADO</t>
  </si>
  <si>
    <t xml:space="preserve">kg/mes</t>
  </si>
  <si>
    <t xml:space="preserve">Bandejas
/mes</t>
  </si>
  <si>
    <t xml:space="preserve">Posic.
de luz</t>
  </si>
  <si>
    <t xml:space="preserve">% de la
nave</t>
  </si>
  <si>
    <t xml:space="preserve">COGS
€/mes</t>
  </si>
  <si>
    <t xml:space="preserve">Notas / próximos pasos</t>
  </si>
  <si>
    <t xml:space="preserve">Frutería La Huerta de Aranjuez</t>
  </si>
  <si>
    <t xml:space="preserve">ACTIVO</t>
  </si>
  <si>
    <t xml:space="preserve">Cliente actual — crece gradual en nave nueva</t>
  </si>
  <si>
    <t xml:space="preserve">Sushita</t>
  </si>
  <si>
    <t xml:space="preserve">EN CONVERSACIÓN</t>
  </si>
  <si>
    <t xml:space="preserve">Cuenta HORECA pequeña — cerrar ya</t>
  </si>
  <si>
    <t xml:space="preserve">Frutas Eloy</t>
  </si>
  <si>
    <t xml:space="preserve">Cliente recurrente — sube despacio a micromezclum</t>
  </si>
  <si>
    <t xml:space="preserve">Mercamadrid (asentadores)</t>
  </si>
  <si>
    <t xml:space="preserve">POR ABRIR</t>
  </si>
  <si>
    <t xml:space="preserve">Micromezclum a granel — rampa larga de distribuidor</t>
  </si>
  <si>
    <t xml:space="preserve">Makro (cash &amp; carry)</t>
  </si>
  <si>
    <t xml:space="preserve">Gran cuenta: NO antes de capacidad probada. PENDIENTE LLAMADA</t>
  </si>
  <si>
    <t xml:space="preserve">Primaflor</t>
  </si>
  <si>
    <t xml:space="preserve">Co-packing: entra en año 2. PENDIENTE LLAMADA</t>
  </si>
  <si>
    <t xml:space="preserve">— hueco nueva cuenta —</t>
  </si>
  <si>
    <t xml:space="preserve">TOTAL PIPELINE</t>
  </si>
  <si>
    <t xml:space="preserve">MIX QUE PIDE LA DEMANDA — posiciones de luz ponderadas (guía de siembra)</t>
  </si>
  <si>
    <t xml:space="preserve">Posiciones ponderadas</t>
  </si>
  <si>
    <t xml:space="preserve">% del mix demandado</t>
  </si>
  <si>
    <t xml:space="preserve">ROOTFLOW — Logística: Madrid propio + resto de España (Athos)</t>
  </si>
  <si>
    <t xml:space="preserve">En Madrid repartimos con nuestras furgos (coste propio). Fuera de Madrid lo hace Athos: tarifa por CCAA y tramo de peso por envío. Ajusta el % de ventas fuera de Madrid y su reparto por CCAA.</t>
  </si>
  <si>
    <t xml:space="preserve">PARÁMETROS GENERALES</t>
  </si>
  <si>
    <t xml:space="preserve">% de las ventas (kg) que va FUERA de Madrid</t>
  </si>
  <si>
    <t xml:space="preserve">El resto se reparte en Madrid con furgo propia</t>
  </si>
  <si>
    <t xml:space="preserve">Peso medio por ENVÍO fuera de Madrid (kg)</t>
  </si>
  <si>
    <t xml:space="preserve">Determina el tramo de tarifa (0-25 / 26-50 / 51-100 / 101-150 / 151-200 / 201-299)</t>
  </si>
  <si>
    <t xml:space="preserve">Coste furgo PROPIA en Madrid (€/kg)</t>
  </si>
  <si>
    <t xml:space="preserve">Combustible + amortización furgo + parte de reparto (no nómina de reparto, que ya está en OPEX)</t>
  </si>
  <si>
    <t xml:space="preserve">Recargo Athos (recogida 3€/pedido, seguro, etc.) %</t>
  </si>
  <si>
    <t xml:space="preserve">TARIFA ATHOS POR CCAA Y TRAMO DE PESO (€ por ENVÍO) — editable</t>
  </si>
  <si>
    <t xml:space="preserve">Comunidad Autónoma</t>
  </si>
  <si>
    <t xml:space="preserve">0-25 kg</t>
  </si>
  <si>
    <t xml:space="preserve">26-50 kg</t>
  </si>
  <si>
    <t xml:space="preserve">51-100 kg</t>
  </si>
  <si>
    <t xml:space="preserve">101-150 kg</t>
  </si>
  <si>
    <t xml:space="preserve">151-200 kg</t>
  </si>
  <si>
    <t xml:space="preserve">201-299 kg</t>
  </si>
  <si>
    <t xml:space="preserve">% de ventas fuera</t>
  </si>
  <si>
    <t xml:space="preserve">€/kg equivalente</t>
  </si>
  <si>
    <t xml:space="preserve">kg/mes régimen</t>
  </si>
  <si>
    <t xml:space="preserve">Coste/mes régimen</t>
  </si>
  <si>
    <t xml:space="preserve">Andalucía</t>
  </si>
  <si>
    <t xml:space="preserve">Aragón</t>
  </si>
  <si>
    <t xml:space="preserve">Asturias</t>
  </si>
  <si>
    <t xml:space="preserve">Cantabria</t>
  </si>
  <si>
    <t xml:space="preserve">Castilla y León</t>
  </si>
  <si>
    <t xml:space="preserve">Castilla-La Mancha</t>
  </si>
  <si>
    <t xml:space="preserve">Cataluña</t>
  </si>
  <si>
    <t xml:space="preserve">C. Valenciana</t>
  </si>
  <si>
    <t xml:space="preserve">Extremadura</t>
  </si>
  <si>
    <t xml:space="preserve">Galicia</t>
  </si>
  <si>
    <t xml:space="preserve">La Rioja</t>
  </si>
  <si>
    <t xml:space="preserve">Murcia</t>
  </si>
  <si>
    <t xml:space="preserve">Navarra</t>
  </si>
  <si>
    <t xml:space="preserve">País Vasco</t>
  </si>
  <si>
    <t xml:space="preserve">TOTAL FUERA DE MADRID</t>
  </si>
  <si>
    <t xml:space="preserve">REPARTO DE LA PRODUCCIÓN (régimen, mes 84)</t>
  </si>
  <si>
    <t xml:space="preserve">Producción total (kg/mes)</t>
  </si>
  <si>
    <t xml:space="preserve">kg/mes en Madrid (furgo propia)</t>
  </si>
  <si>
    <t xml:space="preserve">kg/mes fuera de Madrid (Athos)</t>
  </si>
  <si>
    <t xml:space="preserve">Coste logístico Madrid (€/mes)</t>
  </si>
  <si>
    <t xml:space="preserve">Coste logístico fuera Madrid (€/mes)</t>
  </si>
  <si>
    <t xml:space="preserve">COSTE LOGÍSTICO TOTAL (€/mes régimen)</t>
  </si>
  <si>
    <t xml:space="preserve">Coste logístico medio (€/kg)</t>
  </si>
  <si>
    <t xml:space="preserve">Coste logístico total como % de ingresos</t>
  </si>
  <si>
    <t xml:space="preserve">Nota: Athos cobra por ENVÍO según peso; agrupar pedidos de una misma CCAA en un envío mayor abarata mucho el €/kg (mira cómo baja al subir el peso medio por envío). Devoluciones +15%, aeropuerto +30€.</t>
  </si>
  <si>
    <t xml:space="preserve">€/kg medio ponderado FUERA (para el modelo mensual)</t>
  </si>
  <si>
    <t xml:space="preserve">ROOTFLOW — Hipótesis del modelo</t>
  </si>
  <si>
    <t xml:space="preserve">Celdas azules = inputs. El selector de escenario reescribe la columna "Activo".</t>
  </si>
  <si>
    <t xml:space="preserve">ESCENARIO ACTIVO  (1 = Conservador · 2 = Base · 3 = Optimista)</t>
  </si>
  <si>
    <t xml:space="preserve">Concepto</t>
  </si>
  <si>
    <t xml:space="preserve">Unidad</t>
  </si>
  <si>
    <t xml:space="preserve">Conservador</t>
  </si>
  <si>
    <t xml:space="preserve">Base</t>
  </si>
  <si>
    <t xml:space="preserve">Optimista</t>
  </si>
  <si>
    <t xml:space="preserve">Activo</t>
  </si>
  <si>
    <t xml:space="preserve">GEOMETRÍA DEL RACK</t>
  </si>
  <si>
    <t xml:space="preserve">Rack ANTIGUO — bandejas por rack</t>
  </si>
  <si>
    <t xml:space="preserve">bandejas</t>
  </si>
  <si>
    <t xml:space="preserve">Rack NUEVO — superficie de cultivo POR NIVEL</t>
  </si>
  <si>
    <t xml:space="preserve">m²/nivel</t>
  </si>
  <si>
    <t xml:space="preserve">Rack NUEVO — nº de niveles</t>
  </si>
  <si>
    <t xml:space="preserve">niveles</t>
  </si>
  <si>
    <t xml:space="preserve">Superficie ocupada por bandeja</t>
  </si>
  <si>
    <t xml:space="preserve">m²/band</t>
  </si>
  <si>
    <t xml:space="preserve">Bandejas por nivel — CALCULADO</t>
  </si>
  <si>
    <t xml:space="preserve">BANDEJAS POR RACK NUEVO — CALCULADO</t>
  </si>
  <si>
    <t xml:space="preserve">Superficie de cultivo por rack — CALCULADO</t>
  </si>
  <si>
    <t xml:space="preserve">m²</t>
  </si>
  <si>
    <t xml:space="preserve">AJUSTE POR ESCENARIO (flexiona la economía de Producto)</t>
  </si>
  <si>
    <t xml:space="preserve">Ajuste de PRECIO de venta (Cons=actual · Base +20% · Opt +35%)</t>
  </si>
  <si>
    <t xml:space="preserve">%</t>
  </si>
  <si>
    <t xml:space="preserve">Ajuste de RENDIMIENTO / kg</t>
  </si>
  <si>
    <t xml:space="preserve">Ajuste de COSTE de producto (Cons=actual · Base −15% · Opt −25%)</t>
  </si>
  <si>
    <t xml:space="preserve">ECONOMÍA POR BANDEJA (Producto × escenario)</t>
  </si>
  <si>
    <t xml:space="preserve">Ingreso por bandeja — DIRECTO</t>
  </si>
  <si>
    <t xml:space="preserve">€/band/mes</t>
  </si>
  <si>
    <t xml:space="preserve">Ingreso por bandeja — DISTRIBUIDOR</t>
  </si>
  <si>
    <t xml:space="preserve">COGS por bandeja</t>
  </si>
  <si>
    <t xml:space="preserve">Rendimiento por bandeja</t>
  </si>
  <si>
    <t xml:space="preserve">kg/band/mes</t>
  </si>
  <si>
    <t xml:space="preserve">Ciclos (siembras) por posición y mes</t>
  </si>
  <si>
    <t xml:space="preserve">ciclos/mes</t>
  </si>
  <si>
    <t xml:space="preserve">CAPACIDAD Y RAMPA</t>
  </si>
  <si>
    <t xml:space="preserve">Capacidad total de la nave (racks NUEVOS)  ← manda sobre el CAPEX</t>
  </si>
  <si>
    <t xml:space="preserve">racks</t>
  </si>
  <si>
    <t xml:space="preserve">Racks operativos al abrir (mes 1)</t>
  </si>
  <si>
    <t xml:space="preserve">Ritmo de instalación de racks</t>
  </si>
  <si>
    <t xml:space="preserve">racks/mes</t>
  </si>
  <si>
    <t xml:space="preserve">Capa ADICIONAL: mes de inicio de captación de nuevas cuentas</t>
  </si>
  <si>
    <t xml:space="preserve">mes</t>
  </si>
  <si>
    <t xml:space="preserve">Capa adicional: % a cliente DIRECTO (igual en los 3)</t>
  </si>
  <si>
    <t xml:space="preserve">Capa ADICIONAL (nuevas cuentas): utilización inicial</t>
  </si>
  <si>
    <t xml:space="preserve">Capa ADICIONAL: techo de utilización (igual en los 3 casos)</t>
  </si>
  <si>
    <t xml:space="preserve">Capa ADICIONAL: meses hasta el techo</t>
  </si>
  <si>
    <t xml:space="preserve">meses</t>
  </si>
  <si>
    <t xml:space="preserve">Merma + comercial + impagados (igual en los 3)</t>
  </si>
  <si>
    <t xml:space="preserve">COSTES FIJOS (mensual, sin nóminas)</t>
  </si>
  <si>
    <t xml:space="preserve">Alquiler de la nave (350 m²)</t>
  </si>
  <si>
    <t xml:space="preserve">€/mes</t>
  </si>
  <si>
    <t xml:space="preserve">Suministros — parte fija</t>
  </si>
  <si>
    <t xml:space="preserve">Electricidad variable por posición iluminada</t>
  </si>
  <si>
    <t xml:space="preserve">€/pos/mes</t>
  </si>
  <si>
    <t xml:space="preserve">Vehículo de reparto — renting + combustible</t>
  </si>
  <si>
    <t xml:space="preserve">Otros opex (gestoría, seguros, software, marketing)</t>
  </si>
  <si>
    <t xml:space="preserve">NÓMINAS — cada línea alimenta SU PROPIA fila de OPEX</t>
  </si>
  <si>
    <t xml:space="preserve">Coste Seguridad Social empresa (% s/ bruto)</t>
  </si>
  <si>
    <t xml:space="preserve">SOCIOS — bruto €/mes POR AÑO (editable año a año)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</si>
  <si>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</si>
  <si>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</si>
  <si>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</si>
  <si>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</si>
  <si>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</si>
  <si>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Año 6</t>
  </si>
  <si>
    <t xml:space="preserve">Año 7</t>
  </si>
  <si>
    <t xml:space="preserve">Bruto de CADA socio (aplica a las líneas con ¿Socio?=1)</t>
  </si>
  <si>
    <t xml:space="preserve">Incremento salarial anual del RESTO de plantilla</t>
  </si>
  <si>
    <t xml:space="preserve">%/año</t>
  </si>
  <si>
    <t xml:space="preserve">Los socios cobran lo de la tabla de arriba según el año. El resto de plantilla parte de su bruto y sube ese % cada año.</t>
  </si>
  <si>
    <t xml:space="preserve">Rol</t>
  </si>
  <si>
    <t xml:space="preserve">Activo (1/0)</t>
  </si>
  <si>
    <t xml:space="preserve">Bruto €/mes</t>
  </si>
  <si>
    <t xml:space="preserve">Alta (mes)</t>
  </si>
  <si>
    <t xml:space="preserve">Cargado €/mes</t>
  </si>
  <si>
    <t xml:space="preserve">Horas bandeja/mes</t>
  </si>
  <si>
    <t xml:space="preserve">¿Socio? (1/0)</t>
  </si>
  <si>
    <t xml:space="preserve">Pedro — socio (finanzas)</t>
  </si>
  <si>
    <t xml:space="preserve">Nico — socio (comercial)</t>
  </si>
  <si>
    <t xml:space="preserve">Guzmán — socio (producción)</t>
  </si>
  <si>
    <t xml:space="preserve">Encargado de producción</t>
  </si>
  <si>
    <t xml:space="preserve">Comercial / KAM</t>
  </si>
  <si>
    <t xml:space="preserve">(rol fijo libre)</t>
  </si>
  <si>
    <t xml:space="preserve">Nóminas en régimen (todas las activas)</t>
  </si>
  <si>
    <t xml:space="preserve">Nóminas activas en el MES 1 (para el colchón)</t>
  </si>
  <si>
    <t xml:space="preserve">RONDA OBJETIVO — cuánto queremos pedir en total</t>
  </si>
  <si>
    <t xml:space="preserve">€</t>
  </si>
  <si>
    <t xml:space="preserve">SUELDO MÁXIMO de socio (año 1) para que la necesidad = ronda objetivo</t>
  </si>
  <si>
    <t xml:space="preserve">Copia ese importe en la casilla del AÑO 1 de la tabla de sueldos de arriba y la ronda cuadra sola. Columnas C/D/E = Conservador/Base/Optimista.</t>
  </si>
  <si>
    <t xml:space="preserve">Horas de bandeja de la plantilla FIJA (Guzmán + encargado)</t>
  </si>
  <si>
    <t xml:space="preserve">OPERARIOS DE CULTIVO — se calculan según los minutos del escenario</t>
  </si>
  <si>
    <t xml:space="preserve">Operario de cultivo — bruto €/mes</t>
  </si>
  <si>
    <t xml:space="preserve">Operario de cultivo — coste cargado (con SS)</t>
  </si>
  <si>
    <t xml:space="preserve">Operario de cultivo — horas de bandeja por mes</t>
  </si>
  <si>
    <t xml:space="preserve">h/mes</t>
  </si>
  <si>
    <t xml:space="preserve">Los operarios NO se listan a mano: el modelo calcula cuántos hacen falta cada mes según las bandejas y los minutos del escenario (a menos minutos, menos operarios).</t>
  </si>
  <si>
    <t xml:space="preserve">CIRCULANTE (NOF) — lo que tienes fuera en clientes</t>
  </si>
  <si>
    <t xml:space="preserve">Días de cobro a clientes (30 = máximo legal en perecederos)</t>
  </si>
  <si>
    <t xml:space="preserve">días</t>
  </si>
  <si>
    <t xml:space="preserve">Días de pago a proveedores</t>
  </si>
  <si>
    <t xml:space="preserve">CAPEX de mantenimiento/reposición (% de ingresos)</t>
  </si>
  <si>
    <t xml:space="preserve">PÓLIZA DE CRÉDITO (para financiar el circulante)</t>
  </si>
  <si>
    <t xml:space="preserve">Límite de la póliza de crédito</t>
  </si>
  <si>
    <t xml:space="preserve">Tipo de interés de la póliza</t>
  </si>
  <si>
    <t xml:space="preserve">Caja objetivo — por debajo se dispone de la póliza</t>
  </si>
  <si>
    <t xml:space="preserve">% de facturas ANTICIPADAS (factoring sobre clientes grandes)</t>
  </si>
  <si>
    <t xml:space="preserve">Coste todo incluido del factoring (comisión + interés)</t>
  </si>
  <si>
    <t xml:space="preserve">REINVERSIÓN (Hito 4) Y REPARTO A SOCIOS</t>
  </si>
  <si>
    <t xml:space="preserve">Mes desde el que se aparta dinero para el Hito 4</t>
  </si>
  <si>
    <t xml:space="preserve">% del beneficio neto que se reinvierte en Hito 4</t>
  </si>
  <si>
    <t xml:space="preserve">Mes mínimo para repartir (además exige deuda a cero)</t>
  </si>
  <si>
    <t xml:space="preserve">% del beneficio distribuible que se reparte</t>
  </si>
  <si>
    <t xml:space="preserve">Caja mínima que NUNCA se reparte (colchón permanente)</t>
  </si>
  <si>
    <t xml:space="preserve">Capital social + prima tras la ampliación (base de la reserva legal)</t>
  </si>
  <si>
    <t xml:space="preserve">Participación de CADA socio</t>
  </si>
  <si>
    <t xml:space="preserve">Tipo efectivo IRPF + SS trabajador sobre nómina</t>
  </si>
  <si>
    <t xml:space="preserve">Tipo IRPF del ahorro sobre dividendos</t>
  </si>
  <si>
    <t xml:space="preserve">AMORTIZACIÓN E IMPUESTOS</t>
  </si>
  <si>
    <t xml:space="preserve">Vida útil media de la inversión</t>
  </si>
  <si>
    <t xml:space="preserve">años</t>
  </si>
  <si>
    <t xml:space="preserve">Tipo IS reducido (entidad de nueva creación)</t>
  </si>
  <si>
    <t xml:space="preserve">Tipo IS general (a partir del año indicado)</t>
  </si>
  <si>
    <t xml:space="preserve">Año desde el que aplica el tipo GENERAL</t>
  </si>
  <si>
    <t xml:space="preserve">año</t>
  </si>
  <si>
    <t xml:space="preserve">TRAMO 1 · FFF / INVERSOR PRIVADO  (aquí se calcula SU TIR y MOIC)</t>
  </si>
  <si>
    <t xml:space="preserve">¿Activo? (1 = sí / 0 = no)</t>
  </si>
  <si>
    <t xml:space="preserve">1/0</t>
  </si>
  <si>
    <t xml:space="preserve">Importe FFF / inversor privado</t>
  </si>
  <si>
    <t xml:space="preserve">Capital FFF efectivo</t>
  </si>
  <si>
    <t xml:space="preserve">Estructura (1=Préstamo·2=Participativo·3=Ctas.particip.·4=Rev-share·5=CAPITAL)</t>
  </si>
  <si>
    <t xml:space="preserve">1-4</t>
  </si>
  <si>
    <t xml:space="preserve">Interés fijo anual</t>
  </si>
  <si>
    <t xml:space="preserve">Plazo (meses)</t>
  </si>
  <si>
    <t xml:space="preserve">Carencia de principal (meses)</t>
  </si>
  <si>
    <t xml:space="preserve">Componente variable s/ EBITDA (estructura 2)</t>
  </si>
  <si>
    <t xml:space="preserve">% del beneficio para el inversor (estructura 3)</t>
  </si>
  <si>
    <t xml:space="preserve">% de ingresos para el inversor (estructura 4)</t>
  </si>
  <si>
    <t xml:space="preserve">Múltiplo tope MOIC (estructuras 3 y 4)</t>
  </si>
  <si>
    <t xml:space="preserve">x</t>
  </si>
  <si>
    <t xml:space="preserve">TRAMO 2 · ENISA AgroInnpulso — Línea Agro PYME (participativo). Términos EDITABLES: confírmalos con ENISA</t>
  </si>
  <si>
    <t xml:space="preserve">Importe ENISA</t>
  </si>
  <si>
    <t xml:space="preserve">Capital ENISA efectivo</t>
  </si>
  <si>
    <t xml:space="preserve">Interés fijo anual (tramo fijo — CONFIRMAR con ENISA)</t>
  </si>
  <si>
    <t xml:space="preserve">Interés variable s/ EBITDA</t>
  </si>
  <si>
    <t xml:space="preserve">Plazo total (meses)</t>
  </si>
  <si>
    <t xml:space="preserve">TRAMO 3 · ICO-SAECA (quita 15%) — DESACTIVADO</t>
  </si>
  <si>
    <t xml:space="preserve">¿Activo? (1 = sí / 0 = no)  ← ponlo a 1 para activarlo</t>
  </si>
  <si>
    <t xml:space="preserve">Importe ICO-SAECA</t>
  </si>
  <si>
    <t xml:space="preserve">Capital SAECA efectivo</t>
  </si>
  <si>
    <t xml:space="preserve">Interés fijo anual (bancario)</t>
  </si>
  <si>
    <t xml:space="preserve">Quita de principal (RD-ley 7/2026)</t>
  </si>
  <si>
    <t xml:space="preserve">KICKER Y VALORACIÓN (solo inversor privado)</t>
  </si>
  <si>
    <t xml:space="preserve">Equity cedido al inversor (estructura 5: su participación real)</t>
  </si>
  <si>
    <t xml:space="preserve">Múltiplo de salida sobre EBITDA</t>
  </si>
  <si>
    <t xml:space="preserve">x EBITDA</t>
  </si>
  <si>
    <t xml:space="preserve">Tasa de descuento para el VAN del inversor</t>
  </si>
  <si>
    <t xml:space="preserve">TOTAL FINANCIACIÓN LEVANTADA</t>
  </si>
  <si>
    <t xml:space="preserve">SALIDA DEL INVERSOR (solo estructura 5 · capital)</t>
  </si>
  <si>
    <t xml:space="preserve">Mes de salida del inversor (derecho pactado desde el año 4)</t>
  </si>
  <si>
    <t xml:space="preserve">¿Sumar la caja neta al valor de salida? (1=sí / 0=no)</t>
  </si>
  <si>
    <t xml:space="preserve">Mes previsto de formalización de ENISA (para el chequeo de fondos propios)</t>
  </si>
  <si>
    <t xml:space="preserve">Suelo de cobro a la salida (múltiplo mínimo sobre lo invertido) — protege la bajada</t>
  </si>
  <si>
    <t xml:space="preserve">ROOTFLOW — Mano de obra y dimensionamiento de plantilla</t>
  </si>
  <si>
    <t xml:space="preserve">La mano de obra es el coste real del negocio. Aquí se ve cuántas horas exige la producción y cuántas cubre la plantilla.</t>
  </si>
  <si>
    <t xml:space="preserve">MINUTOS POR BANDEJA (según escenario activo)</t>
  </si>
  <si>
    <t xml:space="preserve">Conservador (a mano)</t>
  </si>
  <si>
    <t xml:space="preserve">Base (lavadora + cinta/cosecha)</t>
  </si>
  <si>
    <t xml:space="preserve">Optimista (+ sembradora)</t>
  </si>
  <si>
    <t xml:space="preserve">MINUTOS/bandeja ACTIVO</t>
  </si>
  <si>
    <t xml:space="preserve">Escenario</t>
  </si>
  <si>
    <t xml:space="preserve">PLANTILLA (viene de Hipótesis) — horas de bandeja por persona</t>
  </si>
  <si>
    <t xml:space="preserve">¿Socio?</t>
  </si>
  <si>
    <t xml:space="preserve">Horas de bandeja disponibles en régimen (plantilla activa)</t>
  </si>
  <si>
    <t xml:space="preserve">CARGA DE TRABAJO EN RÉGIMEN (mes 84)</t>
  </si>
  <si>
    <t xml:space="preserve">Bandejas sembradas/mes</t>
  </si>
  <si>
    <t xml:space="preserve">Horas de bandeja NECESARIAS/mes</t>
  </si>
  <si>
    <t xml:space="preserve">Horas de la plantilla FIJA (Guzmán + encargado)</t>
  </si>
  <si>
    <t xml:space="preserve">OPERARIOS DE CULTIVO necesarios (nº)</t>
  </si>
  <si>
    <t xml:space="preserve">Coste de esos operarios (€/mes)</t>
  </si>
  <si>
    <t xml:space="preserve">PLANTILLA TOTAL (fijos + operarios)</t>
  </si>
  <si>
    <t xml:space="preserve">Coste TOTAL de nóminas (€/mes)</t>
  </si>
  <si>
    <t xml:space="preserve">Los operarios se calculan solos: a menos minutos por bandeja (más automatización), menos operarios. Por eso el Optimista tiene más CAPEX pero menos nómina.</t>
  </si>
  <si>
    <t xml:space="preserve">ROOTFLOW — Plan de inversión y necesidad de financiación</t>
  </si>
  <si>
    <t xml:space="preserve">Bottom-up de cuánto dinero hay que levantar para el salto a la nave.</t>
  </si>
  <si>
    <t xml:space="preserve">Importe (€)</t>
  </si>
  <si>
    <t xml:space="preserve">Nota</t>
  </si>
  <si>
    <t xml:space="preserve">Adaptación de nave (clima, eléctrico trifásico, fontanería)</t>
  </si>
  <si>
    <t xml:space="preserve">AUTOMATIZACIÓN (se activa según escenario):</t>
  </si>
  <si>
    <t xml:space="preserve">  · Lavadora de bandejas</t>
  </si>
  <si>
    <t xml:space="preserve">Incluida en BASE y OPTIMISTA</t>
  </si>
  <si>
    <t xml:space="preserve">  · Cinta / cosecha asistida</t>
  </si>
  <si>
    <t xml:space="preserve">  · Sembradora automática</t>
  </si>
  <si>
    <t xml:space="preserve">Incluida solo en OPTIMISTA</t>
  </si>
  <si>
    <t xml:space="preserve">Automatización incluida en el escenario ACTIVO</t>
  </si>
  <si>
    <t xml:space="preserve">Conservador=0 · Base=10.000 · Optimista=35.000</t>
  </si>
  <si>
    <t xml:space="preserve">Coste de construcción por rack NUEVO</t>
  </si>
  <si>
    <t xml:space="preserve">Nº de racks a construir</t>
  </si>
  <si>
    <t xml:space="preserve">ENLAZADO a la capacidad de Hipótesis (una sola fuente)</t>
  </si>
  <si>
    <t xml:space="preserve">Racks de cultivo (total)</t>
  </si>
  <si>
    <t xml:space="preserve">Instalación y montaje (mano de obra)</t>
  </si>
  <si>
    <t xml:space="preserve">Vehículo de reparto (0 = renting)</t>
  </si>
  <si>
    <t xml:space="preserve">Mobiliario, utillaje, EPIs, varios</t>
  </si>
  <si>
    <t xml:space="preserve">Licencias, proyecto técnico e ingeniería</t>
  </si>
  <si>
    <t xml:space="preserve">Legal / estructuración (ENISA + inversor)</t>
  </si>
  <si>
    <t xml:space="preserve">SUBTOTAL CAPEX</t>
  </si>
  <si>
    <t xml:space="preserve">Contingencia (% s/ CAPEX)</t>
  </si>
  <si>
    <t xml:space="preserve">Imprevistos de obra/equipo</t>
  </si>
  <si>
    <t xml:space="preserve">Contingencia (€)</t>
  </si>
  <si>
    <t xml:space="preserve">CAPEX + Contingencia</t>
  </si>
  <si>
    <t xml:space="preserve">Meses de colchón de arranque (pérdidas de la rampa)</t>
  </si>
  <si>
    <t xml:space="preserve">El circulante va aparte, en su propia línea</t>
  </si>
  <si>
    <t xml:space="preserve">Coste fijo mensual al arrancar (€)</t>
  </si>
  <si>
    <t xml:space="preserve">Alquiler + suministros + vehículo + otros + NÓMINAS FIJAS DEL MES 1</t>
  </si>
  <si>
    <t xml:space="preserve">Colchón de circulante (€)</t>
  </si>
  <si>
    <t xml:space="preserve">TOTAL INVERSIÓN  =  NECESIDAD DE FINANCIACIÓN</t>
  </si>
  <si>
    <t xml:space="preserve">Circulante máximo (NOF) — NO se levanta: va a póliza de crédito</t>
  </si>
  <si>
    <t xml:space="preserve">Póliza máxima dispuesta en el plan (debe caber en el límite)</t>
  </si>
  <si>
    <t xml:space="preserve">Mes 1</t>
  </si>
  <si>
    <t xml:space="preserve">Mes 2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</si>
  <si>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</si>
  <si>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</si>
  <si>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</si>
  <si>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</si>
  <si>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</si>
  <si>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</si>
  <si>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</si>
  <si>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% desplegado</t>
  </si>
  <si>
    <t xml:space="preserve">Suma (debe ser 100%)</t>
  </si>
  <si>
    <t xml:space="preserve">Las columnas Conservador/Base/Optimista calculan la inversión de cada caso a la vez (el Resumen las usa para comparar). La columna C es la del escenario ACTIVO.</t>
  </si>
  <si>
    <t xml:space="preserve">ROOTFLOW — Modelo mensual · ESCENARIO ACTIVO (84 meses)</t>
  </si>
  <si>
    <t xml:space="preserve">Sigue al selector de Hipótesis!C4. Para el detalle mensual del caso que estés mirando.</t>
  </si>
  <si>
    <t xml:space="preserve">Mes</t>
  </si>
  <si>
    <t xml:space="preserve">Año</t>
  </si>
  <si>
    <t xml:space="preserve">CAPACIDAD, DEMANDA IDENTIFICADA Y MANO DE OBRA</t>
  </si>
  <si>
    <t xml:space="preserve">Racks instalados</t>
  </si>
  <si>
    <t xml:space="preserve">Posiciones de luz instaladas</t>
  </si>
  <si>
    <t xml:space="preserve">  · Frutería La Huerta de Aranjuez (€/mes pond.)</t>
  </si>
  <si>
    <t xml:space="preserve">  · Sushita (€/mes pond.)</t>
  </si>
  <si>
    <t xml:space="preserve">  · Frutas Eloy (€/mes pond.)</t>
  </si>
  <si>
    <t xml:space="preserve">  · Mercamadrid (asentadores) (€/mes pond.)</t>
  </si>
  <si>
    <t xml:space="preserve">  · Makro (cash &amp; carry) (€/mes pond.)</t>
  </si>
  <si>
    <t xml:space="preserve">  · Primaflor (€/mes pond.)</t>
  </si>
  <si>
    <t xml:space="preserve">  · — hueco nueva cuenta — (€/mes pond.)</t>
  </si>
  <si>
    <t xml:space="preserve">DEMANDA IDENTIFICADA — ingresos (€/mes)</t>
  </si>
  <si>
    <t xml:space="preserve">  · bandejas/mes que exige</t>
  </si>
  <si>
    <t xml:space="preserve">  · posiciones de luz que exige</t>
  </si>
  <si>
    <t xml:space="preserve">  · COGS de la demanda identificada</t>
  </si>
  <si>
    <t xml:space="preserve">  · kg/mes identificados</t>
  </si>
  <si>
    <t xml:space="preserve">% de la demanda identificada SERVIBLE (capacidad)</t>
  </si>
  <si>
    <t xml:space="preserve">Capa ADICIONAL — utilización objetivo (%)</t>
  </si>
  <si>
    <t xml:space="preserve">Capa ADICIONAL — posiciones ocupadas</t>
  </si>
  <si>
    <t xml:space="preserve">Posiciones ocupadas TOTALES</t>
  </si>
  <si>
    <t xml:space="preserve">Ocupación de la nave (%)</t>
  </si>
  <si>
    <t xml:space="preserve">Horas de bandeja NECESARIAS (bandejas × min/escenario)</t>
  </si>
  <si>
    <t xml:space="preserve">Horas de bandeja de la plantilla FIJA activa</t>
  </si>
  <si>
    <t xml:space="preserve">OPERARIOS DE CULTIVO necesarios (calculado)</t>
  </si>
  <si>
    <t xml:space="preserve">PLANTILLA TOTAL (fijos activos + operarios)</t>
  </si>
  <si>
    <t xml:space="preserve">CUENTA DE RESULTADOS (€)</t>
  </si>
  <si>
    <t xml:space="preserve">Ingresos — demanda IDENTIFICADA (pipeline)</t>
  </si>
  <si>
    <t xml:space="preserve">Ingresos — capa ADICIONAL (nuevas cuentas)</t>
  </si>
  <si>
    <t xml:space="preserve">Ingresos brutos</t>
  </si>
  <si>
    <t xml:space="preserve">(–) Merma / comercial / impagados</t>
  </si>
  <si>
    <t xml:space="preserve">Ingresos netos</t>
  </si>
  <si>
    <t xml:space="preserve">(–) COGS (semilla + sustrato + envases)</t>
  </si>
  <si>
    <t xml:space="preserve">MARGEN BRUTO</t>
  </si>
  <si>
    <t xml:space="preserve">Margen bruto (%)</t>
  </si>
  <si>
    <t xml:space="preserve">(–) OPEX · Alquiler nave</t>
  </si>
  <si>
    <t xml:space="preserve">(–) OPEX · Suministros (fijo + luz por posición)</t>
  </si>
  <si>
    <t xml:space="preserve">(–) OPEX · Nómina · Pedro — socio (finanzas)</t>
  </si>
  <si>
    <t xml:space="preserve">(–) OPEX · Nómina · Nico — socio (comercial)</t>
  </si>
  <si>
    <t xml:space="preserve">(–) OPEX · Nómina · Guzmán — socio (producción)</t>
  </si>
  <si>
    <t xml:space="preserve">(–) OPEX · Nómina · Encargado de producción</t>
  </si>
  <si>
    <t xml:space="preserve">(–) OPEX · Nómina · Comercial / KAM</t>
  </si>
  <si>
    <t xml:space="preserve">(–) OPEX · Nómina · (rol fijo libre)</t>
  </si>
  <si>
    <t xml:space="preserve">(–) OPEX · Operarios de cultivo (calculado por escenario)</t>
  </si>
  <si>
    <t xml:space="preserve">(–) OPEX · TOTAL NÓMINAS (fijos + operarios)</t>
  </si>
  <si>
    <t xml:space="preserve">(–) OPEX · Logística (Madrid propio + Athos fuera)</t>
  </si>
  <si>
    <t xml:space="preserve">(–) OPEX · Vehículo (renting furgos)</t>
  </si>
  <si>
    <t xml:space="preserve">(–) OPEX · Otros</t>
  </si>
  <si>
    <t xml:space="preserve">(–) TOTAL OPEX</t>
  </si>
  <si>
    <t xml:space="preserve">EBITDA</t>
  </si>
  <si>
    <t xml:space="preserve">(–) Amortización</t>
  </si>
  <si>
    <t xml:space="preserve">EBIT</t>
  </si>
  <si>
    <t xml:space="preserve">(–) Gastos financieros (intereses de deuda y póliza)</t>
  </si>
  <si>
    <t xml:space="preserve">Beneficio antes de impuestos</t>
  </si>
  <si>
    <t xml:space="preserve">(–) Impuesto de sociedades (15% mientras sea startup, luego general)</t>
  </si>
  <si>
    <t xml:space="preserve">RESULTADO NETO</t>
  </si>
  <si>
    <t xml:space="preserve">FLUJO DE CAJA — con circulante y póliza de crédito (€)</t>
  </si>
  <si>
    <t xml:space="preserve">(–) Impuestos</t>
  </si>
  <si>
    <t xml:space="preserve">Saldo de CLIENTES (facturado pendiente de cobro)</t>
  </si>
  <si>
    <t xml:space="preserve">Saldo de PROVEEDORES</t>
  </si>
  <si>
    <t xml:space="preserve">NOF — circulante NETO (tras anticipar facturas)</t>
  </si>
  <si>
    <t xml:space="preserve">(–) Variación de circulante</t>
  </si>
  <si>
    <t xml:space="preserve">(–) CAPEX (despliegue inversión)</t>
  </si>
  <si>
    <t xml:space="preserve">(–) CAPEX de mantenimiento / reposición</t>
  </si>
  <si>
    <t xml:space="preserve">Flujo antes de financiación</t>
  </si>
  <si>
    <t xml:space="preserve">(+) Entrada de financiación (ronda)</t>
  </si>
  <si>
    <t xml:space="preserve">(–) Servicio de la deuda (ronda)</t>
  </si>
  <si>
    <t xml:space="preserve">Intereses de la póliza (sobre saldo del mes anterior)</t>
  </si>
  <si>
    <t xml:space="preserve">Flujo antes de póliza y reparto</t>
  </si>
  <si>
    <t xml:space="preserve">Caja antes de mover la póliza</t>
  </si>
  <si>
    <t xml:space="preserve">PÓLIZA — disposición (+) / amortización (–)</t>
  </si>
  <si>
    <t xml:space="preserve">PÓLIZA — saldo dispuesto</t>
  </si>
  <si>
    <t xml:space="preserve">Caja tras la póliza</t>
  </si>
  <si>
    <t xml:space="preserve">(–) Reinversión — fondo Hito 4</t>
  </si>
  <si>
    <t xml:space="preserve">(–) DIVIDENDO (solo con TODA la deuda pagada)</t>
  </si>
  <si>
    <t xml:space="preserve">Flujo de caja neto del periodo</t>
  </si>
  <si>
    <t xml:space="preserve">CAJA ACUMULADA</t>
  </si>
  <si>
    <t xml:space="preserve">FINANCIACIÓN — DETALLE POR TRAMO (€)</t>
  </si>
  <si>
    <t xml:space="preserve">FFF · saldo vivo</t>
  </si>
  <si>
    <t xml:space="preserve">FFF · amortización principal</t>
  </si>
  <si>
    <t xml:space="preserve">FFF · interés</t>
  </si>
  <si>
    <t xml:space="preserve">FFF · pago potencial (según estructura)</t>
  </si>
  <si>
    <t xml:space="preserve">FFF · pago efectivo (con tope MOIC)</t>
  </si>
  <si>
    <t xml:space="preserve">Inversor · acumulado cobrado</t>
  </si>
  <si>
    <t xml:space="preserve">ENISA · saldo vivo</t>
  </si>
  <si>
    <t xml:space="preserve">ENISA · amortización principal</t>
  </si>
  <si>
    <t xml:space="preserve">ENISA · interés fijo + variable</t>
  </si>
  <si>
    <t xml:space="preserve">ENISA · servicio</t>
  </si>
  <si>
    <t xml:space="preserve">SAECA · saldo vivo</t>
  </si>
  <si>
    <t xml:space="preserve">SAECA · amortización principal</t>
  </si>
  <si>
    <t xml:space="preserve">SAECA · interés</t>
  </si>
  <si>
    <t xml:space="preserve">SAECA · servicio</t>
  </si>
  <si>
    <t xml:space="preserve">SERVICIO TOTAL FINANCIACIÓN</t>
  </si>
  <si>
    <t xml:space="preserve">Acumulado servicio</t>
  </si>
  <si>
    <t xml:space="preserve">RESERVAS, BENEFICIO DISTRIBUIBLE Y LO QUE SE LLEVA CADA SOCIO</t>
  </si>
  <si>
    <t xml:space="preserve">Reservas acumuladas ANTES del reparto</t>
  </si>
  <si>
    <t xml:space="preserve">Reserva legal a dotar (20% del capital social)</t>
  </si>
  <si>
    <t xml:space="preserve">BENEFICIO DISTRIBUIBLE (tras pérdidas y reserva legal)</t>
  </si>
  <si>
    <t xml:space="preserve">Reservas acumuladas tras el reparto</t>
  </si>
  <si>
    <t xml:space="preserve">Dividendos repartidos — acumulado</t>
  </si>
  <si>
    <t xml:space="preserve">Fondo Hito 4 — acumulado</t>
  </si>
  <si>
    <t xml:space="preserve">  · CADA socio — sueldo NETO del mes</t>
  </si>
  <si>
    <t xml:space="preserve">  · CADA socio — dividendo NETO del mes</t>
  </si>
  <si>
    <t xml:space="preserve">  · CADA socio — TOTAL NETO del mes</t>
  </si>
  <si>
    <t xml:space="preserve">FLUJOS PARA RETORNO / COSTE</t>
  </si>
  <si>
    <t xml:space="preserve">Flujo de caja del INVERSOR PRIVADO</t>
  </si>
  <si>
    <t xml:space="preserve">Flujo del stack (empresa)</t>
  </si>
  <si>
    <t xml:space="preserve">Flujo del prestamista ENISA</t>
  </si>
  <si>
    <t xml:space="preserve">RESULTADOS (escalares)</t>
  </si>
  <si>
    <t xml:space="preserve">Capital invertido por el inversor privado (€)</t>
  </si>
  <si>
    <t xml:space="preserve">TIR mensual del inversor</t>
  </si>
  <si>
    <t xml:space="preserve">Múltiplo del inversor (MOIC)</t>
  </si>
  <si>
    <t xml:space="preserve">VAN del inversor (€)</t>
  </si>
  <si>
    <t xml:space="preserve">EBITDA año 5 (€)</t>
  </si>
  <si>
    <t xml:space="preserve">Valor de salida estimado (€)</t>
  </si>
  <si>
    <t xml:space="preserve">Pago de equity al inversor a la salida (€)</t>
  </si>
  <si>
    <t xml:space="preserve">Coste efectivo del tramo FFF (TAE)</t>
  </si>
  <si>
    <t xml:space="preserve">Coste medio ponderado del stack (TAE)</t>
  </si>
  <si>
    <t xml:space="preserve">Ahorro por quita SAECA (€)</t>
  </si>
  <si>
    <t xml:space="preserve">EBITDA anual</t>
  </si>
  <si>
    <t xml:space="preserve">Servicio de financiación anual</t>
  </si>
  <si>
    <t xml:space="preserve">DSCR anual</t>
  </si>
  <si>
    <t xml:space="preserve">DSCR MÍNIMO años 2-7</t>
  </si>
  <si>
    <t xml:space="preserve">CAJA MÍNIMA del plan</t>
  </si>
  <si>
    <t xml:space="preserve">Ingresos año 1</t>
  </si>
  <si>
    <t xml:space="preserve">Dividendo repartido en el año</t>
  </si>
  <si>
    <t xml:space="preserve">CADA socio — neto medio €/mes (sueldo + dividendo)</t>
  </si>
  <si>
    <t xml:space="preserve">PÓLIZA — máximo dispuesto en todo el plan</t>
  </si>
  <si>
    <t xml:space="preserve">SALIDA DEL INVERSOR — VALOR DEL EQUITY (estructura 5)</t>
  </si>
  <si>
    <t xml:space="preserve">EBITDA de los 12 meses previos a la salida (€)</t>
  </si>
  <si>
    <t xml:space="preserve">Valor de empresa a la salida (EV = EBITDA × múltiplo) (€)</t>
  </si>
  <si>
    <t xml:space="preserve">Caja acumulada en el mes de salida (€)</t>
  </si>
  <si>
    <t xml:space="preserve">Deuda viva en el mes de salida (ENISA + SAECA + FFF) (€)</t>
  </si>
  <si>
    <t xml:space="preserve">VALOR DEL EQUITY A LA SALIDA (€)</t>
  </si>
  <si>
    <t xml:space="preserve">Cobro del inversor a la salida (€) — con suelo de protección</t>
  </si>
  <si>
    <t xml:space="preserve">   · de los cuales, por el suelo de protección (€)</t>
  </si>
  <si>
    <t xml:space="preserve">CHEQUEO ENISA — FONDOS PROPIOS ≥ IMPORTE SOLICITADO</t>
  </si>
  <si>
    <t xml:space="preserve">Fondos propios aportados por la ronda (€)</t>
  </si>
  <si>
    <t xml:space="preserve">Resultado acumulado hasta el mes de formalización (€)</t>
  </si>
  <si>
    <t xml:space="preserve">FONDOS PROPIOS ESTIMADOS a la formalización (€)</t>
  </si>
  <si>
    <t xml:space="preserve">Importe de ENISA solicitado (€)</t>
  </si>
  <si>
    <t xml:space="preserve">¿CUMPLE el requisito de fondos propios de ENISA?</t>
  </si>
  <si>
    <t xml:space="preserve">ROOTFLOW — Resumen anual (7 años)</t>
  </si>
  <si>
    <t xml:space="preserve">Margen bruto, EBITDA y cobertura de deuda (DSCR).</t>
  </si>
  <si>
    <t xml:space="preserve">(–) COGS</t>
  </si>
  <si>
    <t xml:space="preserve">(–) OPEX total</t>
  </si>
  <si>
    <t xml:space="preserve">Resultado neto (antes financiación)</t>
  </si>
  <si>
    <t xml:space="preserve">(–) CAPEX</t>
  </si>
  <si>
    <t xml:space="preserve">(–) Servicio de financiación</t>
  </si>
  <si>
    <t xml:space="preserve">Flujo de caja neto</t>
  </si>
  <si>
    <t xml:space="preserve">Caja acumulada (fin de año)</t>
  </si>
  <si>
    <t xml:space="preserve">Producción (kg)</t>
  </si>
  <si>
    <t xml:space="preserve">DSCR (EBITDA ÷ servicio)</t>
  </si>
  <si>
    <t xml:space="preserve">(–) Nóminas</t>
  </si>
  <si>
    <t xml:space="preserve">(–) Logística (Madrid + Athos)</t>
  </si>
  <si>
    <t xml:space="preserve">Ingresos identificados (pipeline)</t>
  </si>
  <si>
    <t xml:space="preserve">% de ingresos ya identificado</t>
  </si>
  <si>
    <t xml:space="preserve">Plantilla total (nº, fin de año)</t>
  </si>
  <si>
    <t xml:space="preserve">Operarios de cultivo (nº, fin de año)</t>
  </si>
  <si>
    <t xml:space="preserve">Saldo de clientes (fin de año)</t>
  </si>
  <si>
    <t xml:space="preserve">(–) Reinversión Hito 4</t>
  </si>
  <si>
    <t xml:space="preserve">(–) Dividendos a socios</t>
  </si>
  <si>
    <t xml:space="preserve">Beneficio distribuible (fin de año)</t>
  </si>
  <si>
    <t xml:space="preserve">Póliza dispuesta (fin de año)</t>
  </si>
  <si>
    <t xml:space="preserve">(–) Gastos financieros</t>
  </si>
  <si>
    <t xml:space="preserve">ROOTFLOW — Sensibilidades (EBITDA de régimen)</t>
  </si>
  <si>
    <t xml:space="preserve">Calculadora transparente del EBITDA mensual en régimen a partir de las palancas clave. Cambia las celdas azules; no depende del motor de 84 meses, así que recalcula al instante.</t>
  </si>
  <si>
    <t xml:space="preserve">PALANCAS (celdas azules) — parten del caso base</t>
  </si>
  <si>
    <t xml:space="preserve">Posiciones de luz ocupadas (de 2.880)</t>
  </si>
  <si>
    <t xml:space="preserve">Ingreso medio por bandeja y mes (€)</t>
  </si>
  <si>
    <t xml:space="preserve">enlazado a Producto</t>
  </si>
  <si>
    <t xml:space="preserve">COGS medio por bandeja y mes (€)</t>
  </si>
  <si>
    <t xml:space="preserve">Merma / comercial / impagados (%)</t>
  </si>
  <si>
    <t xml:space="preserve">MINUTOS POR BANDEJA</t>
  </si>
  <si>
    <t xml:space="preserve">FTE en nómina que tocan bandeja</t>
  </si>
  <si>
    <t xml:space="preserve">Horas de bandeja por FTE y mes</t>
  </si>
  <si>
    <t xml:space="preserve">Coste hora de refuerzo (€)</t>
  </si>
  <si>
    <t xml:space="preserve">Costes fijos NO-bandeja (alquiler+luz+nóminas fijas+otros) €/mes</t>
  </si>
  <si>
    <t xml:space="preserve">RESULTADO (recalcula solo)</t>
  </si>
  <si>
    <t xml:space="preserve">Ingresos brutos (€/mes)</t>
  </si>
  <si>
    <t xml:space="preserve">Ingresos netos (€/mes)</t>
  </si>
  <si>
    <t xml:space="preserve">COGS (€/mes)</t>
  </si>
  <si>
    <t xml:space="preserve">Margen bruto (€/mes)</t>
  </si>
  <si>
    <t xml:space="preserve">Horas de bandeja necesarias</t>
  </si>
  <si>
    <t xml:space="preserve">Horas disponibles (plantilla)</t>
  </si>
  <si>
    <t xml:space="preserve">Refuerzo necesario (€/mes)</t>
  </si>
  <si>
    <t xml:space="preserve">EBITDA (€/mes)</t>
  </si>
  <si>
    <t xml:space="preserve">EBITDA (€/año)</t>
  </si>
  <si>
    <t xml:space="preserve">TABLA · EBITDA mensual (€) según MINUTOS/BANDEJA (filas) × FTE en bandeja (columnas)</t>
  </si>
  <si>
    <t xml:space="preserve">min/band ↓   FTE →</t>
  </si>
  <si>
    <t xml:space="preserve">Cruza minutos por bandeja (según automatización) con el nº de operarios en bandeja. Busca la zona donde el EBITDA deja de crecer: ahí ya no hace falta más gente.</t>
  </si>
  <si>
    <t xml:space="preserve">TABLA · EBITDA mensual (€) según POSICIONES ocupadas (filas) × INGRESO/bandeja (columnas)</t>
  </si>
  <si>
    <t xml:space="preserve">posiciones ↓  €/band →</t>
  </si>
  <si>
    <t xml:space="preserve">Nota: estas tablas son un modelo cerrado y transparente del régimen; los importes finos (impuestos, financiación, rampa) están en el modelo mensual.</t>
  </si>
  <si>
    <t xml:space="preserve">ROOTFLOW — Motor mensual · CONSERVADOR</t>
  </si>
  <si>
    <t xml:space="preserve">Motor fijo de este escenario. Alimenta la tabla comparativa del Resumen (siempre vivo).</t>
  </si>
  <si>
    <t xml:space="preserve">ROOTFLOW — Motor mensual · BASE</t>
  </si>
  <si>
    <t xml:space="preserve">ROOTFLOW — Motor mensual · OPTIMISTA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</si>
</sst>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;\(#,##0.0\);\-"/>
    <numFmt numFmtId="166" formatCode="0%"/>
    <numFmt numFmtId="167" formatCode="#,##0&quot; €&quot;;\(#,##0&quot;) €&quot;;\-"/>
    <numFmt numFmtId="168" formatCode="#,##0;\(#,##0\);\-"/>
    <numFmt numFmtId="169" formatCode="0.00\x"/>
    <numFmt numFmtId="170" formatCode="0.0%"/>
    <numFmt numFmtId="171" formatCode="0.00"/>
    <numFmt numFmtId="172" formatCode="0.0\x"/>
    <numFmt numFmtId="173" formatCode="#,##0.00;\(#,##0.00\);\-"/>
    <numFmt numFmtId="174" formatCode="#,##0.00&quot; €&quot;;\(#,##0.00&quot;) €&quot;;\-"/>
    <numFmt numFmtId="175" formatCode="0.0000"/>
    <numFmt numFmtId="176" formatCode="0.000"/>
    <numFmt numFmtId="17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Arial"/>
      <family val="0"/>
      <charset val="1"/>
    </font>
    <font>
      <sz val="14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D4F37"/>
        <bgColor rgb="FF333300"/>
      </patternFill>
    </fill>
    <fill>
      <patternFill patternType="solid">
        <fgColor rgb="FFD9D9D9"/>
        <bgColor rgb="FFE2EFDA"/>
      </patternFill>
    </fill>
    <fill>
      <patternFill patternType="solid">
        <fgColor rgb="FFFCF1ED"/>
        <bgColor rgb="FFF2F2F2"/>
      </patternFill>
    </fill>
    <fill>
      <patternFill patternType="solid">
        <fgColor rgb="FFFFF2CC"/>
        <bgColor rgb="FFFCF1ED"/>
      </patternFill>
    </fill>
    <fill>
      <patternFill patternType="solid">
        <fgColor rgb="FFFCE4E4"/>
        <bgColor rgb="FFFCF1ED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CF1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F1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4F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8"/>
  </cols>
  <sheetData>
    <row r="1" customFormat="false" ht="13.5" hidden="false" customHeight="true" outlineLevel="0" collapsed="false"/>
    <row r="2" customFormat="false" ht="26.25" hidden="false" customHeight="true" outlineLevel="0" collapsed="false">
      <c r="B2" s="2" t="s">
        <v>0</v>
      </c>
    </row>
    <row r="3" customFormat="false" ht="17.25" hidden="false" customHeight="true" outlineLevel="0" collapsed="false">
      <c r="B3" s="3" t="s">
        <v>1</v>
      </c>
    </row>
    <row r="4" customFormat="false" ht="13.5" hidden="false" customHeight="true" outlineLevel="0" collapsed="false">
      <c r="B4" s="4" t="s">
        <v>2</v>
      </c>
    </row>
    <row r="5" customFormat="false" ht="13.5" hidden="false" customHeight="true" outlineLevel="0" collapsed="false"/>
    <row r="6" customFormat="false" ht="13.5" hidden="false" customHeight="true" outlineLevel="0" collapsed="false">
      <c r="B6" s="5" t="s">
        <v>3</v>
      </c>
    </row>
    <row r="7" customFormat="false" ht="13.5" hidden="false" customHeight="true" outlineLevel="0" collapsed="false">
      <c r="B7" s="6" t="s">
        <v>4</v>
      </c>
    </row>
    <row r="8" customFormat="false" ht="13.5" hidden="false" customHeight="true" outlineLevel="0" collapsed="false">
      <c r="B8" s="6" t="s">
        <v>5</v>
      </c>
    </row>
    <row r="9" customFormat="false" ht="13.5" hidden="false" customHeight="true" outlineLevel="0" collapsed="false">
      <c r="B9" s="6" t="s">
        <v>6</v>
      </c>
    </row>
    <row r="10" customFormat="false" ht="13.5" hidden="false" customHeight="true" outlineLevel="0" collapsed="false">
      <c r="B10" s="6" t="s">
        <v>7</v>
      </c>
    </row>
    <row r="11" customFormat="false" ht="13.5" hidden="false" customHeight="true" outlineLevel="0" collapsed="false">
      <c r="B11" s="6" t="s">
        <v>8</v>
      </c>
    </row>
    <row r="12" customFormat="false" ht="13.5" hidden="false" customHeight="true" outlineLevel="0" collapsed="false"/>
    <row r="13" customFormat="false" ht="13.5" hidden="false" customHeight="true" outlineLevel="0" collapsed="false">
      <c r="B13" s="5" t="s">
        <v>9</v>
      </c>
    </row>
    <row r="14" customFormat="false" ht="13.5" hidden="false" customHeight="true" outlineLevel="0" collapsed="false">
      <c r="B14" s="6" t="s">
        <v>10</v>
      </c>
    </row>
    <row r="15" customFormat="false" ht="13.5" hidden="false" customHeight="true" outlineLevel="0" collapsed="false">
      <c r="B15" s="7" t="s">
        <v>11</v>
      </c>
    </row>
    <row r="16" customFormat="false" ht="13.5" hidden="false" customHeight="true" outlineLevel="0" collapsed="false">
      <c r="B16" s="6" t="s">
        <v>12</v>
      </c>
    </row>
    <row r="17" customFormat="false" ht="13.5" hidden="false" customHeight="true" outlineLevel="0" collapsed="false"/>
    <row r="18" customFormat="false" ht="13.5" hidden="false" customHeight="true" outlineLevel="0" collapsed="false">
      <c r="B18" s="6" t="s">
        <v>13</v>
      </c>
    </row>
    <row r="19" customFormat="false" ht="13.5" hidden="false" customHeight="true" outlineLevel="0" collapsed="false"/>
    <row r="20" customFormat="false" ht="13.5" hidden="false" customHeight="true" outlineLevel="0" collapsed="false">
      <c r="B20" s="4" t="s">
        <v>14</v>
      </c>
    </row>
    <row r="21" customFormat="false" ht="13.5" hidden="false" customHeight="true" outlineLevel="0" collapsed="false"/>
    <row r="22" customFormat="false" ht="13.5" hidden="false" customHeight="true" outlineLevel="0" collapsed="false">
      <c r="B22" s="5" t="s">
        <v>15</v>
      </c>
    </row>
    <row r="23" customFormat="false" ht="13.5" hidden="false" customHeight="true" outlineLevel="0" collapsed="false">
      <c r="B23" s="6" t="s">
        <v>16</v>
      </c>
    </row>
    <row r="24" customFormat="false" ht="13.5" hidden="false" customHeight="true" outlineLevel="0" collapsed="false">
      <c r="B24" s="6" t="s">
        <v>17</v>
      </c>
    </row>
    <row r="25" customFormat="false" ht="13.5" hidden="false" customHeight="true" outlineLevel="0" collapsed="false">
      <c r="B25" s="7" t="s">
        <v>18</v>
      </c>
    </row>
    <row r="26" customFormat="false" ht="13.5" hidden="false" customHeight="true" outlineLevel="0" collapsed="false">
      <c r="B26" s="7" t="s">
        <v>19</v>
      </c>
    </row>
    <row r="27" customFormat="false" ht="13.5" hidden="false" customHeight="true" outlineLevel="0" collapsed="false"/>
    <row r="28" customFormat="false" ht="13.5" hidden="false" customHeight="true" outlineLevel="0" collapsed="false">
      <c r="B28" s="5" t="s">
        <v>20</v>
      </c>
    </row>
    <row r="29" customFormat="false" ht="13.5" hidden="false" customHeight="true" outlineLevel="0" collapsed="false">
      <c r="B29" s="6" t="s">
        <v>21</v>
      </c>
    </row>
    <row r="30" customFormat="false" ht="13.5" hidden="false" customHeight="true" outlineLevel="0" collapsed="false">
      <c r="B30" s="6" t="s">
        <v>22</v>
      </c>
    </row>
    <row r="31" customFormat="false" ht="13.5" hidden="false" customHeight="true" outlineLevel="0" collapsed="false">
      <c r="B31" s="4" t="s">
        <v>23</v>
      </c>
    </row>
    <row r="32" customFormat="false" ht="13.5" hidden="false" customHeight="true" outlineLevel="0" collapsed="false"/>
    <row r="33" customFormat="false" ht="13.5" hidden="false" customHeight="true" outlineLevel="0" collapsed="false">
      <c r="B33" s="5" t="s">
        <v>24</v>
      </c>
    </row>
    <row r="34" customFormat="false" ht="13.5" hidden="false" customHeight="true" outlineLevel="0" collapsed="false">
      <c r="B34" s="6" t="s">
        <v>25</v>
      </c>
    </row>
    <row r="35" customFormat="false" ht="13.5" hidden="false" customHeight="true" outlineLevel="0" collapsed="false">
      <c r="B35" s="6" t="s">
        <v>26</v>
      </c>
    </row>
    <row r="36" customFormat="false" ht="13.5" hidden="false" customHeight="true" outlineLevel="0" collapsed="false">
      <c r="B36" s="6" t="s">
        <v>27</v>
      </c>
    </row>
    <row r="37" customFormat="false" ht="13.5" hidden="false" customHeight="true" outlineLevel="0" collapsed="false">
      <c r="B37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"/>
    <col collapsed="false" customWidth="true" hidden="false" outlineLevel="0" max="5" min="3" style="1" width="18"/>
  </cols>
  <sheetData>
    <row r="1" customFormat="false" ht="18" hidden="false" customHeight="true" outlineLevel="0" collapsed="false">
      <c r="A1" s="8" t="s">
        <v>29</v>
      </c>
    </row>
    <row r="2" customFormat="false" ht="13.5" hidden="false" customHeight="true" outlineLevel="0" collapsed="false">
      <c r="A2" s="4" t="s">
        <v>30</v>
      </c>
    </row>
    <row r="3" customFormat="false" ht="13.5" hidden="false" customHeight="true" outlineLevel="0" collapsed="false"/>
    <row r="4" customFormat="false" ht="12.75" hidden="false" customHeight="true" outlineLevel="0" collapsed="false">
      <c r="A4" s="9" t="s">
        <v>31</v>
      </c>
      <c r="B4" s="9"/>
      <c r="C4" s="9"/>
      <c r="D4" s="9"/>
      <c r="E4" s="9"/>
    </row>
    <row r="5" customFormat="false" ht="13.5" hidden="false" customHeight="true" outlineLevel="0" collapsed="false">
      <c r="A5" s="10" t="s">
        <v>32</v>
      </c>
      <c r="C5" s="11" t="s">
        <v>33</v>
      </c>
      <c r="D5" s="11" t="s">
        <v>34</v>
      </c>
      <c r="E5" s="11" t="s">
        <v>35</v>
      </c>
    </row>
    <row r="6" customFormat="false" ht="12.75" hidden="false" customHeight="true" outlineLevel="0" collapsed="false">
      <c r="A6" s="9" t="s">
        <v>36</v>
      </c>
      <c r="B6" s="9"/>
      <c r="C6" s="9"/>
      <c r="D6" s="9"/>
      <c r="E6" s="9"/>
    </row>
    <row r="7" customFormat="false" ht="13.5" hidden="false" customHeight="true" outlineLevel="0" collapsed="false">
      <c r="A7" s="6" t="s">
        <v>37</v>
      </c>
      <c r="C7" s="12" t="n">
        <f aca="false">Producto!$D$8</f>
        <v>4</v>
      </c>
      <c r="D7" s="12" t="n">
        <f aca="false">Producto!$D$9</f>
        <v>3</v>
      </c>
      <c r="E7" s="12" t="n">
        <f aca="false">Producto!$D$10</f>
        <v>2</v>
      </c>
    </row>
    <row r="8" customFormat="false" ht="13.5" hidden="false" customHeight="true" outlineLevel="0" collapsed="false">
      <c r="A8" s="6" t="s">
        <v>38</v>
      </c>
      <c r="C8" s="13" t="n">
        <f aca="false">Hipótesis!$C$16</f>
        <v>1</v>
      </c>
      <c r="D8" s="13" t="n">
        <f aca="false">Hipótesis!$D$16</f>
        <v>1.2</v>
      </c>
      <c r="E8" s="13" t="n">
        <f aca="false">Hipótesis!$E$16</f>
        <v>1.35</v>
      </c>
    </row>
    <row r="9" customFormat="false" ht="13.5" hidden="false" customHeight="true" outlineLevel="0" collapsed="false">
      <c r="A9" s="6" t="s">
        <v>39</v>
      </c>
      <c r="C9" s="13" t="n">
        <f aca="false">Hipótesis!$C$18</f>
        <v>1</v>
      </c>
      <c r="D9" s="13" t="n">
        <f aca="false">Hipótesis!$D$18</f>
        <v>0.85</v>
      </c>
      <c r="E9" s="13" t="n">
        <f aca="false">Hipótesis!$E$18</f>
        <v>0.75</v>
      </c>
    </row>
    <row r="10" customFormat="false" ht="13.5" hidden="false" customHeight="true" outlineLevel="0" collapsed="false">
      <c r="A10" s="6" t="s">
        <v>40</v>
      </c>
      <c r="C10" s="14" t="n">
        <f aca="false">CAPEX!$E$10</f>
        <v>0</v>
      </c>
      <c r="D10" s="14" t="n">
        <f aca="false">CAPEX!$F$10</f>
        <v>10000</v>
      </c>
      <c r="E10" s="14" t="n">
        <f aca="false">CAPEX!$G$10</f>
        <v>35000</v>
      </c>
    </row>
    <row r="11" customFormat="false" ht="13.5" hidden="false" customHeight="true" outlineLevel="0" collapsed="false">
      <c r="A11" s="6" t="s">
        <v>41</v>
      </c>
      <c r="C11" s="14" t="n">
        <f aca="false">CAPEX!$E$26</f>
        <v>148778</v>
      </c>
      <c r="D11" s="14" t="n">
        <f aca="false">CAPEX!$F$26</f>
        <v>161278</v>
      </c>
      <c r="E11" s="14" t="n">
        <f aca="false">CAPEX!$G$26</f>
        <v>185228</v>
      </c>
    </row>
    <row r="12" customFormat="false" ht="12.75" hidden="false" customHeight="true" outlineLevel="0" collapsed="false">
      <c r="A12" s="9" t="s">
        <v>42</v>
      </c>
      <c r="B12" s="9"/>
      <c r="C12" s="9"/>
      <c r="D12" s="9"/>
      <c r="E12" s="9"/>
    </row>
    <row r="13" customFormat="false" ht="13.5" hidden="false" customHeight="true" outlineLevel="0" collapsed="false">
      <c r="A13" s="6" t="s">
        <v>43</v>
      </c>
      <c r="C13" s="15" t="n">
        <f aca="false">Esc_Conservador!$CH$30</f>
        <v>6</v>
      </c>
      <c r="D13" s="15" t="n">
        <f aca="false">Esc_Base!$CH$30</f>
        <v>4</v>
      </c>
      <c r="E13" s="15" t="n">
        <f aca="false">Esc_Optimista!$CH$30</f>
        <v>2</v>
      </c>
    </row>
    <row r="14" customFormat="false" ht="13.5" hidden="false" customHeight="true" outlineLevel="0" collapsed="false">
      <c r="A14" s="6" t="s">
        <v>44</v>
      </c>
      <c r="C14" s="15" t="n">
        <f aca="false">Esc_Conservador!$CH$31</f>
        <v>11</v>
      </c>
      <c r="D14" s="15" t="n">
        <f aca="false">Esc_Base!$CH$31</f>
        <v>9</v>
      </c>
      <c r="E14" s="15" t="n">
        <f aca="false">Esc_Optimista!$CH$31</f>
        <v>7</v>
      </c>
    </row>
    <row r="15" customFormat="false" ht="13.5" hidden="false" customHeight="true" outlineLevel="0" collapsed="false">
      <c r="A15" s="6" t="s">
        <v>45</v>
      </c>
      <c r="C15" s="14" t="n">
        <f aca="false">-Esc_Conservador!$CH$51</f>
        <v>46141.3162461396</v>
      </c>
      <c r="D15" s="14" t="n">
        <f aca="false">-Esc_Base!$CH$51</f>
        <v>40782.4095393174</v>
      </c>
      <c r="E15" s="14" t="n">
        <f aca="false">-Esc_Optimista!$CH$51</f>
        <v>35423.5028324953</v>
      </c>
    </row>
    <row r="16" customFormat="false" ht="12.75" hidden="false" customHeight="true" outlineLevel="0" collapsed="false">
      <c r="A16" s="9" t="s">
        <v>46</v>
      </c>
      <c r="B16" s="9"/>
      <c r="C16" s="9"/>
      <c r="D16" s="9"/>
      <c r="E16" s="9"/>
    </row>
    <row r="17" customFormat="false" ht="13.5" hidden="false" customHeight="true" outlineLevel="0" collapsed="false">
      <c r="A17" s="6" t="s">
        <v>47</v>
      </c>
      <c r="C17" s="14" t="n">
        <f aca="false">SUM(Esc_Conservador!$AY$36:$BJ$36)</f>
        <v>1029546.76418574</v>
      </c>
      <c r="D17" s="14" t="n">
        <f aca="false">SUM(Esc_Base!$AY$36:$BJ$36)</f>
        <v>1302988.12719879</v>
      </c>
      <c r="E17" s="14" t="n">
        <f aca="false">SUM(Esc_Optimista!$AY$36:$BJ$36)</f>
        <v>1522841.77668456</v>
      </c>
    </row>
    <row r="18" customFormat="false" ht="13.5" hidden="false" customHeight="true" outlineLevel="0" collapsed="false">
      <c r="A18" s="6" t="s">
        <v>48</v>
      </c>
      <c r="C18" s="14" t="n">
        <f aca="false">SUM(Esc_Conservador!$AY$56:$BJ$56)</f>
        <v>114866.382435704</v>
      </c>
      <c r="D18" s="14" t="n">
        <f aca="false">SUM(Esc_Base!$AY$56:$BJ$56)</f>
        <v>460200.872647102</v>
      </c>
      <c r="E18" s="14" t="n">
        <f aca="false">SUM(Esc_Optimista!$AY$56:$BJ$56)</f>
        <v>756508.594732203</v>
      </c>
    </row>
    <row r="19" customFormat="false" ht="13.5" hidden="false" customHeight="true" outlineLevel="0" collapsed="false">
      <c r="A19" s="6" t="s">
        <v>49</v>
      </c>
      <c r="C19" s="13" t="n">
        <f aca="false">IFERROR(SUM(Esc_Conservador!$AY$56:$BJ$56)/SUM(Esc_Conservador!$AY$36:$BJ$36),0)</f>
        <v>0.111569854261599</v>
      </c>
      <c r="D19" s="13" t="n">
        <f aca="false">IFERROR(SUM(Esc_Base!$AY$56:$BJ$56)/SUM(Esc_Base!$AY$36:$BJ$36),0)</f>
        <v>0.353188845731433</v>
      </c>
      <c r="E19" s="13" t="n">
        <f aca="false">IFERROR(SUM(Esc_Optimista!$AY$56:$BJ$56)/SUM(Esc_Optimista!$AY$36:$BJ$36),0)</f>
        <v>0.496774258701538</v>
      </c>
    </row>
    <row r="20" customFormat="false" ht="13.5" hidden="false" customHeight="true" outlineLevel="0" collapsed="false">
      <c r="A20" s="6" t="s">
        <v>50</v>
      </c>
      <c r="C20" s="15" t="n">
        <f aca="false">Esc_Conservador!$CH$26</f>
        <v>2795.31473257946</v>
      </c>
      <c r="D20" s="15" t="n">
        <f aca="false">Esc_Base!$CH$26</f>
        <v>2937.56014410811</v>
      </c>
      <c r="E20" s="15" t="n">
        <f aca="false">Esc_Optimista!$CH$26</f>
        <v>3044.2442027546</v>
      </c>
    </row>
    <row r="21" customFormat="false" ht="12.75" hidden="false" customHeight="true" outlineLevel="0" collapsed="false">
      <c r="A21" s="9" t="s">
        <v>51</v>
      </c>
      <c r="B21" s="9"/>
      <c r="C21" s="9"/>
      <c r="D21" s="9"/>
      <c r="E21" s="9"/>
    </row>
    <row r="22" customFormat="false" ht="13.5" hidden="false" customHeight="true" outlineLevel="0" collapsed="false">
      <c r="A22" s="6" t="s">
        <v>52</v>
      </c>
      <c r="C22" s="14" t="n">
        <f aca="false">Esc_Conservador!$C$147</f>
        <v>149355.012147918</v>
      </c>
      <c r="D22" s="14" t="n">
        <f aca="false">Esc_Base!$C$147</f>
        <v>182508.820627719</v>
      </c>
      <c r="E22" s="14" t="n">
        <f aca="false">Esc_Optimista!$C$147</f>
        <v>208092.290811055</v>
      </c>
    </row>
    <row r="23" customFormat="false" ht="13.5" hidden="false" customHeight="true" outlineLevel="0" collapsed="false">
      <c r="A23" s="6" t="s">
        <v>53</v>
      </c>
      <c r="C23" s="14" t="n">
        <f aca="false">Esc_Conservador!$C$146</f>
        <v>30000</v>
      </c>
      <c r="D23" s="14" t="n">
        <f aca="false">Esc_Base!$C$146</f>
        <v>30000</v>
      </c>
      <c r="E23" s="14" t="n">
        <f aca="false">Esc_Optimista!$C$146</f>
        <v>30000</v>
      </c>
    </row>
    <row r="24" customFormat="false" ht="13.5" hidden="false" customHeight="true" outlineLevel="0" collapsed="false">
      <c r="A24" s="6" t="s">
        <v>54</v>
      </c>
      <c r="C24" s="16" t="n">
        <f aca="false">Esc_Conservador!$C$145</f>
        <v>2.41846316584102</v>
      </c>
      <c r="D24" s="16" t="n">
        <f aca="false">Esc_Base!$C$145</f>
        <v>11.4310021528156</v>
      </c>
      <c r="E24" s="16" t="n">
        <f aca="false">Esc_Optimista!$C$145</f>
        <v>16.4602530012022</v>
      </c>
    </row>
    <row r="25" customFormat="false" ht="13.5" hidden="false" customHeight="true" outlineLevel="0" collapsed="false">
      <c r="A25" s="6" t="s">
        <v>55</v>
      </c>
      <c r="C25" s="17" t="n">
        <f aca="false">IFERROR(Esc_Conservador!$C$128,0)</f>
        <v>0.106681919700323</v>
      </c>
      <c r="D25" s="17" t="n">
        <f aca="false">IFERROR(Esc_Base!$C$128,0)</f>
        <v>0.350788512862475</v>
      </c>
      <c r="E25" s="17" t="n">
        <f aca="false">IFERROR(Esc_Optimista!$C$128,0)</f>
        <v>0.53225757121103</v>
      </c>
    </row>
    <row r="26" customFormat="false" ht="13.5" hidden="false" customHeight="true" outlineLevel="0" collapsed="false">
      <c r="A26" s="6" t="s">
        <v>56</v>
      </c>
      <c r="C26" s="18" t="n">
        <f aca="false">Esc_Conservador!$C$129</f>
        <v>1.5</v>
      </c>
      <c r="D26" s="18" t="n">
        <f aca="false">Esc_Base!$C$129</f>
        <v>3.32927320084782</v>
      </c>
      <c r="E26" s="18" t="n">
        <f aca="false">Esc_Optimista!$C$129</f>
        <v>5.51222712511957</v>
      </c>
    </row>
    <row r="27" customFormat="false" ht="13.5" hidden="false" customHeight="true" outlineLevel="0" collapsed="false">
      <c r="A27" s="6" t="s">
        <v>57</v>
      </c>
      <c r="C27" s="15" t="n">
        <f aca="false">Esc_Conservador!$C$130</f>
        <v>48</v>
      </c>
      <c r="D27" s="15" t="n">
        <f aca="false">Esc_Base!$C$130</f>
        <v>48</v>
      </c>
      <c r="E27" s="15" t="n">
        <f aca="false">Esc_Optimista!$C$130</f>
        <v>48</v>
      </c>
    </row>
    <row r="28" customFormat="false" ht="13.5" hidden="false" customHeight="true" outlineLevel="0" collapsed="false">
      <c r="A28" s="6" t="s">
        <v>58</v>
      </c>
      <c r="C28" s="14" t="n">
        <f aca="false">Hipótesis!$D$122</f>
        <v>200000</v>
      </c>
      <c r="D28" s="14" t="n">
        <f aca="false">Hipótesis!$D$122</f>
        <v>200000</v>
      </c>
      <c r="E28" s="14" t="n">
        <f aca="false">Hipótesis!$D$122</f>
        <v>200000</v>
      </c>
    </row>
    <row r="29" customFormat="false" ht="13.5" hidden="false" customHeight="true" outlineLevel="0" collapsed="false">
      <c r="A29" s="6" t="s">
        <v>59</v>
      </c>
      <c r="C29" s="14" t="n">
        <f aca="false">Esc_Conservador!$C$150</f>
        <v>34041.0570328108</v>
      </c>
      <c r="D29" s="14" t="n">
        <f aca="false">Esc_Base!$C$150</f>
        <v>4694.50636618414</v>
      </c>
      <c r="E29" s="14" t="n">
        <f aca="false">Esc_Optimista!$C$150</f>
        <v>7280.38009217271</v>
      </c>
    </row>
    <row r="30" customFormat="false" ht="12.75" hidden="false" customHeight="true" outlineLevel="0" collapsed="false">
      <c r="A30" s="9" t="s">
        <v>60</v>
      </c>
      <c r="B30" s="9"/>
      <c r="C30" s="9"/>
      <c r="D30" s="9"/>
      <c r="E30" s="9"/>
    </row>
    <row r="31" customFormat="false" ht="13.5" hidden="false" customHeight="true" outlineLevel="0" collapsed="false">
      <c r="A31" s="6" t="s">
        <v>61</v>
      </c>
      <c r="C31" s="14" t="n">
        <f aca="false">Esc_Conservador!$E$149</f>
        <v>2800</v>
      </c>
      <c r="D31" s="14" t="n">
        <f aca="false">Esc_Base!$E$149</f>
        <v>2800</v>
      </c>
      <c r="E31" s="14" t="n">
        <f aca="false">Esc_Optimista!$E$149</f>
        <v>2800</v>
      </c>
    </row>
    <row r="32" customFormat="false" ht="13.5" hidden="false" customHeight="true" outlineLevel="0" collapsed="false">
      <c r="A32" s="6" t="s">
        <v>62</v>
      </c>
      <c r="C32" s="14" t="n">
        <f aca="false">Esc_Conservador!$G$149</f>
        <v>3500</v>
      </c>
      <c r="D32" s="14" t="n">
        <f aca="false">Esc_Base!$G$149</f>
        <v>3500</v>
      </c>
      <c r="E32" s="14" t="n">
        <f aca="false">Esc_Optimista!$G$149</f>
        <v>3500</v>
      </c>
    </row>
    <row r="33" customFormat="false" ht="13.5" hidden="false" customHeight="true" outlineLevel="0" collapsed="false">
      <c r="A33" s="6" t="s">
        <v>63</v>
      </c>
      <c r="C33" s="14" t="n">
        <f aca="false">Esc_Conservador!$I$149</f>
        <v>4200</v>
      </c>
      <c r="D33" s="14" t="n">
        <f aca="false">Esc_Base!$I$149</f>
        <v>4200</v>
      </c>
      <c r="E33" s="14" t="n">
        <f aca="false">Esc_Optimista!$I$149</f>
        <v>4200</v>
      </c>
    </row>
    <row r="34" customFormat="false" ht="13.5" hidden="false" customHeight="true" outlineLevel="0" collapsed="false">
      <c r="A34" s="6" t="s">
        <v>64</v>
      </c>
      <c r="C34" s="14" t="n">
        <f aca="false">SUM(Esc_Conservador!$C$117:$CH$117)</f>
        <v>0</v>
      </c>
      <c r="D34" s="14" t="n">
        <f aca="false">SUM(Esc_Base!$C$117:$CH$117)</f>
        <v>0</v>
      </c>
      <c r="E34" s="14" t="n">
        <f aca="false">SUM(Esc_Optimista!$C$117:$CH$117)</f>
        <v>0</v>
      </c>
    </row>
    <row r="35" customFormat="false" ht="13.5" hidden="false" customHeight="true" outlineLevel="0" collapsed="false">
      <c r="A35" s="6" t="s">
        <v>65</v>
      </c>
      <c r="C35" s="14" t="n">
        <f aca="false">Esc_Conservador!$CH$115</f>
        <v>80536.6420460936</v>
      </c>
      <c r="D35" s="14" t="n">
        <f aca="false">Esc_Base!$CH$115</f>
        <v>493306.876003728</v>
      </c>
      <c r="E35" s="14" t="n">
        <f aca="false">Esc_Optimista!$CH$115</f>
        <v>836437.564044991</v>
      </c>
    </row>
    <row r="36" customFormat="false" ht="13.5" hidden="false" customHeight="true" outlineLevel="0" collapsed="false">
      <c r="A36" s="6" t="s">
        <v>66</v>
      </c>
      <c r="C36" s="14" t="n">
        <f aca="false">Esc_Conservador!$CH$86+Esc_Conservador!$CH$115</f>
        <v>155675.841873628</v>
      </c>
      <c r="D36" s="14" t="n">
        <f aca="false">Esc_Base!$CH$86+Esc_Base!$CH$115</f>
        <v>1535753.21947059</v>
      </c>
      <c r="E36" s="14" t="n">
        <f aca="false">Esc_Optimista!$CH$86+Esc_Optimista!$CH$115</f>
        <v>2715830.32562044</v>
      </c>
    </row>
    <row r="37" customFormat="false" ht="13.5" hidden="false" customHeight="true" outlineLevel="0" collapsed="false">
      <c r="A37" s="6" t="s">
        <v>67</v>
      </c>
      <c r="C37" s="14" t="n">
        <f aca="false">(Esc_Conservador!$CH$86+Esc_Conservador!$CH$115)*Hipótesis!$D$82</f>
        <v>46702.7525620884</v>
      </c>
      <c r="D37" s="14" t="n">
        <f aca="false">(Esc_Base!$CH$86+Esc_Base!$CH$115)*Hipótesis!$D$82</f>
        <v>460725.965841177</v>
      </c>
      <c r="E37" s="14" t="n">
        <f aca="false">(Esc_Optimista!$CH$86+Esc_Optimista!$CH$115)*Hipótesis!$D$82</f>
        <v>814749.097686131</v>
      </c>
    </row>
    <row r="38" customFormat="false" ht="13.5" hidden="false" customHeight="true" outlineLevel="0" collapsed="false">
      <c r="A38" s="6" t="s">
        <v>68</v>
      </c>
      <c r="C38" s="14" t="n">
        <f aca="false">Esc_Conservador!$C$133*Hipótesis!$D$82</f>
        <v>236375.94014391</v>
      </c>
      <c r="D38" s="14" t="n">
        <f aca="false">Esc_Base!$C$133*Hipótesis!$D$82</f>
        <v>998781.960254345</v>
      </c>
      <c r="E38" s="14" t="n">
        <f aca="false">Esc_Optimista!$C$133*Hipótesis!$D$82</f>
        <v>1653668.13753587</v>
      </c>
    </row>
    <row r="39" customFormat="false" ht="13.5" hidden="false" customHeight="true" outlineLevel="0" collapsed="false"/>
    <row r="40" customFormat="false" ht="13.5" hidden="false" customHeight="true" outlineLevel="0" collapsed="false">
      <c r="A40" s="6" t="s">
        <v>69</v>
      </c>
      <c r="C40" s="19" t="str">
        <f aca="false">IF(Hipótesis!$D$122&gt;=CAPEX!$E$26,"SÍ","NO — faltan "&amp;TEXT(CAPEX!$E$26-Hipótesis!$D$122,"#,##0")&amp;" €")</f>
        <v>SÍ</v>
      </c>
      <c r="D40" s="19" t="str">
        <f aca="false">IF(Hipótesis!$D$122&gt;=CAPEX!$F$26,"SÍ","NO — faltan "&amp;TEXT(CAPEX!$F$26-Hipótesis!$D$122,"#,##0")&amp;" €")</f>
        <v>SÍ</v>
      </c>
      <c r="E40" s="19" t="str">
        <f aca="false">IF(Hipótesis!$D$122&gt;=CAPEX!$G$26,"SÍ","NO — faltan "&amp;TEXT(CAPEX!$G$26-Hipótesis!$D$122,"#,##0")&amp;" €")</f>
        <v>SÍ</v>
      </c>
    </row>
    <row r="41" customFormat="false" ht="13.5" hidden="false" customHeight="true" outlineLevel="0" collapsed="false">
      <c r="A41" s="4" t="s">
        <v>70</v>
      </c>
    </row>
    <row r="42" customFormat="false" ht="13.5" hidden="false" customHeight="true" outlineLevel="0" collapsed="false">
      <c r="A42" s="4" t="s">
        <v>71</v>
      </c>
    </row>
    <row r="43" customFormat="false" ht="13.5" hidden="false" customHeight="true" outlineLevel="0" collapsed="false"/>
    <row r="44" customFormat="false" ht="12.75" hidden="false" customHeight="true" outlineLevel="0" collapsed="false">
      <c r="A44" s="9" t="s">
        <v>72</v>
      </c>
      <c r="B44" s="9"/>
      <c r="C44" s="9"/>
      <c r="D44" s="9"/>
      <c r="E44" s="9"/>
    </row>
    <row r="45" customFormat="false" ht="13.5" hidden="false" customHeight="true" outlineLevel="0" collapsed="false">
      <c r="A45" s="6" t="s">
        <v>73</v>
      </c>
      <c r="C45" s="14" t="n">
        <f aca="false">MIN(Modelo_Mensual!$C$86:$CH$86)</f>
        <v>30000</v>
      </c>
    </row>
    <row r="46" customFormat="false" ht="13.5" hidden="false" customHeight="true" outlineLevel="0" collapsed="false">
      <c r="A46" s="6" t="s">
        <v>74</v>
      </c>
      <c r="C46" s="16" t="n">
        <f aca="false">MIN(Resumen_Anual!$D$23:$I$23)</f>
        <v>11.4310021528156</v>
      </c>
    </row>
    <row r="47" customFormat="false" ht="13.5" hidden="false" customHeight="true" outlineLevel="0" collapsed="false">
      <c r="A47" s="6" t="s">
        <v>75</v>
      </c>
      <c r="C47" s="14" t="n">
        <f aca="false">Producto!$D$35</f>
        <v>39.3211103947136</v>
      </c>
    </row>
    <row r="48" customFormat="false" ht="13.5" hidden="false" customHeight="true" outlineLevel="0" collapsed="false">
      <c r="A48" s="6" t="s">
        <v>76</v>
      </c>
      <c r="C48" s="15" t="n">
        <f aca="false">Modelo_Mensual!$CH$31</f>
        <v>9</v>
      </c>
    </row>
    <row r="49" customFormat="false" ht="13.5" hidden="false" customHeight="true" outlineLevel="0" collapsed="false">
      <c r="A49" s="6" t="s">
        <v>77</v>
      </c>
      <c r="C49" s="15" t="n">
        <f aca="false">Modelo_Mensual!$CH$26</f>
        <v>2937.56014410811</v>
      </c>
    </row>
    <row r="50" customFormat="false" ht="13.5" hidden="false" customHeight="true" outlineLevel="0" collapsed="false">
      <c r="A50" s="6" t="s">
        <v>78</v>
      </c>
      <c r="C50" s="17" t="n">
        <f aca="false">IFERROR(SUM(Modelo_Mensual!$C$34:$N$34)/SUM(Modelo_Mensual!$C$36:$N$36),0)</f>
        <v>0.775161137491419</v>
      </c>
    </row>
    <row r="51" customFormat="false" ht="13.5" hidden="false" customHeight="true" outlineLevel="0" collapsed="false">
      <c r="A51" s="6" t="s">
        <v>79</v>
      </c>
      <c r="C51" s="14" t="n">
        <f aca="false">Pipeline!$R$23</f>
        <v>31863.75</v>
      </c>
    </row>
    <row r="52" customFormat="false" ht="13.5" hidden="false" customHeight="true" outlineLevel="0" collapsed="false">
      <c r="A52" s="6" t="s">
        <v>80</v>
      </c>
      <c r="C52" s="15" t="n">
        <f aca="false">Modelo_Mensual!$C$130</f>
        <v>48</v>
      </c>
    </row>
    <row r="53" customFormat="false" ht="13.5" hidden="false" customHeight="true" outlineLevel="0" collapsed="false">
      <c r="A53" s="6" t="s">
        <v>81</v>
      </c>
      <c r="C53" s="20" t="str">
        <f aca="false">CHOOSE(Hipótesis!$D$94,"Préstamo simple","Préstamo participativo","Cuentas en participación","Revenue-share","Capital (equity)")</f>
        <v>Capital (equity)</v>
      </c>
    </row>
    <row r="54" customFormat="false" ht="13.5" hidden="false" customHeight="true" outlineLevel="0" collapsed="false">
      <c r="A54" s="6" t="s">
        <v>82</v>
      </c>
      <c r="C54" s="17" t="n">
        <f aca="false">Modelo_Mensual!$C$136</f>
        <v>0.129579781753543</v>
      </c>
    </row>
    <row r="55" customFormat="false" ht="13.5" hidden="false" customHeight="true" outlineLevel="0" collapsed="false">
      <c r="A55" s="6" t="s">
        <v>83</v>
      </c>
      <c r="C55" s="21" t="n">
        <f aca="false">Modelo_Mensual!$C$129</f>
        <v>3.32927320084782</v>
      </c>
    </row>
    <row r="56" customFormat="false" ht="13.5" hidden="false" customHeight="true" outlineLevel="0" collapsed="false"/>
    <row r="57" customFormat="false" ht="12.75" hidden="false" customHeight="true" outlineLevel="0" collapsed="false">
      <c r="A57" s="9" t="s">
        <v>84</v>
      </c>
      <c r="B57" s="9"/>
      <c r="C57" s="9"/>
      <c r="D57" s="9"/>
      <c r="E57" s="9"/>
    </row>
    <row r="58" customFormat="false" ht="13.5" hidden="false" customHeight="true" outlineLevel="0" collapsed="false">
      <c r="A58" s="6" t="s">
        <v>85</v>
      </c>
      <c r="C58" s="17" t="n">
        <f aca="false">Modelo_Mensual!$C$128</f>
        <v>0.350788512862475</v>
      </c>
    </row>
    <row r="59" customFormat="false" ht="13.5" hidden="false" customHeight="true" outlineLevel="0" collapsed="false">
      <c r="A59" s="6" t="s">
        <v>86</v>
      </c>
      <c r="C59" s="20" t="str">
        <f aca="false">IF(Hipótesis!$D$122&gt;=CAPEX!$C$26,"SÍ","NO — faltan "&amp;TEXT(CAPEX!$C$26-Hipótesis!$D$122,"#,##0")&amp;" €")</f>
        <v>SÍ</v>
      </c>
    </row>
    <row r="60" customFormat="false" ht="13.5" hidden="false" customHeight="true" outlineLevel="0" collapsed="false">
      <c r="A60" s="6" t="s">
        <v>87</v>
      </c>
      <c r="C60" s="14" t="n">
        <f aca="false">CAPEX!$C$26</f>
        <v>161278</v>
      </c>
    </row>
    <row r="61" customFormat="false" ht="13.5" hidden="false" customHeight="true" outlineLevel="0" collapsed="false">
      <c r="A61" s="6" t="s">
        <v>88</v>
      </c>
      <c r="C61" s="14" t="n">
        <f aca="false">Hipótesis!$D$122</f>
        <v>200000</v>
      </c>
    </row>
    <row r="62" customFormat="false" ht="13.5" hidden="false" customHeight="true" outlineLevel="0" collapsed="false">
      <c r="A62" s="6" t="s">
        <v>89</v>
      </c>
      <c r="C62" s="20" t="str">
        <f aca="false">CHOOSE(Hipótesis!$C$4,"CONSERVADOR","BASE","OPTIMISTA")</f>
        <v>BASE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5" min="4" style="1" width="9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9" min="8" style="1" width="8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6" min="14" style="1" width="10"/>
    <col collapsed="false" customWidth="true" hidden="false" outlineLevel="0" max="17" min="17" style="1" width="11"/>
    <col collapsed="false" customWidth="true" hidden="false" outlineLevel="0" max="19" min="18" style="1" width="12"/>
    <col collapsed="false" customWidth="true" hidden="false" outlineLevel="0" max="20" min="20" style="1" width="13"/>
    <col collapsed="false" customWidth="true" hidden="false" outlineLevel="0" max="21" min="21" style="1" width="9"/>
    <col collapsed="false" customWidth="true" hidden="false" outlineLevel="0" max="22" min="22" style="1" width="12"/>
  </cols>
  <sheetData>
    <row r="1" customFormat="false" ht="18" hidden="false" customHeight="true" outlineLevel="0" collapsed="false">
      <c r="A1" s="8" t="s">
        <v>90</v>
      </c>
    </row>
    <row r="2" customFormat="false" ht="13.5" hidden="false" customHeight="true" outlineLevel="0" collapsed="false">
      <c r="A2" s="4" t="s">
        <v>91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22" t="s">
        <v>92</v>
      </c>
    </row>
    <row r="5" customFormat="false" ht="13.5" hidden="false" customHeight="true" outlineLevel="0" collapsed="false">
      <c r="A5" s="6" t="s">
        <v>93</v>
      </c>
      <c r="D5" s="23" t="n">
        <v>1.3</v>
      </c>
    </row>
    <row r="6" customFormat="false" ht="13.5" hidden="false" customHeight="true" outlineLevel="0" collapsed="false">
      <c r="A6" s="6" t="s">
        <v>94</v>
      </c>
      <c r="D6" s="24" t="n">
        <v>30.42</v>
      </c>
    </row>
    <row r="7" customFormat="false" ht="13.5" hidden="false" customHeight="true" outlineLevel="0" collapsed="false">
      <c r="A7" s="6" t="s">
        <v>95</v>
      </c>
      <c r="D7" s="25" t="n">
        <v>0</v>
      </c>
    </row>
    <row r="8" customFormat="false" ht="13.5" hidden="false" customHeight="true" outlineLevel="0" collapsed="false">
      <c r="A8" s="6" t="s">
        <v>96</v>
      </c>
      <c r="D8" s="26" t="n">
        <v>4</v>
      </c>
      <c r="F8" s="27" t="s">
        <v>97</v>
      </c>
    </row>
    <row r="9" customFormat="false" ht="13.5" hidden="false" customHeight="true" outlineLevel="0" collapsed="false">
      <c r="A9" s="6" t="s">
        <v>98</v>
      </c>
      <c r="D9" s="26" t="n">
        <v>3</v>
      </c>
    </row>
    <row r="10" customFormat="false" ht="13.5" hidden="false" customHeight="true" outlineLevel="0" collapsed="false">
      <c r="A10" s="6" t="s">
        <v>99</v>
      </c>
      <c r="D10" s="26" t="n">
        <v>2</v>
      </c>
    </row>
    <row r="11" customFormat="false" ht="13.5" hidden="false" customHeight="true" outlineLevel="0" collapsed="false">
      <c r="A11" s="22" t="s">
        <v>100</v>
      </c>
      <c r="D11" s="28" t="n">
        <f aca="false">CHOOSE(Hipótesis!$C$4,D8,D9,D10)</f>
        <v>3</v>
      </c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42" hidden="false" customHeight="true" outlineLevel="0" collapsed="false">
      <c r="A15" s="29" t="s">
        <v>101</v>
      </c>
      <c r="B15" s="29" t="s">
        <v>102</v>
      </c>
      <c r="C15" s="29" t="s">
        <v>103</v>
      </c>
      <c r="D15" s="29" t="s">
        <v>104</v>
      </c>
      <c r="E15" s="29" t="s">
        <v>105</v>
      </c>
      <c r="F15" s="29" t="s">
        <v>106</v>
      </c>
      <c r="G15" s="29" t="s">
        <v>107</v>
      </c>
      <c r="H15" s="29" t="s">
        <v>108</v>
      </c>
      <c r="I15" s="29" t="s">
        <v>109</v>
      </c>
      <c r="J15" s="29" t="s">
        <v>110</v>
      </c>
      <c r="K15" s="29" t="s">
        <v>111</v>
      </c>
      <c r="L15" s="29" t="s">
        <v>112</v>
      </c>
      <c r="M15" s="29" t="s">
        <v>113</v>
      </c>
      <c r="N15" s="29" t="s">
        <v>114</v>
      </c>
      <c r="O15" s="29" t="s">
        <v>115</v>
      </c>
      <c r="P15" s="29" t="s">
        <v>116</v>
      </c>
      <c r="Q15" s="29" t="s">
        <v>117</v>
      </c>
      <c r="R15" s="29" t="s">
        <v>118</v>
      </c>
      <c r="S15" s="29" t="s">
        <v>119</v>
      </c>
      <c r="T15" s="29" t="s">
        <v>120</v>
      </c>
      <c r="U15" s="29" t="s">
        <v>121</v>
      </c>
      <c r="V15" s="29" t="s">
        <v>122</v>
      </c>
    </row>
    <row r="16" customFormat="false" ht="12.75" hidden="false" customHeight="true" outlineLevel="0" collapsed="false">
      <c r="A16" s="30" t="s">
        <v>123</v>
      </c>
      <c r="B16" s="31" t="s">
        <v>124</v>
      </c>
      <c r="C16" s="32" t="n">
        <v>1</v>
      </c>
      <c r="D16" s="33" t="n">
        <v>0.4</v>
      </c>
      <c r="E16" s="32" t="n">
        <v>100</v>
      </c>
      <c r="F16" s="34" t="n">
        <v>3</v>
      </c>
      <c r="G16" s="35" t="n">
        <f aca="false">F16/E16*1000</f>
        <v>30</v>
      </c>
      <c r="H16" s="36" t="n">
        <v>3.7</v>
      </c>
      <c r="I16" s="36" t="n">
        <v>3.7</v>
      </c>
      <c r="J16" s="37" t="n">
        <f aca="false">Producto!$D$6/(H16+Producto!$D$7)</f>
        <v>8.22162162162162</v>
      </c>
      <c r="K16" s="32" t="n">
        <v>170</v>
      </c>
      <c r="L16" s="37" t="n">
        <f aca="false">K16/E16</f>
        <v>1.7</v>
      </c>
      <c r="M16" s="37" t="n">
        <f aca="false">J16*K16/1000</f>
        <v>1.39767567567568</v>
      </c>
      <c r="N16" s="34" t="n">
        <v>0.43</v>
      </c>
      <c r="O16" s="34" t="n">
        <v>0.3</v>
      </c>
      <c r="P16" s="34" t="n">
        <v>0.2</v>
      </c>
      <c r="Q16" s="38" t="n">
        <f aca="false">L16*P16</f>
        <v>0.34</v>
      </c>
      <c r="R16" s="38" t="n">
        <f aca="false">N16+O16+Q16</f>
        <v>1.07</v>
      </c>
      <c r="S16" s="38" t="n">
        <f aca="false">R16*J16</f>
        <v>8.79713513513514</v>
      </c>
      <c r="T16" s="38" t="n">
        <f aca="false">L16*F16*J16</f>
        <v>41.9302702702703</v>
      </c>
      <c r="U16" s="39" t="n">
        <f aca="false">IFERROR((T16-S16)/T16,0)</f>
        <v>0.790196078431373</v>
      </c>
      <c r="V16" s="38" t="n">
        <f aca="false">IFERROR((T16-S16)/(J16*Producto!$D$11/60),0)</f>
        <v>80.6</v>
      </c>
    </row>
    <row r="17" customFormat="false" ht="12.75" hidden="false" customHeight="true" outlineLevel="0" collapsed="false">
      <c r="A17" s="30" t="s">
        <v>125</v>
      </c>
      <c r="B17" s="31" t="s">
        <v>126</v>
      </c>
      <c r="C17" s="32" t="n">
        <v>1</v>
      </c>
      <c r="D17" s="33" t="n">
        <v>0.15</v>
      </c>
      <c r="E17" s="32" t="n">
        <v>30</v>
      </c>
      <c r="F17" s="34" t="n">
        <v>2.4</v>
      </c>
      <c r="G17" s="35" t="n">
        <f aca="false">F17/E17*1000</f>
        <v>80</v>
      </c>
      <c r="H17" s="36" t="n">
        <v>11</v>
      </c>
      <c r="I17" s="36" t="n">
        <v>5</v>
      </c>
      <c r="J17" s="37" t="n">
        <f aca="false">Producto!$D$6/(H17+Producto!$D$7)</f>
        <v>2.76545454545455</v>
      </c>
      <c r="K17" s="32" t="n">
        <v>120</v>
      </c>
      <c r="L17" s="37" t="n">
        <f aca="false">K17/E17</f>
        <v>4</v>
      </c>
      <c r="M17" s="37" t="n">
        <f aca="false">J17*K17/1000</f>
        <v>0.331854545454545</v>
      </c>
      <c r="N17" s="34" t="n">
        <v>0.24</v>
      </c>
      <c r="O17" s="34" t="n">
        <v>0.3</v>
      </c>
      <c r="P17" s="34" t="n">
        <v>0.1</v>
      </c>
      <c r="Q17" s="38" t="n">
        <f aca="false">L17*P17</f>
        <v>0.4</v>
      </c>
      <c r="R17" s="38" t="n">
        <f aca="false">N17+O17+Q17</f>
        <v>0.94</v>
      </c>
      <c r="S17" s="38" t="n">
        <f aca="false">R17*J17</f>
        <v>2.59952727272727</v>
      </c>
      <c r="T17" s="38" t="n">
        <f aca="false">L17*F17*J17</f>
        <v>26.5483636363636</v>
      </c>
      <c r="U17" s="39" t="n">
        <f aca="false">IFERROR((T17-S17)/T17,0)</f>
        <v>0.902083333333333</v>
      </c>
      <c r="V17" s="38" t="n">
        <f aca="false">IFERROR((T17-S17)/(J17*Producto!$D$11/60),0)</f>
        <v>173.2</v>
      </c>
    </row>
    <row r="18" customFormat="false" ht="12.75" hidden="false" customHeight="true" outlineLevel="0" collapsed="false">
      <c r="A18" s="30" t="s">
        <v>127</v>
      </c>
      <c r="B18" s="31" t="s">
        <v>126</v>
      </c>
      <c r="C18" s="32" t="n">
        <v>1</v>
      </c>
      <c r="D18" s="33" t="n">
        <v>0.1</v>
      </c>
      <c r="E18" s="32" t="n">
        <v>30</v>
      </c>
      <c r="F18" s="34" t="n">
        <v>2.5</v>
      </c>
      <c r="G18" s="35" t="n">
        <f aca="false">F18/E18*1000</f>
        <v>83.3333333333333</v>
      </c>
      <c r="H18" s="36" t="n">
        <v>13</v>
      </c>
      <c r="I18" s="36" t="n">
        <v>5</v>
      </c>
      <c r="J18" s="37" t="n">
        <f aca="false">Producto!$D$6/(H18+Producto!$D$7)</f>
        <v>2.34</v>
      </c>
      <c r="K18" s="32" t="n">
        <v>100</v>
      </c>
      <c r="L18" s="37" t="n">
        <f aca="false">K18/E18</f>
        <v>3.33333333333333</v>
      </c>
      <c r="M18" s="37" t="n">
        <f aca="false">J18*K18/1000</f>
        <v>0.234</v>
      </c>
      <c r="N18" s="34" t="n">
        <v>0.44</v>
      </c>
      <c r="O18" s="34" t="n">
        <v>0.3</v>
      </c>
      <c r="P18" s="34" t="n">
        <v>0.1</v>
      </c>
      <c r="Q18" s="38" t="n">
        <f aca="false">L18*P18</f>
        <v>0.333333333333333</v>
      </c>
      <c r="R18" s="38" t="n">
        <f aca="false">N18+O18+Q18</f>
        <v>1.07333333333333</v>
      </c>
      <c r="S18" s="38" t="n">
        <f aca="false">R18*J18</f>
        <v>2.5116</v>
      </c>
      <c r="T18" s="38" t="n">
        <f aca="false">L18*F18*J18</f>
        <v>19.5</v>
      </c>
      <c r="U18" s="39" t="n">
        <f aca="false">IFERROR((T18-S18)/T18,0)</f>
        <v>0.8712</v>
      </c>
      <c r="V18" s="38" t="n">
        <f aca="false">IFERROR((T18-S18)/(J18*Producto!$D$11/60),0)</f>
        <v>145.2</v>
      </c>
    </row>
    <row r="19" customFormat="false" ht="12.75" hidden="false" customHeight="true" outlineLevel="0" collapsed="false">
      <c r="A19" s="30" t="s">
        <v>128</v>
      </c>
      <c r="B19" s="31" t="s">
        <v>124</v>
      </c>
      <c r="C19" s="32" t="n">
        <v>1</v>
      </c>
      <c r="D19" s="33" t="n">
        <v>0.08</v>
      </c>
      <c r="E19" s="32" t="n">
        <v>30</v>
      </c>
      <c r="F19" s="34" t="n">
        <v>1.3</v>
      </c>
      <c r="G19" s="35" t="n">
        <f aca="false">F19/E19*1000</f>
        <v>43.3333333333333</v>
      </c>
      <c r="H19" s="36" t="n">
        <v>3</v>
      </c>
      <c r="I19" s="36" t="n">
        <v>3</v>
      </c>
      <c r="J19" s="37" t="n">
        <f aca="false">Producto!$D$6/(H19+Producto!$D$7)</f>
        <v>10.14</v>
      </c>
      <c r="K19" s="32" t="n">
        <v>175</v>
      </c>
      <c r="L19" s="37" t="n">
        <f aca="false">K19/E19</f>
        <v>5.83333333333333</v>
      </c>
      <c r="M19" s="37" t="n">
        <f aca="false">J19*K19/1000</f>
        <v>1.7745</v>
      </c>
      <c r="N19" s="34" t="n">
        <v>0.3</v>
      </c>
      <c r="O19" s="34" t="n">
        <v>0.3</v>
      </c>
      <c r="P19" s="34" t="n">
        <v>0.1</v>
      </c>
      <c r="Q19" s="38" t="n">
        <f aca="false">L19*P19</f>
        <v>0.583333333333333</v>
      </c>
      <c r="R19" s="38" t="n">
        <f aca="false">N19+O19+Q19</f>
        <v>1.18333333333333</v>
      </c>
      <c r="S19" s="38" t="n">
        <f aca="false">R19*J19</f>
        <v>11.999</v>
      </c>
      <c r="T19" s="38" t="n">
        <f aca="false">L19*F19*J19</f>
        <v>76.895</v>
      </c>
      <c r="U19" s="39" t="n">
        <f aca="false">IFERROR((T19-S19)/T19,0)</f>
        <v>0.843956043956044</v>
      </c>
      <c r="V19" s="38" t="n">
        <f aca="false">IFERROR((T19-S19)/(J19*Producto!$D$11/60),0)</f>
        <v>128</v>
      </c>
    </row>
    <row r="20" customFormat="false" ht="12.75" hidden="false" customHeight="true" outlineLevel="0" collapsed="false">
      <c r="A20" s="30" t="s">
        <v>129</v>
      </c>
      <c r="B20" s="31" t="s">
        <v>124</v>
      </c>
      <c r="C20" s="32" t="n">
        <v>1</v>
      </c>
      <c r="D20" s="33" t="n">
        <v>0.08</v>
      </c>
      <c r="E20" s="32" t="n">
        <v>30</v>
      </c>
      <c r="F20" s="34" t="n">
        <v>1.3</v>
      </c>
      <c r="G20" s="35" t="n">
        <f aca="false">F20/E20*1000</f>
        <v>43.3333333333333</v>
      </c>
      <c r="H20" s="36" t="n">
        <v>4</v>
      </c>
      <c r="I20" s="36" t="n">
        <v>3</v>
      </c>
      <c r="J20" s="37" t="n">
        <f aca="false">Producto!$D$6/(H20+Producto!$D$7)</f>
        <v>7.605</v>
      </c>
      <c r="K20" s="32" t="n">
        <v>170</v>
      </c>
      <c r="L20" s="37" t="n">
        <f aca="false">K20/E20</f>
        <v>5.66666666666667</v>
      </c>
      <c r="M20" s="37" t="n">
        <f aca="false">J20*K20/1000</f>
        <v>1.29285</v>
      </c>
      <c r="N20" s="34" t="n">
        <v>0.17</v>
      </c>
      <c r="O20" s="34" t="n">
        <v>0.3</v>
      </c>
      <c r="P20" s="34" t="n">
        <v>0.1</v>
      </c>
      <c r="Q20" s="38" t="n">
        <f aca="false">L20*P20</f>
        <v>0.566666666666667</v>
      </c>
      <c r="R20" s="38" t="n">
        <f aca="false">N20+O20+Q20</f>
        <v>1.03666666666667</v>
      </c>
      <c r="S20" s="38" t="n">
        <f aca="false">R20*J20</f>
        <v>7.88385</v>
      </c>
      <c r="T20" s="38" t="n">
        <f aca="false">L20*F20*J20</f>
        <v>56.0235</v>
      </c>
      <c r="U20" s="39" t="n">
        <f aca="false">IFERROR((T20-S20)/T20,0)</f>
        <v>0.859276018099548</v>
      </c>
      <c r="V20" s="38" t="n">
        <f aca="false">IFERROR((T20-S20)/(J20*Producto!$D$11/60),0)</f>
        <v>126.6</v>
      </c>
    </row>
    <row r="21" customFormat="false" ht="12.75" hidden="false" customHeight="true" outlineLevel="0" collapsed="false">
      <c r="A21" s="30" t="s">
        <v>130</v>
      </c>
      <c r="B21" s="31" t="s">
        <v>124</v>
      </c>
      <c r="C21" s="32" t="n">
        <v>1</v>
      </c>
      <c r="D21" s="33" t="n">
        <v>0.07</v>
      </c>
      <c r="E21" s="32" t="n">
        <v>30</v>
      </c>
      <c r="F21" s="34" t="n">
        <v>1.3</v>
      </c>
      <c r="G21" s="35" t="n">
        <f aca="false">F21/E21*1000</f>
        <v>43.3333333333333</v>
      </c>
      <c r="H21" s="36" t="n">
        <v>3</v>
      </c>
      <c r="I21" s="36" t="n">
        <v>3</v>
      </c>
      <c r="J21" s="37" t="n">
        <f aca="false">Producto!$D$6/(H21+Producto!$D$7)</f>
        <v>10.14</v>
      </c>
      <c r="K21" s="32" t="n">
        <v>175</v>
      </c>
      <c r="L21" s="37" t="n">
        <f aca="false">K21/E21</f>
        <v>5.83333333333333</v>
      </c>
      <c r="M21" s="37" t="n">
        <f aca="false">J21*K21/1000</f>
        <v>1.7745</v>
      </c>
      <c r="N21" s="34" t="n">
        <v>0.3</v>
      </c>
      <c r="O21" s="34" t="n">
        <v>0.3</v>
      </c>
      <c r="P21" s="34" t="n">
        <v>0.1</v>
      </c>
      <c r="Q21" s="38" t="n">
        <f aca="false">L21*P21</f>
        <v>0.583333333333333</v>
      </c>
      <c r="R21" s="38" t="n">
        <f aca="false">N21+O21+Q21</f>
        <v>1.18333333333333</v>
      </c>
      <c r="S21" s="38" t="n">
        <f aca="false">R21*J21</f>
        <v>11.999</v>
      </c>
      <c r="T21" s="38" t="n">
        <f aca="false">L21*F21*J21</f>
        <v>76.895</v>
      </c>
      <c r="U21" s="39" t="n">
        <f aca="false">IFERROR((T21-S21)/T21,0)</f>
        <v>0.843956043956044</v>
      </c>
      <c r="V21" s="38" t="n">
        <f aca="false">IFERROR((T21-S21)/(J21*Producto!$D$11/60),0)</f>
        <v>128</v>
      </c>
    </row>
    <row r="22" customFormat="false" ht="12.75" hidden="false" customHeight="true" outlineLevel="0" collapsed="false">
      <c r="A22" s="30" t="s">
        <v>131</v>
      </c>
      <c r="B22" s="31" t="s">
        <v>124</v>
      </c>
      <c r="C22" s="32" t="n">
        <v>1</v>
      </c>
      <c r="D22" s="33" t="n">
        <v>0.05</v>
      </c>
      <c r="E22" s="32" t="n">
        <v>30</v>
      </c>
      <c r="F22" s="34" t="n">
        <v>1.3</v>
      </c>
      <c r="G22" s="35" t="n">
        <f aca="false">F22/E22*1000</f>
        <v>43.3333333333333</v>
      </c>
      <c r="H22" s="36" t="n">
        <v>4</v>
      </c>
      <c r="I22" s="36" t="n">
        <v>3</v>
      </c>
      <c r="J22" s="37" t="n">
        <f aca="false">Producto!$D$6/(H22+Producto!$D$7)</f>
        <v>7.605</v>
      </c>
      <c r="K22" s="32" t="n">
        <v>160</v>
      </c>
      <c r="L22" s="37" t="n">
        <f aca="false">K22/E22</f>
        <v>5.33333333333333</v>
      </c>
      <c r="M22" s="37" t="n">
        <f aca="false">J22*K22/1000</f>
        <v>1.2168</v>
      </c>
      <c r="N22" s="34" t="n">
        <v>0.53</v>
      </c>
      <c r="O22" s="34" t="n">
        <v>0.3</v>
      </c>
      <c r="P22" s="34" t="n">
        <v>0.1</v>
      </c>
      <c r="Q22" s="38" t="n">
        <f aca="false">L22*P22</f>
        <v>0.533333333333333</v>
      </c>
      <c r="R22" s="38" t="n">
        <f aca="false">N22+O22+Q22</f>
        <v>1.36333333333333</v>
      </c>
      <c r="S22" s="38" t="n">
        <f aca="false">R22*J22</f>
        <v>10.36815</v>
      </c>
      <c r="T22" s="38" t="n">
        <f aca="false">L22*F22*J22</f>
        <v>52.728</v>
      </c>
      <c r="U22" s="39" t="n">
        <f aca="false">IFERROR((T22-S22)/T22,0)</f>
        <v>0.803365384615385</v>
      </c>
      <c r="V22" s="38" t="n">
        <f aca="false">IFERROR((T22-S22)/(J22*Producto!$D$11/60),0)</f>
        <v>111.4</v>
      </c>
    </row>
    <row r="23" customFormat="false" ht="12.75" hidden="false" customHeight="true" outlineLevel="0" collapsed="false">
      <c r="A23" s="30" t="s">
        <v>132</v>
      </c>
      <c r="B23" s="31" t="s">
        <v>124</v>
      </c>
      <c r="C23" s="32" t="n">
        <v>1</v>
      </c>
      <c r="D23" s="33" t="n">
        <v>0.04</v>
      </c>
      <c r="E23" s="32" t="n">
        <v>30</v>
      </c>
      <c r="F23" s="34" t="n">
        <v>1.3</v>
      </c>
      <c r="G23" s="35" t="n">
        <f aca="false">F23/E23*1000</f>
        <v>43.3333333333333</v>
      </c>
      <c r="H23" s="36" t="n">
        <v>4</v>
      </c>
      <c r="I23" s="36" t="n">
        <v>3</v>
      </c>
      <c r="J23" s="37" t="n">
        <f aca="false">Producto!$D$6/(H23+Producto!$D$7)</f>
        <v>7.605</v>
      </c>
      <c r="K23" s="32" t="n">
        <v>170</v>
      </c>
      <c r="L23" s="37" t="n">
        <f aca="false">K23/E23</f>
        <v>5.66666666666667</v>
      </c>
      <c r="M23" s="37" t="n">
        <f aca="false">J23*K23/1000</f>
        <v>1.29285</v>
      </c>
      <c r="N23" s="34" t="n">
        <v>0.55</v>
      </c>
      <c r="O23" s="34" t="n">
        <v>0.3</v>
      </c>
      <c r="P23" s="34" t="n">
        <v>0.1</v>
      </c>
      <c r="Q23" s="38" t="n">
        <f aca="false">L23*P23</f>
        <v>0.566666666666667</v>
      </c>
      <c r="R23" s="38" t="n">
        <f aca="false">N23+O23+Q23</f>
        <v>1.41666666666667</v>
      </c>
      <c r="S23" s="38" t="n">
        <f aca="false">R23*J23</f>
        <v>10.77375</v>
      </c>
      <c r="T23" s="38" t="n">
        <f aca="false">L23*F23*J23</f>
        <v>56.0235</v>
      </c>
      <c r="U23" s="39" t="n">
        <f aca="false">IFERROR((T23-S23)/T23,0)</f>
        <v>0.807692307692308</v>
      </c>
      <c r="V23" s="38" t="n">
        <f aca="false">IFERROR((T23-S23)/(J23*Producto!$D$11/60),0)</f>
        <v>119</v>
      </c>
    </row>
    <row r="24" customFormat="false" ht="12.75" hidden="false" customHeight="true" outlineLevel="0" collapsed="false">
      <c r="A24" s="30" t="s">
        <v>133</v>
      </c>
      <c r="B24" s="31" t="s">
        <v>124</v>
      </c>
      <c r="C24" s="32" t="n">
        <v>1</v>
      </c>
      <c r="D24" s="33" t="n">
        <v>0.03</v>
      </c>
      <c r="E24" s="32" t="n">
        <v>30</v>
      </c>
      <c r="F24" s="34" t="n">
        <v>2</v>
      </c>
      <c r="G24" s="35" t="n">
        <f aca="false">F24/E24*1000</f>
        <v>66.6666666666667</v>
      </c>
      <c r="H24" s="36" t="n">
        <v>9</v>
      </c>
      <c r="I24" s="36" t="n">
        <v>3</v>
      </c>
      <c r="J24" s="37" t="n">
        <f aca="false">Producto!$D$6/(H24+Producto!$D$7)</f>
        <v>3.38</v>
      </c>
      <c r="K24" s="32" t="n">
        <v>80</v>
      </c>
      <c r="L24" s="37" t="n">
        <f aca="false">K24/E24</f>
        <v>2.66666666666667</v>
      </c>
      <c r="M24" s="37" t="n">
        <f aca="false">J24*K24/1000</f>
        <v>0.2704</v>
      </c>
      <c r="N24" s="34" t="n">
        <v>0.75</v>
      </c>
      <c r="O24" s="34" t="n">
        <v>0.3</v>
      </c>
      <c r="P24" s="34" t="n">
        <v>0.1</v>
      </c>
      <c r="Q24" s="38" t="n">
        <f aca="false">L24*P24</f>
        <v>0.266666666666667</v>
      </c>
      <c r="R24" s="38" t="n">
        <f aca="false">N24+O24+Q24</f>
        <v>1.31666666666667</v>
      </c>
      <c r="S24" s="38" t="n">
        <f aca="false">R24*J24</f>
        <v>4.45033333333333</v>
      </c>
      <c r="T24" s="38" t="n">
        <f aca="false">L24*F24*J24</f>
        <v>18.0266666666667</v>
      </c>
      <c r="U24" s="39" t="n">
        <f aca="false">IFERROR((T24-S24)/T24,0)</f>
        <v>0.753125</v>
      </c>
      <c r="V24" s="38" t="n">
        <f aca="false">IFERROR((T24-S24)/(J24*Producto!$D$11/60),0)</f>
        <v>80.3333333333333</v>
      </c>
    </row>
    <row r="25" customFormat="false" ht="12.75" hidden="false" customHeight="true" outlineLevel="0" collapsed="false">
      <c r="A25" s="40" t="s">
        <v>134</v>
      </c>
      <c r="B25" s="41" t="s">
        <v>135</v>
      </c>
      <c r="C25" s="42" t="n">
        <v>0</v>
      </c>
      <c r="D25" s="43" t="n">
        <v>0</v>
      </c>
      <c r="E25" s="42" t="n">
        <v>30</v>
      </c>
      <c r="F25" s="44" t="n">
        <v>1.3</v>
      </c>
      <c r="G25" s="35" t="n">
        <f aca="false">F25/E25*1000</f>
        <v>43.3333333333333</v>
      </c>
      <c r="H25" s="45" t="n">
        <v>2</v>
      </c>
      <c r="I25" s="45" t="n">
        <v>3</v>
      </c>
      <c r="J25" s="37" t="n">
        <f aca="false">Producto!$D$6/(H25+Producto!$D$7)</f>
        <v>15.21</v>
      </c>
      <c r="K25" s="42" t="n">
        <v>200</v>
      </c>
      <c r="L25" s="37" t="n">
        <f aca="false">K25/E25</f>
        <v>6.66666666666667</v>
      </c>
      <c r="M25" s="37" t="n">
        <f aca="false">J25*K25/1000</f>
        <v>3.042</v>
      </c>
      <c r="N25" s="44" t="n">
        <v>0.3</v>
      </c>
      <c r="O25" s="44" t="n">
        <v>0.3</v>
      </c>
      <c r="P25" s="44" t="n">
        <v>0.1</v>
      </c>
      <c r="Q25" s="38" t="n">
        <f aca="false">L25*P25</f>
        <v>0.666666666666667</v>
      </c>
      <c r="R25" s="38" t="n">
        <f aca="false">N25+O25+Q25</f>
        <v>1.26666666666667</v>
      </c>
      <c r="S25" s="38" t="n">
        <f aca="false">R25*J25</f>
        <v>19.266</v>
      </c>
      <c r="T25" s="38" t="n">
        <f aca="false">L25*F25*J25</f>
        <v>131.82</v>
      </c>
      <c r="U25" s="39" t="n">
        <f aca="false">IFERROR((T25-S25)/T25,0)</f>
        <v>0.853846153846154</v>
      </c>
      <c r="V25" s="38" t="n">
        <f aca="false">IFERROR((T25-S25)/(J25*Producto!$D$11/60),0)</f>
        <v>148</v>
      </c>
    </row>
    <row r="26" customFormat="false" ht="12.75" hidden="false" customHeight="true" outlineLevel="0" collapsed="false">
      <c r="A26" s="40" t="s">
        <v>136</v>
      </c>
      <c r="B26" s="41" t="s">
        <v>135</v>
      </c>
      <c r="C26" s="42" t="n">
        <v>0</v>
      </c>
      <c r="D26" s="43" t="n">
        <v>0</v>
      </c>
      <c r="E26" s="42" t="n">
        <v>30</v>
      </c>
      <c r="F26" s="44" t="n">
        <v>1.44</v>
      </c>
      <c r="G26" s="35" t="n">
        <f aca="false">F26/E26*1000</f>
        <v>48</v>
      </c>
      <c r="H26" s="45" t="n">
        <v>8</v>
      </c>
      <c r="I26" s="45" t="n">
        <v>3</v>
      </c>
      <c r="J26" s="37" t="n">
        <f aca="false">Producto!$D$6/(H26+Producto!$D$7)</f>
        <v>3.8025</v>
      </c>
      <c r="K26" s="42" t="n">
        <v>220</v>
      </c>
      <c r="L26" s="37" t="n">
        <f aca="false">K26/E26</f>
        <v>7.33333333333333</v>
      </c>
      <c r="M26" s="37" t="n">
        <f aca="false">J26*K26/1000</f>
        <v>0.83655</v>
      </c>
      <c r="N26" s="44" t="n">
        <v>1.5</v>
      </c>
      <c r="O26" s="44" t="n">
        <v>0.3</v>
      </c>
      <c r="P26" s="44" t="n">
        <v>0.1</v>
      </c>
      <c r="Q26" s="38" t="n">
        <f aca="false">L26*P26</f>
        <v>0.733333333333333</v>
      </c>
      <c r="R26" s="38" t="n">
        <f aca="false">N26+O26+Q26</f>
        <v>2.53333333333333</v>
      </c>
      <c r="S26" s="38" t="n">
        <f aca="false">R26*J26</f>
        <v>9.633</v>
      </c>
      <c r="T26" s="38" t="n">
        <f aca="false">L26*F26*J26</f>
        <v>40.1544</v>
      </c>
      <c r="U26" s="39" t="n">
        <f aca="false">IFERROR((T26-S26)/T26,0)</f>
        <v>0.76010101010101</v>
      </c>
      <c r="V26" s="38" t="n">
        <f aca="false">IFERROR((T26-S26)/(J26*Producto!$D$11/60),0)</f>
        <v>160.533333333333</v>
      </c>
    </row>
    <row r="27" customFormat="false" ht="12.75" hidden="false" customHeight="true" outlineLevel="0" collapsed="false">
      <c r="A27" s="40" t="s">
        <v>137</v>
      </c>
      <c r="B27" s="41" t="s">
        <v>135</v>
      </c>
      <c r="C27" s="42" t="n">
        <v>0</v>
      </c>
      <c r="D27" s="43" t="n">
        <v>0</v>
      </c>
      <c r="E27" s="42" t="n">
        <v>30</v>
      </c>
      <c r="F27" s="44" t="n">
        <v>1.8</v>
      </c>
      <c r="G27" s="35" t="n">
        <f aca="false">F27/E27*1000</f>
        <v>60</v>
      </c>
      <c r="H27" s="45" t="n">
        <v>8</v>
      </c>
      <c r="I27" s="45" t="n">
        <v>4</v>
      </c>
      <c r="J27" s="37" t="n">
        <f aca="false">Producto!$D$6/(H27+Producto!$D$7)</f>
        <v>3.8025</v>
      </c>
      <c r="K27" s="42" t="n">
        <v>150</v>
      </c>
      <c r="L27" s="37" t="n">
        <f aca="false">K27/E27</f>
        <v>5</v>
      </c>
      <c r="M27" s="37" t="n">
        <f aca="false">J27*K27/1000</f>
        <v>0.570375</v>
      </c>
      <c r="N27" s="44" t="n">
        <v>0.6</v>
      </c>
      <c r="O27" s="44" t="n">
        <v>0.3</v>
      </c>
      <c r="P27" s="44" t="n">
        <v>0.1</v>
      </c>
      <c r="Q27" s="38" t="n">
        <f aca="false">L27*P27</f>
        <v>0.5</v>
      </c>
      <c r="R27" s="38" t="n">
        <f aca="false">N27+O27+Q27</f>
        <v>1.4</v>
      </c>
      <c r="S27" s="38" t="n">
        <f aca="false">R27*J27</f>
        <v>5.3235</v>
      </c>
      <c r="T27" s="38" t="n">
        <f aca="false">L27*F27*J27</f>
        <v>34.2225</v>
      </c>
      <c r="U27" s="39" t="n">
        <f aca="false">IFERROR((T27-S27)/T27,0)</f>
        <v>0.844444444444444</v>
      </c>
      <c r="V27" s="38" t="n">
        <f aca="false">IFERROR((T27-S27)/(J27*Producto!$D$11/60),0)</f>
        <v>152</v>
      </c>
    </row>
    <row r="28" customFormat="false" ht="12.75" hidden="false" customHeight="true" outlineLevel="0" collapsed="false">
      <c r="A28" s="40" t="s">
        <v>138</v>
      </c>
      <c r="B28" s="41" t="s">
        <v>135</v>
      </c>
      <c r="C28" s="42" t="n">
        <v>0</v>
      </c>
      <c r="D28" s="43" t="n">
        <v>0</v>
      </c>
      <c r="E28" s="42" t="n">
        <v>30</v>
      </c>
      <c r="F28" s="44" t="n">
        <v>1.8</v>
      </c>
      <c r="G28" s="35" t="n">
        <f aca="false">F28/E28*1000</f>
        <v>60</v>
      </c>
      <c r="H28" s="45" t="n">
        <v>8</v>
      </c>
      <c r="I28" s="45" t="n">
        <v>4</v>
      </c>
      <c r="J28" s="37" t="n">
        <f aca="false">Producto!$D$6/(H28+Producto!$D$7)</f>
        <v>3.8025</v>
      </c>
      <c r="K28" s="42" t="n">
        <v>115</v>
      </c>
      <c r="L28" s="37" t="n">
        <f aca="false">K28/E28</f>
        <v>3.83333333333333</v>
      </c>
      <c r="M28" s="37" t="n">
        <f aca="false">J28*K28/1000</f>
        <v>0.4372875</v>
      </c>
      <c r="N28" s="44" t="n">
        <v>0.6</v>
      </c>
      <c r="O28" s="44" t="n">
        <v>0.3</v>
      </c>
      <c r="P28" s="44" t="n">
        <v>0.1</v>
      </c>
      <c r="Q28" s="38" t="n">
        <f aca="false">L28*P28</f>
        <v>0.383333333333333</v>
      </c>
      <c r="R28" s="38" t="n">
        <f aca="false">N28+O28+Q28</f>
        <v>1.28333333333333</v>
      </c>
      <c r="S28" s="38" t="n">
        <f aca="false">R28*J28</f>
        <v>4.879875</v>
      </c>
      <c r="T28" s="38" t="n">
        <f aca="false">L28*F28*J28</f>
        <v>26.23725</v>
      </c>
      <c r="U28" s="39" t="n">
        <f aca="false">IFERROR((T28-S28)/T28,0)</f>
        <v>0.814009661835749</v>
      </c>
      <c r="V28" s="38" t="n">
        <f aca="false">IFERROR((T28-S28)/(J28*Producto!$D$11/60),0)</f>
        <v>112.333333333333</v>
      </c>
    </row>
    <row r="29" customFormat="false" ht="12.75" hidden="false" customHeight="true" outlineLevel="0" collapsed="false">
      <c r="A29" s="40" t="s">
        <v>139</v>
      </c>
      <c r="B29" s="41" t="s">
        <v>135</v>
      </c>
      <c r="C29" s="42" t="n">
        <v>0</v>
      </c>
      <c r="D29" s="43" t="n">
        <v>0</v>
      </c>
      <c r="E29" s="42" t="n">
        <v>30</v>
      </c>
      <c r="F29" s="44" t="n">
        <v>2.6</v>
      </c>
      <c r="G29" s="35" t="n">
        <f aca="false">F29/E29*1000</f>
        <v>86.6666666666667</v>
      </c>
      <c r="H29" s="45" t="n">
        <v>12</v>
      </c>
      <c r="I29" s="45" t="n">
        <v>5</v>
      </c>
      <c r="J29" s="37" t="n">
        <f aca="false">Producto!$D$6/(H29+Producto!$D$7)</f>
        <v>2.535</v>
      </c>
      <c r="K29" s="42" t="n">
        <v>90</v>
      </c>
      <c r="L29" s="37" t="n">
        <f aca="false">K29/E29</f>
        <v>3</v>
      </c>
      <c r="M29" s="37" t="n">
        <f aca="false">J29*K29/1000</f>
        <v>0.22815</v>
      </c>
      <c r="N29" s="44" t="n">
        <v>0.5</v>
      </c>
      <c r="O29" s="44" t="n">
        <v>0.3</v>
      </c>
      <c r="P29" s="44" t="n">
        <v>0.1</v>
      </c>
      <c r="Q29" s="38" t="n">
        <f aca="false">L29*P29</f>
        <v>0.3</v>
      </c>
      <c r="R29" s="38" t="n">
        <f aca="false">N29+O29+Q29</f>
        <v>1.1</v>
      </c>
      <c r="S29" s="38" t="n">
        <f aca="false">R29*J29</f>
        <v>2.7885</v>
      </c>
      <c r="T29" s="38" t="n">
        <f aca="false">L29*F29*J29</f>
        <v>19.773</v>
      </c>
      <c r="U29" s="39" t="n">
        <f aca="false">IFERROR((T29-S29)/T29,0)</f>
        <v>0.858974358974359</v>
      </c>
      <c r="V29" s="38" t="n">
        <f aca="false">IFERROR((T29-S29)/(J29*Producto!$D$11/60),0)</f>
        <v>134</v>
      </c>
    </row>
    <row r="30" customFormat="false" ht="12.75" hidden="false" customHeight="true" outlineLevel="0" collapsed="false">
      <c r="A30" s="40" t="s">
        <v>140</v>
      </c>
      <c r="B30" s="41" t="s">
        <v>135</v>
      </c>
      <c r="C30" s="42" t="n">
        <v>0</v>
      </c>
      <c r="D30" s="43" t="n">
        <v>0</v>
      </c>
      <c r="E30" s="42" t="n">
        <v>30</v>
      </c>
      <c r="F30" s="44" t="n">
        <v>2.4</v>
      </c>
      <c r="G30" s="35" t="n">
        <f aca="false">F30/E30*1000</f>
        <v>80</v>
      </c>
      <c r="H30" s="45" t="n">
        <v>12</v>
      </c>
      <c r="I30" s="45" t="n">
        <v>6</v>
      </c>
      <c r="J30" s="37" t="n">
        <f aca="false">Producto!$D$6/(H30+Producto!$D$7)</f>
        <v>2.535</v>
      </c>
      <c r="K30" s="42" t="n">
        <v>75</v>
      </c>
      <c r="L30" s="37" t="n">
        <f aca="false">K30/E30</f>
        <v>2.5</v>
      </c>
      <c r="M30" s="37" t="n">
        <f aca="false">J30*K30/1000</f>
        <v>0.190125</v>
      </c>
      <c r="N30" s="44" t="n">
        <v>0.6</v>
      </c>
      <c r="O30" s="44" t="n">
        <v>0.3</v>
      </c>
      <c r="P30" s="44" t="n">
        <v>0.1</v>
      </c>
      <c r="Q30" s="38" t="n">
        <f aca="false">L30*P30</f>
        <v>0.25</v>
      </c>
      <c r="R30" s="38" t="n">
        <f aca="false">N30+O30+Q30</f>
        <v>1.15</v>
      </c>
      <c r="S30" s="38" t="n">
        <f aca="false">R30*J30</f>
        <v>2.91525</v>
      </c>
      <c r="T30" s="38" t="n">
        <f aca="false">L30*F30*J30</f>
        <v>15.21</v>
      </c>
      <c r="U30" s="39" t="n">
        <f aca="false">IFERROR((T30-S30)/T30,0)</f>
        <v>0.808333333333333</v>
      </c>
      <c r="V30" s="38" t="n">
        <f aca="false">IFERROR((T30-S30)/(J30*Producto!$D$11/60),0)</f>
        <v>97</v>
      </c>
    </row>
    <row r="31" customFormat="false" ht="12.75" hidden="false" customHeight="true" outlineLevel="0" collapsed="false">
      <c r="A31" s="40" t="s">
        <v>141</v>
      </c>
      <c r="B31" s="41" t="s">
        <v>135</v>
      </c>
      <c r="C31" s="42" t="n">
        <v>0</v>
      </c>
      <c r="D31" s="43" t="n">
        <v>0</v>
      </c>
      <c r="E31" s="42" t="n">
        <v>30</v>
      </c>
      <c r="F31" s="44" t="n">
        <v>2.6</v>
      </c>
      <c r="G31" s="35" t="n">
        <f aca="false">F31/E31*1000</f>
        <v>86.6666666666667</v>
      </c>
      <c r="H31" s="45" t="n">
        <v>14</v>
      </c>
      <c r="I31" s="45" t="n">
        <v>6</v>
      </c>
      <c r="J31" s="37" t="n">
        <f aca="false">Producto!$D$6/(H31+Producto!$D$7)</f>
        <v>2.17285714285714</v>
      </c>
      <c r="K31" s="42" t="n">
        <v>70</v>
      </c>
      <c r="L31" s="37" t="n">
        <f aca="false">K31/E31</f>
        <v>2.33333333333333</v>
      </c>
      <c r="M31" s="37" t="n">
        <f aca="false">J31*K31/1000</f>
        <v>0.1521</v>
      </c>
      <c r="N31" s="44" t="n">
        <v>0.7</v>
      </c>
      <c r="O31" s="44" t="n">
        <v>0.3</v>
      </c>
      <c r="P31" s="44" t="n">
        <v>0.1</v>
      </c>
      <c r="Q31" s="38" t="n">
        <f aca="false">L31*P31</f>
        <v>0.233333333333333</v>
      </c>
      <c r="R31" s="38" t="n">
        <f aca="false">N31+O31+Q31</f>
        <v>1.23333333333333</v>
      </c>
      <c r="S31" s="38" t="n">
        <f aca="false">R31*J31</f>
        <v>2.67985714285714</v>
      </c>
      <c r="T31" s="38" t="n">
        <f aca="false">L31*F31*J31</f>
        <v>13.182</v>
      </c>
      <c r="U31" s="39" t="n">
        <f aca="false">IFERROR((T31-S31)/T31,0)</f>
        <v>0.796703296703297</v>
      </c>
      <c r="V31" s="38" t="n">
        <f aca="false">IFERROR((T31-S31)/(J31*Producto!$D$11/60),0)</f>
        <v>96.6666666666667</v>
      </c>
    </row>
    <row r="32" customFormat="false" ht="12.75" hidden="false" customHeight="true" outlineLevel="0" collapsed="false">
      <c r="A32" s="46" t="s">
        <v>142</v>
      </c>
      <c r="B32" s="46"/>
      <c r="C32" s="46"/>
      <c r="D32" s="47" t="n">
        <f aca="false">SUMPRODUCT(C16:C31,D16:D31)</f>
        <v>1</v>
      </c>
      <c r="E32" s="46"/>
      <c r="F32" s="46"/>
      <c r="G32" s="46"/>
      <c r="H32" s="46"/>
      <c r="I32" s="46"/>
      <c r="J32" s="48" t="n">
        <f aca="false">SUMPRODUCT(C16:C31,D16:D31,J16:J31)</f>
        <v>6.85271683046683</v>
      </c>
      <c r="K32" s="46"/>
      <c r="L32" s="46"/>
      <c r="M32" s="48" t="n">
        <f aca="false">SUMPRODUCT(C16:C31,D16:D31,M16:M31)</f>
        <v>1.12251745208845</v>
      </c>
      <c r="N32" s="46"/>
      <c r="O32" s="46"/>
      <c r="P32" s="46"/>
      <c r="Q32" s="46"/>
      <c r="R32" s="46"/>
      <c r="S32" s="49" t="n">
        <f aca="false">SUMPRODUCT(C16:C31,D16:D31,S16:S31)</f>
        <v>7.67336864496315</v>
      </c>
      <c r="T32" s="49" t="n">
        <f aca="false">SUMPRODUCT(C16:C31,D16:D31,T16:T31)</f>
        <v>44.1386326535627</v>
      </c>
      <c r="U32" s="47" t="n">
        <f aca="false">IFERROR((T32-S32)/T32,0)</f>
        <v>0.826153005119342</v>
      </c>
      <c r="V32" s="49" t="n">
        <f aca="false">IFERROR((T32-S32)/(J32*Producto!$D$11/60),0)</f>
        <v>106.42571380296</v>
      </c>
    </row>
    <row r="33" customFormat="false" ht="13.5" hidden="false" customHeight="true" outlineLevel="0" collapsed="false"/>
    <row r="34" customFormat="false" ht="13.5" hidden="false" customHeight="true" outlineLevel="0" collapsed="false">
      <c r="A34" s="6" t="s">
        <v>143</v>
      </c>
      <c r="D34" s="50" t="str">
        <f aca="false">IF(ABS(D32-1)&lt;0.001,"OK — 100%","REVISAR: "&amp;TEXT(D32,"0%"))</f>
        <v>OK — 100%</v>
      </c>
      <c r="F34" s="27" t="s">
        <v>144</v>
      </c>
    </row>
    <row r="35" customFormat="false" ht="13.5" hidden="false" customHeight="true" outlineLevel="0" collapsed="false">
      <c r="A35" s="6" t="s">
        <v>145</v>
      </c>
      <c r="D35" s="51" t="n">
        <f aca="false">IFERROR(T32/M32,0)</f>
        <v>39.3211103947136</v>
      </c>
    </row>
    <row r="36" customFormat="false" ht="13.5" hidden="false" customHeight="true" outlineLevel="0" collapsed="false">
      <c r="A36" s="6" t="s">
        <v>146</v>
      </c>
      <c r="D36" s="52" t="n">
        <f aca="false">U32</f>
        <v>0.826153005119342</v>
      </c>
    </row>
  </sheetData>
  <dataValidations count="1">
    <dataValidation allowBlank="false" errorStyle="stop" operator="equal" showDropDown="false" showErrorMessage="false" showInputMessage="false" sqref="C16:C3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7"/>
    <col collapsed="false" customWidth="true" hidden="false" outlineLevel="0" max="3" min="3" style="1" width="8"/>
    <col collapsed="false" customWidth="true" hidden="false" outlineLevel="0" max="6" min="4" style="1" width="7"/>
    <col collapsed="false" customWidth="true" hidden="false" outlineLevel="0" max="15" min="7" style="1" width="8"/>
    <col collapsed="false" customWidth="true" hidden="false" outlineLevel="0" max="16" min="16" style="1" width="9"/>
    <col collapsed="false" customWidth="true" hidden="false" outlineLevel="0" max="18" min="17" style="1" width="11"/>
    <col collapsed="false" customWidth="true" hidden="false" outlineLevel="0" max="22" min="19" style="1" width="9"/>
    <col collapsed="false" customWidth="true" hidden="false" outlineLevel="0" max="23" min="23" style="1" width="10"/>
    <col collapsed="false" customWidth="true" hidden="false" outlineLevel="0" max="24" min="24" style="1" width="32"/>
  </cols>
  <sheetData>
    <row r="1" customFormat="false" ht="18" hidden="false" customHeight="true" outlineLevel="0" collapsed="false">
      <c r="A1" s="8" t="s">
        <v>147</v>
      </c>
    </row>
    <row r="2" customFormat="false" ht="13.5" hidden="false" customHeight="true" outlineLevel="0" collapsed="false">
      <c r="A2" s="4" t="s">
        <v>148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6" t="s">
        <v>149</v>
      </c>
      <c r="D4" s="24" t="n">
        <v>4.35</v>
      </c>
    </row>
    <row r="5" customFormat="false" ht="13.5" hidden="false" customHeight="true" outlineLevel="0" collapsed="false"/>
    <row r="6" customFormat="false" ht="13.5" hidden="false" customHeight="true" outlineLevel="0" collapsed="false">
      <c r="A6" s="22" t="s">
        <v>150</v>
      </c>
      <c r="G6" s="11" t="s">
        <v>151</v>
      </c>
      <c r="H6" s="11" t="s">
        <v>152</v>
      </c>
      <c r="I6" s="11" t="s">
        <v>153</v>
      </c>
      <c r="J6" s="11" t="s">
        <v>154</v>
      </c>
      <c r="K6" s="11" t="s">
        <v>155</v>
      </c>
      <c r="L6" s="11" t="s">
        <v>156</v>
      </c>
      <c r="M6" s="11" t="s">
        <v>157</v>
      </c>
      <c r="N6" s="11" t="s">
        <v>158</v>
      </c>
      <c r="O6" s="11" t="s">
        <v>159</v>
      </c>
    </row>
    <row r="7" customFormat="false" ht="13.5" hidden="false" customHeight="true" outlineLevel="0" collapsed="false">
      <c r="A7" s="53" t="s">
        <v>160</v>
      </c>
      <c r="G7" s="38" t="n">
        <f aca="false">Producto!F16</f>
        <v>3</v>
      </c>
      <c r="H7" s="38" t="n">
        <f aca="false">Producto!F17</f>
        <v>2.4</v>
      </c>
      <c r="I7" s="38" t="n">
        <f aca="false">Producto!F18</f>
        <v>2.5</v>
      </c>
      <c r="J7" s="38" t="n">
        <f aca="false">Producto!F19</f>
        <v>1.3</v>
      </c>
      <c r="K7" s="38" t="n">
        <f aca="false">Producto!F20</f>
        <v>1.3</v>
      </c>
      <c r="L7" s="38" t="n">
        <f aca="false">Producto!F21</f>
        <v>1.3</v>
      </c>
      <c r="M7" s="38" t="n">
        <f aca="false">Producto!F22</f>
        <v>1.3</v>
      </c>
      <c r="N7" s="38" t="n">
        <f aca="false">Producto!F23</f>
        <v>1.3</v>
      </c>
      <c r="O7" s="38" t="n">
        <f aca="false">Producto!F24</f>
        <v>2</v>
      </c>
    </row>
    <row r="8" customFormat="false" ht="13.5" hidden="false" customHeight="true" outlineLevel="0" collapsed="false">
      <c r="A8" s="53" t="s">
        <v>161</v>
      </c>
      <c r="G8" s="37" t="n">
        <f aca="false">Producto!L16</f>
        <v>1.7</v>
      </c>
      <c r="H8" s="37" t="n">
        <f aca="false">Producto!L17</f>
        <v>4</v>
      </c>
      <c r="I8" s="37" t="n">
        <f aca="false">Producto!L18</f>
        <v>3.33333333333333</v>
      </c>
      <c r="J8" s="37" t="n">
        <f aca="false">Producto!L19</f>
        <v>5.83333333333333</v>
      </c>
      <c r="K8" s="37" t="n">
        <f aca="false">Producto!L20</f>
        <v>5.66666666666667</v>
      </c>
      <c r="L8" s="37" t="n">
        <f aca="false">Producto!L21</f>
        <v>5.83333333333333</v>
      </c>
      <c r="M8" s="37" t="n">
        <f aca="false">Producto!L22</f>
        <v>5.33333333333333</v>
      </c>
      <c r="N8" s="37" t="n">
        <f aca="false">Producto!L23</f>
        <v>5.66666666666667</v>
      </c>
      <c r="O8" s="37" t="n">
        <f aca="false">Producto!L24</f>
        <v>2.66666666666667</v>
      </c>
    </row>
    <row r="9" customFormat="false" ht="13.5" hidden="false" customHeight="true" outlineLevel="0" collapsed="false">
      <c r="A9" s="53" t="s">
        <v>162</v>
      </c>
      <c r="G9" s="37" t="n">
        <f aca="false">Producto!J16</f>
        <v>8.22162162162162</v>
      </c>
      <c r="H9" s="37" t="n">
        <f aca="false">Producto!J17</f>
        <v>2.76545454545455</v>
      </c>
      <c r="I9" s="37" t="n">
        <f aca="false">Producto!J18</f>
        <v>2.34</v>
      </c>
      <c r="J9" s="37" t="n">
        <f aca="false">Producto!J19</f>
        <v>10.14</v>
      </c>
      <c r="K9" s="37" t="n">
        <f aca="false">Producto!J20</f>
        <v>7.605</v>
      </c>
      <c r="L9" s="37" t="n">
        <f aca="false">Producto!J21</f>
        <v>10.14</v>
      </c>
      <c r="M9" s="37" t="n">
        <f aca="false">Producto!J22</f>
        <v>7.605</v>
      </c>
      <c r="N9" s="37" t="n">
        <f aca="false">Producto!J23</f>
        <v>7.605</v>
      </c>
      <c r="O9" s="37" t="n">
        <f aca="false">Producto!J24</f>
        <v>3.38</v>
      </c>
    </row>
    <row r="10" customFormat="false" ht="13.5" hidden="false" customHeight="true" outlineLevel="0" collapsed="false">
      <c r="A10" s="53" t="s">
        <v>163</v>
      </c>
      <c r="G10" s="38" t="n">
        <f aca="false">Producto!R16/Producto!L16</f>
        <v>0.629411764705882</v>
      </c>
      <c r="H10" s="38" t="n">
        <f aca="false">Producto!R17/Producto!L17</f>
        <v>0.235</v>
      </c>
      <c r="I10" s="38" t="n">
        <f aca="false">Producto!R18/Producto!L18</f>
        <v>0.322</v>
      </c>
      <c r="J10" s="38" t="n">
        <f aca="false">Producto!R19/Producto!L19</f>
        <v>0.202857142857143</v>
      </c>
      <c r="K10" s="38" t="n">
        <f aca="false">Producto!R20/Producto!L20</f>
        <v>0.182941176470588</v>
      </c>
      <c r="L10" s="38" t="n">
        <f aca="false">Producto!R21/Producto!L21</f>
        <v>0.202857142857143</v>
      </c>
      <c r="M10" s="38" t="n">
        <f aca="false">Producto!R22/Producto!L22</f>
        <v>0.255625</v>
      </c>
      <c r="N10" s="38" t="n">
        <f aca="false">Producto!R23/Producto!L23</f>
        <v>0.25</v>
      </c>
      <c r="O10" s="38" t="n">
        <f aca="false">Producto!R24/Producto!L24</f>
        <v>0.49375</v>
      </c>
    </row>
    <row r="11" customFormat="false" ht="13.5" hidden="false" customHeight="true" outlineLevel="0" collapsed="false">
      <c r="A11" s="53" t="s">
        <v>164</v>
      </c>
      <c r="G11" s="54" t="n">
        <f aca="false">Producto!E16</f>
        <v>100</v>
      </c>
      <c r="H11" s="54" t="n">
        <f aca="false">Producto!E17</f>
        <v>30</v>
      </c>
      <c r="I11" s="54" t="n">
        <f aca="false">Producto!E18</f>
        <v>30</v>
      </c>
      <c r="J11" s="54" t="n">
        <f aca="false">Producto!E19</f>
        <v>30</v>
      </c>
      <c r="K11" s="54" t="n">
        <f aca="false">Producto!E20</f>
        <v>30</v>
      </c>
      <c r="L11" s="54" t="n">
        <f aca="false">Producto!E21</f>
        <v>30</v>
      </c>
      <c r="M11" s="54" t="n">
        <f aca="false">Producto!E22</f>
        <v>30</v>
      </c>
      <c r="N11" s="54" t="n">
        <f aca="false">Producto!E23</f>
        <v>30</v>
      </c>
      <c r="O11" s="54" t="n">
        <f aca="false">Producto!E24</f>
        <v>30</v>
      </c>
    </row>
    <row r="12" customFormat="false" ht="13.5" hidden="false" customHeight="true" outlineLevel="0" collapsed="false">
      <c r="A12" s="53" t="s">
        <v>165</v>
      </c>
      <c r="G12" s="55" t="n">
        <f aca="false">1/(G8*G9)</f>
        <v>0.0715473566152299</v>
      </c>
      <c r="H12" s="55" t="n">
        <f aca="false">1/(H8*H9)</f>
        <v>0.0904010519395135</v>
      </c>
      <c r="I12" s="55" t="n">
        <f aca="false">1/(I8*I9)</f>
        <v>0.128205128205128</v>
      </c>
      <c r="J12" s="55" t="n">
        <f aca="false">1/(J8*J9)</f>
        <v>0.0169061707523246</v>
      </c>
      <c r="K12" s="55" t="n">
        <f aca="false">1/(K8*K9)</f>
        <v>0.0232045480914259</v>
      </c>
      <c r="L12" s="55" t="n">
        <f aca="false">1/(L8*L9)</f>
        <v>0.0169061707523246</v>
      </c>
      <c r="M12" s="55" t="n">
        <f aca="false">1/(M8*M9)</f>
        <v>0.02465483234714</v>
      </c>
      <c r="N12" s="55" t="n">
        <f aca="false">1/(N8*N9)</f>
        <v>0.0232045480914259</v>
      </c>
      <c r="O12" s="55" t="n">
        <f aca="false">1/(O8*O9)</f>
        <v>0.11094674556213</v>
      </c>
    </row>
    <row r="13" customFormat="false" ht="13.5" hidden="false" customHeight="true" outlineLevel="0" collapsed="false">
      <c r="A13" s="53" t="s">
        <v>166</v>
      </c>
      <c r="G13" s="56" t="n">
        <f aca="false">1/G8</f>
        <v>0.588235294117647</v>
      </c>
      <c r="H13" s="56" t="n">
        <f aca="false">1/H8</f>
        <v>0.25</v>
      </c>
      <c r="I13" s="56" t="n">
        <f aca="false">1/I8</f>
        <v>0.3</v>
      </c>
      <c r="J13" s="56" t="n">
        <f aca="false">1/J8</f>
        <v>0.171428571428571</v>
      </c>
      <c r="K13" s="56" t="n">
        <f aca="false">1/K8</f>
        <v>0.176470588235294</v>
      </c>
      <c r="L13" s="56" t="n">
        <f aca="false">1/L8</f>
        <v>0.171428571428571</v>
      </c>
      <c r="M13" s="56" t="n">
        <f aca="false">1/M8</f>
        <v>0.1875</v>
      </c>
      <c r="N13" s="56" t="n">
        <f aca="false">1/N8</f>
        <v>0.176470588235294</v>
      </c>
      <c r="O13" s="56" t="n">
        <f aca="false">1/O8</f>
        <v>0.375</v>
      </c>
    </row>
    <row r="14" customFormat="false" ht="13.5" hidden="false" customHeight="true" outlineLevel="0" collapsed="false">
      <c r="G14" s="53" t="s">
        <v>167</v>
      </c>
    </row>
    <row r="15" customFormat="false" ht="39.75" hidden="false" customHeight="true" outlineLevel="0" collapsed="false">
      <c r="A15" s="29" t="s">
        <v>168</v>
      </c>
      <c r="B15" s="29" t="s">
        <v>169</v>
      </c>
      <c r="C15" s="29" t="s">
        <v>170</v>
      </c>
      <c r="D15" s="29" t="s">
        <v>171</v>
      </c>
      <c r="E15" s="29" t="s">
        <v>172</v>
      </c>
      <c r="F15" s="29" t="s">
        <v>173</v>
      </c>
      <c r="G15" s="29" t="s">
        <v>151</v>
      </c>
      <c r="H15" s="29" t="s">
        <v>152</v>
      </c>
      <c r="I15" s="29" t="s">
        <v>153</v>
      </c>
      <c r="J15" s="29" t="s">
        <v>154</v>
      </c>
      <c r="K15" s="29" t="s">
        <v>155</v>
      </c>
      <c r="L15" s="29" t="s">
        <v>156</v>
      </c>
      <c r="M15" s="29" t="s">
        <v>157</v>
      </c>
      <c r="N15" s="29" t="s">
        <v>158</v>
      </c>
      <c r="O15" s="29" t="s">
        <v>159</v>
      </c>
      <c r="P15" s="29" t="s">
        <v>174</v>
      </c>
      <c r="Q15" s="29" t="s">
        <v>175</v>
      </c>
      <c r="R15" s="29" t="s">
        <v>176</v>
      </c>
      <c r="S15" s="29" t="s">
        <v>177</v>
      </c>
      <c r="T15" s="29" t="s">
        <v>178</v>
      </c>
      <c r="U15" s="29" t="s">
        <v>179</v>
      </c>
      <c r="V15" s="29" t="s">
        <v>180</v>
      </c>
      <c r="W15" s="29" t="s">
        <v>181</v>
      </c>
      <c r="X15" s="29" t="s">
        <v>182</v>
      </c>
    </row>
    <row r="16" customFormat="false" ht="12.75" hidden="false" customHeight="true" outlineLevel="0" collapsed="false">
      <c r="A16" s="30" t="s">
        <v>183</v>
      </c>
      <c r="B16" s="57" t="s">
        <v>184</v>
      </c>
      <c r="C16" s="33" t="n">
        <v>0</v>
      </c>
      <c r="D16" s="33" t="n">
        <v>0.95</v>
      </c>
      <c r="E16" s="32" t="n">
        <v>1</v>
      </c>
      <c r="F16" s="32" t="n">
        <v>3</v>
      </c>
      <c r="G16" s="32" t="n">
        <v>0</v>
      </c>
      <c r="H16" s="32" t="n">
        <v>200</v>
      </c>
      <c r="I16" s="32" t="n">
        <v>100</v>
      </c>
      <c r="J16" s="32" t="n">
        <v>0</v>
      </c>
      <c r="K16" s="32" t="n">
        <v>0</v>
      </c>
      <c r="L16" s="32" t="n">
        <v>0</v>
      </c>
      <c r="M16" s="32" t="n">
        <v>0</v>
      </c>
      <c r="N16" s="32" t="n">
        <v>0</v>
      </c>
      <c r="O16" s="32" t="n">
        <v>0</v>
      </c>
      <c r="P16" s="58" t="n">
        <f aca="false">SUM(G16:O16)*Pipeline!$D$4</f>
        <v>1305</v>
      </c>
      <c r="Q16" s="59" t="n">
        <f aca="false">SUMPRODUCT(G$7:O$7,G16:O16)*Pipeline!$D$4*(1-C16)</f>
        <v>3175.5</v>
      </c>
      <c r="R16" s="59" t="n">
        <f aca="false">Q16*D16</f>
        <v>3016.725</v>
      </c>
      <c r="S16" s="60" t="n">
        <f aca="false">SUMPRODUCT(G$11:O$11,G16:O16)*Pipeline!$D$4/1000</f>
        <v>39.15</v>
      </c>
      <c r="T16" s="58" t="n">
        <f aca="false">SUMPRODUCT(G$13:O$13,G16:O16)*Pipeline!$D$4</f>
        <v>348</v>
      </c>
      <c r="U16" s="60" t="n">
        <f aca="false">SUMPRODUCT(G$12:O$12,G16:O16)*Pipeline!$D$4</f>
        <v>134.418145956607</v>
      </c>
      <c r="V16" s="61" t="n">
        <f aca="false">IFERROR(U16/(Hipótesis!$F$26*Hipótesis!$D$13),0)</f>
        <v>0.0466729673460443</v>
      </c>
      <c r="W16" s="59" t="n">
        <f aca="false">SUMPRODUCT(G$10:O$10,G16:O16)*Pipeline!$D$4</f>
        <v>344.52</v>
      </c>
      <c r="X16" s="53" t="s">
        <v>185</v>
      </c>
    </row>
    <row r="17" customFormat="false" ht="12.75" hidden="false" customHeight="true" outlineLevel="0" collapsed="false">
      <c r="A17" s="30" t="s">
        <v>186</v>
      </c>
      <c r="B17" s="57" t="s">
        <v>187</v>
      </c>
      <c r="C17" s="33" t="n">
        <v>0</v>
      </c>
      <c r="D17" s="33" t="n">
        <v>0.6</v>
      </c>
      <c r="E17" s="32" t="n">
        <v>2</v>
      </c>
      <c r="F17" s="32" t="n">
        <v>3</v>
      </c>
      <c r="G17" s="32" t="n">
        <v>30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58" t="n">
        <f aca="false">SUM(G17:O17)*Pipeline!$D$4</f>
        <v>130.5</v>
      </c>
      <c r="Q17" s="59" t="n">
        <f aca="false">SUMPRODUCT(G$7:O$7,G17:O17)*Pipeline!$D$4*(1-C17)</f>
        <v>391.5</v>
      </c>
      <c r="R17" s="59" t="n">
        <f aca="false">Q17*D17</f>
        <v>234.9</v>
      </c>
      <c r="S17" s="60" t="n">
        <f aca="false">SUMPRODUCT(G$11:O$11,G17:O17)*Pipeline!$D$4/1000</f>
        <v>13.05</v>
      </c>
      <c r="T17" s="58" t="n">
        <f aca="false">SUMPRODUCT(G$13:O$13,G17:O17)*Pipeline!$D$4</f>
        <v>76.7647058823529</v>
      </c>
      <c r="U17" s="60" t="n">
        <f aca="false">SUMPRODUCT(G$12:O$12,G17:O17)*Pipeline!$D$4</f>
        <v>9.3369300382875</v>
      </c>
      <c r="V17" s="61" t="n">
        <f aca="false">IFERROR(U17/(Hipótesis!$F$26*Hipótesis!$D$13),0)</f>
        <v>0.00324198959662761</v>
      </c>
      <c r="W17" s="59" t="n">
        <f aca="false">SUMPRODUCT(G$10:O$10,G17:O17)*Pipeline!$D$4</f>
        <v>82.1382352941177</v>
      </c>
      <c r="X17" s="53" t="s">
        <v>188</v>
      </c>
    </row>
    <row r="18" customFormat="false" ht="12.75" hidden="false" customHeight="true" outlineLevel="0" collapsed="false">
      <c r="A18" s="30" t="s">
        <v>189</v>
      </c>
      <c r="B18" s="57" t="s">
        <v>187</v>
      </c>
      <c r="C18" s="33" t="n">
        <v>0</v>
      </c>
      <c r="D18" s="33" t="n">
        <v>0.85</v>
      </c>
      <c r="E18" s="32" t="n">
        <v>3</v>
      </c>
      <c r="F18" s="32" t="n">
        <v>8</v>
      </c>
      <c r="G18" s="32" t="n">
        <v>600</v>
      </c>
      <c r="H18" s="32" t="n">
        <v>100</v>
      </c>
      <c r="I18" s="32" t="n">
        <v>100</v>
      </c>
      <c r="J18" s="32" t="n">
        <v>200</v>
      </c>
      <c r="K18" s="32" t="n">
        <v>0</v>
      </c>
      <c r="L18" s="32" t="n">
        <v>0</v>
      </c>
      <c r="M18" s="32" t="n">
        <v>0</v>
      </c>
      <c r="N18" s="32" t="n">
        <v>0</v>
      </c>
      <c r="O18" s="32" t="n">
        <v>0</v>
      </c>
      <c r="P18" s="58" t="n">
        <f aca="false">SUM(G18:O18)*Pipeline!$D$4</f>
        <v>4350</v>
      </c>
      <c r="Q18" s="59" t="n">
        <f aca="false">SUMPRODUCT(G$7:O$7,G18:O18)*Pipeline!$D$4*(1-C18)</f>
        <v>11092.5</v>
      </c>
      <c r="R18" s="59" t="n">
        <f aca="false">Q18*D18</f>
        <v>9428.625</v>
      </c>
      <c r="S18" s="60" t="n">
        <f aca="false">SUMPRODUCT(G$11:O$11,G18:O18)*Pipeline!$D$4/1000</f>
        <v>313.2</v>
      </c>
      <c r="T18" s="58" t="n">
        <f aca="false">SUMPRODUCT(G$13:O$13,G18:O18)*Pipeline!$D$4</f>
        <v>1923.68697478992</v>
      </c>
      <c r="U18" s="60" t="n">
        <f aca="false">SUMPRODUCT(G$12:O$12,G18:O18)*Pipeline!$D$4</f>
        <v>296.540657683192</v>
      </c>
      <c r="V18" s="61" t="n">
        <f aca="false">IFERROR(U18/(Hipótesis!$F$26*Hipótesis!$D$13),0)</f>
        <v>0.102965506139997</v>
      </c>
      <c r="W18" s="59" t="n">
        <f aca="false">SUMPRODUCT(G$10:O$10,G18:O18)*Pipeline!$D$4</f>
        <v>2061.54542016807</v>
      </c>
      <c r="X18" s="53" t="s">
        <v>190</v>
      </c>
    </row>
    <row r="19" customFormat="false" ht="12.75" hidden="false" customHeight="true" outlineLevel="0" collapsed="false">
      <c r="A19" s="30" t="s">
        <v>191</v>
      </c>
      <c r="B19" s="57" t="s">
        <v>192</v>
      </c>
      <c r="C19" s="33" t="n">
        <v>0.2</v>
      </c>
      <c r="D19" s="33" t="n">
        <v>0.55</v>
      </c>
      <c r="E19" s="32" t="n">
        <v>6</v>
      </c>
      <c r="F19" s="32" t="n">
        <v>8</v>
      </c>
      <c r="G19" s="32" t="n">
        <v>1000</v>
      </c>
      <c r="H19" s="32" t="n">
        <v>0</v>
      </c>
      <c r="I19" s="32" t="n">
        <v>0</v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58" t="n">
        <f aca="false">SUM(G19:O19)*Pipeline!$D$4</f>
        <v>4350</v>
      </c>
      <c r="Q19" s="59" t="n">
        <f aca="false">SUMPRODUCT(G$7:O$7,G19:O19)*Pipeline!$D$4*(1-C19)</f>
        <v>10440</v>
      </c>
      <c r="R19" s="59" t="n">
        <f aca="false">Q19*D19</f>
        <v>5742</v>
      </c>
      <c r="S19" s="60" t="n">
        <f aca="false">SUMPRODUCT(G$11:O$11,G19:O19)*Pipeline!$D$4/1000</f>
        <v>435</v>
      </c>
      <c r="T19" s="58" t="n">
        <f aca="false">SUMPRODUCT(G$13:O$13,G19:O19)*Pipeline!$D$4</f>
        <v>2558.82352941176</v>
      </c>
      <c r="U19" s="60" t="n">
        <f aca="false">SUMPRODUCT(G$12:O$12,G19:O19)*Pipeline!$D$4</f>
        <v>311.23100127625</v>
      </c>
      <c r="V19" s="61" t="n">
        <f aca="false">IFERROR(U19/(Hipótesis!$F$26*Hipótesis!$D$13),0)</f>
        <v>0.108066319887587</v>
      </c>
      <c r="W19" s="59" t="n">
        <f aca="false">SUMPRODUCT(G$10:O$10,G19:O19)*Pipeline!$D$4</f>
        <v>2737.94117647059</v>
      </c>
      <c r="X19" s="53" t="s">
        <v>193</v>
      </c>
    </row>
    <row r="20" customFormat="false" ht="12.75" hidden="false" customHeight="true" outlineLevel="0" collapsed="false">
      <c r="A20" s="30" t="s">
        <v>194</v>
      </c>
      <c r="B20" s="57" t="s">
        <v>187</v>
      </c>
      <c r="C20" s="33" t="n">
        <v>0.25</v>
      </c>
      <c r="D20" s="33" t="n">
        <v>0.25</v>
      </c>
      <c r="E20" s="32" t="n">
        <v>12</v>
      </c>
      <c r="F20" s="32" t="n">
        <v>10</v>
      </c>
      <c r="G20" s="32" t="n">
        <v>4000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0</v>
      </c>
      <c r="N20" s="32" t="n">
        <v>0</v>
      </c>
      <c r="O20" s="32" t="n">
        <v>0</v>
      </c>
      <c r="P20" s="58" t="n">
        <f aca="false">SUM(G20:O20)*Pipeline!$D$4</f>
        <v>17400</v>
      </c>
      <c r="Q20" s="59" t="n">
        <f aca="false">SUMPRODUCT(G$7:O$7,G20:O20)*Pipeline!$D$4*(1-C20)</f>
        <v>39150</v>
      </c>
      <c r="R20" s="59" t="n">
        <f aca="false">Q20*D20</f>
        <v>9787.5</v>
      </c>
      <c r="S20" s="60" t="n">
        <f aca="false">SUMPRODUCT(G$11:O$11,G20:O20)*Pipeline!$D$4/1000</f>
        <v>1740</v>
      </c>
      <c r="T20" s="58" t="n">
        <f aca="false">SUMPRODUCT(G$13:O$13,G20:O20)*Pipeline!$D$4</f>
        <v>10235.2941176471</v>
      </c>
      <c r="U20" s="60" t="n">
        <f aca="false">SUMPRODUCT(G$12:O$12,G20:O20)*Pipeline!$D$4</f>
        <v>1244.924005105</v>
      </c>
      <c r="V20" s="61" t="n">
        <f aca="false">IFERROR(U20/(Hipótesis!$F$26*Hipótesis!$D$13),0)</f>
        <v>0.432265279550347</v>
      </c>
      <c r="W20" s="59" t="n">
        <f aca="false">SUMPRODUCT(G$10:O$10,G20:O20)*Pipeline!$D$4</f>
        <v>10951.7647058824</v>
      </c>
      <c r="X20" s="53" t="s">
        <v>195</v>
      </c>
    </row>
    <row r="21" customFormat="false" ht="12.75" hidden="false" customHeight="true" outlineLevel="0" collapsed="false">
      <c r="A21" s="30" t="s">
        <v>196</v>
      </c>
      <c r="B21" s="57" t="s">
        <v>187</v>
      </c>
      <c r="C21" s="33" t="n">
        <v>0.3</v>
      </c>
      <c r="D21" s="33" t="n">
        <v>0.2</v>
      </c>
      <c r="E21" s="32" t="n">
        <v>14</v>
      </c>
      <c r="F21" s="32" t="n">
        <v>10</v>
      </c>
      <c r="G21" s="32" t="n">
        <v>2000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  <c r="N21" s="32" t="n">
        <v>0</v>
      </c>
      <c r="O21" s="32" t="n">
        <v>0</v>
      </c>
      <c r="P21" s="58" t="n">
        <f aca="false">SUM(G21:O21)*Pipeline!$D$4</f>
        <v>8700</v>
      </c>
      <c r="Q21" s="59" t="n">
        <f aca="false">SUMPRODUCT(G$7:O$7,G21:O21)*Pipeline!$D$4*(1-C21)</f>
        <v>18270</v>
      </c>
      <c r="R21" s="59" t="n">
        <f aca="false">Q21*D21</f>
        <v>3654</v>
      </c>
      <c r="S21" s="60" t="n">
        <f aca="false">SUMPRODUCT(G$11:O$11,G21:O21)*Pipeline!$D$4/1000</f>
        <v>870</v>
      </c>
      <c r="T21" s="58" t="n">
        <f aca="false">SUMPRODUCT(G$13:O$13,G21:O21)*Pipeline!$D$4</f>
        <v>5117.64705882353</v>
      </c>
      <c r="U21" s="60" t="n">
        <f aca="false">SUMPRODUCT(G$12:O$12,G21:O21)*Pipeline!$D$4</f>
        <v>622.4620025525</v>
      </c>
      <c r="V21" s="61" t="n">
        <f aca="false">IFERROR(U21/(Hipótesis!$F$26*Hipótesis!$D$13),0)</f>
        <v>0.216132639775174</v>
      </c>
      <c r="W21" s="59" t="n">
        <f aca="false">SUMPRODUCT(G$10:O$10,G21:O21)*Pipeline!$D$4</f>
        <v>5475.88235294118</v>
      </c>
      <c r="X21" s="53" t="s">
        <v>197</v>
      </c>
    </row>
    <row r="22" customFormat="false" ht="12.75" hidden="false" customHeight="true" outlineLevel="0" collapsed="false">
      <c r="A22" s="30" t="s">
        <v>198</v>
      </c>
      <c r="B22" s="57"/>
      <c r="C22" s="33" t="n">
        <v>0</v>
      </c>
      <c r="D22" s="33" t="n">
        <v>0</v>
      </c>
      <c r="E22" s="32" t="n">
        <v>1</v>
      </c>
      <c r="F22" s="32" t="n">
        <v>1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  <c r="N22" s="32" t="n">
        <v>0</v>
      </c>
      <c r="O22" s="32" t="n">
        <v>0</v>
      </c>
      <c r="P22" s="58" t="n">
        <f aca="false">SUM(G22:O22)*Pipeline!$D$4</f>
        <v>0</v>
      </c>
      <c r="Q22" s="59" t="n">
        <f aca="false">SUMPRODUCT(G$7:O$7,G22:O22)*Pipeline!$D$4*(1-C22)</f>
        <v>0</v>
      </c>
      <c r="R22" s="59" t="n">
        <f aca="false">Q22*D22</f>
        <v>0</v>
      </c>
      <c r="S22" s="60" t="n">
        <f aca="false">SUMPRODUCT(G$11:O$11,G22:O22)*Pipeline!$D$4/1000</f>
        <v>0</v>
      </c>
      <c r="T22" s="58" t="n">
        <f aca="false">SUMPRODUCT(G$13:O$13,G22:O22)*Pipeline!$D$4</f>
        <v>0</v>
      </c>
      <c r="U22" s="60" t="n">
        <f aca="false">SUMPRODUCT(G$12:O$12,G22:O22)*Pipeline!$D$4</f>
        <v>0</v>
      </c>
      <c r="V22" s="61" t="n">
        <f aca="false">IFERROR(U22/(Hipótesis!$F$26*Hipótesis!$D$13),0)</f>
        <v>0</v>
      </c>
      <c r="W22" s="59" t="n">
        <f aca="false">SUMPRODUCT(G$10:O$10,G22:O22)*Pipeline!$D$4</f>
        <v>0</v>
      </c>
      <c r="X22" s="53"/>
    </row>
    <row r="23" customFormat="false" ht="12.75" hidden="false" customHeight="true" outlineLevel="0" collapsed="false">
      <c r="A23" s="46" t="s">
        <v>199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62" t="n">
        <f aca="false">SUM(P16:P22)</f>
        <v>36235.5</v>
      </c>
      <c r="Q23" s="63" t="n">
        <f aca="false">SUM(Q16:Q22)</f>
        <v>82519.5</v>
      </c>
      <c r="R23" s="63" t="n">
        <f aca="false">SUM(R16:R22)</f>
        <v>31863.75</v>
      </c>
      <c r="S23" s="64" t="n">
        <f aca="false">SUM(S16:S22)</f>
        <v>3410.4</v>
      </c>
      <c r="T23" s="62" t="n">
        <f aca="false">SUM(T16:T22)</f>
        <v>20260.2163865546</v>
      </c>
      <c r="U23" s="64" t="n">
        <f aca="false">SUM(U16:U22)</f>
        <v>2618.91274261184</v>
      </c>
      <c r="V23" s="65" t="n">
        <f aca="false">IFERROR(U23/(Hipótesis!$F$26*Hipótesis!$D$13),0)</f>
        <v>0.909344702295777</v>
      </c>
      <c r="W23" s="63" t="n">
        <f aca="false">SUM(W16:W22)</f>
        <v>21653.7918907563</v>
      </c>
      <c r="X23" s="46"/>
    </row>
    <row r="24" customFormat="false" ht="13.5" hidden="false" customHeight="true" outlineLevel="0" collapsed="false"/>
    <row r="25" customFormat="false" ht="13.5" hidden="false" customHeight="true" outlineLevel="0" collapsed="false">
      <c r="A25" s="22" t="s">
        <v>200</v>
      </c>
    </row>
    <row r="26" customFormat="false" ht="13.5" hidden="false" customHeight="true" outlineLevel="0" collapsed="false">
      <c r="A26" s="53" t="s">
        <v>201</v>
      </c>
      <c r="G26" s="66" t="n">
        <f aca="false">SUMPRODUCT($D$16:$D$22,G16:G22)*Pipeline!$D$4*G12</f>
        <v>771.230421162548</v>
      </c>
      <c r="H26" s="66" t="n">
        <f aca="false">SUMPRODUCT($D$16:$D$22,H16:H22)*Pipeline!$D$4*H12</f>
        <v>108.142258382643</v>
      </c>
      <c r="I26" s="66" t="n">
        <f aca="false">SUMPRODUCT($D$16:$D$22,I16:I22)*Pipeline!$D$4*I12</f>
        <v>100.384615384615</v>
      </c>
      <c r="J26" s="66" t="n">
        <f aca="false">SUMPRODUCT($D$16:$D$22,J16:J22)*Pipeline!$D$4*J12</f>
        <v>12.502113271344</v>
      </c>
      <c r="K26" s="66" t="n">
        <f aca="false">SUMPRODUCT($D$16:$D$22,K16:K22)*Pipeline!$D$4*K12</f>
        <v>0</v>
      </c>
      <c r="L26" s="66" t="n">
        <f aca="false">SUMPRODUCT($D$16:$D$22,L16:L22)*Pipeline!$D$4*L12</f>
        <v>0</v>
      </c>
      <c r="M26" s="66" t="n">
        <f aca="false">SUMPRODUCT($D$16:$D$22,M16:M22)*Pipeline!$D$4*M12</f>
        <v>0</v>
      </c>
      <c r="N26" s="66" t="n">
        <f aca="false">SUMPRODUCT($D$16:$D$22,N16:N22)*Pipeline!$D$4*N12</f>
        <v>0</v>
      </c>
      <c r="O26" s="66" t="n">
        <f aca="false">SUMPRODUCT($D$16:$D$22,O16:O22)*Pipeline!$D$4*O12</f>
        <v>0</v>
      </c>
    </row>
    <row r="27" customFormat="false" ht="13.5" hidden="false" customHeight="true" outlineLevel="0" collapsed="false">
      <c r="A27" s="53" t="s">
        <v>202</v>
      </c>
      <c r="G27" s="39" t="n">
        <f aca="false">IFERROR(G26/SUM($G$26:$O$26),0)</f>
        <v>0.777246771144955</v>
      </c>
      <c r="H27" s="39" t="n">
        <f aca="false">IFERROR(H26/SUM($G$26:$O$26),0)</f>
        <v>0.108985873541569</v>
      </c>
      <c r="I27" s="39" t="n">
        <f aca="false">IFERROR(I26/SUM($G$26:$O$26),0)</f>
        <v>0.101167713356934</v>
      </c>
      <c r="J27" s="39" t="n">
        <f aca="false">IFERROR(J26/SUM($G$26:$O$26),0)</f>
        <v>0.0125996419565413</v>
      </c>
      <c r="K27" s="39" t="n">
        <f aca="false">IFERROR(K26/SUM($G$26:$O$26),0)</f>
        <v>0</v>
      </c>
      <c r="L27" s="39" t="n">
        <f aca="false">IFERROR(L26/SUM($G$26:$O$26),0)</f>
        <v>0</v>
      </c>
      <c r="M27" s="39" t="n">
        <f aca="false">IFERROR(M26/SUM($G$26:$O$26),0)</f>
        <v>0</v>
      </c>
      <c r="N27" s="39" t="n">
        <f aca="false">IFERROR(N26/SUM($G$26:$O$26),0)</f>
        <v>0</v>
      </c>
      <c r="O27" s="39" t="n">
        <f aca="false">IFERROR(O26/SUM($G$26:$O$26),0)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1"/>
    <col collapsed="false" customWidth="true" hidden="false" outlineLevel="0" max="8" min="8" style="1" width="12"/>
    <col collapsed="false" customWidth="true" hidden="false" outlineLevel="0" max="12" min="9" style="1" width="13"/>
  </cols>
  <sheetData>
    <row r="1" customFormat="false" ht="18" hidden="false" customHeight="true" outlineLevel="0" collapsed="false">
      <c r="A1" s="8" t="s">
        <v>203</v>
      </c>
    </row>
    <row r="2" customFormat="false" ht="13.5" hidden="false" customHeight="true" outlineLevel="0" collapsed="false">
      <c r="A2" s="4" t="s">
        <v>204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9" t="s">
        <v>205</v>
      </c>
      <c r="B4" s="9"/>
      <c r="C4" s="9"/>
      <c r="D4" s="9"/>
      <c r="E4" s="9"/>
      <c r="F4" s="9"/>
    </row>
    <row r="5" customFormat="false" ht="13.5" hidden="false" customHeight="true" outlineLevel="0" collapsed="false">
      <c r="A5" s="6" t="s">
        <v>206</v>
      </c>
      <c r="B5" s="67" t="n">
        <v>0.35</v>
      </c>
      <c r="D5" s="4" t="s">
        <v>207</v>
      </c>
    </row>
    <row r="6" customFormat="false" ht="13.5" hidden="false" customHeight="true" outlineLevel="0" collapsed="false">
      <c r="A6" s="6" t="s">
        <v>208</v>
      </c>
      <c r="B6" s="26" t="n">
        <v>80</v>
      </c>
      <c r="D6" s="4" t="s">
        <v>209</v>
      </c>
    </row>
    <row r="7" customFormat="false" ht="13.5" hidden="false" customHeight="true" outlineLevel="0" collapsed="false">
      <c r="A7" s="6" t="s">
        <v>210</v>
      </c>
      <c r="B7" s="68" t="n">
        <v>0.18</v>
      </c>
      <c r="D7" s="4" t="s">
        <v>211</v>
      </c>
    </row>
    <row r="8" customFormat="false" ht="13.5" hidden="false" customHeight="true" outlineLevel="0" collapsed="false">
      <c r="A8" s="6" t="s">
        <v>212</v>
      </c>
      <c r="B8" s="67" t="n">
        <v>0.05</v>
      </c>
    </row>
    <row r="9" customFormat="false" ht="13.5" hidden="false" customHeight="true" outlineLevel="0" collapsed="false"/>
    <row r="10" customFormat="false" ht="12.75" hidden="false" customHeight="true" outlineLevel="0" collapsed="false">
      <c r="A10" s="9" t="s">
        <v>213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3.5" hidden="false" customHeight="true" outlineLevel="0" collapsed="false">
      <c r="A11" s="69" t="s">
        <v>214</v>
      </c>
      <c r="B11" s="11" t="s">
        <v>215</v>
      </c>
      <c r="C11" s="11" t="s">
        <v>216</v>
      </c>
      <c r="D11" s="11" t="s">
        <v>217</v>
      </c>
      <c r="E11" s="11" t="s">
        <v>218</v>
      </c>
      <c r="F11" s="11" t="s">
        <v>219</v>
      </c>
      <c r="G11" s="11" t="s">
        <v>220</v>
      </c>
      <c r="H11" s="11" t="s">
        <v>221</v>
      </c>
      <c r="I11" s="11" t="s">
        <v>222</v>
      </c>
      <c r="J11" s="11" t="s">
        <v>223</v>
      </c>
      <c r="K11" s="11" t="s">
        <v>224</v>
      </c>
    </row>
    <row r="12" customFormat="false" ht="13.5" hidden="false" customHeight="true" outlineLevel="0" collapsed="false">
      <c r="A12" s="30" t="s">
        <v>225</v>
      </c>
      <c r="B12" s="34" t="n">
        <v>29.05</v>
      </c>
      <c r="C12" s="34" t="n">
        <v>42.97</v>
      </c>
      <c r="D12" s="34" t="n">
        <v>59.17</v>
      </c>
      <c r="E12" s="34" t="n">
        <v>73.92</v>
      </c>
      <c r="F12" s="34" t="n">
        <v>84.56</v>
      </c>
      <c r="G12" s="34" t="n">
        <v>98.96</v>
      </c>
      <c r="H12" s="33" t="n">
        <v>0.12</v>
      </c>
      <c r="I12" s="38" t="n">
        <f aca="false">(IF($B$6&lt;=25,B12,IF($B$6&lt;=50,C12,IF($B$6&lt;=100,D12,IF($B$6&lt;=150,E12,IF($B$6&lt;=200,F12,G12))))))/$B$6*(1+$B$8)</f>
        <v>0.77660625</v>
      </c>
      <c r="J12" s="66" t="n">
        <f aca="false">$B$31*H12</f>
        <v>123.377526052541</v>
      </c>
      <c r="K12" s="35" t="n">
        <f aca="false">I12*J12</f>
        <v>95.8157578419408</v>
      </c>
    </row>
    <row r="13" customFormat="false" ht="13.5" hidden="false" customHeight="true" outlineLevel="0" collapsed="false">
      <c r="A13" s="30" t="s">
        <v>226</v>
      </c>
      <c r="B13" s="34" t="n">
        <v>34.76</v>
      </c>
      <c r="C13" s="34" t="n">
        <v>46.14</v>
      </c>
      <c r="D13" s="34" t="n">
        <v>68.79</v>
      </c>
      <c r="E13" s="34" t="n">
        <v>77.41</v>
      </c>
      <c r="F13" s="34" t="n">
        <v>86.13</v>
      </c>
      <c r="G13" s="34" t="n">
        <v>94.68</v>
      </c>
      <c r="H13" s="33" t="n">
        <v>0.05</v>
      </c>
      <c r="I13" s="38" t="n">
        <f aca="false">(IF($B$6&lt;=25,B13,IF($B$6&lt;=50,C13,IF($B$6&lt;=100,D13,IF($B$6&lt;=150,E13,IF($B$6&lt;=200,F13,G13))))))/$B$6*(1+$B$8)</f>
        <v>0.90286875</v>
      </c>
      <c r="J13" s="66" t="n">
        <f aca="false">$B$31*H13</f>
        <v>51.4073025218919</v>
      </c>
      <c r="K13" s="35" t="n">
        <f aca="false">I13*J13</f>
        <v>46.4140469688124</v>
      </c>
    </row>
    <row r="14" customFormat="false" ht="13.5" hidden="false" customHeight="true" outlineLevel="0" collapsed="false">
      <c r="A14" s="30" t="s">
        <v>227</v>
      </c>
      <c r="B14" s="34" t="n">
        <v>27.08</v>
      </c>
      <c r="C14" s="34" t="n">
        <v>37.11</v>
      </c>
      <c r="D14" s="34" t="n">
        <v>48.64</v>
      </c>
      <c r="E14" s="34" t="n">
        <v>68.89</v>
      </c>
      <c r="F14" s="34" t="n">
        <v>83.48</v>
      </c>
      <c r="G14" s="34" t="n">
        <v>98.02</v>
      </c>
      <c r="H14" s="33" t="n">
        <v>0.03</v>
      </c>
      <c r="I14" s="38" t="n">
        <f aca="false">(IF($B$6&lt;=25,B14,IF($B$6&lt;=50,C14,IF($B$6&lt;=100,D14,IF($B$6&lt;=150,E14,IF($B$6&lt;=200,F14,G14))))))/$B$6*(1+$B$8)</f>
        <v>0.6384</v>
      </c>
      <c r="J14" s="66" t="n">
        <f aca="false">$B$31*H14</f>
        <v>30.8443815131351</v>
      </c>
      <c r="K14" s="35" t="n">
        <f aca="false">I14*J14</f>
        <v>19.6910531579855</v>
      </c>
    </row>
    <row r="15" customFormat="false" ht="13.5" hidden="false" customHeight="true" outlineLevel="0" collapsed="false">
      <c r="A15" s="30" t="s">
        <v>228</v>
      </c>
      <c r="B15" s="34" t="n">
        <v>35.5</v>
      </c>
      <c r="C15" s="34" t="n">
        <v>43.1</v>
      </c>
      <c r="D15" s="34" t="n">
        <v>53.65</v>
      </c>
      <c r="E15" s="34" t="n">
        <v>68.71</v>
      </c>
      <c r="F15" s="34" t="n">
        <v>80.85</v>
      </c>
      <c r="G15" s="34" t="n">
        <v>99.06</v>
      </c>
      <c r="H15" s="33" t="n">
        <v>0.02</v>
      </c>
      <c r="I15" s="38" t="n">
        <f aca="false">(IF($B$6&lt;=25,B15,IF($B$6&lt;=50,C15,IF($B$6&lt;=100,D15,IF($B$6&lt;=150,E15,IF($B$6&lt;=200,F15,G15))))))/$B$6*(1+$B$8)</f>
        <v>0.70415625</v>
      </c>
      <c r="J15" s="66" t="n">
        <f aca="false">$B$31*H15</f>
        <v>20.5629210087568</v>
      </c>
      <c r="K15" s="35" t="n">
        <f aca="false">I15*J15</f>
        <v>14.4795093465724</v>
      </c>
    </row>
    <row r="16" customFormat="false" ht="13.5" hidden="false" customHeight="true" outlineLevel="0" collapsed="false">
      <c r="A16" s="30" t="s">
        <v>229</v>
      </c>
      <c r="B16" s="34" t="n">
        <v>37.7</v>
      </c>
      <c r="C16" s="34" t="n">
        <v>49.44</v>
      </c>
      <c r="D16" s="34" t="n">
        <v>61.97</v>
      </c>
      <c r="E16" s="34" t="n">
        <v>75.31</v>
      </c>
      <c r="F16" s="34" t="n">
        <v>90.68</v>
      </c>
      <c r="G16" s="34" t="n">
        <v>100.84</v>
      </c>
      <c r="H16" s="33" t="n">
        <v>0.1</v>
      </c>
      <c r="I16" s="38" t="n">
        <f aca="false">(IF($B$6&lt;=25,B16,IF($B$6&lt;=50,C16,IF($B$6&lt;=100,D16,IF($B$6&lt;=150,E16,IF($B$6&lt;=200,F16,G16))))))/$B$6*(1+$B$8)</f>
        <v>0.81335625</v>
      </c>
      <c r="J16" s="66" t="n">
        <f aca="false">$B$31*H16</f>
        <v>102.814605043784</v>
      </c>
      <c r="K16" s="35" t="n">
        <f aca="false">I16*J16</f>
        <v>83.6249016036431</v>
      </c>
    </row>
    <row r="17" customFormat="false" ht="13.5" hidden="false" customHeight="true" outlineLevel="0" collapsed="false">
      <c r="A17" s="30" t="s">
        <v>230</v>
      </c>
      <c r="B17" s="34" t="n">
        <v>30.81</v>
      </c>
      <c r="C17" s="34" t="n">
        <v>40.86</v>
      </c>
      <c r="D17" s="34" t="n">
        <v>51.93</v>
      </c>
      <c r="E17" s="34" t="n">
        <v>65.67</v>
      </c>
      <c r="F17" s="34" t="n">
        <v>75.28</v>
      </c>
      <c r="G17" s="34" t="n">
        <v>87.47</v>
      </c>
      <c r="H17" s="33" t="n">
        <v>0.14</v>
      </c>
      <c r="I17" s="38" t="n">
        <f aca="false">(IF($B$6&lt;=25,B17,IF($B$6&lt;=50,C17,IF($B$6&lt;=100,D17,IF($B$6&lt;=150,E17,IF($B$6&lt;=200,F17,G17))))))/$B$6*(1+$B$8)</f>
        <v>0.68158125</v>
      </c>
      <c r="J17" s="66" t="n">
        <f aca="false">$B$31*H17</f>
        <v>143.940447061297</v>
      </c>
      <c r="K17" s="35" t="n">
        <f aca="false">I17*J17</f>
        <v>98.1071098335979</v>
      </c>
    </row>
    <row r="18" customFormat="false" ht="13.5" hidden="false" customHeight="true" outlineLevel="0" collapsed="false">
      <c r="A18" s="30" t="s">
        <v>231</v>
      </c>
      <c r="B18" s="34" t="n">
        <v>29.42</v>
      </c>
      <c r="C18" s="34" t="n">
        <v>42.71</v>
      </c>
      <c r="D18" s="34" t="n">
        <v>54.18</v>
      </c>
      <c r="E18" s="34" t="n">
        <v>66.64</v>
      </c>
      <c r="F18" s="34" t="n">
        <v>77.35</v>
      </c>
      <c r="G18" s="34" t="n">
        <v>91.02</v>
      </c>
      <c r="H18" s="33" t="n">
        <v>0.2</v>
      </c>
      <c r="I18" s="38" t="n">
        <f aca="false">(IF($B$6&lt;=25,B18,IF($B$6&lt;=50,C18,IF($B$6&lt;=100,D18,IF($B$6&lt;=150,E18,IF($B$6&lt;=200,F18,G18))))))/$B$6*(1+$B$8)</f>
        <v>0.7111125</v>
      </c>
      <c r="J18" s="66" t="n">
        <f aca="false">$B$31*H18</f>
        <v>205.629210087568</v>
      </c>
      <c r="K18" s="35" t="n">
        <f aca="false">I18*J18</f>
        <v>146.225501658395</v>
      </c>
    </row>
    <row r="19" customFormat="false" ht="13.5" hidden="false" customHeight="true" outlineLevel="0" collapsed="false">
      <c r="A19" s="30" t="s">
        <v>232</v>
      </c>
      <c r="B19" s="34" t="n">
        <v>31.15</v>
      </c>
      <c r="C19" s="34" t="n">
        <v>41.35</v>
      </c>
      <c r="D19" s="34" t="n">
        <v>61.65</v>
      </c>
      <c r="E19" s="34" t="n">
        <v>69.37</v>
      </c>
      <c r="F19" s="34" t="n">
        <v>77.2</v>
      </c>
      <c r="G19" s="34" t="n">
        <v>84.84</v>
      </c>
      <c r="H19" s="33" t="n">
        <v>0.12</v>
      </c>
      <c r="I19" s="38" t="n">
        <f aca="false">(IF($B$6&lt;=25,B19,IF($B$6&lt;=50,C19,IF($B$6&lt;=100,D19,IF($B$6&lt;=150,E19,IF($B$6&lt;=200,F19,G19))))))/$B$6*(1+$B$8)</f>
        <v>0.80915625</v>
      </c>
      <c r="J19" s="66" t="n">
        <f aca="false">$B$31*H19</f>
        <v>123.377526052541</v>
      </c>
      <c r="K19" s="35" t="n">
        <f aca="false">I19*J19</f>
        <v>99.831696314951</v>
      </c>
    </row>
    <row r="20" customFormat="false" ht="13.5" hidden="false" customHeight="true" outlineLevel="0" collapsed="false">
      <c r="A20" s="30" t="s">
        <v>233</v>
      </c>
      <c r="B20" s="34" t="n">
        <v>28.39</v>
      </c>
      <c r="C20" s="34" t="n">
        <v>42.97</v>
      </c>
      <c r="D20" s="34" t="n">
        <v>59.11</v>
      </c>
      <c r="E20" s="34" t="n">
        <v>73.62</v>
      </c>
      <c r="F20" s="34" t="n">
        <v>85.18</v>
      </c>
      <c r="G20" s="34" t="n">
        <v>98.3</v>
      </c>
      <c r="H20" s="33" t="n">
        <v>0.03</v>
      </c>
      <c r="I20" s="38" t="n">
        <f aca="false">(IF($B$6&lt;=25,B20,IF($B$6&lt;=50,C20,IF($B$6&lt;=100,D20,IF($B$6&lt;=150,E20,IF($B$6&lt;=200,F20,G20))))))/$B$6*(1+$B$8)</f>
        <v>0.77581875</v>
      </c>
      <c r="J20" s="66" t="n">
        <f aca="false">$B$31*H20</f>
        <v>30.8443815131351</v>
      </c>
      <c r="K20" s="35" t="n">
        <f aca="false">I20*J20</f>
        <v>23.9296495100436</v>
      </c>
    </row>
    <row r="21" customFormat="false" ht="13.5" hidden="false" customHeight="true" outlineLevel="0" collapsed="false">
      <c r="A21" s="30" t="s">
        <v>234</v>
      </c>
      <c r="B21" s="34" t="n">
        <v>28.39</v>
      </c>
      <c r="C21" s="34" t="n">
        <v>42.97</v>
      </c>
      <c r="D21" s="34" t="n">
        <v>59.11</v>
      </c>
      <c r="E21" s="34" t="n">
        <v>73.62</v>
      </c>
      <c r="F21" s="34" t="n">
        <v>85.18</v>
      </c>
      <c r="G21" s="34" t="n">
        <v>98.3</v>
      </c>
      <c r="H21" s="33" t="n">
        <v>0.05</v>
      </c>
      <c r="I21" s="38" t="n">
        <f aca="false">(IF($B$6&lt;=25,B21,IF($B$6&lt;=50,C21,IF($B$6&lt;=100,D21,IF($B$6&lt;=150,E21,IF($B$6&lt;=200,F21,G21))))))/$B$6*(1+$B$8)</f>
        <v>0.77581875</v>
      </c>
      <c r="J21" s="66" t="n">
        <f aca="false">$B$31*H21</f>
        <v>51.4073025218919</v>
      </c>
      <c r="K21" s="35" t="n">
        <f aca="false">I21*J21</f>
        <v>39.882749183406</v>
      </c>
    </row>
    <row r="22" customFormat="false" ht="13.5" hidden="false" customHeight="true" outlineLevel="0" collapsed="false">
      <c r="A22" s="30" t="s">
        <v>235</v>
      </c>
      <c r="B22" s="34" t="n">
        <v>36.87</v>
      </c>
      <c r="C22" s="34" t="n">
        <v>48.96</v>
      </c>
      <c r="D22" s="34" t="n">
        <v>73.02</v>
      </c>
      <c r="E22" s="34" t="n">
        <v>82.15</v>
      </c>
      <c r="F22" s="34" t="n">
        <v>91.44</v>
      </c>
      <c r="G22" s="34" t="n">
        <v>100.49</v>
      </c>
      <c r="H22" s="33" t="n">
        <v>0.02</v>
      </c>
      <c r="I22" s="38" t="n">
        <f aca="false">(IF($B$6&lt;=25,B22,IF($B$6&lt;=50,C22,IF($B$6&lt;=100,D22,IF($B$6&lt;=150,E22,IF($B$6&lt;=200,F22,G22))))))/$B$6*(1+$B$8)</f>
        <v>0.9583875</v>
      </c>
      <c r="J22" s="66" t="n">
        <f aca="false">$B$31*H22</f>
        <v>20.5629210087568</v>
      </c>
      <c r="K22" s="35" t="n">
        <f aca="false">I22*J22</f>
        <v>19.7072464582799</v>
      </c>
    </row>
    <row r="23" customFormat="false" ht="13.5" hidden="false" customHeight="true" outlineLevel="0" collapsed="false">
      <c r="A23" s="30" t="s">
        <v>236</v>
      </c>
      <c r="B23" s="34" t="n">
        <v>35.9</v>
      </c>
      <c r="C23" s="34" t="n">
        <v>47.66</v>
      </c>
      <c r="D23" s="34" t="n">
        <v>71.08</v>
      </c>
      <c r="E23" s="34" t="n">
        <v>79.96</v>
      </c>
      <c r="F23" s="34" t="n">
        <v>88.98</v>
      </c>
      <c r="G23" s="34" t="n">
        <v>97.8</v>
      </c>
      <c r="H23" s="33" t="n">
        <v>0.04</v>
      </c>
      <c r="I23" s="38" t="n">
        <f aca="false">(IF($B$6&lt;=25,B23,IF($B$6&lt;=50,C23,IF($B$6&lt;=100,D23,IF($B$6&lt;=150,E23,IF($B$6&lt;=200,F23,G23))))))/$B$6*(1+$B$8)</f>
        <v>0.932925</v>
      </c>
      <c r="J23" s="66" t="n">
        <f aca="false">$B$31*H23</f>
        <v>41.1258420175135</v>
      </c>
      <c r="K23" s="35" t="n">
        <f aca="false">I23*J23</f>
        <v>38.3673261641888</v>
      </c>
    </row>
    <row r="24" customFormat="false" ht="13.5" hidden="false" customHeight="true" outlineLevel="0" collapsed="false">
      <c r="A24" s="30" t="s">
        <v>237</v>
      </c>
      <c r="B24" s="34" t="n">
        <v>36.87</v>
      </c>
      <c r="C24" s="34" t="n">
        <v>48.96</v>
      </c>
      <c r="D24" s="34" t="n">
        <v>73.02</v>
      </c>
      <c r="E24" s="34" t="n">
        <v>82.15</v>
      </c>
      <c r="F24" s="34" t="n">
        <v>91.44</v>
      </c>
      <c r="G24" s="34" t="n">
        <v>100.49</v>
      </c>
      <c r="H24" s="33" t="n">
        <v>0.02</v>
      </c>
      <c r="I24" s="38" t="n">
        <f aca="false">(IF($B$6&lt;=25,B24,IF($B$6&lt;=50,C24,IF($B$6&lt;=100,D24,IF($B$6&lt;=150,E24,IF($B$6&lt;=200,F24,G24))))))/$B$6*(1+$B$8)</f>
        <v>0.9583875</v>
      </c>
      <c r="J24" s="66" t="n">
        <f aca="false">$B$31*H24</f>
        <v>20.5629210087568</v>
      </c>
      <c r="K24" s="35" t="n">
        <f aca="false">I24*J24</f>
        <v>19.7072464582799</v>
      </c>
    </row>
    <row r="25" customFormat="false" ht="13.5" hidden="false" customHeight="true" outlineLevel="0" collapsed="false">
      <c r="A25" s="30" t="s">
        <v>238</v>
      </c>
      <c r="B25" s="34" t="n">
        <v>35.36</v>
      </c>
      <c r="C25" s="34" t="n">
        <v>42.9</v>
      </c>
      <c r="D25" s="34" t="n">
        <v>53.41</v>
      </c>
      <c r="E25" s="34" t="n">
        <v>68.41</v>
      </c>
      <c r="F25" s="34" t="n">
        <v>80.5</v>
      </c>
      <c r="G25" s="34" t="n">
        <v>98.63</v>
      </c>
      <c r="H25" s="33" t="n">
        <v>0.06</v>
      </c>
      <c r="I25" s="38" t="n">
        <f aca="false">(IF($B$6&lt;=25,B25,IF($B$6&lt;=50,C25,IF($B$6&lt;=100,D25,IF($B$6&lt;=150,E25,IF($B$6&lt;=200,F25,G25))))))/$B$6*(1+$B$8)</f>
        <v>0.70100625</v>
      </c>
      <c r="J25" s="66" t="n">
        <f aca="false">$B$31*H25</f>
        <v>61.6887630262703</v>
      </c>
      <c r="K25" s="35" t="n">
        <f aca="false">I25*J25</f>
        <v>43.2442084361844</v>
      </c>
    </row>
    <row r="26" customFormat="false" ht="13.5" hidden="false" customHeight="true" outlineLevel="0" collapsed="false">
      <c r="A26" s="46" t="s">
        <v>239</v>
      </c>
      <c r="B26" s="46"/>
      <c r="C26" s="46"/>
      <c r="D26" s="46"/>
      <c r="E26" s="46"/>
      <c r="F26" s="46"/>
      <c r="G26" s="46"/>
      <c r="H26" s="47" t="n">
        <f aca="false">SUM(H12:H25)</f>
        <v>1</v>
      </c>
      <c r="I26" s="46"/>
      <c r="J26" s="70" t="n">
        <f aca="false">SUM(J12:J25)</f>
        <v>1028.14605043784</v>
      </c>
      <c r="K26" s="71" t="n">
        <f aca="false">SUM(K12:K25)</f>
        <v>789.028002936281</v>
      </c>
    </row>
    <row r="27" customFormat="false" ht="13.5" hidden="false" customHeight="true" outlineLevel="0" collapsed="false"/>
    <row r="28" customFormat="false" ht="13.5" hidden="false" customHeight="true" outlineLevel="0" collapsed="false">
      <c r="A28" s="9" t="s">
        <v>240</v>
      </c>
      <c r="B28" s="9"/>
      <c r="C28" s="9"/>
      <c r="D28" s="9"/>
      <c r="E28" s="9"/>
      <c r="F28" s="9"/>
    </row>
    <row r="29" customFormat="false" ht="13.5" hidden="false" customHeight="true" outlineLevel="0" collapsed="false">
      <c r="A29" s="6" t="s">
        <v>241</v>
      </c>
      <c r="B29" s="72" t="n">
        <f aca="false">Modelo_Mensual!$CH$26</f>
        <v>2937.56014410811</v>
      </c>
    </row>
    <row r="30" customFormat="false" ht="13.5" hidden="false" customHeight="true" outlineLevel="0" collapsed="false">
      <c r="A30" s="6" t="s">
        <v>242</v>
      </c>
      <c r="B30" s="72" t="n">
        <f aca="false">$B$29*(1-$B$5)</f>
        <v>1909.41409367027</v>
      </c>
    </row>
    <row r="31" customFormat="false" ht="13.5" hidden="false" customHeight="true" outlineLevel="0" collapsed="false">
      <c r="A31" s="6" t="s">
        <v>243</v>
      </c>
      <c r="B31" s="72" t="n">
        <f aca="false">$B$29*$B$5</f>
        <v>1028.14605043784</v>
      </c>
    </row>
    <row r="32" customFormat="false" ht="13.5" hidden="false" customHeight="true" outlineLevel="0" collapsed="false">
      <c r="A32" s="6" t="s">
        <v>244</v>
      </c>
      <c r="B32" s="51" t="n">
        <f aca="false">$B$30*$B$7</f>
        <v>343.694536860649</v>
      </c>
    </row>
    <row r="33" customFormat="false" ht="13.5" hidden="false" customHeight="true" outlineLevel="0" collapsed="false">
      <c r="A33" s="6" t="s">
        <v>245</v>
      </c>
      <c r="B33" s="51" t="n">
        <f aca="false">K26</f>
        <v>789.028002936281</v>
      </c>
    </row>
    <row r="34" customFormat="false" ht="13.5" hidden="false" customHeight="true" outlineLevel="0" collapsed="false">
      <c r="A34" s="22" t="s">
        <v>246</v>
      </c>
      <c r="B34" s="73" t="n">
        <f aca="false">$B$32+$B$33</f>
        <v>1132.72253979693</v>
      </c>
    </row>
    <row r="35" customFormat="false" ht="13.5" hidden="false" customHeight="true" outlineLevel="0" collapsed="false">
      <c r="A35" s="6" t="s">
        <v>247</v>
      </c>
      <c r="B35" s="74" t="n">
        <f aca="false">IFERROR($B$34/$B$29,0)</f>
        <v>0.385599778125</v>
      </c>
    </row>
    <row r="36" customFormat="false" ht="13.5" hidden="false" customHeight="true" outlineLevel="0" collapsed="false">
      <c r="A36" s="6" t="s">
        <v>248</v>
      </c>
      <c r="B36" s="75" t="n">
        <f aca="false">IFERROR($B$34/Modelo_Mensual!$CH$36,0)</f>
        <v>0.0104319219752103</v>
      </c>
    </row>
    <row r="37" customFormat="false" ht="13.5" hidden="false" customHeight="true" outlineLevel="0" collapsed="false">
      <c r="A37" s="4" t="s">
        <v>249</v>
      </c>
    </row>
    <row r="38" customFormat="false" ht="13.5" hidden="false" customHeight="true" outlineLevel="0" collapsed="false"/>
    <row r="39" customFormat="false" ht="13.5" hidden="false" customHeight="true" outlineLevel="0" collapsed="false">
      <c r="A39" s="6" t="s">
        <v>250</v>
      </c>
      <c r="B39" s="76" t="n">
        <f aca="false">IFERROR(SUMPRODUCT(H12:H25,I12:I25)/SUM(H12:H25),0)</f>
        <v>0.7674279375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40" activePane="bottomLeft" state="frozen"/>
      <selection pane="topLeft" activeCell="A1" activeCellId="0" sqref="A1"/>
      <selection pane="bottomLeft" activeCell="D44" activeCellId="0" sqref="D4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18.34"/>
    <col collapsed="false" customWidth="true" hidden="false" outlineLevel="0" max="7" min="7" style="1" width="14"/>
    <col collapsed="false" customWidth="true" hidden="false" outlineLevel="0" max="9" min="9" style="1" width="10.44"/>
  </cols>
  <sheetData>
    <row r="1" customFormat="false" ht="18" hidden="false" customHeight="true" outlineLevel="0" collapsed="false">
      <c r="A1" s="8" t="s">
        <v>251</v>
      </c>
    </row>
    <row r="2" customFormat="false" ht="13.5" hidden="false" customHeight="true" outlineLevel="0" collapsed="false">
      <c r="A2" s="4" t="s">
        <v>252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22" t="s">
        <v>253</v>
      </c>
      <c r="C4" s="25" t="n">
        <v>2</v>
      </c>
      <c r="D4" s="77" t="str">
        <f aca="false">CHOOSE($C$4,"CONSERVADOR","BASE","OPTIMISTA")</f>
        <v>BASE</v>
      </c>
    </row>
    <row r="5" customFormat="false" ht="13.5" hidden="false" customHeight="true" outlineLevel="0" collapsed="false"/>
    <row r="6" customFormat="false" ht="13.5" hidden="false" customHeight="true" outlineLevel="0" collapsed="false">
      <c r="A6" s="78" t="s">
        <v>254</v>
      </c>
      <c r="B6" s="78" t="s">
        <v>255</v>
      </c>
      <c r="C6" s="78" t="s">
        <v>256</v>
      </c>
      <c r="D6" s="78" t="s">
        <v>257</v>
      </c>
      <c r="E6" s="78" t="s">
        <v>258</v>
      </c>
      <c r="F6" s="78" t="s">
        <v>259</v>
      </c>
    </row>
    <row r="7" customFormat="false" ht="13.5" hidden="false" customHeight="true" outlineLevel="0" collapsed="false">
      <c r="A7" s="9" t="s">
        <v>260</v>
      </c>
      <c r="B7" s="9"/>
      <c r="C7" s="9"/>
      <c r="D7" s="9"/>
      <c r="E7" s="9"/>
      <c r="F7" s="9"/>
    </row>
    <row r="8" customFormat="false" ht="13.5" hidden="false" customHeight="true" outlineLevel="0" collapsed="false">
      <c r="A8" s="6" t="s">
        <v>261</v>
      </c>
      <c r="B8" s="79" t="s">
        <v>262</v>
      </c>
      <c r="D8" s="25" t="n">
        <v>32</v>
      </c>
    </row>
    <row r="9" customFormat="false" ht="13.5" hidden="false" customHeight="true" outlineLevel="0" collapsed="false">
      <c r="A9" s="6" t="s">
        <v>263</v>
      </c>
      <c r="B9" s="79" t="s">
        <v>264</v>
      </c>
      <c r="D9" s="26" t="n">
        <v>24</v>
      </c>
    </row>
    <row r="10" customFormat="false" ht="13.5" hidden="false" customHeight="true" outlineLevel="0" collapsed="false">
      <c r="A10" s="6" t="s">
        <v>265</v>
      </c>
      <c r="B10" s="79" t="s">
        <v>266</v>
      </c>
      <c r="D10" s="25" t="n">
        <v>6</v>
      </c>
    </row>
    <row r="11" customFormat="false" ht="13.5" hidden="false" customHeight="true" outlineLevel="0" collapsed="false">
      <c r="A11" s="6" t="s">
        <v>267</v>
      </c>
      <c r="B11" s="79" t="s">
        <v>268</v>
      </c>
      <c r="D11" s="24" t="n">
        <v>0.15</v>
      </c>
    </row>
    <row r="12" customFormat="false" ht="13.5" hidden="false" customHeight="true" outlineLevel="0" collapsed="false">
      <c r="A12" s="6" t="s">
        <v>269</v>
      </c>
      <c r="B12" s="79" t="s">
        <v>262</v>
      </c>
      <c r="D12" s="80" t="n">
        <f aca="false">ROUNDDOWN(D9/D11,0)</f>
        <v>160</v>
      </c>
    </row>
    <row r="13" customFormat="false" ht="13.5" hidden="false" customHeight="true" outlineLevel="0" collapsed="false">
      <c r="A13" s="6" t="s">
        <v>270</v>
      </c>
      <c r="B13" s="79" t="s">
        <v>262</v>
      </c>
      <c r="D13" s="80" t="n">
        <f aca="false">D12*D10</f>
        <v>960</v>
      </c>
    </row>
    <row r="14" customFormat="false" ht="13.5" hidden="false" customHeight="true" outlineLevel="0" collapsed="false">
      <c r="A14" s="6" t="s">
        <v>271</v>
      </c>
      <c r="B14" s="79" t="s">
        <v>272</v>
      </c>
      <c r="D14" s="81" t="n">
        <f aca="false">D9*D10</f>
        <v>144</v>
      </c>
    </row>
    <row r="15" customFormat="false" ht="13.5" hidden="false" customHeight="true" outlineLevel="0" collapsed="false">
      <c r="A15" s="9" t="s">
        <v>273</v>
      </c>
      <c r="B15" s="9"/>
      <c r="C15" s="9"/>
      <c r="D15" s="9"/>
      <c r="E15" s="9"/>
      <c r="F15" s="9"/>
    </row>
    <row r="16" customFormat="false" ht="13.5" hidden="false" customHeight="true" outlineLevel="0" collapsed="false">
      <c r="A16" s="6" t="s">
        <v>274</v>
      </c>
      <c r="B16" s="79" t="s">
        <v>275</v>
      </c>
      <c r="C16" s="67" t="n">
        <v>1</v>
      </c>
      <c r="D16" s="67" t="n">
        <v>1.2</v>
      </c>
      <c r="E16" s="67" t="n">
        <v>1.35</v>
      </c>
      <c r="F16" s="82" t="n">
        <f aca="false">CHOOSE($C$4,C16,D16,E16)</f>
        <v>1.2</v>
      </c>
    </row>
    <row r="17" customFormat="false" ht="13.5" hidden="false" customHeight="true" outlineLevel="0" collapsed="false">
      <c r="A17" s="6" t="s">
        <v>276</v>
      </c>
      <c r="B17" s="79" t="s">
        <v>275</v>
      </c>
      <c r="C17" s="67" t="n">
        <v>0.92</v>
      </c>
      <c r="D17" s="67" t="n">
        <v>1</v>
      </c>
      <c r="E17" s="67" t="n">
        <v>1.06</v>
      </c>
      <c r="F17" s="82" t="n">
        <f aca="false">CHOOSE($C$4,C17,D17,E17)</f>
        <v>1</v>
      </c>
    </row>
    <row r="18" customFormat="false" ht="13.5" hidden="false" customHeight="true" outlineLevel="0" collapsed="false">
      <c r="A18" s="6" t="s">
        <v>277</v>
      </c>
      <c r="B18" s="79" t="s">
        <v>275</v>
      </c>
      <c r="C18" s="67" t="n">
        <v>1</v>
      </c>
      <c r="D18" s="67" t="n">
        <v>0.85</v>
      </c>
      <c r="E18" s="67" t="n">
        <v>0.75</v>
      </c>
      <c r="F18" s="82" t="n">
        <f aca="false">CHOOSE($C$4,C18,D18,E18)</f>
        <v>0.85</v>
      </c>
    </row>
    <row r="19" customFormat="false" ht="13.5" hidden="false" customHeight="true" outlineLevel="0" collapsed="false">
      <c r="A19" s="9" t="s">
        <v>278</v>
      </c>
      <c r="B19" s="9"/>
      <c r="C19" s="9"/>
      <c r="D19" s="9"/>
      <c r="E19" s="9"/>
      <c r="F19" s="9"/>
    </row>
    <row r="20" customFormat="false" ht="13.5" hidden="false" customHeight="true" outlineLevel="0" collapsed="false">
      <c r="A20" s="6" t="s">
        <v>279</v>
      </c>
      <c r="B20" s="79" t="s">
        <v>280</v>
      </c>
      <c r="C20" s="83" t="n">
        <f aca="false">Producto!$T$32*Hipótesis!$C$16*Hipótesis!$C$17</f>
        <v>40.6075420412777</v>
      </c>
      <c r="D20" s="83" t="n">
        <f aca="false">Producto!$T$32*Hipótesis!$D$16*Hipótesis!$D$17</f>
        <v>52.9663591842752</v>
      </c>
      <c r="E20" s="83" t="n">
        <f aca="false">Producto!$T$32*Hipótesis!$E$16*Hipótesis!$E$17</f>
        <v>63.1623833272482</v>
      </c>
      <c r="F20" s="76" t="n">
        <f aca="false">CHOOSE($C$4,C20,D20,E20)</f>
        <v>52.9663591842752</v>
      </c>
    </row>
    <row r="21" customFormat="false" ht="13.5" hidden="false" customHeight="true" outlineLevel="0" collapsed="false">
      <c r="A21" s="6" t="s">
        <v>281</v>
      </c>
      <c r="B21" s="79" t="s">
        <v>280</v>
      </c>
      <c r="C21" s="83" t="n">
        <f aca="false">Producto!$T$32/Producto!$D$5*Hipótesis!$C$16*Hipótesis!$C$17</f>
        <v>31.2365708009828</v>
      </c>
      <c r="D21" s="83" t="n">
        <f aca="false">Producto!$T$32/Producto!$D$5*Hipótesis!$D$16*Hipótesis!$D$17</f>
        <v>40.7433532186732</v>
      </c>
      <c r="E21" s="83" t="n">
        <f aca="false">Producto!$T$32/Producto!$D$5*Hipótesis!$E$16*Hipótesis!$E$17</f>
        <v>48.5864487132678</v>
      </c>
      <c r="F21" s="76" t="n">
        <f aca="false">CHOOSE($C$4,C21,D21,E21)</f>
        <v>40.7433532186732</v>
      </c>
    </row>
    <row r="22" customFormat="false" ht="13.5" hidden="false" customHeight="true" outlineLevel="0" collapsed="false">
      <c r="A22" s="6" t="s">
        <v>282</v>
      </c>
      <c r="B22" s="79" t="s">
        <v>280</v>
      </c>
      <c r="C22" s="83" t="n">
        <f aca="false">Producto!$S$32*Hipótesis!$C$18</f>
        <v>7.67336864496315</v>
      </c>
      <c r="D22" s="83" t="n">
        <f aca="false">Producto!$S$32*Hipótesis!$D$18</f>
        <v>6.52236334821867</v>
      </c>
      <c r="E22" s="83" t="n">
        <f aca="false">Producto!$S$32*Hipótesis!$E$18</f>
        <v>5.75502648372236</v>
      </c>
      <c r="F22" s="76" t="n">
        <f aca="false">CHOOSE($C$4,C22,D22,E22)</f>
        <v>6.52236334821867</v>
      </c>
    </row>
    <row r="23" customFormat="false" ht="13.5" hidden="false" customHeight="true" outlineLevel="0" collapsed="false">
      <c r="A23" s="6" t="s">
        <v>283</v>
      </c>
      <c r="B23" s="79" t="s">
        <v>284</v>
      </c>
      <c r="C23" s="84" t="n">
        <f aca="false">Producto!$M$32*Hipótesis!$C$17</f>
        <v>1.03271605592138</v>
      </c>
      <c r="D23" s="84" t="n">
        <f aca="false">Producto!$M$32*Hipótesis!$D$17</f>
        <v>1.12251745208845</v>
      </c>
      <c r="E23" s="84" t="n">
        <f aca="false">Producto!$M$32*Hipótesis!$E$17</f>
        <v>1.18986849921376</v>
      </c>
      <c r="F23" s="85" t="n">
        <f aca="false">CHOOSE($C$4,C23,D23,E23)</f>
        <v>1.12251745208845</v>
      </c>
    </row>
    <row r="24" customFormat="false" ht="13.5" hidden="false" customHeight="true" outlineLevel="0" collapsed="false">
      <c r="A24" s="6" t="s">
        <v>285</v>
      </c>
      <c r="B24" s="79" t="s">
        <v>286</v>
      </c>
      <c r="C24" s="84" t="n">
        <f aca="false">Producto!$J$32</f>
        <v>6.85271683046683</v>
      </c>
      <c r="D24" s="84" t="n">
        <f aca="false">Producto!$J$32</f>
        <v>6.85271683046683</v>
      </c>
      <c r="E24" s="84" t="n">
        <f aca="false">Producto!$J$32</f>
        <v>6.85271683046683</v>
      </c>
      <c r="F24" s="85" t="n">
        <f aca="false">CHOOSE($C$4,C24,D24,E24)</f>
        <v>6.85271683046683</v>
      </c>
    </row>
    <row r="25" customFormat="false" ht="13.5" hidden="false" customHeight="true" outlineLevel="0" collapsed="false">
      <c r="A25" s="9" t="s">
        <v>287</v>
      </c>
      <c r="B25" s="9"/>
      <c r="C25" s="9"/>
      <c r="D25" s="9"/>
      <c r="E25" s="9"/>
      <c r="F25" s="9"/>
    </row>
    <row r="26" customFormat="false" ht="13.5" hidden="false" customHeight="true" outlineLevel="0" collapsed="false">
      <c r="A26" s="6" t="s">
        <v>288</v>
      </c>
      <c r="B26" s="79" t="s">
        <v>289</v>
      </c>
      <c r="C26" s="25" t="n">
        <v>3</v>
      </c>
      <c r="D26" s="25" t="n">
        <v>3</v>
      </c>
      <c r="E26" s="25" t="n">
        <v>3</v>
      </c>
      <c r="F26" s="86" t="n">
        <f aca="false">CHOOSE($C$4,C26,D26,E26)</f>
        <v>3</v>
      </c>
    </row>
    <row r="27" customFormat="false" ht="13.5" hidden="false" customHeight="true" outlineLevel="0" collapsed="false">
      <c r="A27" s="6" t="s">
        <v>290</v>
      </c>
      <c r="B27" s="79" t="s">
        <v>289</v>
      </c>
      <c r="C27" s="25" t="n">
        <v>1</v>
      </c>
      <c r="D27" s="25" t="n">
        <v>1</v>
      </c>
      <c r="E27" s="25" t="n">
        <v>1</v>
      </c>
      <c r="F27" s="86" t="n">
        <f aca="false">CHOOSE($C$4,C27,D27,E27)</f>
        <v>1</v>
      </c>
    </row>
    <row r="28" customFormat="false" ht="13.5" hidden="false" customHeight="true" outlineLevel="0" collapsed="false">
      <c r="A28" s="6" t="s">
        <v>291</v>
      </c>
      <c r="B28" s="79" t="s">
        <v>292</v>
      </c>
      <c r="C28" s="24" t="n">
        <v>0.5</v>
      </c>
      <c r="D28" s="24" t="n">
        <v>0.5</v>
      </c>
      <c r="E28" s="24" t="n">
        <v>0.5</v>
      </c>
      <c r="F28" s="85" t="n">
        <f aca="false">CHOOSE($C$4,C28,D28,E28)</f>
        <v>0.5</v>
      </c>
    </row>
    <row r="29" customFormat="false" ht="13.5" hidden="false" customHeight="true" outlineLevel="0" collapsed="false">
      <c r="A29" s="6" t="s">
        <v>293</v>
      </c>
      <c r="B29" s="79" t="s">
        <v>294</v>
      </c>
      <c r="C29" s="25" t="n">
        <v>6</v>
      </c>
      <c r="D29" s="25" t="n">
        <v>6</v>
      </c>
      <c r="E29" s="25" t="n">
        <v>6</v>
      </c>
      <c r="F29" s="86" t="n">
        <f aca="false">CHOOSE($C$4,C29,D29,E29)</f>
        <v>6</v>
      </c>
    </row>
    <row r="30" customFormat="false" ht="13.5" hidden="false" customHeight="true" outlineLevel="0" collapsed="false">
      <c r="A30" s="6" t="s">
        <v>295</v>
      </c>
      <c r="B30" s="79" t="s">
        <v>275</v>
      </c>
      <c r="C30" s="67" t="n">
        <v>0.3</v>
      </c>
      <c r="D30" s="67" t="n">
        <v>0.3</v>
      </c>
      <c r="E30" s="67" t="n">
        <v>0.3</v>
      </c>
      <c r="F30" s="82" t="n">
        <f aca="false">CHOOSE($C$4,C30,D30,E30)</f>
        <v>0.3</v>
      </c>
    </row>
    <row r="31" customFormat="false" ht="13.5" hidden="false" customHeight="true" outlineLevel="0" collapsed="false">
      <c r="A31" s="6" t="s">
        <v>296</v>
      </c>
      <c r="B31" s="79" t="s">
        <v>275</v>
      </c>
      <c r="C31" s="67" t="n">
        <v>0</v>
      </c>
      <c r="D31" s="67" t="n">
        <v>0</v>
      </c>
      <c r="E31" s="67" t="n">
        <v>0</v>
      </c>
      <c r="F31" s="82" t="n">
        <f aca="false">CHOOSE($C$4,C31,D31,E31)</f>
        <v>0</v>
      </c>
    </row>
    <row r="32" customFormat="false" ht="13.5" hidden="false" customHeight="true" outlineLevel="0" collapsed="false">
      <c r="A32" s="6" t="s">
        <v>297</v>
      </c>
      <c r="B32" s="79" t="s">
        <v>275</v>
      </c>
      <c r="C32" s="67" t="n">
        <v>0.55</v>
      </c>
      <c r="D32" s="67" t="n">
        <v>0.55</v>
      </c>
      <c r="E32" s="67" t="n">
        <v>0.55</v>
      </c>
      <c r="F32" s="82" t="n">
        <f aca="false">CHOOSE($C$4,C32,D32,E32)</f>
        <v>0.55</v>
      </c>
    </row>
    <row r="33" customFormat="false" ht="13.5" hidden="false" customHeight="true" outlineLevel="0" collapsed="false">
      <c r="A33" s="6" t="s">
        <v>298</v>
      </c>
      <c r="B33" s="79" t="s">
        <v>299</v>
      </c>
      <c r="C33" s="25" t="n">
        <v>36</v>
      </c>
      <c r="D33" s="25" t="n">
        <v>36</v>
      </c>
      <c r="E33" s="25" t="n">
        <v>36</v>
      </c>
      <c r="F33" s="86" t="n">
        <f aca="false">CHOOSE($C$4,C33,D33,E33)</f>
        <v>36</v>
      </c>
    </row>
    <row r="34" customFormat="false" ht="13.5" hidden="false" customHeight="true" outlineLevel="0" collapsed="false">
      <c r="A34" s="6" t="s">
        <v>300</v>
      </c>
      <c r="B34" s="79" t="s">
        <v>275</v>
      </c>
      <c r="C34" s="67" t="n">
        <v>0.1</v>
      </c>
      <c r="D34" s="67" t="n">
        <v>0.1</v>
      </c>
      <c r="E34" s="67" t="n">
        <v>0.1</v>
      </c>
      <c r="F34" s="82" t="n">
        <f aca="false">CHOOSE($C$4,C34,D34,E34)</f>
        <v>0.1</v>
      </c>
    </row>
    <row r="35" customFormat="false" ht="13.5" hidden="false" customHeight="true" outlineLevel="0" collapsed="false">
      <c r="A35" s="9" t="s">
        <v>301</v>
      </c>
      <c r="B35" s="9"/>
      <c r="C35" s="9"/>
      <c r="D35" s="9"/>
      <c r="E35" s="9"/>
      <c r="F35" s="9"/>
    </row>
    <row r="36" customFormat="false" ht="13.5" hidden="false" customHeight="true" outlineLevel="0" collapsed="false">
      <c r="A36" s="6" t="s">
        <v>302</v>
      </c>
      <c r="B36" s="79" t="s">
        <v>303</v>
      </c>
      <c r="C36" s="87" t="n">
        <v>2250</v>
      </c>
      <c r="D36" s="87" t="n">
        <v>2000</v>
      </c>
      <c r="E36" s="87" t="n">
        <v>1800</v>
      </c>
      <c r="F36" s="88" t="n">
        <f aca="false">CHOOSE($C$4,C36,D36,E36)</f>
        <v>2000</v>
      </c>
    </row>
    <row r="37" customFormat="false" ht="13.5" hidden="false" customHeight="true" outlineLevel="0" collapsed="false">
      <c r="A37" s="6" t="s">
        <v>304</v>
      </c>
      <c r="B37" s="79" t="s">
        <v>303</v>
      </c>
      <c r="C37" s="87" t="n">
        <v>400</v>
      </c>
      <c r="D37" s="87" t="n">
        <v>1000</v>
      </c>
      <c r="E37" s="87" t="n">
        <v>300</v>
      </c>
      <c r="F37" s="88" t="n">
        <f aca="false">CHOOSE($C$4,C37,D37,E37)</f>
        <v>1000</v>
      </c>
    </row>
    <row r="38" customFormat="false" ht="13.5" hidden="false" customHeight="true" outlineLevel="0" collapsed="false">
      <c r="A38" s="6" t="s">
        <v>305</v>
      </c>
      <c r="B38" s="79" t="s">
        <v>306</v>
      </c>
      <c r="C38" s="24" t="n">
        <v>0.75</v>
      </c>
      <c r="D38" s="24" t="n">
        <v>0.55</v>
      </c>
      <c r="E38" s="24" t="n">
        <v>0.55</v>
      </c>
      <c r="F38" s="85" t="n">
        <f aca="false">CHOOSE($C$4,C38,D38,E38)</f>
        <v>0.55</v>
      </c>
    </row>
    <row r="39" customFormat="false" ht="13.5" hidden="false" customHeight="true" outlineLevel="0" collapsed="false">
      <c r="A39" s="6" t="s">
        <v>307</v>
      </c>
      <c r="B39" s="79" t="s">
        <v>303</v>
      </c>
      <c r="C39" s="87" t="n">
        <v>700</v>
      </c>
      <c r="D39" s="87" t="n">
        <v>800</v>
      </c>
      <c r="E39" s="87" t="n">
        <v>500</v>
      </c>
      <c r="F39" s="88" t="n">
        <f aca="false">CHOOSE($C$4,C39,D39,E39)</f>
        <v>800</v>
      </c>
    </row>
    <row r="40" customFormat="false" ht="13.5" hidden="false" customHeight="true" outlineLevel="0" collapsed="false">
      <c r="A40" s="6" t="s">
        <v>308</v>
      </c>
      <c r="B40" s="79" t="s">
        <v>303</v>
      </c>
      <c r="C40" s="87" t="n">
        <v>700</v>
      </c>
      <c r="D40" s="87" t="n">
        <v>500</v>
      </c>
      <c r="E40" s="87" t="n">
        <v>500</v>
      </c>
      <c r="F40" s="88" t="n">
        <f aca="false">CHOOSE($C$4,C40,D40,E40)</f>
        <v>500</v>
      </c>
    </row>
    <row r="41" customFormat="false" ht="13.5" hidden="false" customHeight="true" outlineLevel="0" collapsed="false">
      <c r="A41" s="9" t="s">
        <v>309</v>
      </c>
      <c r="B41" s="9"/>
      <c r="C41" s="9"/>
      <c r="D41" s="9"/>
      <c r="E41" s="9"/>
      <c r="F41" s="9"/>
      <c r="G41" s="9"/>
    </row>
    <row r="42" customFormat="false" ht="13.5" hidden="false" customHeight="true" outlineLevel="0" collapsed="false">
      <c r="A42" s="6" t="s">
        <v>310</v>
      </c>
      <c r="B42" s="79" t="s">
        <v>275</v>
      </c>
      <c r="D42" s="67" t="n">
        <v>0.32</v>
      </c>
    </row>
    <row r="43" customFormat="false" ht="13.5" hidden="false" customHeight="true" outlineLevel="0" collapsed="false">
      <c r="A43" s="22" t="s">
        <v>311</v>
      </c>
      <c r="C43" s="78" t="s">
        <v>312</v>
      </c>
      <c r="D43" s="78" t="s">
        <v>313</v>
      </c>
      <c r="E43" s="78" t="s">
        <v>314</v>
      </c>
      <c r="F43" s="78" t="s">
        <v>315</v>
      </c>
      <c r="G43" s="78" t="s">
        <v>316</v>
      </c>
      <c r="H43" s="78" t="s">
        <v>317</v>
      </c>
      <c r="I43" s="78" t="s">
        <v>318</v>
      </c>
    </row>
    <row r="44" customFormat="false" ht="13.5" hidden="false" customHeight="true" outlineLevel="0" collapsed="false">
      <c r="A44" s="6" t="s">
        <v>319</v>
      </c>
      <c r="C44" s="87" t="n">
        <v>2200</v>
      </c>
      <c r="D44" s="87" t="n">
        <v>3500</v>
      </c>
      <c r="E44" s="87" t="n">
        <v>4000</v>
      </c>
      <c r="F44" s="87" t="n">
        <v>4500</v>
      </c>
      <c r="G44" s="87" t="n">
        <v>5000</v>
      </c>
      <c r="H44" s="87" t="n">
        <v>5500</v>
      </c>
      <c r="I44" s="87" t="n">
        <v>6000</v>
      </c>
    </row>
    <row r="45" customFormat="false" ht="13.5" hidden="false" customHeight="true" outlineLevel="0" collapsed="false">
      <c r="A45" s="6" t="s">
        <v>320</v>
      </c>
      <c r="B45" s="79" t="s">
        <v>321</v>
      </c>
      <c r="D45" s="67" t="n">
        <v>0.03</v>
      </c>
    </row>
    <row r="46" customFormat="false" ht="13.5" hidden="false" customHeight="true" outlineLevel="0" collapsed="false">
      <c r="A46" s="4" t="s">
        <v>322</v>
      </c>
    </row>
    <row r="47" customFormat="false" ht="13.5" hidden="false" customHeight="true" outlineLevel="0" collapsed="false">
      <c r="A47" s="10" t="s">
        <v>323</v>
      </c>
      <c r="B47" s="78" t="s">
        <v>324</v>
      </c>
      <c r="C47" s="78" t="s">
        <v>325</v>
      </c>
      <c r="D47" s="78" t="s">
        <v>326</v>
      </c>
      <c r="E47" s="78" t="s">
        <v>327</v>
      </c>
      <c r="F47" s="78" t="s">
        <v>328</v>
      </c>
      <c r="G47" s="78" t="s">
        <v>329</v>
      </c>
    </row>
    <row r="48" customFormat="false" ht="13.5" hidden="false" customHeight="true" outlineLevel="0" collapsed="false">
      <c r="A48" s="6" t="s">
        <v>330</v>
      </c>
      <c r="B48" s="25" t="n">
        <v>1</v>
      </c>
      <c r="C48" s="87" t="n">
        <v>2250</v>
      </c>
      <c r="D48" s="25" t="n">
        <v>1</v>
      </c>
      <c r="E48" s="89" t="n">
        <f aca="false">B48*IF(G48=1,Hipótesis!$C$44,C48)*(1+Hipótesis!$D$42)</f>
        <v>2904</v>
      </c>
      <c r="F48" s="25" t="n">
        <v>0</v>
      </c>
      <c r="G48" s="25" t="n">
        <v>1</v>
      </c>
    </row>
    <row r="49" customFormat="false" ht="13.5" hidden="false" customHeight="true" outlineLevel="0" collapsed="false">
      <c r="A49" s="6" t="s">
        <v>331</v>
      </c>
      <c r="B49" s="25" t="n">
        <v>1</v>
      </c>
      <c r="C49" s="87" t="n">
        <v>2250</v>
      </c>
      <c r="D49" s="25" t="n">
        <v>1</v>
      </c>
      <c r="E49" s="89" t="n">
        <f aca="false">B49*IF(G49=1,Hipótesis!$C$44,C49)*(1+Hipótesis!$D$42)</f>
        <v>2904</v>
      </c>
      <c r="F49" s="25" t="n">
        <v>0</v>
      </c>
      <c r="G49" s="25" t="n">
        <v>1</v>
      </c>
    </row>
    <row r="50" customFormat="false" ht="13.5" hidden="false" customHeight="true" outlineLevel="0" collapsed="false">
      <c r="A50" s="6" t="s">
        <v>332</v>
      </c>
      <c r="B50" s="25" t="n">
        <v>1</v>
      </c>
      <c r="C50" s="87" t="n">
        <v>2250</v>
      </c>
      <c r="D50" s="25" t="n">
        <v>1</v>
      </c>
      <c r="E50" s="89" t="n">
        <f aca="false">B50*IF(G50=1,Hipótesis!$C$44,C50)*(1+Hipótesis!$D$42)</f>
        <v>2904</v>
      </c>
      <c r="F50" s="25" t="n">
        <v>160</v>
      </c>
      <c r="G50" s="25" t="n">
        <v>1</v>
      </c>
    </row>
    <row r="51" customFormat="false" ht="13.5" hidden="false" customHeight="true" outlineLevel="0" collapsed="false">
      <c r="A51" s="6" t="s">
        <v>333</v>
      </c>
      <c r="B51" s="25" t="n">
        <v>1</v>
      </c>
      <c r="C51" s="87" t="n">
        <v>2000</v>
      </c>
      <c r="D51" s="25" t="n">
        <v>1</v>
      </c>
      <c r="E51" s="89" t="n">
        <f aca="false">B51*IF(G51=1,Hipótesis!$C$44,C51)*(1+Hipótesis!$D$42)</f>
        <v>2640</v>
      </c>
      <c r="F51" s="25" t="n">
        <v>160</v>
      </c>
      <c r="G51" s="25" t="n">
        <v>0</v>
      </c>
    </row>
    <row r="52" customFormat="false" ht="13.5" hidden="false" customHeight="true" outlineLevel="0" collapsed="false">
      <c r="A52" s="6" t="s">
        <v>334</v>
      </c>
      <c r="B52" s="25" t="n">
        <v>1</v>
      </c>
      <c r="C52" s="87" t="n">
        <v>2000</v>
      </c>
      <c r="D52" s="25" t="n">
        <v>20</v>
      </c>
      <c r="E52" s="89" t="n">
        <f aca="false">B52*IF(G52=1,Hipótesis!$C$44,C52)*(1+Hipótesis!$D$42)</f>
        <v>2640</v>
      </c>
      <c r="F52" s="25" t="n">
        <v>0</v>
      </c>
      <c r="G52" s="25" t="n">
        <v>0</v>
      </c>
    </row>
    <row r="53" customFormat="false" ht="13.5" hidden="false" customHeight="true" outlineLevel="0" collapsed="false">
      <c r="A53" s="53" t="s">
        <v>335</v>
      </c>
      <c r="B53" s="90" t="n">
        <v>0</v>
      </c>
      <c r="C53" s="91" t="n">
        <v>1700</v>
      </c>
      <c r="D53" s="90" t="n">
        <v>24</v>
      </c>
      <c r="E53" s="89" t="n">
        <f aca="false">B53*IF(G53=1,Hipótesis!$C$44,C53)*(1+Hipótesis!$D$42)</f>
        <v>0</v>
      </c>
      <c r="F53" s="90" t="n">
        <v>160</v>
      </c>
      <c r="G53" s="90" t="n">
        <v>0</v>
      </c>
    </row>
    <row r="54" customFormat="false" ht="13.5" hidden="false" customHeight="true" outlineLevel="0" collapsed="false">
      <c r="A54" s="6" t="s">
        <v>336</v>
      </c>
      <c r="E54" s="71" t="n">
        <f aca="false">SUMPRODUCT($B$48:$B$53,IF($G$48:$G$53=1,Hipótesis!$I$44,$C$48:$C$53*(1+Hipótesis!$D$45)^6))*(1+Hipótesis!$D$42)</f>
        <v>30064.5961256731</v>
      </c>
    </row>
    <row r="55" customFormat="false" ht="13.5" hidden="false" customHeight="true" outlineLevel="0" collapsed="false">
      <c r="A55" s="6" t="s">
        <v>337</v>
      </c>
      <c r="E55" s="88" t="n">
        <f aca="false">SUMPRODUCT(($D$48:$D$53&lt;=1)*($B$48:$B$53)*IF($G$48:$G$53=1,Hipótesis!$C$44,$C$48:$C$53))*(1+Hipótesis!$D$42)</f>
        <v>11352</v>
      </c>
    </row>
    <row r="56" customFormat="false" ht="13.5" hidden="false" customHeight="true" outlineLevel="0" collapsed="false">
      <c r="A56" s="22" t="s">
        <v>338</v>
      </c>
      <c r="B56" s="79" t="s">
        <v>339</v>
      </c>
      <c r="D56" s="87" t="n">
        <v>200000</v>
      </c>
    </row>
    <row r="57" customFormat="false" ht="13.5" hidden="false" customHeight="true" outlineLevel="0" collapsed="false">
      <c r="A57" s="22" t="s">
        <v>340</v>
      </c>
      <c r="C57" s="51" t="n">
        <f aca="false">IFERROR(MAX(0,((Hipótesis!$D$56-CAPEX!$E$22)/CAPEX!$C$23-(Hipótesis!$C$36+Hipótesis!$C$37+Hipótesis!$C$39+Hipótesis!$C$40)-SUMPRODUCT(($D$48:$D$53&lt;=1)*($B$48:$B$53)*($G$48:$G$53=0)*($C$48:$C$53))*(1+Hipótesis!$D$42))/(SUMPRODUCT(($D$48:$D$53&lt;=1)*($B$48:$B$53)*($G$48:$G$53=1))*(1+Hipótesis!$D$42))),0)</f>
        <v>5433.71212121212</v>
      </c>
      <c r="D57" s="51" t="n">
        <f aca="false">IFERROR(MAX(0,((Hipótesis!$D$56-CAPEX!$F$22)/CAPEX!$C$23-(Hipótesis!$D$36+Hipótesis!$D$37+Hipótesis!$D$39+Hipótesis!$D$40)-SUMPRODUCT(($D$48:$D$53&lt;=1)*($B$48:$B$53)*($G$48:$G$53=0)*($C$48:$C$53))*(1+Hipótesis!$D$42))/(SUMPRODUCT(($D$48:$D$53&lt;=1)*($B$48:$B$53)*($G$48:$G$53=1))*(1+Hipótesis!$D$42))),0)</f>
        <v>4644.57070707071</v>
      </c>
      <c r="E57" s="51" t="n">
        <f aca="false">IFERROR(MAX(0,((Hipótesis!$D$56-CAPEX!$G$22)/CAPEX!$C$23-(Hipótesis!$E$36+Hipótesis!$E$37+Hipótesis!$E$39+Hipótesis!$E$40)-SUMPRODUCT(($D$48:$D$53&lt;=1)*($B$48:$B$53)*($G$48:$G$53=0)*($C$48:$C$53))*(1+Hipótesis!$D$42))/(SUMPRODUCT(($D$48:$D$53&lt;=1)*($B$48:$B$53)*($G$48:$G$53=1))*(1+Hipótesis!$D$42))),0)</f>
        <v>3132.57575757576</v>
      </c>
      <c r="F57" s="73" t="n">
        <f aca="false">CHOOSE($C$4,C57,D57,E57)</f>
        <v>4644.57070707071</v>
      </c>
    </row>
    <row r="58" customFormat="false" ht="13.5" hidden="false" customHeight="true" outlineLevel="0" collapsed="false">
      <c r="A58" s="4" t="s">
        <v>341</v>
      </c>
    </row>
    <row r="59" customFormat="false" ht="13.5" hidden="false" customHeight="true" outlineLevel="0" collapsed="false">
      <c r="A59" s="6" t="s">
        <v>342</v>
      </c>
      <c r="E59" s="86" t="n">
        <f aca="false">SUMPRODUCT($B$48:$B$53,$F$48:$F$53)</f>
        <v>320</v>
      </c>
    </row>
    <row r="60" customFormat="false" ht="13.5" hidden="false" customHeight="true" outlineLevel="0" collapsed="false">
      <c r="A60" s="22" t="s">
        <v>343</v>
      </c>
    </row>
    <row r="61" customFormat="false" ht="13.5" hidden="false" customHeight="true" outlineLevel="0" collapsed="false">
      <c r="A61" s="6" t="s">
        <v>344</v>
      </c>
      <c r="B61" s="79" t="s">
        <v>303</v>
      </c>
      <c r="D61" s="87" t="n">
        <v>1700</v>
      </c>
    </row>
    <row r="62" customFormat="false" ht="13.5" hidden="false" customHeight="true" outlineLevel="0" collapsed="false">
      <c r="A62" s="6" t="s">
        <v>345</v>
      </c>
      <c r="B62" s="79" t="s">
        <v>303</v>
      </c>
      <c r="D62" s="89" t="n">
        <f aca="false">Hipótesis!$D$61*(1+Hipótesis!$D$42)</f>
        <v>2244</v>
      </c>
    </row>
    <row r="63" customFormat="false" ht="13.5" hidden="false" customHeight="true" outlineLevel="0" collapsed="false">
      <c r="A63" s="6" t="s">
        <v>346</v>
      </c>
      <c r="B63" s="79" t="s">
        <v>347</v>
      </c>
      <c r="D63" s="25" t="n">
        <v>160</v>
      </c>
    </row>
    <row r="64" customFormat="false" ht="13.5" hidden="false" customHeight="true" outlineLevel="0" collapsed="false">
      <c r="A64" s="4" t="s">
        <v>348</v>
      </c>
    </row>
    <row r="65" customFormat="false" ht="13.5" hidden="false" customHeight="true" outlineLevel="0" collapsed="false">
      <c r="A65" s="9" t="s">
        <v>349</v>
      </c>
      <c r="B65" s="9"/>
      <c r="C65" s="9"/>
      <c r="D65" s="9"/>
      <c r="E65" s="9"/>
      <c r="F65" s="9"/>
    </row>
    <row r="66" customFormat="false" ht="13.5" hidden="false" customHeight="true" outlineLevel="0" collapsed="false">
      <c r="A66" s="6" t="s">
        <v>350</v>
      </c>
      <c r="B66" s="79" t="s">
        <v>351</v>
      </c>
      <c r="C66" s="25" t="n">
        <v>40</v>
      </c>
      <c r="D66" s="25" t="n">
        <v>30</v>
      </c>
      <c r="E66" s="25" t="n">
        <v>25</v>
      </c>
      <c r="F66" s="86" t="n">
        <f aca="false">CHOOSE($C$4,C66,D66,E66)</f>
        <v>30</v>
      </c>
    </row>
    <row r="67" customFormat="false" ht="13.5" hidden="false" customHeight="true" outlineLevel="0" collapsed="false">
      <c r="A67" s="6" t="s">
        <v>352</v>
      </c>
      <c r="B67" s="79" t="s">
        <v>351</v>
      </c>
      <c r="C67" s="25" t="n">
        <v>30</v>
      </c>
      <c r="D67" s="25" t="n">
        <v>30</v>
      </c>
      <c r="E67" s="25" t="n">
        <v>45</v>
      </c>
      <c r="F67" s="86" t="n">
        <f aca="false">CHOOSE($C$4,C67,D67,E67)</f>
        <v>30</v>
      </c>
    </row>
    <row r="68" customFormat="false" ht="13.5" hidden="false" customHeight="true" outlineLevel="0" collapsed="false">
      <c r="A68" s="6" t="s">
        <v>353</v>
      </c>
      <c r="B68" s="79" t="s">
        <v>275</v>
      </c>
      <c r="D68" s="67" t="n">
        <v>0.02</v>
      </c>
    </row>
    <row r="69" customFormat="false" ht="13.5" hidden="false" customHeight="true" outlineLevel="0" collapsed="false">
      <c r="A69" s="9" t="s">
        <v>354</v>
      </c>
      <c r="B69" s="9"/>
      <c r="C69" s="9"/>
      <c r="D69" s="9"/>
      <c r="E69" s="9"/>
      <c r="F69" s="9"/>
    </row>
    <row r="70" customFormat="false" ht="13.5" hidden="false" customHeight="true" outlineLevel="0" collapsed="false">
      <c r="A70" s="6" t="s">
        <v>355</v>
      </c>
      <c r="B70" s="79" t="s">
        <v>339</v>
      </c>
      <c r="D70" s="87" t="n">
        <v>50000</v>
      </c>
    </row>
    <row r="71" customFormat="false" ht="13.5" hidden="false" customHeight="true" outlineLevel="0" collapsed="false">
      <c r="A71" s="6" t="s">
        <v>356</v>
      </c>
      <c r="B71" s="79" t="s">
        <v>275</v>
      </c>
      <c r="D71" s="67" t="n">
        <v>0.055</v>
      </c>
    </row>
    <row r="72" customFormat="false" ht="13.5" hidden="false" customHeight="true" outlineLevel="0" collapsed="false">
      <c r="A72" s="6" t="s">
        <v>357</v>
      </c>
      <c r="B72" s="79" t="s">
        <v>339</v>
      </c>
      <c r="D72" s="87" t="n">
        <v>30000</v>
      </c>
    </row>
    <row r="73" customFormat="false" ht="13.5" hidden="false" customHeight="true" outlineLevel="0" collapsed="false">
      <c r="A73" s="6" t="s">
        <v>358</v>
      </c>
      <c r="B73" s="79" t="s">
        <v>275</v>
      </c>
      <c r="D73" s="67" t="n">
        <v>0.6</v>
      </c>
    </row>
    <row r="74" customFormat="false" ht="13.5" hidden="false" customHeight="true" outlineLevel="0" collapsed="false">
      <c r="A74" s="6" t="s">
        <v>359</v>
      </c>
      <c r="B74" s="79" t="s">
        <v>275</v>
      </c>
      <c r="D74" s="67" t="n">
        <v>0.075</v>
      </c>
    </row>
    <row r="75" customFormat="false" ht="13.5" hidden="false" customHeight="true" outlineLevel="0" collapsed="false">
      <c r="A75" s="9" t="s">
        <v>360</v>
      </c>
      <c r="B75" s="9"/>
      <c r="C75" s="9"/>
      <c r="D75" s="9"/>
      <c r="E75" s="9"/>
      <c r="F75" s="9"/>
    </row>
    <row r="76" customFormat="false" ht="13.5" hidden="false" customHeight="true" outlineLevel="0" collapsed="false">
      <c r="A76" s="6" t="s">
        <v>361</v>
      </c>
      <c r="B76" s="79" t="s">
        <v>294</v>
      </c>
      <c r="D76" s="25" t="n">
        <v>37</v>
      </c>
    </row>
    <row r="77" customFormat="false" ht="13.5" hidden="false" customHeight="true" outlineLevel="0" collapsed="false">
      <c r="A77" s="6" t="s">
        <v>362</v>
      </c>
      <c r="B77" s="79" t="s">
        <v>275</v>
      </c>
      <c r="D77" s="67" t="n">
        <v>0.4</v>
      </c>
    </row>
    <row r="78" customFormat="false" ht="13.5" hidden="false" customHeight="true" outlineLevel="0" collapsed="false">
      <c r="A78" s="6" t="s">
        <v>363</v>
      </c>
      <c r="B78" s="79" t="s">
        <v>294</v>
      </c>
      <c r="D78" s="25" t="n">
        <v>37</v>
      </c>
    </row>
    <row r="79" customFormat="false" ht="13.5" hidden="false" customHeight="true" outlineLevel="0" collapsed="false">
      <c r="A79" s="6" t="s">
        <v>364</v>
      </c>
      <c r="B79" s="79" t="s">
        <v>275</v>
      </c>
      <c r="D79" s="67" t="n">
        <v>0.5</v>
      </c>
    </row>
    <row r="80" customFormat="false" ht="13.5" hidden="false" customHeight="true" outlineLevel="0" collapsed="false">
      <c r="A80" s="6" t="s">
        <v>365</v>
      </c>
      <c r="B80" s="79" t="s">
        <v>339</v>
      </c>
      <c r="D80" s="87" t="n">
        <v>60000</v>
      </c>
    </row>
    <row r="81" customFormat="false" ht="13.5" hidden="false" customHeight="true" outlineLevel="0" collapsed="false">
      <c r="A81" s="6" t="s">
        <v>366</v>
      </c>
      <c r="B81" s="79" t="s">
        <v>339</v>
      </c>
      <c r="D81" s="87" t="n">
        <v>100030</v>
      </c>
    </row>
    <row r="82" customFormat="false" ht="13.5" hidden="false" customHeight="true" outlineLevel="0" collapsed="false">
      <c r="A82" s="6" t="s">
        <v>367</v>
      </c>
      <c r="B82" s="79" t="s">
        <v>275</v>
      </c>
      <c r="D82" s="67" t="n">
        <v>0.3</v>
      </c>
    </row>
    <row r="83" customFormat="false" ht="13.5" hidden="false" customHeight="true" outlineLevel="0" collapsed="false">
      <c r="A83" s="6" t="s">
        <v>368</v>
      </c>
      <c r="B83" s="79" t="s">
        <v>275</v>
      </c>
      <c r="D83" s="67" t="n">
        <v>0.3</v>
      </c>
    </row>
    <row r="84" customFormat="false" ht="13.5" hidden="false" customHeight="true" outlineLevel="0" collapsed="false">
      <c r="A84" s="6" t="s">
        <v>369</v>
      </c>
      <c r="B84" s="79" t="s">
        <v>275</v>
      </c>
      <c r="D84" s="67" t="n">
        <v>0.21</v>
      </c>
    </row>
    <row r="85" customFormat="false" ht="13.5" hidden="false" customHeight="true" outlineLevel="0" collapsed="false">
      <c r="A85" s="9" t="s">
        <v>370</v>
      </c>
      <c r="B85" s="9"/>
      <c r="C85" s="9"/>
      <c r="D85" s="9"/>
      <c r="E85" s="9"/>
      <c r="F85" s="9"/>
    </row>
    <row r="86" customFormat="false" ht="13.5" hidden="false" customHeight="true" outlineLevel="0" collapsed="false">
      <c r="A86" s="6" t="s">
        <v>371</v>
      </c>
      <c r="B86" s="79" t="s">
        <v>372</v>
      </c>
      <c r="C86" s="26" t="n">
        <v>7</v>
      </c>
      <c r="D86" s="26" t="n">
        <v>7</v>
      </c>
      <c r="E86" s="26" t="n">
        <v>7</v>
      </c>
      <c r="F86" s="28" t="n">
        <f aca="false">CHOOSE($C$4,C86,D86,E86)</f>
        <v>7</v>
      </c>
    </row>
    <row r="87" customFormat="false" ht="13.5" hidden="false" customHeight="true" outlineLevel="0" collapsed="false">
      <c r="A87" s="6" t="s">
        <v>373</v>
      </c>
      <c r="B87" s="79" t="s">
        <v>275</v>
      </c>
      <c r="C87" s="67" t="n">
        <v>0.15</v>
      </c>
      <c r="D87" s="67" t="n">
        <v>0.15</v>
      </c>
      <c r="E87" s="67" t="n">
        <v>0.15</v>
      </c>
      <c r="F87" s="82" t="n">
        <f aca="false">CHOOSE($C$4,C87,D87,E87)</f>
        <v>0.15</v>
      </c>
    </row>
    <row r="88" customFormat="false" ht="13.5" hidden="false" customHeight="true" outlineLevel="0" collapsed="false">
      <c r="A88" s="6" t="s">
        <v>374</v>
      </c>
      <c r="B88" s="79" t="s">
        <v>275</v>
      </c>
      <c r="C88" s="67" t="n">
        <v>0.25</v>
      </c>
      <c r="D88" s="67" t="n">
        <v>0.25</v>
      </c>
      <c r="E88" s="67" t="n">
        <v>0.25</v>
      </c>
      <c r="F88" s="82" t="n">
        <f aca="false">CHOOSE($C$4,C88,D88,E88)</f>
        <v>0.25</v>
      </c>
    </row>
    <row r="89" customFormat="false" ht="13.5" hidden="false" customHeight="true" outlineLevel="0" collapsed="false">
      <c r="A89" s="6" t="s">
        <v>375</v>
      </c>
      <c r="B89" s="79" t="s">
        <v>376</v>
      </c>
      <c r="D89" s="25" t="n">
        <v>4</v>
      </c>
    </row>
    <row r="90" customFormat="false" ht="13.5" hidden="false" customHeight="true" outlineLevel="0" collapsed="false">
      <c r="A90" s="9" t="s">
        <v>377</v>
      </c>
      <c r="B90" s="9"/>
      <c r="C90" s="9"/>
      <c r="D90" s="9"/>
      <c r="E90" s="9"/>
      <c r="F90" s="9"/>
    </row>
    <row r="91" customFormat="false" ht="13.5" hidden="false" customHeight="true" outlineLevel="0" collapsed="false">
      <c r="A91" s="6" t="s">
        <v>378</v>
      </c>
      <c r="B91" s="79" t="s">
        <v>379</v>
      </c>
      <c r="D91" s="25" t="n">
        <v>1</v>
      </c>
    </row>
    <row r="92" customFormat="false" ht="13.5" hidden="false" customHeight="true" outlineLevel="0" collapsed="false">
      <c r="A92" s="6" t="s">
        <v>380</v>
      </c>
      <c r="B92" s="79" t="s">
        <v>339</v>
      </c>
      <c r="D92" s="87" t="n">
        <v>100000</v>
      </c>
    </row>
    <row r="93" customFormat="false" ht="13.5" hidden="false" customHeight="true" outlineLevel="0" collapsed="false">
      <c r="A93" s="6" t="s">
        <v>381</v>
      </c>
      <c r="B93" s="79" t="s">
        <v>339</v>
      </c>
      <c r="D93" s="89" t="n">
        <f aca="false">Hipótesis!$D$91*Hipótesis!$D$92</f>
        <v>100000</v>
      </c>
    </row>
    <row r="94" customFormat="false" ht="13.5" hidden="false" customHeight="true" outlineLevel="0" collapsed="false">
      <c r="A94" s="6" t="s">
        <v>382</v>
      </c>
      <c r="B94" s="79" t="s">
        <v>383</v>
      </c>
      <c r="D94" s="25" t="n">
        <v>5</v>
      </c>
    </row>
    <row r="95" customFormat="false" ht="13.5" hidden="false" customHeight="true" outlineLevel="0" collapsed="false">
      <c r="A95" s="6" t="s">
        <v>384</v>
      </c>
      <c r="B95" s="79" t="s">
        <v>275</v>
      </c>
      <c r="D95" s="67" t="n">
        <v>0.08</v>
      </c>
    </row>
    <row r="96" customFormat="false" ht="13.5" hidden="false" customHeight="true" outlineLevel="0" collapsed="false">
      <c r="A96" s="6" t="s">
        <v>385</v>
      </c>
      <c r="B96" s="79" t="s">
        <v>299</v>
      </c>
      <c r="D96" s="25" t="n">
        <v>48</v>
      </c>
    </row>
    <row r="97" customFormat="false" ht="13.5" hidden="false" customHeight="true" outlineLevel="0" collapsed="false">
      <c r="A97" s="6" t="s">
        <v>386</v>
      </c>
      <c r="B97" s="79" t="s">
        <v>299</v>
      </c>
      <c r="D97" s="25" t="n">
        <v>6</v>
      </c>
    </row>
    <row r="98" customFormat="false" ht="13.5" hidden="false" customHeight="true" outlineLevel="0" collapsed="false">
      <c r="A98" s="6" t="s">
        <v>387</v>
      </c>
      <c r="B98" s="79" t="s">
        <v>275</v>
      </c>
      <c r="D98" s="67" t="n">
        <v>0.05</v>
      </c>
    </row>
    <row r="99" customFormat="false" ht="13.5" hidden="false" customHeight="true" outlineLevel="0" collapsed="false">
      <c r="A99" s="6" t="s">
        <v>388</v>
      </c>
      <c r="B99" s="79" t="s">
        <v>275</v>
      </c>
      <c r="D99" s="67" t="n">
        <v>0.4</v>
      </c>
    </row>
    <row r="100" customFormat="false" ht="13.5" hidden="false" customHeight="true" outlineLevel="0" collapsed="false">
      <c r="A100" s="6" t="s">
        <v>389</v>
      </c>
      <c r="B100" s="79" t="s">
        <v>275</v>
      </c>
      <c r="D100" s="67" t="n">
        <v>0.13</v>
      </c>
    </row>
    <row r="101" customFormat="false" ht="13.5" hidden="false" customHeight="true" outlineLevel="0" collapsed="false">
      <c r="A101" s="6" t="s">
        <v>390</v>
      </c>
      <c r="B101" s="79" t="s">
        <v>391</v>
      </c>
      <c r="D101" s="92" t="n">
        <v>2</v>
      </c>
    </row>
    <row r="102" customFormat="false" ht="13.5" hidden="false" customHeight="true" outlineLevel="0" collapsed="false">
      <c r="A102" s="9" t="s">
        <v>392</v>
      </c>
      <c r="B102" s="9"/>
      <c r="C102" s="9"/>
      <c r="D102" s="9"/>
      <c r="E102" s="9"/>
      <c r="F102" s="9"/>
    </row>
    <row r="103" customFormat="false" ht="13.5" hidden="false" customHeight="true" outlineLevel="0" collapsed="false">
      <c r="A103" s="6" t="s">
        <v>378</v>
      </c>
      <c r="B103" s="79" t="s">
        <v>379</v>
      </c>
      <c r="D103" s="25" t="n">
        <v>1</v>
      </c>
    </row>
    <row r="104" customFormat="false" ht="13.5" hidden="false" customHeight="true" outlineLevel="0" collapsed="false">
      <c r="A104" s="6" t="s">
        <v>393</v>
      </c>
      <c r="B104" s="79" t="s">
        <v>339</v>
      </c>
      <c r="D104" s="87" t="n">
        <v>100000</v>
      </c>
    </row>
    <row r="105" customFormat="false" ht="13.5" hidden="false" customHeight="true" outlineLevel="0" collapsed="false">
      <c r="A105" s="6" t="s">
        <v>394</v>
      </c>
      <c r="B105" s="79" t="s">
        <v>339</v>
      </c>
      <c r="D105" s="89" t="n">
        <f aca="false">Hipótesis!$D$103*Hipótesis!$D$104</f>
        <v>100000</v>
      </c>
    </row>
    <row r="106" customFormat="false" ht="13.5" hidden="false" customHeight="true" outlineLevel="0" collapsed="false">
      <c r="A106" s="6" t="s">
        <v>395</v>
      </c>
      <c r="B106" s="79" t="s">
        <v>275</v>
      </c>
      <c r="D106" s="67" t="n">
        <v>0.04</v>
      </c>
    </row>
    <row r="107" customFormat="false" ht="13.5" hidden="false" customHeight="true" outlineLevel="0" collapsed="false">
      <c r="A107" s="6" t="s">
        <v>396</v>
      </c>
      <c r="B107" s="79" t="s">
        <v>275</v>
      </c>
      <c r="D107" s="67" t="n">
        <v>0.02</v>
      </c>
    </row>
    <row r="108" customFormat="false" ht="13.5" hidden="false" customHeight="true" outlineLevel="0" collapsed="false">
      <c r="A108" s="6" t="s">
        <v>397</v>
      </c>
      <c r="B108" s="79" t="s">
        <v>299</v>
      </c>
      <c r="D108" s="25" t="n">
        <v>84</v>
      </c>
    </row>
    <row r="109" customFormat="false" ht="13.5" hidden="false" customHeight="true" outlineLevel="0" collapsed="false">
      <c r="A109" s="6" t="s">
        <v>386</v>
      </c>
      <c r="B109" s="79" t="s">
        <v>299</v>
      </c>
      <c r="D109" s="25" t="n">
        <v>24</v>
      </c>
    </row>
    <row r="110" customFormat="false" ht="13.5" hidden="false" customHeight="true" outlineLevel="0" collapsed="false">
      <c r="A110" s="9" t="s">
        <v>398</v>
      </c>
      <c r="B110" s="9"/>
      <c r="C110" s="9"/>
      <c r="D110" s="9"/>
      <c r="E110" s="9"/>
      <c r="F110" s="9"/>
    </row>
    <row r="111" customFormat="false" ht="13.5" hidden="false" customHeight="true" outlineLevel="0" collapsed="false">
      <c r="A111" s="6" t="s">
        <v>399</v>
      </c>
      <c r="B111" s="79" t="s">
        <v>379</v>
      </c>
      <c r="D111" s="25" t="n">
        <v>0</v>
      </c>
    </row>
    <row r="112" customFormat="false" ht="13.5" hidden="false" customHeight="true" outlineLevel="0" collapsed="false">
      <c r="A112" s="6" t="s">
        <v>400</v>
      </c>
      <c r="B112" s="79" t="s">
        <v>339</v>
      </c>
      <c r="D112" s="87" t="n">
        <v>90000</v>
      </c>
    </row>
    <row r="113" customFormat="false" ht="13.5" hidden="false" customHeight="true" outlineLevel="0" collapsed="false">
      <c r="A113" s="6" t="s">
        <v>401</v>
      </c>
      <c r="B113" s="79" t="s">
        <v>339</v>
      </c>
      <c r="D113" s="89" t="n">
        <f aca="false">Hipótesis!$D$111*Hipótesis!$D$112</f>
        <v>0</v>
      </c>
    </row>
    <row r="114" customFormat="false" ht="13.5" hidden="false" customHeight="true" outlineLevel="0" collapsed="false">
      <c r="A114" s="6" t="s">
        <v>402</v>
      </c>
      <c r="B114" s="79" t="s">
        <v>275</v>
      </c>
      <c r="D114" s="67" t="n">
        <v>0.06</v>
      </c>
    </row>
    <row r="115" customFormat="false" ht="13.5" hidden="false" customHeight="true" outlineLevel="0" collapsed="false">
      <c r="A115" s="6" t="s">
        <v>397</v>
      </c>
      <c r="B115" s="79" t="s">
        <v>299</v>
      </c>
      <c r="D115" s="25" t="n">
        <v>84</v>
      </c>
    </row>
    <row r="116" customFormat="false" ht="13.5" hidden="false" customHeight="true" outlineLevel="0" collapsed="false">
      <c r="A116" s="6" t="s">
        <v>386</v>
      </c>
      <c r="B116" s="79" t="s">
        <v>299</v>
      </c>
      <c r="D116" s="25" t="n">
        <v>12</v>
      </c>
    </row>
    <row r="117" customFormat="false" ht="13.5" hidden="false" customHeight="true" outlineLevel="0" collapsed="false">
      <c r="A117" s="6" t="s">
        <v>403</v>
      </c>
      <c r="B117" s="79" t="s">
        <v>275</v>
      </c>
      <c r="D117" s="67" t="n">
        <v>0.15</v>
      </c>
    </row>
    <row r="118" customFormat="false" ht="13.5" hidden="false" customHeight="true" outlineLevel="0" collapsed="false">
      <c r="A118" s="9" t="s">
        <v>404</v>
      </c>
      <c r="B118" s="9"/>
      <c r="C118" s="9"/>
      <c r="D118" s="9"/>
      <c r="E118" s="9"/>
      <c r="F118" s="9"/>
    </row>
    <row r="119" customFormat="false" ht="13.5" hidden="false" customHeight="true" outlineLevel="0" collapsed="false">
      <c r="A119" s="6" t="s">
        <v>405</v>
      </c>
      <c r="B119" s="79" t="s">
        <v>275</v>
      </c>
      <c r="D119" s="67" t="n">
        <v>0.1</v>
      </c>
    </row>
    <row r="120" customFormat="false" ht="13.5" hidden="false" customHeight="true" outlineLevel="0" collapsed="false">
      <c r="A120" s="6" t="s">
        <v>406</v>
      </c>
      <c r="B120" s="79" t="s">
        <v>407</v>
      </c>
      <c r="D120" s="92" t="n">
        <v>6</v>
      </c>
    </row>
    <row r="121" customFormat="false" ht="13.5" hidden="false" customHeight="true" outlineLevel="0" collapsed="false">
      <c r="A121" s="6" t="s">
        <v>408</v>
      </c>
      <c r="B121" s="79" t="s">
        <v>275</v>
      </c>
      <c r="D121" s="67" t="n">
        <v>0.12</v>
      </c>
    </row>
    <row r="122" customFormat="false" ht="13.5" hidden="false" customHeight="true" outlineLevel="0" collapsed="false">
      <c r="A122" s="93" t="s">
        <v>409</v>
      </c>
      <c r="B122" s="79" t="s">
        <v>339</v>
      </c>
      <c r="D122" s="51" t="n">
        <f aca="false">Hipótesis!$D$93+Hipótesis!$D$105+Hipótesis!$D$113</f>
        <v>200000</v>
      </c>
    </row>
    <row r="123" customFormat="false" ht="15" hidden="false" customHeight="false" outlineLevel="0" collapsed="false">
      <c r="A123" s="94" t="s">
        <v>410</v>
      </c>
    </row>
    <row r="124" customFormat="false" ht="15" hidden="false" customHeight="false" outlineLevel="0" collapsed="false">
      <c r="A124" s="1" t="s">
        <v>411</v>
      </c>
      <c r="B124" s="1" t="s">
        <v>294</v>
      </c>
      <c r="D124" s="1" t="n">
        <v>48</v>
      </c>
    </row>
    <row r="125" customFormat="false" ht="15" hidden="false" customHeight="false" outlineLevel="0" collapsed="false">
      <c r="A125" s="1" t="s">
        <v>412</v>
      </c>
      <c r="B125" s="1" t="s">
        <v>379</v>
      </c>
      <c r="D125" s="1" t="n">
        <v>1</v>
      </c>
    </row>
    <row r="126" customFormat="false" ht="15" hidden="false" customHeight="false" outlineLevel="0" collapsed="false">
      <c r="A126" s="1" t="s">
        <v>413</v>
      </c>
      <c r="B126" s="1" t="s">
        <v>294</v>
      </c>
      <c r="D126" s="1" t="n">
        <v>0</v>
      </c>
    </row>
    <row r="127" customFormat="false" ht="15" hidden="false" customHeight="false" outlineLevel="0" collapsed="false">
      <c r="A127" s="1" t="s">
        <v>414</v>
      </c>
      <c r="B127" s="1" t="s">
        <v>391</v>
      </c>
      <c r="D127" s="1" t="n">
        <v>1.5</v>
      </c>
    </row>
  </sheetData>
  <dataValidations count="6">
    <dataValidation allowBlank="false" errorStyle="stop" operator="equal" showDropDown="false" showErrorMessage="false" showInputMessage="false" sqref="C4" type="list">
      <formula1>"1,2,3"</formula1>
      <formula2>0</formula2>
    </dataValidation>
    <dataValidation allowBlank="false" errorStyle="stop" operator="equal" showDropDown="false" showErrorMessage="false" showInputMessage="false" sqref="B48:B53" type="list">
      <formula1>"0,1"</formula1>
      <formula2>0</formula2>
    </dataValidation>
    <dataValidation allowBlank="false" errorStyle="stop" operator="equal" showDropDown="false" showErrorMessage="false" showInputMessage="false" sqref="D91" type="list">
      <formula1>"0,1"</formula1>
      <formula2>0</formula2>
    </dataValidation>
    <dataValidation allowBlank="false" errorStyle="stop" operator="equal" showDropDown="false" showErrorMessage="false" showInputMessage="false" sqref="D94" type="list">
      <formula1>"1,2,3,4"</formula1>
      <formula2>0</formula2>
    </dataValidation>
    <dataValidation allowBlank="false" errorStyle="stop" operator="equal" showDropDown="false" showErrorMessage="false" showInputMessage="false" sqref="D103" type="list">
      <formula1>"0,1"</formula1>
      <formula2>0</formula2>
    </dataValidation>
    <dataValidation allowBlank="false" errorStyle="stop" operator="equal" showDropDown="false" showErrorMessage="false" showInputMessage="false" sqref="D11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K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5"/>
  </cols>
  <sheetData>
    <row r="1" customFormat="false" ht="18" hidden="false" customHeight="true" outlineLevel="0" collapsed="false">
      <c r="A1" s="8" t="s">
        <v>415</v>
      </c>
    </row>
    <row r="2" customFormat="false" ht="13.5" hidden="false" customHeight="true" outlineLevel="0" collapsed="false">
      <c r="A2" s="4" t="s">
        <v>416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9" t="s">
        <v>417</v>
      </c>
      <c r="B4" s="9"/>
      <c r="C4" s="9"/>
      <c r="D4" s="9"/>
    </row>
    <row r="5" customFormat="false" ht="13.5" hidden="false" customHeight="true" outlineLevel="0" collapsed="false">
      <c r="A5" s="6" t="s">
        <v>418</v>
      </c>
      <c r="B5" s="95" t="n">
        <f aca="false">Producto!$D$8</f>
        <v>4</v>
      </c>
    </row>
    <row r="6" customFormat="false" ht="13.5" hidden="false" customHeight="true" outlineLevel="0" collapsed="false">
      <c r="A6" s="6" t="s">
        <v>419</v>
      </c>
      <c r="B6" s="95" t="n">
        <f aca="false">Producto!$D$9</f>
        <v>3</v>
      </c>
    </row>
    <row r="7" customFormat="false" ht="13.5" hidden="false" customHeight="true" outlineLevel="0" collapsed="false">
      <c r="A7" s="6" t="s">
        <v>420</v>
      </c>
      <c r="B7" s="95" t="n">
        <f aca="false">Producto!$D$10</f>
        <v>2</v>
      </c>
    </row>
    <row r="8" customFormat="false" ht="13.5" hidden="false" customHeight="true" outlineLevel="0" collapsed="false">
      <c r="A8" s="22" t="s">
        <v>421</v>
      </c>
      <c r="B8" s="96" t="n">
        <f aca="false">Producto!$D$11</f>
        <v>3</v>
      </c>
    </row>
    <row r="9" customFormat="false" ht="13.5" hidden="false" customHeight="true" outlineLevel="0" collapsed="false">
      <c r="A9" s="6" t="s">
        <v>422</v>
      </c>
      <c r="B9" s="50" t="str">
        <f aca="false">CHOOSE(Hipótesis!$C$4,"Conservador","Base","Optimista")</f>
        <v>Base</v>
      </c>
    </row>
    <row r="10" customFormat="false" ht="13.5" hidden="false" customHeight="true" outlineLevel="0" collapsed="false"/>
    <row r="11" customFormat="false" ht="13.5" hidden="false" customHeight="true" outlineLevel="0" collapsed="false">
      <c r="A11" s="9" t="s">
        <v>423</v>
      </c>
      <c r="B11" s="9"/>
      <c r="C11" s="9"/>
      <c r="D11" s="9"/>
    </row>
    <row r="12" customFormat="false" ht="13.5" hidden="false" customHeight="true" outlineLevel="0" collapsed="false">
      <c r="A12" s="69" t="s">
        <v>323</v>
      </c>
      <c r="B12" s="11" t="s">
        <v>259</v>
      </c>
      <c r="C12" s="11" t="s">
        <v>326</v>
      </c>
      <c r="D12" s="11" t="s">
        <v>328</v>
      </c>
      <c r="E12" s="11" t="s">
        <v>424</v>
      </c>
    </row>
    <row r="13" customFormat="false" ht="13.5" hidden="false" customHeight="true" outlineLevel="0" collapsed="false">
      <c r="A13" s="30" t="str">
        <f aca="false">Hipótesis!A48</f>
        <v>Pedro — socio (finanzas)</v>
      </c>
      <c r="B13" s="54" t="n">
        <f aca="false">Hipótesis!B48</f>
        <v>1</v>
      </c>
      <c r="C13" s="54" t="n">
        <f aca="false">Hipótesis!D48</f>
        <v>1</v>
      </c>
      <c r="D13" s="54" t="n">
        <f aca="false">Hipótesis!F48</f>
        <v>0</v>
      </c>
      <c r="E13" s="54" t="n">
        <f aca="false">Hipótesis!G48</f>
        <v>1</v>
      </c>
    </row>
    <row r="14" customFormat="false" ht="13.5" hidden="false" customHeight="true" outlineLevel="0" collapsed="false">
      <c r="A14" s="30" t="str">
        <f aca="false">Hipótesis!A49</f>
        <v>Nico — socio (comercial)</v>
      </c>
      <c r="B14" s="54" t="n">
        <f aca="false">Hipótesis!B49</f>
        <v>1</v>
      </c>
      <c r="C14" s="54" t="n">
        <f aca="false">Hipótesis!D49</f>
        <v>1</v>
      </c>
      <c r="D14" s="54" t="n">
        <f aca="false">Hipótesis!F49</f>
        <v>0</v>
      </c>
      <c r="E14" s="54" t="n">
        <f aca="false">Hipótesis!G49</f>
        <v>1</v>
      </c>
    </row>
    <row r="15" customFormat="false" ht="13.5" hidden="false" customHeight="true" outlineLevel="0" collapsed="false">
      <c r="A15" s="30" t="str">
        <f aca="false">Hipótesis!A50</f>
        <v>Guzmán — socio (producción)</v>
      </c>
      <c r="B15" s="54" t="n">
        <f aca="false">Hipótesis!B50</f>
        <v>1</v>
      </c>
      <c r="C15" s="54" t="n">
        <f aca="false">Hipótesis!D50</f>
        <v>1</v>
      </c>
      <c r="D15" s="54" t="n">
        <f aca="false">Hipótesis!F50</f>
        <v>160</v>
      </c>
      <c r="E15" s="54" t="n">
        <f aca="false">Hipótesis!G50</f>
        <v>1</v>
      </c>
    </row>
    <row r="16" customFormat="false" ht="13.5" hidden="false" customHeight="true" outlineLevel="0" collapsed="false">
      <c r="A16" s="30" t="str">
        <f aca="false">Hipótesis!A51</f>
        <v>Encargado de producción</v>
      </c>
      <c r="B16" s="54" t="n">
        <f aca="false">Hipótesis!B51</f>
        <v>1</v>
      </c>
      <c r="C16" s="54" t="n">
        <f aca="false">Hipótesis!D51</f>
        <v>1</v>
      </c>
      <c r="D16" s="54" t="n">
        <f aca="false">Hipótesis!F51</f>
        <v>160</v>
      </c>
      <c r="E16" s="54" t="n">
        <f aca="false">Hipótesis!G51</f>
        <v>0</v>
      </c>
    </row>
    <row r="17" customFormat="false" ht="13.5" hidden="false" customHeight="true" outlineLevel="0" collapsed="false">
      <c r="A17" s="30" t="str">
        <f aca="false">Hipótesis!A52</f>
        <v>Comercial / KAM</v>
      </c>
      <c r="B17" s="54" t="n">
        <f aca="false">Hipótesis!B52</f>
        <v>1</v>
      </c>
      <c r="C17" s="54" t="n">
        <f aca="false">Hipótesis!D52</f>
        <v>20</v>
      </c>
      <c r="D17" s="54" t="n">
        <f aca="false">Hipótesis!F52</f>
        <v>0</v>
      </c>
      <c r="E17" s="54" t="n">
        <f aca="false">Hipótesis!G52</f>
        <v>0</v>
      </c>
    </row>
    <row r="18" customFormat="false" ht="13.5" hidden="false" customHeight="true" outlineLevel="0" collapsed="false">
      <c r="A18" s="30" t="str">
        <f aca="false">Hipótesis!A53</f>
        <v>(rol fijo libre)</v>
      </c>
      <c r="B18" s="54" t="n">
        <f aca="false">Hipótesis!B53</f>
        <v>0</v>
      </c>
      <c r="C18" s="54" t="n">
        <f aca="false">Hipótesis!D53</f>
        <v>24</v>
      </c>
      <c r="D18" s="54" t="n">
        <f aca="false">Hipótesis!F53</f>
        <v>160</v>
      </c>
      <c r="E18" s="54" t="n">
        <f aca="false">Hipótesis!G53</f>
        <v>0</v>
      </c>
    </row>
    <row r="19" customFormat="false" ht="13.5" hidden="false" customHeight="true" outlineLevel="0" collapsed="false">
      <c r="A19" s="22" t="s">
        <v>425</v>
      </c>
      <c r="D19" s="97" t="n">
        <f aca="false">SUMPRODUCT(Hipótesis!$B$48:$B$53,Hipótesis!$F$48:$F$53)</f>
        <v>320</v>
      </c>
    </row>
    <row r="20" customFormat="false" ht="13.5" hidden="false" customHeight="true" outlineLevel="0" collapsed="false"/>
    <row r="21" customFormat="false" ht="13.5" hidden="false" customHeight="true" outlineLevel="0" collapsed="false">
      <c r="A21" s="9" t="s">
        <v>426</v>
      </c>
      <c r="B21" s="9"/>
      <c r="C21" s="9"/>
      <c r="D21" s="9"/>
    </row>
    <row r="22" customFormat="false" ht="13.5" hidden="false" customHeight="true" outlineLevel="0" collapsed="false">
      <c r="A22" s="6" t="s">
        <v>427</v>
      </c>
      <c r="B22" s="72" t="n">
        <f aca="false">Modelo_Mensual!$CH$27</f>
        <v>17856.2020939132</v>
      </c>
    </row>
    <row r="23" customFormat="false" ht="13.5" hidden="false" customHeight="true" outlineLevel="0" collapsed="false">
      <c r="A23" s="6" t="s">
        <v>428</v>
      </c>
      <c r="B23" s="72" t="n">
        <f aca="false">Modelo_Mensual!$CH$28</f>
        <v>892.810104695662</v>
      </c>
    </row>
    <row r="24" customFormat="false" ht="13.5" hidden="false" customHeight="true" outlineLevel="0" collapsed="false">
      <c r="A24" s="6" t="s">
        <v>429</v>
      </c>
      <c r="B24" s="72" t="n">
        <f aca="false">Modelo_Mensual!$CH$29</f>
        <v>320</v>
      </c>
    </row>
    <row r="25" customFormat="false" ht="13.5" hidden="false" customHeight="true" outlineLevel="0" collapsed="false">
      <c r="A25" s="6" t="s">
        <v>430</v>
      </c>
      <c r="B25" s="72" t="n">
        <f aca="false">Modelo_Mensual!$CH$30</f>
        <v>4</v>
      </c>
    </row>
    <row r="26" customFormat="false" ht="13.5" hidden="false" customHeight="true" outlineLevel="0" collapsed="false">
      <c r="A26" s="6" t="s">
        <v>431</v>
      </c>
      <c r="B26" s="51" t="n">
        <f aca="false">-Modelo_Mensual!$CH$50</f>
        <v>10717.8134136443</v>
      </c>
    </row>
    <row r="27" customFormat="false" ht="13.5" hidden="false" customHeight="true" outlineLevel="0" collapsed="false">
      <c r="A27" s="6" t="s">
        <v>432</v>
      </c>
      <c r="B27" s="72" t="n">
        <f aca="false">Modelo_Mensual!$CH$31</f>
        <v>9</v>
      </c>
    </row>
    <row r="28" customFormat="false" ht="13.5" hidden="false" customHeight="true" outlineLevel="0" collapsed="false">
      <c r="A28" s="6" t="s">
        <v>433</v>
      </c>
      <c r="B28" s="51" t="n">
        <f aca="false">-Modelo_Mensual!$CH$51</f>
        <v>40782.4095393174</v>
      </c>
    </row>
    <row r="29" customFormat="false" ht="13.5" hidden="false" customHeight="true" outlineLevel="0" collapsed="false"/>
    <row r="30" customFormat="false" ht="13.5" hidden="false" customHeight="true" outlineLevel="0" collapsed="false">
      <c r="A30" s="4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3"/>
    <col collapsed="false" customWidth="true" hidden="false" outlineLevel="0" max="3" min="3" style="1" width="16"/>
    <col collapsed="false" customWidth="true" hidden="false" outlineLevel="0" max="4" min="4" style="1" width="46"/>
    <col collapsed="false" customWidth="true" hidden="false" outlineLevel="0" max="7" min="5" style="1" width="15"/>
  </cols>
  <sheetData>
    <row r="1" customFormat="false" ht="18" hidden="false" customHeight="true" outlineLevel="0" collapsed="false">
      <c r="A1" s="8" t="s">
        <v>435</v>
      </c>
    </row>
    <row r="2" customFormat="false" ht="13.5" hidden="false" customHeight="true" outlineLevel="0" collapsed="false">
      <c r="A2" s="4" t="s">
        <v>436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0" t="s">
        <v>254</v>
      </c>
      <c r="C4" s="78" t="s">
        <v>437</v>
      </c>
      <c r="D4" s="10" t="s">
        <v>438</v>
      </c>
      <c r="E4" s="11" t="s">
        <v>33</v>
      </c>
      <c r="F4" s="11" t="s">
        <v>34</v>
      </c>
      <c r="G4" s="11" t="s">
        <v>35</v>
      </c>
    </row>
    <row r="5" customFormat="false" ht="13.5" hidden="false" customHeight="true" outlineLevel="0" collapsed="false">
      <c r="A5" s="6" t="s">
        <v>439</v>
      </c>
      <c r="C5" s="98" t="n">
        <v>40000</v>
      </c>
    </row>
    <row r="6" customFormat="false" ht="13.5" hidden="false" customHeight="true" outlineLevel="0" collapsed="false">
      <c r="A6" s="22" t="s">
        <v>440</v>
      </c>
    </row>
    <row r="7" customFormat="false" ht="13.5" hidden="false" customHeight="true" outlineLevel="0" collapsed="false">
      <c r="A7" s="6" t="s">
        <v>441</v>
      </c>
      <c r="C7" s="98" t="n">
        <v>3000</v>
      </c>
      <c r="D7" s="4" t="s">
        <v>442</v>
      </c>
    </row>
    <row r="8" customFormat="false" ht="13.5" hidden="false" customHeight="true" outlineLevel="0" collapsed="false">
      <c r="A8" s="6" t="s">
        <v>443</v>
      </c>
      <c r="C8" s="98" t="n">
        <v>7000</v>
      </c>
      <c r="D8" s="4" t="s">
        <v>442</v>
      </c>
    </row>
    <row r="9" customFormat="false" ht="13.5" hidden="false" customHeight="true" outlineLevel="0" collapsed="false">
      <c r="A9" s="6" t="s">
        <v>444</v>
      </c>
      <c r="C9" s="98" t="n">
        <v>25000</v>
      </c>
      <c r="D9" s="4" t="s">
        <v>445</v>
      </c>
    </row>
    <row r="10" customFormat="false" ht="13.5" hidden="false" customHeight="true" outlineLevel="0" collapsed="false">
      <c r="A10" s="6" t="s">
        <v>446</v>
      </c>
      <c r="C10" s="99" t="n">
        <f aca="false">IF(Hipótesis!$C$4&gt;=2,C7+C8,0)+IF(Hipótesis!$C$4=3,C9,0)</f>
        <v>10000</v>
      </c>
      <c r="D10" s="4" t="s">
        <v>447</v>
      </c>
      <c r="E10" s="100" t="n">
        <f aca="false">0</f>
        <v>0</v>
      </c>
      <c r="F10" s="100" t="n">
        <f aca="false">C7+C8</f>
        <v>10000</v>
      </c>
      <c r="G10" s="100" t="n">
        <f aca="false">C7+C8+C9</f>
        <v>35000</v>
      </c>
    </row>
    <row r="11" customFormat="false" ht="13.5" hidden="false" customHeight="true" outlineLevel="0" collapsed="false">
      <c r="A11" s="6" t="s">
        <v>448</v>
      </c>
      <c r="C11" s="98" t="n">
        <v>1600</v>
      </c>
    </row>
    <row r="12" customFormat="false" ht="13.5" hidden="false" customHeight="true" outlineLevel="0" collapsed="false">
      <c r="A12" s="6" t="s">
        <v>449</v>
      </c>
      <c r="C12" s="101" t="n">
        <f aca="false">Hipótesis!$F$26</f>
        <v>3</v>
      </c>
      <c r="D12" s="4" t="s">
        <v>450</v>
      </c>
    </row>
    <row r="13" customFormat="false" ht="13.5" hidden="false" customHeight="true" outlineLevel="0" collapsed="false">
      <c r="A13" s="6" t="s">
        <v>451</v>
      </c>
      <c r="C13" s="100" t="n">
        <f aca="false">C11*C12</f>
        <v>4800</v>
      </c>
    </row>
    <row r="14" customFormat="false" ht="13.5" hidden="false" customHeight="true" outlineLevel="0" collapsed="false">
      <c r="A14" s="6" t="s">
        <v>452</v>
      </c>
      <c r="C14" s="98" t="n">
        <v>10000</v>
      </c>
    </row>
    <row r="15" customFormat="false" ht="13.5" hidden="false" customHeight="true" outlineLevel="0" collapsed="false">
      <c r="A15" s="6" t="s">
        <v>453</v>
      </c>
      <c r="C15" s="98" t="n">
        <v>0</v>
      </c>
    </row>
    <row r="16" customFormat="false" ht="13.5" hidden="false" customHeight="true" outlineLevel="0" collapsed="false">
      <c r="A16" s="6" t="s">
        <v>454</v>
      </c>
      <c r="C16" s="98" t="n">
        <v>10000</v>
      </c>
    </row>
    <row r="17" customFormat="false" ht="13.5" hidden="false" customHeight="true" outlineLevel="0" collapsed="false">
      <c r="A17" s="6" t="s">
        <v>455</v>
      </c>
      <c r="C17" s="98" t="n">
        <v>6000</v>
      </c>
    </row>
    <row r="18" customFormat="false" ht="13.5" hidden="false" customHeight="true" outlineLevel="0" collapsed="false">
      <c r="A18" s="6" t="s">
        <v>456</v>
      </c>
      <c r="C18" s="98" t="n">
        <v>5000</v>
      </c>
    </row>
    <row r="19" customFormat="false" ht="13.5" hidden="false" customHeight="true" outlineLevel="0" collapsed="false">
      <c r="A19" s="46" t="s">
        <v>457</v>
      </c>
      <c r="C19" s="63" t="n">
        <f aca="false">C5+C10+C13+SUM(C14:C18)</f>
        <v>85800</v>
      </c>
      <c r="E19" s="100" t="n">
        <f aca="false">C5+E10+C13+SUM(C14:C18)</f>
        <v>75800</v>
      </c>
      <c r="F19" s="100" t="n">
        <f aca="false">C5+F10+C13+SUM(C14:C18)</f>
        <v>85800</v>
      </c>
      <c r="G19" s="100" t="n">
        <f aca="false">C5+G10+C13+SUM(C14:C18)</f>
        <v>110800</v>
      </c>
    </row>
    <row r="20" customFormat="false" ht="13.5" hidden="false" customHeight="true" outlineLevel="0" collapsed="false">
      <c r="A20" s="6" t="s">
        <v>458</v>
      </c>
      <c r="C20" s="102" t="n">
        <v>0.15</v>
      </c>
      <c r="D20" s="4" t="s">
        <v>459</v>
      </c>
    </row>
    <row r="21" customFormat="false" ht="13.5" hidden="false" customHeight="true" outlineLevel="0" collapsed="false">
      <c r="A21" s="6" t="s">
        <v>460</v>
      </c>
      <c r="C21" s="100" t="n">
        <f aca="false">C19*C20</f>
        <v>12870</v>
      </c>
      <c r="E21" s="100" t="n">
        <f aca="false">E19*C20</f>
        <v>11370</v>
      </c>
      <c r="F21" s="100" t="n">
        <f aca="false">F19*C20</f>
        <v>12870</v>
      </c>
      <c r="G21" s="100" t="n">
        <f aca="false">G19*C20</f>
        <v>16620</v>
      </c>
    </row>
    <row r="22" customFormat="false" ht="13.5" hidden="false" customHeight="true" outlineLevel="0" collapsed="false">
      <c r="A22" s="46" t="s">
        <v>461</v>
      </c>
      <c r="C22" s="63" t="n">
        <f aca="false">C19+C21</f>
        <v>98670</v>
      </c>
      <c r="E22" s="63" t="n">
        <f aca="false">E19+E21</f>
        <v>87170</v>
      </c>
      <c r="F22" s="63" t="n">
        <f aca="false">F19+F21</f>
        <v>98670</v>
      </c>
      <c r="G22" s="63" t="n">
        <f aca="false">G19+G21</f>
        <v>127420</v>
      </c>
    </row>
    <row r="23" customFormat="false" ht="13.5" hidden="false" customHeight="true" outlineLevel="0" collapsed="false">
      <c r="A23" s="6" t="s">
        <v>462</v>
      </c>
      <c r="C23" s="103" t="n">
        <v>4</v>
      </c>
      <c r="D23" s="4" t="s">
        <v>463</v>
      </c>
    </row>
    <row r="24" customFormat="false" ht="13.5" hidden="false" customHeight="true" outlineLevel="0" collapsed="false">
      <c r="A24" s="6" t="s">
        <v>464</v>
      </c>
      <c r="C24" s="100" t="n">
        <f aca="false">Hipótesis!$F$36+Hipótesis!$F$37+Hipótesis!$F$39+Hipótesis!$F$40+Hipótesis!$E$55</f>
        <v>15652</v>
      </c>
      <c r="D24" s="4" t="s">
        <v>465</v>
      </c>
      <c r="E24" s="100" t="n">
        <f aca="false">Hipótesis!$C$36+Hipótesis!$C$37+Hipótesis!$C$39+Hipótesis!$C$40+Hipótesis!$E$55</f>
        <v>15402</v>
      </c>
      <c r="F24" s="100" t="n">
        <f aca="false">Hipótesis!$D$36+Hipótesis!$D$37+Hipótesis!$D$39+Hipótesis!$D$40+Hipótesis!$E$55</f>
        <v>15652</v>
      </c>
      <c r="G24" s="100" t="n">
        <f aca="false">Hipótesis!$E$36+Hipótesis!$E$37+Hipótesis!$E$39+Hipótesis!$E$40+Hipótesis!$E$55</f>
        <v>14452</v>
      </c>
    </row>
    <row r="25" customFormat="false" ht="13.5" hidden="false" customHeight="true" outlineLevel="0" collapsed="false">
      <c r="A25" s="6" t="s">
        <v>466</v>
      </c>
      <c r="C25" s="100" t="n">
        <f aca="false">C23*C24</f>
        <v>62608</v>
      </c>
      <c r="E25" s="100" t="n">
        <f aca="false">C23*E24</f>
        <v>61608</v>
      </c>
      <c r="F25" s="100" t="n">
        <f aca="false">C23*F24</f>
        <v>62608</v>
      </c>
      <c r="G25" s="100" t="n">
        <f aca="false">C23*G24</f>
        <v>57808</v>
      </c>
    </row>
    <row r="26" customFormat="false" ht="13.5" hidden="false" customHeight="true" outlineLevel="0" collapsed="false">
      <c r="A26" s="93" t="s">
        <v>467</v>
      </c>
      <c r="C26" s="14" t="n">
        <f aca="false">C22+C25</f>
        <v>161278</v>
      </c>
      <c r="E26" s="14" t="n">
        <f aca="false">E22+E25</f>
        <v>148778</v>
      </c>
      <c r="F26" s="14" t="n">
        <f aca="false">F22+F25</f>
        <v>161278</v>
      </c>
      <c r="G26" s="14" t="n">
        <f aca="false">G22+G25</f>
        <v>185228</v>
      </c>
    </row>
    <row r="27" customFormat="false" ht="13.5" hidden="false" customHeight="true" outlineLevel="0" collapsed="false">
      <c r="A27" s="6" t="s">
        <v>468</v>
      </c>
      <c r="E27" s="100" t="n">
        <f aca="false">MAX(Esc_Conservador!$C$70:$CH$70)</f>
        <v>21559.3787913709</v>
      </c>
      <c r="F27" s="100" t="n">
        <f aca="false">MAX(Esc_Base!$C$70:$CH$70)</f>
        <v>22410.5258063139</v>
      </c>
      <c r="G27" s="100" t="n">
        <f aca="false">MAX(Esc_Optimista!$C$70:$CH$70)</f>
        <v>15995.741169048</v>
      </c>
    </row>
    <row r="28" customFormat="false" ht="13.5" hidden="false" customHeight="true" outlineLevel="0" collapsed="false">
      <c r="A28" s="6" t="s">
        <v>469</v>
      </c>
      <c r="C28" s="50" t="s">
        <v>470</v>
      </c>
      <c r="D28" s="50" t="s">
        <v>471</v>
      </c>
      <c r="E28" s="100" t="n">
        <f aca="false">MAX(Esc_Conservador!$C$81:$CH$81)</f>
        <v>34041.0570328108</v>
      </c>
      <c r="F28" s="100" t="n">
        <f aca="false">MAX(Esc_Base!$C$81:$CH$81)</f>
        <v>4694.50636618414</v>
      </c>
      <c r="G28" s="100" t="n">
        <f aca="false">MAX(Esc_Optimista!$C$81:$CH$81)</f>
        <v>7280.38009217271</v>
      </c>
      <c r="H28" s="50" t="s">
        <v>472</v>
      </c>
      <c r="I28" s="50" t="s">
        <v>473</v>
      </c>
      <c r="J28" s="50" t="s">
        <v>474</v>
      </c>
      <c r="K28" s="50" t="s">
        <v>475</v>
      </c>
      <c r="L28" s="50" t="s">
        <v>476</v>
      </c>
      <c r="M28" s="50" t="s">
        <v>477</v>
      </c>
      <c r="N28" s="50" t="s">
        <v>478</v>
      </c>
    </row>
    <row r="29" customFormat="false" ht="13.5" hidden="false" customHeight="true" outlineLevel="0" collapsed="false">
      <c r="A29" s="6" t="s">
        <v>479</v>
      </c>
      <c r="C29" s="67" t="n">
        <v>0.3</v>
      </c>
      <c r="D29" s="67" t="n">
        <v>0.14</v>
      </c>
      <c r="E29" s="67" t="n">
        <v>0.1</v>
      </c>
      <c r="F29" s="67" t="n">
        <v>0.09</v>
      </c>
      <c r="G29" s="67" t="n">
        <v>0.08</v>
      </c>
      <c r="H29" s="67" t="n">
        <v>0.07</v>
      </c>
      <c r="I29" s="67" t="n">
        <v>0.06</v>
      </c>
      <c r="J29" s="67" t="n">
        <v>0.05</v>
      </c>
      <c r="K29" s="67" t="n">
        <v>0.04</v>
      </c>
      <c r="L29" s="67" t="n">
        <v>0.03</v>
      </c>
      <c r="M29" s="67" t="n">
        <v>0.02</v>
      </c>
      <c r="N29" s="67" t="n">
        <v>0.02</v>
      </c>
    </row>
    <row r="30" customFormat="false" ht="13.5" hidden="false" customHeight="true" outlineLevel="0" collapsed="false">
      <c r="A30" s="4" t="s">
        <v>480</v>
      </c>
      <c r="C30" s="104" t="n">
        <f aca="false">SUM(C29:N29)</f>
        <v>1</v>
      </c>
    </row>
    <row r="31" customFormat="false" ht="13.5" hidden="false" customHeight="true" outlineLevel="0" collapsed="false"/>
    <row r="32" customFormat="false" ht="13.5" hidden="false" customHeight="true" outlineLevel="0" collapsed="false">
      <c r="A32" s="4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482</v>
      </c>
    </row>
    <row r="2" customFormat="false" ht="13.5" hidden="false" customHeight="true" outlineLevel="0" collapsed="false">
      <c r="A2" s="4" t="s">
        <v>483</v>
      </c>
    </row>
    <row r="3" customFormat="false" ht="13.5" hidden="false" customHeight="true" outlineLevel="0" collapsed="false">
      <c r="A3" s="105" t="s">
        <v>484</v>
      </c>
      <c r="C3" s="106" t="n">
        <v>1</v>
      </c>
      <c r="D3" s="106" t="n">
        <v>2</v>
      </c>
      <c r="E3" s="106" t="n">
        <v>3</v>
      </c>
      <c r="F3" s="106" t="n">
        <v>4</v>
      </c>
      <c r="G3" s="106" t="n">
        <v>5</v>
      </c>
      <c r="H3" s="106" t="n">
        <v>6</v>
      </c>
      <c r="I3" s="106" t="n">
        <v>7</v>
      </c>
      <c r="J3" s="106" t="n">
        <v>8</v>
      </c>
      <c r="K3" s="106" t="n">
        <v>9</v>
      </c>
      <c r="L3" s="106" t="n">
        <v>10</v>
      </c>
      <c r="M3" s="106" t="n">
        <v>11</v>
      </c>
      <c r="N3" s="106" t="n">
        <v>12</v>
      </c>
      <c r="O3" s="106" t="n">
        <v>13</v>
      </c>
      <c r="P3" s="106" t="n">
        <v>14</v>
      </c>
      <c r="Q3" s="106" t="n">
        <v>15</v>
      </c>
      <c r="R3" s="106" t="n">
        <v>16</v>
      </c>
      <c r="S3" s="106" t="n">
        <v>17</v>
      </c>
      <c r="T3" s="106" t="n">
        <v>18</v>
      </c>
      <c r="U3" s="106" t="n">
        <v>19</v>
      </c>
      <c r="V3" s="106" t="n">
        <v>20</v>
      </c>
      <c r="W3" s="106" t="n">
        <v>21</v>
      </c>
      <c r="X3" s="106" t="n">
        <v>22</v>
      </c>
      <c r="Y3" s="106" t="n">
        <v>23</v>
      </c>
      <c r="Z3" s="106" t="n">
        <v>24</v>
      </c>
      <c r="AA3" s="106" t="n">
        <v>25</v>
      </c>
      <c r="AB3" s="106" t="n">
        <v>26</v>
      </c>
      <c r="AC3" s="106" t="n">
        <v>27</v>
      </c>
      <c r="AD3" s="106" t="n">
        <v>28</v>
      </c>
      <c r="AE3" s="106" t="n">
        <v>29</v>
      </c>
      <c r="AF3" s="106" t="n">
        <v>30</v>
      </c>
      <c r="AG3" s="106" t="n">
        <v>31</v>
      </c>
      <c r="AH3" s="106" t="n">
        <v>32</v>
      </c>
      <c r="AI3" s="106" t="n">
        <v>33</v>
      </c>
      <c r="AJ3" s="106" t="n">
        <v>34</v>
      </c>
      <c r="AK3" s="106" t="n">
        <v>35</v>
      </c>
      <c r="AL3" s="106" t="n">
        <v>36</v>
      </c>
      <c r="AM3" s="106" t="n">
        <v>37</v>
      </c>
      <c r="AN3" s="106" t="n">
        <v>38</v>
      </c>
      <c r="AO3" s="106" t="n">
        <v>39</v>
      </c>
      <c r="AP3" s="106" t="n">
        <v>40</v>
      </c>
      <c r="AQ3" s="106" t="n">
        <v>41</v>
      </c>
      <c r="AR3" s="106" t="n">
        <v>42</v>
      </c>
      <c r="AS3" s="106" t="n">
        <v>43</v>
      </c>
      <c r="AT3" s="106" t="n">
        <v>44</v>
      </c>
      <c r="AU3" s="106" t="n">
        <v>45</v>
      </c>
      <c r="AV3" s="106" t="n">
        <v>46</v>
      </c>
      <c r="AW3" s="106" t="n">
        <v>47</v>
      </c>
      <c r="AX3" s="106" t="n">
        <v>48</v>
      </c>
      <c r="AY3" s="106" t="n">
        <v>49</v>
      </c>
      <c r="AZ3" s="106" t="n">
        <v>50</v>
      </c>
      <c r="BA3" s="106" t="n">
        <v>51</v>
      </c>
      <c r="BB3" s="106" t="n">
        <v>52</v>
      </c>
      <c r="BC3" s="106" t="n">
        <v>53</v>
      </c>
      <c r="BD3" s="106" t="n">
        <v>54</v>
      </c>
      <c r="BE3" s="106" t="n">
        <v>55</v>
      </c>
      <c r="BF3" s="106" t="n">
        <v>56</v>
      </c>
      <c r="BG3" s="106" t="n">
        <v>57</v>
      </c>
      <c r="BH3" s="106" t="n">
        <v>58</v>
      </c>
      <c r="BI3" s="106" t="n">
        <v>59</v>
      </c>
      <c r="BJ3" s="106" t="n">
        <v>60</v>
      </c>
      <c r="BK3" s="106" t="n">
        <v>61</v>
      </c>
      <c r="BL3" s="106" t="n">
        <v>62</v>
      </c>
      <c r="BM3" s="106" t="n">
        <v>63</v>
      </c>
      <c r="BN3" s="106" t="n">
        <v>64</v>
      </c>
      <c r="BO3" s="106" t="n">
        <v>65</v>
      </c>
      <c r="BP3" s="106" t="n">
        <v>66</v>
      </c>
      <c r="BQ3" s="106" t="n">
        <v>67</v>
      </c>
      <c r="BR3" s="106" t="n">
        <v>68</v>
      </c>
      <c r="BS3" s="106" t="n">
        <v>69</v>
      </c>
      <c r="BT3" s="106" t="n">
        <v>70</v>
      </c>
      <c r="BU3" s="106" t="n">
        <v>71</v>
      </c>
      <c r="BV3" s="106" t="n">
        <v>72</v>
      </c>
      <c r="BW3" s="106" t="n">
        <v>73</v>
      </c>
      <c r="BX3" s="106" t="n">
        <v>74</v>
      </c>
      <c r="BY3" s="106" t="n">
        <v>75</v>
      </c>
      <c r="BZ3" s="106" t="n">
        <v>76</v>
      </c>
      <c r="CA3" s="106" t="n">
        <v>77</v>
      </c>
      <c r="CB3" s="106" t="n">
        <v>78</v>
      </c>
      <c r="CC3" s="106" t="n">
        <v>79</v>
      </c>
      <c r="CD3" s="106" t="n">
        <v>80</v>
      </c>
      <c r="CE3" s="106" t="n">
        <v>81</v>
      </c>
      <c r="CF3" s="106" t="n">
        <v>82</v>
      </c>
      <c r="CG3" s="106" t="n">
        <v>83</v>
      </c>
      <c r="CH3" s="106" t="n">
        <v>84</v>
      </c>
    </row>
    <row r="4" customFormat="false" ht="13.5" hidden="false" customHeight="true" outlineLevel="0" collapsed="false">
      <c r="A4" s="105" t="s">
        <v>485</v>
      </c>
      <c r="C4" s="107" t="n">
        <f aca="false">INT((1-1)/12)+1</f>
        <v>1</v>
      </c>
      <c r="D4" s="107" t="n">
        <f aca="false">INT((2-1)/12)+1</f>
        <v>1</v>
      </c>
      <c r="E4" s="107" t="n">
        <f aca="false">INT((3-1)/12)+1</f>
        <v>1</v>
      </c>
      <c r="F4" s="107" t="n">
        <f aca="false">INT((4-1)/12)+1</f>
        <v>1</v>
      </c>
      <c r="G4" s="107" t="n">
        <f aca="false">INT((5-1)/12)+1</f>
        <v>1</v>
      </c>
      <c r="H4" s="107" t="n">
        <f aca="false">INT((6-1)/12)+1</f>
        <v>1</v>
      </c>
      <c r="I4" s="107" t="n">
        <f aca="false">INT((7-1)/12)+1</f>
        <v>1</v>
      </c>
      <c r="J4" s="107" t="n">
        <f aca="false">INT((8-1)/12)+1</f>
        <v>1</v>
      </c>
      <c r="K4" s="107" t="n">
        <f aca="false">INT((9-1)/12)+1</f>
        <v>1</v>
      </c>
      <c r="L4" s="107" t="n">
        <f aca="false">INT((10-1)/12)+1</f>
        <v>1</v>
      </c>
      <c r="M4" s="107" t="n">
        <f aca="false">INT((11-1)/12)+1</f>
        <v>1</v>
      </c>
      <c r="N4" s="107" t="n">
        <f aca="false">INT((12-1)/12)+1</f>
        <v>1</v>
      </c>
      <c r="O4" s="107" t="n">
        <f aca="false">INT((13-1)/12)+1</f>
        <v>2</v>
      </c>
      <c r="P4" s="107" t="n">
        <f aca="false">INT((14-1)/12)+1</f>
        <v>2</v>
      </c>
      <c r="Q4" s="107" t="n">
        <f aca="false">INT((15-1)/12)+1</f>
        <v>2</v>
      </c>
      <c r="R4" s="107" t="n">
        <f aca="false">INT((16-1)/12)+1</f>
        <v>2</v>
      </c>
      <c r="S4" s="107" t="n">
        <f aca="false">INT((17-1)/12)+1</f>
        <v>2</v>
      </c>
      <c r="T4" s="107" t="n">
        <f aca="false">INT((18-1)/12)+1</f>
        <v>2</v>
      </c>
      <c r="U4" s="107" t="n">
        <f aca="false">INT((19-1)/12)+1</f>
        <v>2</v>
      </c>
      <c r="V4" s="107" t="n">
        <f aca="false">INT((20-1)/12)+1</f>
        <v>2</v>
      </c>
      <c r="W4" s="107" t="n">
        <f aca="false">INT((21-1)/12)+1</f>
        <v>2</v>
      </c>
      <c r="X4" s="107" t="n">
        <f aca="false">INT((22-1)/12)+1</f>
        <v>2</v>
      </c>
      <c r="Y4" s="107" t="n">
        <f aca="false">INT((23-1)/12)+1</f>
        <v>2</v>
      </c>
      <c r="Z4" s="107" t="n">
        <f aca="false">INT((24-1)/12)+1</f>
        <v>2</v>
      </c>
      <c r="AA4" s="107" t="n">
        <f aca="false">INT((25-1)/12)+1</f>
        <v>3</v>
      </c>
      <c r="AB4" s="107" t="n">
        <f aca="false">INT((26-1)/12)+1</f>
        <v>3</v>
      </c>
      <c r="AC4" s="107" t="n">
        <f aca="false">INT((27-1)/12)+1</f>
        <v>3</v>
      </c>
      <c r="AD4" s="107" t="n">
        <f aca="false">INT((28-1)/12)+1</f>
        <v>3</v>
      </c>
      <c r="AE4" s="107" t="n">
        <f aca="false">INT((29-1)/12)+1</f>
        <v>3</v>
      </c>
      <c r="AF4" s="107" t="n">
        <f aca="false">INT((30-1)/12)+1</f>
        <v>3</v>
      </c>
      <c r="AG4" s="107" t="n">
        <f aca="false">INT((31-1)/12)+1</f>
        <v>3</v>
      </c>
      <c r="AH4" s="107" t="n">
        <f aca="false">INT((32-1)/12)+1</f>
        <v>3</v>
      </c>
      <c r="AI4" s="107" t="n">
        <f aca="false">INT((33-1)/12)+1</f>
        <v>3</v>
      </c>
      <c r="AJ4" s="107" t="n">
        <f aca="false">INT((34-1)/12)+1</f>
        <v>3</v>
      </c>
      <c r="AK4" s="107" t="n">
        <f aca="false">INT((35-1)/12)+1</f>
        <v>3</v>
      </c>
      <c r="AL4" s="107" t="n">
        <f aca="false">INT((36-1)/12)+1</f>
        <v>3</v>
      </c>
      <c r="AM4" s="107" t="n">
        <f aca="false">INT((37-1)/12)+1</f>
        <v>4</v>
      </c>
      <c r="AN4" s="107" t="n">
        <f aca="false">INT((38-1)/12)+1</f>
        <v>4</v>
      </c>
      <c r="AO4" s="107" t="n">
        <f aca="false">INT((39-1)/12)+1</f>
        <v>4</v>
      </c>
      <c r="AP4" s="107" t="n">
        <f aca="false">INT((40-1)/12)+1</f>
        <v>4</v>
      </c>
      <c r="AQ4" s="107" t="n">
        <f aca="false">INT((41-1)/12)+1</f>
        <v>4</v>
      </c>
      <c r="AR4" s="107" t="n">
        <f aca="false">INT((42-1)/12)+1</f>
        <v>4</v>
      </c>
      <c r="AS4" s="107" t="n">
        <f aca="false">INT((43-1)/12)+1</f>
        <v>4</v>
      </c>
      <c r="AT4" s="107" t="n">
        <f aca="false">INT((44-1)/12)+1</f>
        <v>4</v>
      </c>
      <c r="AU4" s="107" t="n">
        <f aca="false">INT((45-1)/12)+1</f>
        <v>4</v>
      </c>
      <c r="AV4" s="107" t="n">
        <f aca="false">INT((46-1)/12)+1</f>
        <v>4</v>
      </c>
      <c r="AW4" s="107" t="n">
        <f aca="false">INT((47-1)/12)+1</f>
        <v>4</v>
      </c>
      <c r="AX4" s="107" t="n">
        <f aca="false">INT((48-1)/12)+1</f>
        <v>4</v>
      </c>
      <c r="AY4" s="107" t="n">
        <f aca="false">INT((49-1)/12)+1</f>
        <v>5</v>
      </c>
      <c r="AZ4" s="107" t="n">
        <f aca="false">INT((50-1)/12)+1</f>
        <v>5</v>
      </c>
      <c r="BA4" s="107" t="n">
        <f aca="false">INT((51-1)/12)+1</f>
        <v>5</v>
      </c>
      <c r="BB4" s="107" t="n">
        <f aca="false">INT((52-1)/12)+1</f>
        <v>5</v>
      </c>
      <c r="BC4" s="107" t="n">
        <f aca="false">INT((53-1)/12)+1</f>
        <v>5</v>
      </c>
      <c r="BD4" s="107" t="n">
        <f aca="false">INT((54-1)/12)+1</f>
        <v>5</v>
      </c>
      <c r="BE4" s="107" t="n">
        <f aca="false">INT((55-1)/12)+1</f>
        <v>5</v>
      </c>
      <c r="BF4" s="107" t="n">
        <f aca="false">INT((56-1)/12)+1</f>
        <v>5</v>
      </c>
      <c r="BG4" s="107" t="n">
        <f aca="false">INT((57-1)/12)+1</f>
        <v>5</v>
      </c>
      <c r="BH4" s="107" t="n">
        <f aca="false">INT((58-1)/12)+1</f>
        <v>5</v>
      </c>
      <c r="BI4" s="107" t="n">
        <f aca="false">INT((59-1)/12)+1</f>
        <v>5</v>
      </c>
      <c r="BJ4" s="107" t="n">
        <f aca="false">INT((60-1)/12)+1</f>
        <v>5</v>
      </c>
      <c r="BK4" s="107" t="n">
        <f aca="false">INT((61-1)/12)+1</f>
        <v>6</v>
      </c>
      <c r="BL4" s="107" t="n">
        <f aca="false">INT((62-1)/12)+1</f>
        <v>6</v>
      </c>
      <c r="BM4" s="107" t="n">
        <f aca="false">INT((63-1)/12)+1</f>
        <v>6</v>
      </c>
      <c r="BN4" s="107" t="n">
        <f aca="false">INT((64-1)/12)+1</f>
        <v>6</v>
      </c>
      <c r="BO4" s="107" t="n">
        <f aca="false">INT((65-1)/12)+1</f>
        <v>6</v>
      </c>
      <c r="BP4" s="107" t="n">
        <f aca="false">INT((66-1)/12)+1</f>
        <v>6</v>
      </c>
      <c r="BQ4" s="107" t="n">
        <f aca="false">INT((67-1)/12)+1</f>
        <v>6</v>
      </c>
      <c r="BR4" s="107" t="n">
        <f aca="false">INT((68-1)/12)+1</f>
        <v>6</v>
      </c>
      <c r="BS4" s="107" t="n">
        <f aca="false">INT((69-1)/12)+1</f>
        <v>6</v>
      </c>
      <c r="BT4" s="107" t="n">
        <f aca="false">INT((70-1)/12)+1</f>
        <v>6</v>
      </c>
      <c r="BU4" s="107" t="n">
        <f aca="false">INT((71-1)/12)+1</f>
        <v>6</v>
      </c>
      <c r="BV4" s="107" t="n">
        <f aca="false">INT((72-1)/12)+1</f>
        <v>6</v>
      </c>
      <c r="BW4" s="107" t="n">
        <f aca="false">INT((73-1)/12)+1</f>
        <v>7</v>
      </c>
      <c r="BX4" s="107" t="n">
        <f aca="false">INT((74-1)/12)+1</f>
        <v>7</v>
      </c>
      <c r="BY4" s="107" t="n">
        <f aca="false">INT((75-1)/12)+1</f>
        <v>7</v>
      </c>
      <c r="BZ4" s="107" t="n">
        <f aca="false">INT((76-1)/12)+1</f>
        <v>7</v>
      </c>
      <c r="CA4" s="107" t="n">
        <f aca="false">INT((77-1)/12)+1</f>
        <v>7</v>
      </c>
      <c r="CB4" s="107" t="n">
        <f aca="false">INT((78-1)/12)+1</f>
        <v>7</v>
      </c>
      <c r="CC4" s="107" t="n">
        <f aca="false">INT((79-1)/12)+1</f>
        <v>7</v>
      </c>
      <c r="CD4" s="107" t="n">
        <f aca="false">INT((80-1)/12)+1</f>
        <v>7</v>
      </c>
      <c r="CE4" s="107" t="n">
        <f aca="false">INT((81-1)/12)+1</f>
        <v>7</v>
      </c>
      <c r="CF4" s="107" t="n">
        <f aca="false">INT((82-1)/12)+1</f>
        <v>7</v>
      </c>
      <c r="CG4" s="107" t="n">
        <f aca="false">INT((83-1)/12)+1</f>
        <v>7</v>
      </c>
      <c r="CH4" s="107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9" t="s">
        <v>486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</row>
    <row r="7" customFormat="false" ht="13.5" hidden="false" customHeight="true" outlineLevel="0" collapsed="false">
      <c r="A7" s="6" t="s">
        <v>487</v>
      </c>
      <c r="C7" s="108" t="n">
        <f aca="false">MIN(Hipótesis!$F$26,Hipótesis!$F$27+Hipótesis!$F$28*(1-1))</f>
        <v>1</v>
      </c>
      <c r="D7" s="108" t="n">
        <f aca="false">MIN(Hipótesis!$F$26,Hipótesis!$F$27+Hipótesis!$F$28*(2-1))</f>
        <v>1.5</v>
      </c>
      <c r="E7" s="108" t="n">
        <f aca="false">MIN(Hipótesis!$F$26,Hipótesis!$F$27+Hipótesis!$F$28*(3-1))</f>
        <v>2</v>
      </c>
      <c r="F7" s="108" t="n">
        <f aca="false">MIN(Hipótesis!$F$26,Hipótesis!$F$27+Hipótesis!$F$28*(4-1))</f>
        <v>2.5</v>
      </c>
      <c r="G7" s="108" t="n">
        <f aca="false">MIN(Hipótesis!$F$26,Hipótesis!$F$27+Hipótesis!$F$28*(5-1))</f>
        <v>3</v>
      </c>
      <c r="H7" s="108" t="n">
        <f aca="false">MIN(Hipótesis!$F$26,Hipótesis!$F$27+Hipótesis!$F$28*(6-1))</f>
        <v>3</v>
      </c>
      <c r="I7" s="108" t="n">
        <f aca="false">MIN(Hipótesis!$F$26,Hipótesis!$F$27+Hipótesis!$F$28*(7-1))</f>
        <v>3</v>
      </c>
      <c r="J7" s="108" t="n">
        <f aca="false">MIN(Hipótesis!$F$26,Hipótesis!$F$27+Hipótesis!$F$28*(8-1))</f>
        <v>3</v>
      </c>
      <c r="K7" s="108" t="n">
        <f aca="false">MIN(Hipótesis!$F$26,Hipótesis!$F$27+Hipótesis!$F$28*(9-1))</f>
        <v>3</v>
      </c>
      <c r="L7" s="108" t="n">
        <f aca="false">MIN(Hipótesis!$F$26,Hipótesis!$F$27+Hipótesis!$F$28*(10-1))</f>
        <v>3</v>
      </c>
      <c r="M7" s="108" t="n">
        <f aca="false">MIN(Hipótesis!$F$26,Hipótesis!$F$27+Hipótesis!$F$28*(11-1))</f>
        <v>3</v>
      </c>
      <c r="N7" s="108" t="n">
        <f aca="false">MIN(Hipótesis!$F$26,Hipótesis!$F$27+Hipótesis!$F$28*(12-1))</f>
        <v>3</v>
      </c>
      <c r="O7" s="108" t="n">
        <f aca="false">MIN(Hipótesis!$F$26,Hipótesis!$F$27+Hipótesis!$F$28*(13-1))</f>
        <v>3</v>
      </c>
      <c r="P7" s="108" t="n">
        <f aca="false">MIN(Hipótesis!$F$26,Hipótesis!$F$27+Hipótesis!$F$28*(14-1))</f>
        <v>3</v>
      </c>
      <c r="Q7" s="108" t="n">
        <f aca="false">MIN(Hipótesis!$F$26,Hipótesis!$F$27+Hipótesis!$F$28*(15-1))</f>
        <v>3</v>
      </c>
      <c r="R7" s="108" t="n">
        <f aca="false">MIN(Hipótesis!$F$26,Hipótesis!$F$27+Hipótesis!$F$28*(16-1))</f>
        <v>3</v>
      </c>
      <c r="S7" s="108" t="n">
        <f aca="false">MIN(Hipótesis!$F$26,Hipótesis!$F$27+Hipótesis!$F$28*(17-1))</f>
        <v>3</v>
      </c>
      <c r="T7" s="108" t="n">
        <f aca="false">MIN(Hipótesis!$F$26,Hipótesis!$F$27+Hipótesis!$F$28*(18-1))</f>
        <v>3</v>
      </c>
      <c r="U7" s="108" t="n">
        <f aca="false">MIN(Hipótesis!$F$26,Hipótesis!$F$27+Hipótesis!$F$28*(19-1))</f>
        <v>3</v>
      </c>
      <c r="V7" s="108" t="n">
        <f aca="false">MIN(Hipótesis!$F$26,Hipótesis!$F$27+Hipótesis!$F$28*(20-1))</f>
        <v>3</v>
      </c>
      <c r="W7" s="108" t="n">
        <f aca="false">MIN(Hipótesis!$F$26,Hipótesis!$F$27+Hipótesis!$F$28*(21-1))</f>
        <v>3</v>
      </c>
      <c r="X7" s="108" t="n">
        <f aca="false">MIN(Hipótesis!$F$26,Hipótesis!$F$27+Hipótesis!$F$28*(22-1))</f>
        <v>3</v>
      </c>
      <c r="Y7" s="108" t="n">
        <f aca="false">MIN(Hipótesis!$F$26,Hipótesis!$F$27+Hipótesis!$F$28*(23-1))</f>
        <v>3</v>
      </c>
      <c r="Z7" s="108" t="n">
        <f aca="false">MIN(Hipótesis!$F$26,Hipótesis!$F$27+Hipótesis!$F$28*(24-1))</f>
        <v>3</v>
      </c>
      <c r="AA7" s="108" t="n">
        <f aca="false">MIN(Hipótesis!$F$26,Hipótesis!$F$27+Hipótesis!$F$28*(25-1))</f>
        <v>3</v>
      </c>
      <c r="AB7" s="108" t="n">
        <f aca="false">MIN(Hipótesis!$F$26,Hipótesis!$F$27+Hipótesis!$F$28*(26-1))</f>
        <v>3</v>
      </c>
      <c r="AC7" s="108" t="n">
        <f aca="false">MIN(Hipótesis!$F$26,Hipótesis!$F$27+Hipótesis!$F$28*(27-1))</f>
        <v>3</v>
      </c>
      <c r="AD7" s="108" t="n">
        <f aca="false">MIN(Hipótesis!$F$26,Hipótesis!$F$27+Hipótesis!$F$28*(28-1))</f>
        <v>3</v>
      </c>
      <c r="AE7" s="108" t="n">
        <f aca="false">MIN(Hipótesis!$F$26,Hipótesis!$F$27+Hipótesis!$F$28*(29-1))</f>
        <v>3</v>
      </c>
      <c r="AF7" s="108" t="n">
        <f aca="false">MIN(Hipótesis!$F$26,Hipótesis!$F$27+Hipótesis!$F$28*(30-1))</f>
        <v>3</v>
      </c>
      <c r="AG7" s="108" t="n">
        <f aca="false">MIN(Hipótesis!$F$26,Hipótesis!$F$27+Hipótesis!$F$28*(31-1))</f>
        <v>3</v>
      </c>
      <c r="AH7" s="108" t="n">
        <f aca="false">MIN(Hipótesis!$F$26,Hipótesis!$F$27+Hipótesis!$F$28*(32-1))</f>
        <v>3</v>
      </c>
      <c r="AI7" s="108" t="n">
        <f aca="false">MIN(Hipótesis!$F$26,Hipótesis!$F$27+Hipótesis!$F$28*(33-1))</f>
        <v>3</v>
      </c>
      <c r="AJ7" s="108" t="n">
        <f aca="false">MIN(Hipótesis!$F$26,Hipótesis!$F$27+Hipótesis!$F$28*(34-1))</f>
        <v>3</v>
      </c>
      <c r="AK7" s="108" t="n">
        <f aca="false">MIN(Hipótesis!$F$26,Hipótesis!$F$27+Hipótesis!$F$28*(35-1))</f>
        <v>3</v>
      </c>
      <c r="AL7" s="108" t="n">
        <f aca="false">MIN(Hipótesis!$F$26,Hipótesis!$F$27+Hipótesis!$F$28*(36-1))</f>
        <v>3</v>
      </c>
      <c r="AM7" s="108" t="n">
        <f aca="false">MIN(Hipótesis!$F$26,Hipótesis!$F$27+Hipótesis!$F$28*(37-1))</f>
        <v>3</v>
      </c>
      <c r="AN7" s="108" t="n">
        <f aca="false">MIN(Hipótesis!$F$26,Hipótesis!$F$27+Hipótesis!$F$28*(38-1))</f>
        <v>3</v>
      </c>
      <c r="AO7" s="108" t="n">
        <f aca="false">MIN(Hipótesis!$F$26,Hipótesis!$F$27+Hipótesis!$F$28*(39-1))</f>
        <v>3</v>
      </c>
      <c r="AP7" s="108" t="n">
        <f aca="false">MIN(Hipótesis!$F$26,Hipótesis!$F$27+Hipótesis!$F$28*(40-1))</f>
        <v>3</v>
      </c>
      <c r="AQ7" s="108" t="n">
        <f aca="false">MIN(Hipótesis!$F$26,Hipótesis!$F$27+Hipótesis!$F$28*(41-1))</f>
        <v>3</v>
      </c>
      <c r="AR7" s="108" t="n">
        <f aca="false">MIN(Hipótesis!$F$26,Hipótesis!$F$27+Hipótesis!$F$28*(42-1))</f>
        <v>3</v>
      </c>
      <c r="AS7" s="108" t="n">
        <f aca="false">MIN(Hipótesis!$F$26,Hipótesis!$F$27+Hipótesis!$F$28*(43-1))</f>
        <v>3</v>
      </c>
      <c r="AT7" s="108" t="n">
        <f aca="false">MIN(Hipótesis!$F$26,Hipótesis!$F$27+Hipótesis!$F$28*(44-1))</f>
        <v>3</v>
      </c>
      <c r="AU7" s="108" t="n">
        <f aca="false">MIN(Hipótesis!$F$26,Hipótesis!$F$27+Hipótesis!$F$28*(45-1))</f>
        <v>3</v>
      </c>
      <c r="AV7" s="108" t="n">
        <f aca="false">MIN(Hipótesis!$F$26,Hipótesis!$F$27+Hipótesis!$F$28*(46-1))</f>
        <v>3</v>
      </c>
      <c r="AW7" s="108" t="n">
        <f aca="false">MIN(Hipótesis!$F$26,Hipótesis!$F$27+Hipótesis!$F$28*(47-1))</f>
        <v>3</v>
      </c>
      <c r="AX7" s="108" t="n">
        <f aca="false">MIN(Hipótesis!$F$26,Hipótesis!$F$27+Hipótesis!$F$28*(48-1))</f>
        <v>3</v>
      </c>
      <c r="AY7" s="108" t="n">
        <f aca="false">MIN(Hipótesis!$F$26,Hipótesis!$F$27+Hipótesis!$F$28*(49-1))</f>
        <v>3</v>
      </c>
      <c r="AZ7" s="108" t="n">
        <f aca="false">MIN(Hipótesis!$F$26,Hipótesis!$F$27+Hipótesis!$F$28*(50-1))</f>
        <v>3</v>
      </c>
      <c r="BA7" s="108" t="n">
        <f aca="false">MIN(Hipótesis!$F$26,Hipótesis!$F$27+Hipótesis!$F$28*(51-1))</f>
        <v>3</v>
      </c>
      <c r="BB7" s="108" t="n">
        <f aca="false">MIN(Hipótesis!$F$26,Hipótesis!$F$27+Hipótesis!$F$28*(52-1))</f>
        <v>3</v>
      </c>
      <c r="BC7" s="108" t="n">
        <f aca="false">MIN(Hipótesis!$F$26,Hipótesis!$F$27+Hipótesis!$F$28*(53-1))</f>
        <v>3</v>
      </c>
      <c r="BD7" s="108" t="n">
        <f aca="false">MIN(Hipótesis!$F$26,Hipótesis!$F$27+Hipótesis!$F$28*(54-1))</f>
        <v>3</v>
      </c>
      <c r="BE7" s="108" t="n">
        <f aca="false">MIN(Hipótesis!$F$26,Hipótesis!$F$27+Hipótesis!$F$28*(55-1))</f>
        <v>3</v>
      </c>
      <c r="BF7" s="108" t="n">
        <f aca="false">MIN(Hipótesis!$F$26,Hipótesis!$F$27+Hipótesis!$F$28*(56-1))</f>
        <v>3</v>
      </c>
      <c r="BG7" s="108" t="n">
        <f aca="false">MIN(Hipótesis!$F$26,Hipótesis!$F$27+Hipótesis!$F$28*(57-1))</f>
        <v>3</v>
      </c>
      <c r="BH7" s="108" t="n">
        <f aca="false">MIN(Hipótesis!$F$26,Hipótesis!$F$27+Hipótesis!$F$28*(58-1))</f>
        <v>3</v>
      </c>
      <c r="BI7" s="108" t="n">
        <f aca="false">MIN(Hipótesis!$F$26,Hipótesis!$F$27+Hipótesis!$F$28*(59-1))</f>
        <v>3</v>
      </c>
      <c r="BJ7" s="108" t="n">
        <f aca="false">MIN(Hipótesis!$F$26,Hipótesis!$F$27+Hipótesis!$F$28*(60-1))</f>
        <v>3</v>
      </c>
      <c r="BK7" s="108" t="n">
        <f aca="false">MIN(Hipótesis!$F$26,Hipótesis!$F$27+Hipótesis!$F$28*(61-1))</f>
        <v>3</v>
      </c>
      <c r="BL7" s="108" t="n">
        <f aca="false">MIN(Hipótesis!$F$26,Hipótesis!$F$27+Hipótesis!$F$28*(62-1))</f>
        <v>3</v>
      </c>
      <c r="BM7" s="108" t="n">
        <f aca="false">MIN(Hipótesis!$F$26,Hipótesis!$F$27+Hipótesis!$F$28*(63-1))</f>
        <v>3</v>
      </c>
      <c r="BN7" s="108" t="n">
        <f aca="false">MIN(Hipótesis!$F$26,Hipótesis!$F$27+Hipótesis!$F$28*(64-1))</f>
        <v>3</v>
      </c>
      <c r="BO7" s="108" t="n">
        <f aca="false">MIN(Hipótesis!$F$26,Hipótesis!$F$27+Hipótesis!$F$28*(65-1))</f>
        <v>3</v>
      </c>
      <c r="BP7" s="108" t="n">
        <f aca="false">MIN(Hipótesis!$F$26,Hipótesis!$F$27+Hipótesis!$F$28*(66-1))</f>
        <v>3</v>
      </c>
      <c r="BQ7" s="108" t="n">
        <f aca="false">MIN(Hipótesis!$F$26,Hipótesis!$F$27+Hipótesis!$F$28*(67-1))</f>
        <v>3</v>
      </c>
      <c r="BR7" s="108" t="n">
        <f aca="false">MIN(Hipótesis!$F$26,Hipótesis!$F$27+Hipótesis!$F$28*(68-1))</f>
        <v>3</v>
      </c>
      <c r="BS7" s="108" t="n">
        <f aca="false">MIN(Hipótesis!$F$26,Hipótesis!$F$27+Hipótesis!$F$28*(69-1))</f>
        <v>3</v>
      </c>
      <c r="BT7" s="108" t="n">
        <f aca="false">MIN(Hipótesis!$F$26,Hipótesis!$F$27+Hipótesis!$F$28*(70-1))</f>
        <v>3</v>
      </c>
      <c r="BU7" s="108" t="n">
        <f aca="false">MIN(Hipótesis!$F$26,Hipótesis!$F$27+Hipótesis!$F$28*(71-1))</f>
        <v>3</v>
      </c>
      <c r="BV7" s="108" t="n">
        <f aca="false">MIN(Hipótesis!$F$26,Hipótesis!$F$27+Hipótesis!$F$28*(72-1))</f>
        <v>3</v>
      </c>
      <c r="BW7" s="108" t="n">
        <f aca="false">MIN(Hipótesis!$F$26,Hipótesis!$F$27+Hipótesis!$F$28*(73-1))</f>
        <v>3</v>
      </c>
      <c r="BX7" s="108" t="n">
        <f aca="false">MIN(Hipótesis!$F$26,Hipótesis!$F$27+Hipótesis!$F$28*(74-1))</f>
        <v>3</v>
      </c>
      <c r="BY7" s="108" t="n">
        <f aca="false">MIN(Hipótesis!$F$26,Hipótesis!$F$27+Hipótesis!$F$28*(75-1))</f>
        <v>3</v>
      </c>
      <c r="BZ7" s="108" t="n">
        <f aca="false">MIN(Hipótesis!$F$26,Hipótesis!$F$27+Hipótesis!$F$28*(76-1))</f>
        <v>3</v>
      </c>
      <c r="CA7" s="108" t="n">
        <f aca="false">MIN(Hipótesis!$F$26,Hipótesis!$F$27+Hipótesis!$F$28*(77-1))</f>
        <v>3</v>
      </c>
      <c r="CB7" s="108" t="n">
        <f aca="false">MIN(Hipótesis!$F$26,Hipótesis!$F$27+Hipótesis!$F$28*(78-1))</f>
        <v>3</v>
      </c>
      <c r="CC7" s="108" t="n">
        <f aca="false">MIN(Hipótesis!$F$26,Hipótesis!$F$27+Hipótesis!$F$28*(79-1))</f>
        <v>3</v>
      </c>
      <c r="CD7" s="108" t="n">
        <f aca="false">MIN(Hipótesis!$F$26,Hipótesis!$F$27+Hipótesis!$F$28*(80-1))</f>
        <v>3</v>
      </c>
      <c r="CE7" s="108" t="n">
        <f aca="false">MIN(Hipótesis!$F$26,Hipótesis!$F$27+Hipótesis!$F$28*(81-1))</f>
        <v>3</v>
      </c>
      <c r="CF7" s="108" t="n">
        <f aca="false">MIN(Hipótesis!$F$26,Hipótesis!$F$27+Hipótesis!$F$28*(82-1))</f>
        <v>3</v>
      </c>
      <c r="CG7" s="108" t="n">
        <f aca="false">MIN(Hipótesis!$F$26,Hipótesis!$F$27+Hipótesis!$F$28*(83-1))</f>
        <v>3</v>
      </c>
      <c r="CH7" s="108" t="n">
        <f aca="false">MIN(Hipótesis!$F$26,Hipótesis!$F$27+Hipótesis!$F$28*(84-1))</f>
        <v>3</v>
      </c>
    </row>
    <row r="8" customFormat="false" ht="13.5" hidden="false" customHeight="true" outlineLevel="0" collapsed="false">
      <c r="A8" s="6" t="s">
        <v>488</v>
      </c>
      <c r="C8" s="101" t="n">
        <f aca="false">C7*Hipótesis!$D$13</f>
        <v>960</v>
      </c>
      <c r="D8" s="101" t="n">
        <f aca="false">D7*Hipótesis!$D$13</f>
        <v>1440</v>
      </c>
      <c r="E8" s="101" t="n">
        <f aca="false">E7*Hipótesis!$D$13</f>
        <v>1920</v>
      </c>
      <c r="F8" s="101" t="n">
        <f aca="false">F7*Hipótesis!$D$13</f>
        <v>2400</v>
      </c>
      <c r="G8" s="101" t="n">
        <f aca="false">G7*Hipótesis!$D$13</f>
        <v>2880</v>
      </c>
      <c r="H8" s="101" t="n">
        <f aca="false">H7*Hipótesis!$D$13</f>
        <v>2880</v>
      </c>
      <c r="I8" s="101" t="n">
        <f aca="false">I7*Hipótesis!$D$13</f>
        <v>2880</v>
      </c>
      <c r="J8" s="101" t="n">
        <f aca="false">J7*Hipótesis!$D$13</f>
        <v>2880</v>
      </c>
      <c r="K8" s="101" t="n">
        <f aca="false">K7*Hipótesis!$D$13</f>
        <v>2880</v>
      </c>
      <c r="L8" s="101" t="n">
        <f aca="false">L7*Hipótesis!$D$13</f>
        <v>2880</v>
      </c>
      <c r="M8" s="101" t="n">
        <f aca="false">M7*Hipótesis!$D$13</f>
        <v>2880</v>
      </c>
      <c r="N8" s="101" t="n">
        <f aca="false">N7*Hipótesis!$D$13</f>
        <v>2880</v>
      </c>
      <c r="O8" s="101" t="n">
        <f aca="false">O7*Hipótesis!$D$13</f>
        <v>2880</v>
      </c>
      <c r="P8" s="101" t="n">
        <f aca="false">P7*Hipótesis!$D$13</f>
        <v>2880</v>
      </c>
      <c r="Q8" s="101" t="n">
        <f aca="false">Q7*Hipótesis!$D$13</f>
        <v>2880</v>
      </c>
      <c r="R8" s="101" t="n">
        <f aca="false">R7*Hipótesis!$D$13</f>
        <v>2880</v>
      </c>
      <c r="S8" s="101" t="n">
        <f aca="false">S7*Hipótesis!$D$13</f>
        <v>2880</v>
      </c>
      <c r="T8" s="101" t="n">
        <f aca="false">T7*Hipótesis!$D$13</f>
        <v>2880</v>
      </c>
      <c r="U8" s="101" t="n">
        <f aca="false">U7*Hipótesis!$D$13</f>
        <v>2880</v>
      </c>
      <c r="V8" s="101" t="n">
        <f aca="false">V7*Hipótesis!$D$13</f>
        <v>2880</v>
      </c>
      <c r="W8" s="101" t="n">
        <f aca="false">W7*Hipótesis!$D$13</f>
        <v>2880</v>
      </c>
      <c r="X8" s="101" t="n">
        <f aca="false">X7*Hipótesis!$D$13</f>
        <v>2880</v>
      </c>
      <c r="Y8" s="101" t="n">
        <f aca="false">Y7*Hipótesis!$D$13</f>
        <v>2880</v>
      </c>
      <c r="Z8" s="101" t="n">
        <f aca="false">Z7*Hipótesis!$D$13</f>
        <v>2880</v>
      </c>
      <c r="AA8" s="101" t="n">
        <f aca="false">AA7*Hipótesis!$D$13</f>
        <v>2880</v>
      </c>
      <c r="AB8" s="101" t="n">
        <f aca="false">AB7*Hipótesis!$D$13</f>
        <v>2880</v>
      </c>
      <c r="AC8" s="101" t="n">
        <f aca="false">AC7*Hipótesis!$D$13</f>
        <v>2880</v>
      </c>
      <c r="AD8" s="101" t="n">
        <f aca="false">AD7*Hipótesis!$D$13</f>
        <v>2880</v>
      </c>
      <c r="AE8" s="101" t="n">
        <f aca="false">AE7*Hipótesis!$D$13</f>
        <v>2880</v>
      </c>
      <c r="AF8" s="101" t="n">
        <f aca="false">AF7*Hipótesis!$D$13</f>
        <v>2880</v>
      </c>
      <c r="AG8" s="101" t="n">
        <f aca="false">AG7*Hipótesis!$D$13</f>
        <v>2880</v>
      </c>
      <c r="AH8" s="101" t="n">
        <f aca="false">AH7*Hipótesis!$D$13</f>
        <v>2880</v>
      </c>
      <c r="AI8" s="101" t="n">
        <f aca="false">AI7*Hipótesis!$D$13</f>
        <v>2880</v>
      </c>
      <c r="AJ8" s="101" t="n">
        <f aca="false">AJ7*Hipótesis!$D$13</f>
        <v>2880</v>
      </c>
      <c r="AK8" s="101" t="n">
        <f aca="false">AK7*Hipótesis!$D$13</f>
        <v>2880</v>
      </c>
      <c r="AL8" s="101" t="n">
        <f aca="false">AL7*Hipótesis!$D$13</f>
        <v>2880</v>
      </c>
      <c r="AM8" s="101" t="n">
        <f aca="false">AM7*Hipótesis!$D$13</f>
        <v>2880</v>
      </c>
      <c r="AN8" s="101" t="n">
        <f aca="false">AN7*Hipótesis!$D$13</f>
        <v>2880</v>
      </c>
      <c r="AO8" s="101" t="n">
        <f aca="false">AO7*Hipótesis!$D$13</f>
        <v>2880</v>
      </c>
      <c r="AP8" s="101" t="n">
        <f aca="false">AP7*Hipótesis!$D$13</f>
        <v>2880</v>
      </c>
      <c r="AQ8" s="101" t="n">
        <f aca="false">AQ7*Hipótesis!$D$13</f>
        <v>2880</v>
      </c>
      <c r="AR8" s="101" t="n">
        <f aca="false">AR7*Hipótesis!$D$13</f>
        <v>2880</v>
      </c>
      <c r="AS8" s="101" t="n">
        <f aca="false">AS7*Hipótesis!$D$13</f>
        <v>2880</v>
      </c>
      <c r="AT8" s="101" t="n">
        <f aca="false">AT7*Hipótesis!$D$13</f>
        <v>2880</v>
      </c>
      <c r="AU8" s="101" t="n">
        <f aca="false">AU7*Hipótesis!$D$13</f>
        <v>2880</v>
      </c>
      <c r="AV8" s="101" t="n">
        <f aca="false">AV7*Hipótesis!$D$13</f>
        <v>2880</v>
      </c>
      <c r="AW8" s="101" t="n">
        <f aca="false">AW7*Hipótesis!$D$13</f>
        <v>2880</v>
      </c>
      <c r="AX8" s="101" t="n">
        <f aca="false">AX7*Hipótesis!$D$13</f>
        <v>2880</v>
      </c>
      <c r="AY8" s="101" t="n">
        <f aca="false">AY7*Hipótesis!$D$13</f>
        <v>2880</v>
      </c>
      <c r="AZ8" s="101" t="n">
        <f aca="false">AZ7*Hipótesis!$D$13</f>
        <v>2880</v>
      </c>
      <c r="BA8" s="101" t="n">
        <f aca="false">BA7*Hipótesis!$D$13</f>
        <v>2880</v>
      </c>
      <c r="BB8" s="101" t="n">
        <f aca="false">BB7*Hipótesis!$D$13</f>
        <v>2880</v>
      </c>
      <c r="BC8" s="101" t="n">
        <f aca="false">BC7*Hipótesis!$D$13</f>
        <v>2880</v>
      </c>
      <c r="BD8" s="101" t="n">
        <f aca="false">BD7*Hipótesis!$D$13</f>
        <v>2880</v>
      </c>
      <c r="BE8" s="101" t="n">
        <f aca="false">BE7*Hipótesis!$D$13</f>
        <v>2880</v>
      </c>
      <c r="BF8" s="101" t="n">
        <f aca="false">BF7*Hipótesis!$D$13</f>
        <v>2880</v>
      </c>
      <c r="BG8" s="101" t="n">
        <f aca="false">BG7*Hipótesis!$D$13</f>
        <v>2880</v>
      </c>
      <c r="BH8" s="101" t="n">
        <f aca="false">BH7*Hipótesis!$D$13</f>
        <v>2880</v>
      </c>
      <c r="BI8" s="101" t="n">
        <f aca="false">BI7*Hipótesis!$D$13</f>
        <v>2880</v>
      </c>
      <c r="BJ8" s="101" t="n">
        <f aca="false">BJ7*Hipótesis!$D$13</f>
        <v>2880</v>
      </c>
      <c r="BK8" s="101" t="n">
        <f aca="false">BK7*Hipótesis!$D$13</f>
        <v>2880</v>
      </c>
      <c r="BL8" s="101" t="n">
        <f aca="false">BL7*Hipótesis!$D$13</f>
        <v>2880</v>
      </c>
      <c r="BM8" s="101" t="n">
        <f aca="false">BM7*Hipótesis!$D$13</f>
        <v>2880</v>
      </c>
      <c r="BN8" s="101" t="n">
        <f aca="false">BN7*Hipótesis!$D$13</f>
        <v>2880</v>
      </c>
      <c r="BO8" s="101" t="n">
        <f aca="false">BO7*Hipótesis!$D$13</f>
        <v>2880</v>
      </c>
      <c r="BP8" s="101" t="n">
        <f aca="false">BP7*Hipótesis!$D$13</f>
        <v>2880</v>
      </c>
      <c r="BQ8" s="101" t="n">
        <f aca="false">BQ7*Hipótesis!$D$13</f>
        <v>2880</v>
      </c>
      <c r="BR8" s="101" t="n">
        <f aca="false">BR7*Hipótesis!$D$13</f>
        <v>2880</v>
      </c>
      <c r="BS8" s="101" t="n">
        <f aca="false">BS7*Hipótesis!$D$13</f>
        <v>2880</v>
      </c>
      <c r="BT8" s="101" t="n">
        <f aca="false">BT7*Hipótesis!$D$13</f>
        <v>2880</v>
      </c>
      <c r="BU8" s="101" t="n">
        <f aca="false">BU7*Hipótesis!$D$13</f>
        <v>2880</v>
      </c>
      <c r="BV8" s="101" t="n">
        <f aca="false">BV7*Hipótesis!$D$13</f>
        <v>2880</v>
      </c>
      <c r="BW8" s="101" t="n">
        <f aca="false">BW7*Hipótesis!$D$13</f>
        <v>2880</v>
      </c>
      <c r="BX8" s="101" t="n">
        <f aca="false">BX7*Hipótesis!$D$13</f>
        <v>2880</v>
      </c>
      <c r="BY8" s="101" t="n">
        <f aca="false">BY7*Hipótesis!$D$13</f>
        <v>2880</v>
      </c>
      <c r="BZ8" s="101" t="n">
        <f aca="false">BZ7*Hipótesis!$D$13</f>
        <v>2880</v>
      </c>
      <c r="CA8" s="101" t="n">
        <f aca="false">CA7*Hipótesis!$D$13</f>
        <v>2880</v>
      </c>
      <c r="CB8" s="101" t="n">
        <f aca="false">CB7*Hipótesis!$D$13</f>
        <v>2880</v>
      </c>
      <c r="CC8" s="101" t="n">
        <f aca="false">CC7*Hipótesis!$D$13</f>
        <v>2880</v>
      </c>
      <c r="CD8" s="101" t="n">
        <f aca="false">CD7*Hipótesis!$D$13</f>
        <v>2880</v>
      </c>
      <c r="CE8" s="101" t="n">
        <f aca="false">CE7*Hipótesis!$D$13</f>
        <v>2880</v>
      </c>
      <c r="CF8" s="101" t="n">
        <f aca="false">CF7*Hipótesis!$D$13</f>
        <v>2880</v>
      </c>
      <c r="CG8" s="101" t="n">
        <f aca="false">CG7*Hipótesis!$D$13</f>
        <v>2880</v>
      </c>
      <c r="CH8" s="101" t="n">
        <f aca="false">CH7*Hipótesis!$D$13</f>
        <v>2880</v>
      </c>
    </row>
    <row r="9" customFormat="false" ht="13.5" hidden="false" customHeight="true" outlineLevel="0" collapsed="false">
      <c r="A9" s="6" t="s">
        <v>489</v>
      </c>
      <c r="C9" s="100" t="n">
        <f aca="false">Pipeline!$Q$16*Pipeline!$D$16*MIN(1,MAX(0,(1-Pipeline!$E$16+1)/MAX(Pipeline!$F$16,1)))</f>
        <v>1005.575</v>
      </c>
      <c r="D9" s="100" t="n">
        <f aca="false">Pipeline!$Q$16*Pipeline!$D$16*MIN(1,MAX(0,(2-Pipeline!$E$16+1)/MAX(Pipeline!$F$16,1)))</f>
        <v>2011.15</v>
      </c>
      <c r="E9" s="100" t="n">
        <f aca="false">Pipeline!$Q$16*Pipeline!$D$16*MIN(1,MAX(0,(3-Pipeline!$E$16+1)/MAX(Pipeline!$F$16,1)))</f>
        <v>3016.725</v>
      </c>
      <c r="F9" s="100" t="n">
        <f aca="false">Pipeline!$Q$16*Pipeline!$D$16*MIN(1,MAX(0,(4-Pipeline!$E$16+1)/MAX(Pipeline!$F$16,1)))</f>
        <v>3016.725</v>
      </c>
      <c r="G9" s="100" t="n">
        <f aca="false">Pipeline!$Q$16*Pipeline!$D$16*MIN(1,MAX(0,(5-Pipeline!$E$16+1)/MAX(Pipeline!$F$16,1)))</f>
        <v>3016.725</v>
      </c>
      <c r="H9" s="100" t="n">
        <f aca="false">Pipeline!$Q$16*Pipeline!$D$16*MIN(1,MAX(0,(6-Pipeline!$E$16+1)/MAX(Pipeline!$F$16,1)))</f>
        <v>3016.725</v>
      </c>
      <c r="I9" s="100" t="n">
        <f aca="false">Pipeline!$Q$16*Pipeline!$D$16*MIN(1,MAX(0,(7-Pipeline!$E$16+1)/MAX(Pipeline!$F$16,1)))</f>
        <v>3016.725</v>
      </c>
      <c r="J9" s="100" t="n">
        <f aca="false">Pipeline!$Q$16*Pipeline!$D$16*MIN(1,MAX(0,(8-Pipeline!$E$16+1)/MAX(Pipeline!$F$16,1)))</f>
        <v>3016.725</v>
      </c>
      <c r="K9" s="100" t="n">
        <f aca="false">Pipeline!$Q$16*Pipeline!$D$16*MIN(1,MAX(0,(9-Pipeline!$E$16+1)/MAX(Pipeline!$F$16,1)))</f>
        <v>3016.725</v>
      </c>
      <c r="L9" s="100" t="n">
        <f aca="false">Pipeline!$Q$16*Pipeline!$D$16*MIN(1,MAX(0,(10-Pipeline!$E$16+1)/MAX(Pipeline!$F$16,1)))</f>
        <v>3016.725</v>
      </c>
      <c r="M9" s="100" t="n">
        <f aca="false">Pipeline!$Q$16*Pipeline!$D$16*MIN(1,MAX(0,(11-Pipeline!$E$16+1)/MAX(Pipeline!$F$16,1)))</f>
        <v>3016.725</v>
      </c>
      <c r="N9" s="100" t="n">
        <f aca="false">Pipeline!$Q$16*Pipeline!$D$16*MIN(1,MAX(0,(12-Pipeline!$E$16+1)/MAX(Pipeline!$F$16,1)))</f>
        <v>3016.725</v>
      </c>
      <c r="O9" s="100" t="n">
        <f aca="false">Pipeline!$Q$16*Pipeline!$D$16*MIN(1,MAX(0,(13-Pipeline!$E$16+1)/MAX(Pipeline!$F$16,1)))</f>
        <v>3016.725</v>
      </c>
      <c r="P9" s="100" t="n">
        <f aca="false">Pipeline!$Q$16*Pipeline!$D$16*MIN(1,MAX(0,(14-Pipeline!$E$16+1)/MAX(Pipeline!$F$16,1)))</f>
        <v>3016.725</v>
      </c>
      <c r="Q9" s="100" t="n">
        <f aca="false">Pipeline!$Q$16*Pipeline!$D$16*MIN(1,MAX(0,(15-Pipeline!$E$16+1)/MAX(Pipeline!$F$16,1)))</f>
        <v>3016.725</v>
      </c>
      <c r="R9" s="100" t="n">
        <f aca="false">Pipeline!$Q$16*Pipeline!$D$16*MIN(1,MAX(0,(16-Pipeline!$E$16+1)/MAX(Pipeline!$F$16,1)))</f>
        <v>3016.725</v>
      </c>
      <c r="S9" s="100" t="n">
        <f aca="false">Pipeline!$Q$16*Pipeline!$D$16*MIN(1,MAX(0,(17-Pipeline!$E$16+1)/MAX(Pipeline!$F$16,1)))</f>
        <v>3016.725</v>
      </c>
      <c r="T9" s="100" t="n">
        <f aca="false">Pipeline!$Q$16*Pipeline!$D$16*MIN(1,MAX(0,(18-Pipeline!$E$16+1)/MAX(Pipeline!$F$16,1)))</f>
        <v>3016.725</v>
      </c>
      <c r="U9" s="100" t="n">
        <f aca="false">Pipeline!$Q$16*Pipeline!$D$16*MIN(1,MAX(0,(19-Pipeline!$E$16+1)/MAX(Pipeline!$F$16,1)))</f>
        <v>3016.725</v>
      </c>
      <c r="V9" s="100" t="n">
        <f aca="false">Pipeline!$Q$16*Pipeline!$D$16*MIN(1,MAX(0,(20-Pipeline!$E$16+1)/MAX(Pipeline!$F$16,1)))</f>
        <v>3016.725</v>
      </c>
      <c r="W9" s="100" t="n">
        <f aca="false">Pipeline!$Q$16*Pipeline!$D$16*MIN(1,MAX(0,(21-Pipeline!$E$16+1)/MAX(Pipeline!$F$16,1)))</f>
        <v>3016.725</v>
      </c>
      <c r="X9" s="100" t="n">
        <f aca="false">Pipeline!$Q$16*Pipeline!$D$16*MIN(1,MAX(0,(22-Pipeline!$E$16+1)/MAX(Pipeline!$F$16,1)))</f>
        <v>3016.725</v>
      </c>
      <c r="Y9" s="100" t="n">
        <f aca="false">Pipeline!$Q$16*Pipeline!$D$16*MIN(1,MAX(0,(23-Pipeline!$E$16+1)/MAX(Pipeline!$F$16,1)))</f>
        <v>3016.725</v>
      </c>
      <c r="Z9" s="100" t="n">
        <f aca="false">Pipeline!$Q$16*Pipeline!$D$16*MIN(1,MAX(0,(24-Pipeline!$E$16+1)/MAX(Pipeline!$F$16,1)))</f>
        <v>3016.725</v>
      </c>
      <c r="AA9" s="100" t="n">
        <f aca="false">Pipeline!$Q$16*Pipeline!$D$16*MIN(1,MAX(0,(25-Pipeline!$E$16+1)/MAX(Pipeline!$F$16,1)))</f>
        <v>3016.725</v>
      </c>
      <c r="AB9" s="100" t="n">
        <f aca="false">Pipeline!$Q$16*Pipeline!$D$16*MIN(1,MAX(0,(26-Pipeline!$E$16+1)/MAX(Pipeline!$F$16,1)))</f>
        <v>3016.725</v>
      </c>
      <c r="AC9" s="100" t="n">
        <f aca="false">Pipeline!$Q$16*Pipeline!$D$16*MIN(1,MAX(0,(27-Pipeline!$E$16+1)/MAX(Pipeline!$F$16,1)))</f>
        <v>3016.725</v>
      </c>
      <c r="AD9" s="100" t="n">
        <f aca="false">Pipeline!$Q$16*Pipeline!$D$16*MIN(1,MAX(0,(28-Pipeline!$E$16+1)/MAX(Pipeline!$F$16,1)))</f>
        <v>3016.725</v>
      </c>
      <c r="AE9" s="100" t="n">
        <f aca="false">Pipeline!$Q$16*Pipeline!$D$16*MIN(1,MAX(0,(29-Pipeline!$E$16+1)/MAX(Pipeline!$F$16,1)))</f>
        <v>3016.725</v>
      </c>
      <c r="AF9" s="100" t="n">
        <f aca="false">Pipeline!$Q$16*Pipeline!$D$16*MIN(1,MAX(0,(30-Pipeline!$E$16+1)/MAX(Pipeline!$F$16,1)))</f>
        <v>3016.725</v>
      </c>
      <c r="AG9" s="100" t="n">
        <f aca="false">Pipeline!$Q$16*Pipeline!$D$16*MIN(1,MAX(0,(31-Pipeline!$E$16+1)/MAX(Pipeline!$F$16,1)))</f>
        <v>3016.725</v>
      </c>
      <c r="AH9" s="100" t="n">
        <f aca="false">Pipeline!$Q$16*Pipeline!$D$16*MIN(1,MAX(0,(32-Pipeline!$E$16+1)/MAX(Pipeline!$F$16,1)))</f>
        <v>3016.725</v>
      </c>
      <c r="AI9" s="100" t="n">
        <f aca="false">Pipeline!$Q$16*Pipeline!$D$16*MIN(1,MAX(0,(33-Pipeline!$E$16+1)/MAX(Pipeline!$F$16,1)))</f>
        <v>3016.725</v>
      </c>
      <c r="AJ9" s="100" t="n">
        <f aca="false">Pipeline!$Q$16*Pipeline!$D$16*MIN(1,MAX(0,(34-Pipeline!$E$16+1)/MAX(Pipeline!$F$16,1)))</f>
        <v>3016.725</v>
      </c>
      <c r="AK9" s="100" t="n">
        <f aca="false">Pipeline!$Q$16*Pipeline!$D$16*MIN(1,MAX(0,(35-Pipeline!$E$16+1)/MAX(Pipeline!$F$16,1)))</f>
        <v>3016.725</v>
      </c>
      <c r="AL9" s="100" t="n">
        <f aca="false">Pipeline!$Q$16*Pipeline!$D$16*MIN(1,MAX(0,(36-Pipeline!$E$16+1)/MAX(Pipeline!$F$16,1)))</f>
        <v>3016.725</v>
      </c>
      <c r="AM9" s="100" t="n">
        <f aca="false">Pipeline!$Q$16*Pipeline!$D$16*MIN(1,MAX(0,(37-Pipeline!$E$16+1)/MAX(Pipeline!$F$16,1)))</f>
        <v>3016.725</v>
      </c>
      <c r="AN9" s="100" t="n">
        <f aca="false">Pipeline!$Q$16*Pipeline!$D$16*MIN(1,MAX(0,(38-Pipeline!$E$16+1)/MAX(Pipeline!$F$16,1)))</f>
        <v>3016.725</v>
      </c>
      <c r="AO9" s="100" t="n">
        <f aca="false">Pipeline!$Q$16*Pipeline!$D$16*MIN(1,MAX(0,(39-Pipeline!$E$16+1)/MAX(Pipeline!$F$16,1)))</f>
        <v>3016.725</v>
      </c>
      <c r="AP9" s="100" t="n">
        <f aca="false">Pipeline!$Q$16*Pipeline!$D$16*MIN(1,MAX(0,(40-Pipeline!$E$16+1)/MAX(Pipeline!$F$16,1)))</f>
        <v>3016.725</v>
      </c>
      <c r="AQ9" s="100" t="n">
        <f aca="false">Pipeline!$Q$16*Pipeline!$D$16*MIN(1,MAX(0,(41-Pipeline!$E$16+1)/MAX(Pipeline!$F$16,1)))</f>
        <v>3016.725</v>
      </c>
      <c r="AR9" s="100" t="n">
        <f aca="false">Pipeline!$Q$16*Pipeline!$D$16*MIN(1,MAX(0,(42-Pipeline!$E$16+1)/MAX(Pipeline!$F$16,1)))</f>
        <v>3016.725</v>
      </c>
      <c r="AS9" s="100" t="n">
        <f aca="false">Pipeline!$Q$16*Pipeline!$D$16*MIN(1,MAX(0,(43-Pipeline!$E$16+1)/MAX(Pipeline!$F$16,1)))</f>
        <v>3016.725</v>
      </c>
      <c r="AT9" s="100" t="n">
        <f aca="false">Pipeline!$Q$16*Pipeline!$D$16*MIN(1,MAX(0,(44-Pipeline!$E$16+1)/MAX(Pipeline!$F$16,1)))</f>
        <v>3016.725</v>
      </c>
      <c r="AU9" s="100" t="n">
        <f aca="false">Pipeline!$Q$16*Pipeline!$D$16*MIN(1,MAX(0,(45-Pipeline!$E$16+1)/MAX(Pipeline!$F$16,1)))</f>
        <v>3016.725</v>
      </c>
      <c r="AV9" s="100" t="n">
        <f aca="false">Pipeline!$Q$16*Pipeline!$D$16*MIN(1,MAX(0,(46-Pipeline!$E$16+1)/MAX(Pipeline!$F$16,1)))</f>
        <v>3016.725</v>
      </c>
      <c r="AW9" s="100" t="n">
        <f aca="false">Pipeline!$Q$16*Pipeline!$D$16*MIN(1,MAX(0,(47-Pipeline!$E$16+1)/MAX(Pipeline!$F$16,1)))</f>
        <v>3016.725</v>
      </c>
      <c r="AX9" s="100" t="n">
        <f aca="false">Pipeline!$Q$16*Pipeline!$D$16*MIN(1,MAX(0,(48-Pipeline!$E$16+1)/MAX(Pipeline!$F$16,1)))</f>
        <v>3016.725</v>
      </c>
      <c r="AY9" s="100" t="n">
        <f aca="false">Pipeline!$Q$16*Pipeline!$D$16*MIN(1,MAX(0,(49-Pipeline!$E$16+1)/MAX(Pipeline!$F$16,1)))</f>
        <v>3016.725</v>
      </c>
      <c r="AZ9" s="100" t="n">
        <f aca="false">Pipeline!$Q$16*Pipeline!$D$16*MIN(1,MAX(0,(50-Pipeline!$E$16+1)/MAX(Pipeline!$F$16,1)))</f>
        <v>3016.725</v>
      </c>
      <c r="BA9" s="100" t="n">
        <f aca="false">Pipeline!$Q$16*Pipeline!$D$16*MIN(1,MAX(0,(51-Pipeline!$E$16+1)/MAX(Pipeline!$F$16,1)))</f>
        <v>3016.725</v>
      </c>
      <c r="BB9" s="100" t="n">
        <f aca="false">Pipeline!$Q$16*Pipeline!$D$16*MIN(1,MAX(0,(52-Pipeline!$E$16+1)/MAX(Pipeline!$F$16,1)))</f>
        <v>3016.725</v>
      </c>
      <c r="BC9" s="100" t="n">
        <f aca="false">Pipeline!$Q$16*Pipeline!$D$16*MIN(1,MAX(0,(53-Pipeline!$E$16+1)/MAX(Pipeline!$F$16,1)))</f>
        <v>3016.725</v>
      </c>
      <c r="BD9" s="100" t="n">
        <f aca="false">Pipeline!$Q$16*Pipeline!$D$16*MIN(1,MAX(0,(54-Pipeline!$E$16+1)/MAX(Pipeline!$F$16,1)))</f>
        <v>3016.725</v>
      </c>
      <c r="BE9" s="100" t="n">
        <f aca="false">Pipeline!$Q$16*Pipeline!$D$16*MIN(1,MAX(0,(55-Pipeline!$E$16+1)/MAX(Pipeline!$F$16,1)))</f>
        <v>3016.725</v>
      </c>
      <c r="BF9" s="100" t="n">
        <f aca="false">Pipeline!$Q$16*Pipeline!$D$16*MIN(1,MAX(0,(56-Pipeline!$E$16+1)/MAX(Pipeline!$F$16,1)))</f>
        <v>3016.725</v>
      </c>
      <c r="BG9" s="100" t="n">
        <f aca="false">Pipeline!$Q$16*Pipeline!$D$16*MIN(1,MAX(0,(57-Pipeline!$E$16+1)/MAX(Pipeline!$F$16,1)))</f>
        <v>3016.725</v>
      </c>
      <c r="BH9" s="100" t="n">
        <f aca="false">Pipeline!$Q$16*Pipeline!$D$16*MIN(1,MAX(0,(58-Pipeline!$E$16+1)/MAX(Pipeline!$F$16,1)))</f>
        <v>3016.725</v>
      </c>
      <c r="BI9" s="100" t="n">
        <f aca="false">Pipeline!$Q$16*Pipeline!$D$16*MIN(1,MAX(0,(59-Pipeline!$E$16+1)/MAX(Pipeline!$F$16,1)))</f>
        <v>3016.725</v>
      </c>
      <c r="BJ9" s="100" t="n">
        <f aca="false">Pipeline!$Q$16*Pipeline!$D$16*MIN(1,MAX(0,(60-Pipeline!$E$16+1)/MAX(Pipeline!$F$16,1)))</f>
        <v>3016.725</v>
      </c>
      <c r="BK9" s="100" t="n">
        <f aca="false">Pipeline!$Q$16*Pipeline!$D$16*MIN(1,MAX(0,(61-Pipeline!$E$16+1)/MAX(Pipeline!$F$16,1)))</f>
        <v>3016.725</v>
      </c>
      <c r="BL9" s="100" t="n">
        <f aca="false">Pipeline!$Q$16*Pipeline!$D$16*MIN(1,MAX(0,(62-Pipeline!$E$16+1)/MAX(Pipeline!$F$16,1)))</f>
        <v>3016.725</v>
      </c>
      <c r="BM9" s="100" t="n">
        <f aca="false">Pipeline!$Q$16*Pipeline!$D$16*MIN(1,MAX(0,(63-Pipeline!$E$16+1)/MAX(Pipeline!$F$16,1)))</f>
        <v>3016.725</v>
      </c>
      <c r="BN9" s="100" t="n">
        <f aca="false">Pipeline!$Q$16*Pipeline!$D$16*MIN(1,MAX(0,(64-Pipeline!$E$16+1)/MAX(Pipeline!$F$16,1)))</f>
        <v>3016.725</v>
      </c>
      <c r="BO9" s="100" t="n">
        <f aca="false">Pipeline!$Q$16*Pipeline!$D$16*MIN(1,MAX(0,(65-Pipeline!$E$16+1)/MAX(Pipeline!$F$16,1)))</f>
        <v>3016.725</v>
      </c>
      <c r="BP9" s="100" t="n">
        <f aca="false">Pipeline!$Q$16*Pipeline!$D$16*MIN(1,MAX(0,(66-Pipeline!$E$16+1)/MAX(Pipeline!$F$16,1)))</f>
        <v>3016.725</v>
      </c>
      <c r="BQ9" s="100" t="n">
        <f aca="false">Pipeline!$Q$16*Pipeline!$D$16*MIN(1,MAX(0,(67-Pipeline!$E$16+1)/MAX(Pipeline!$F$16,1)))</f>
        <v>3016.725</v>
      </c>
      <c r="BR9" s="100" t="n">
        <f aca="false">Pipeline!$Q$16*Pipeline!$D$16*MIN(1,MAX(0,(68-Pipeline!$E$16+1)/MAX(Pipeline!$F$16,1)))</f>
        <v>3016.725</v>
      </c>
      <c r="BS9" s="100" t="n">
        <f aca="false">Pipeline!$Q$16*Pipeline!$D$16*MIN(1,MAX(0,(69-Pipeline!$E$16+1)/MAX(Pipeline!$F$16,1)))</f>
        <v>3016.725</v>
      </c>
      <c r="BT9" s="100" t="n">
        <f aca="false">Pipeline!$Q$16*Pipeline!$D$16*MIN(1,MAX(0,(70-Pipeline!$E$16+1)/MAX(Pipeline!$F$16,1)))</f>
        <v>3016.725</v>
      </c>
      <c r="BU9" s="100" t="n">
        <f aca="false">Pipeline!$Q$16*Pipeline!$D$16*MIN(1,MAX(0,(71-Pipeline!$E$16+1)/MAX(Pipeline!$F$16,1)))</f>
        <v>3016.725</v>
      </c>
      <c r="BV9" s="100" t="n">
        <f aca="false">Pipeline!$Q$16*Pipeline!$D$16*MIN(1,MAX(0,(72-Pipeline!$E$16+1)/MAX(Pipeline!$F$16,1)))</f>
        <v>3016.725</v>
      </c>
      <c r="BW9" s="100" t="n">
        <f aca="false">Pipeline!$Q$16*Pipeline!$D$16*MIN(1,MAX(0,(73-Pipeline!$E$16+1)/MAX(Pipeline!$F$16,1)))</f>
        <v>3016.725</v>
      </c>
      <c r="BX9" s="100" t="n">
        <f aca="false">Pipeline!$Q$16*Pipeline!$D$16*MIN(1,MAX(0,(74-Pipeline!$E$16+1)/MAX(Pipeline!$F$16,1)))</f>
        <v>3016.725</v>
      </c>
      <c r="BY9" s="100" t="n">
        <f aca="false">Pipeline!$Q$16*Pipeline!$D$16*MIN(1,MAX(0,(75-Pipeline!$E$16+1)/MAX(Pipeline!$F$16,1)))</f>
        <v>3016.725</v>
      </c>
      <c r="BZ9" s="100" t="n">
        <f aca="false">Pipeline!$Q$16*Pipeline!$D$16*MIN(1,MAX(0,(76-Pipeline!$E$16+1)/MAX(Pipeline!$F$16,1)))</f>
        <v>3016.725</v>
      </c>
      <c r="CA9" s="100" t="n">
        <f aca="false">Pipeline!$Q$16*Pipeline!$D$16*MIN(1,MAX(0,(77-Pipeline!$E$16+1)/MAX(Pipeline!$F$16,1)))</f>
        <v>3016.725</v>
      </c>
      <c r="CB9" s="100" t="n">
        <f aca="false">Pipeline!$Q$16*Pipeline!$D$16*MIN(1,MAX(0,(78-Pipeline!$E$16+1)/MAX(Pipeline!$F$16,1)))</f>
        <v>3016.725</v>
      </c>
      <c r="CC9" s="100" t="n">
        <f aca="false">Pipeline!$Q$16*Pipeline!$D$16*MIN(1,MAX(0,(79-Pipeline!$E$16+1)/MAX(Pipeline!$F$16,1)))</f>
        <v>3016.725</v>
      </c>
      <c r="CD9" s="100" t="n">
        <f aca="false">Pipeline!$Q$16*Pipeline!$D$16*MIN(1,MAX(0,(80-Pipeline!$E$16+1)/MAX(Pipeline!$F$16,1)))</f>
        <v>3016.725</v>
      </c>
      <c r="CE9" s="100" t="n">
        <f aca="false">Pipeline!$Q$16*Pipeline!$D$16*MIN(1,MAX(0,(81-Pipeline!$E$16+1)/MAX(Pipeline!$F$16,1)))</f>
        <v>3016.725</v>
      </c>
      <c r="CF9" s="100" t="n">
        <f aca="false">Pipeline!$Q$16*Pipeline!$D$16*MIN(1,MAX(0,(82-Pipeline!$E$16+1)/MAX(Pipeline!$F$16,1)))</f>
        <v>3016.725</v>
      </c>
      <c r="CG9" s="100" t="n">
        <f aca="false">Pipeline!$Q$16*Pipeline!$D$16*MIN(1,MAX(0,(83-Pipeline!$E$16+1)/MAX(Pipeline!$F$16,1)))</f>
        <v>3016.725</v>
      </c>
      <c r="CH9" s="100" t="n">
        <f aca="false">Pipeline!$Q$16*Pipeline!$D$16*MIN(1,MAX(0,(84-Pipeline!$E$16+1)/MAX(Pipeline!$F$16,1)))</f>
        <v>3016.725</v>
      </c>
    </row>
    <row r="10" customFormat="false" ht="13.5" hidden="false" customHeight="true" outlineLevel="0" collapsed="false">
      <c r="A10" s="6" t="s">
        <v>490</v>
      </c>
      <c r="C10" s="100" t="n">
        <f aca="false">Pipeline!$Q$17*Pipeline!$D$17*MIN(1,MAX(0,(1-Pipeline!$E$17+1)/MAX(Pipeline!$F$17,1)))</f>
        <v>0</v>
      </c>
      <c r="D10" s="100" t="n">
        <f aca="false">Pipeline!$Q$17*Pipeline!$D$17*MIN(1,MAX(0,(2-Pipeline!$E$17+1)/MAX(Pipeline!$F$17,1)))</f>
        <v>78.3</v>
      </c>
      <c r="E10" s="100" t="n">
        <f aca="false">Pipeline!$Q$17*Pipeline!$D$17*MIN(1,MAX(0,(3-Pipeline!$E$17+1)/MAX(Pipeline!$F$17,1)))</f>
        <v>156.6</v>
      </c>
      <c r="F10" s="100" t="n">
        <f aca="false">Pipeline!$Q$17*Pipeline!$D$17*MIN(1,MAX(0,(4-Pipeline!$E$17+1)/MAX(Pipeline!$F$17,1)))</f>
        <v>234.9</v>
      </c>
      <c r="G10" s="100" t="n">
        <f aca="false">Pipeline!$Q$17*Pipeline!$D$17*MIN(1,MAX(0,(5-Pipeline!$E$17+1)/MAX(Pipeline!$F$17,1)))</f>
        <v>234.9</v>
      </c>
      <c r="H10" s="100" t="n">
        <f aca="false">Pipeline!$Q$17*Pipeline!$D$17*MIN(1,MAX(0,(6-Pipeline!$E$17+1)/MAX(Pipeline!$F$17,1)))</f>
        <v>234.9</v>
      </c>
      <c r="I10" s="100" t="n">
        <f aca="false">Pipeline!$Q$17*Pipeline!$D$17*MIN(1,MAX(0,(7-Pipeline!$E$17+1)/MAX(Pipeline!$F$17,1)))</f>
        <v>234.9</v>
      </c>
      <c r="J10" s="100" t="n">
        <f aca="false">Pipeline!$Q$17*Pipeline!$D$17*MIN(1,MAX(0,(8-Pipeline!$E$17+1)/MAX(Pipeline!$F$17,1)))</f>
        <v>234.9</v>
      </c>
      <c r="K10" s="100" t="n">
        <f aca="false">Pipeline!$Q$17*Pipeline!$D$17*MIN(1,MAX(0,(9-Pipeline!$E$17+1)/MAX(Pipeline!$F$17,1)))</f>
        <v>234.9</v>
      </c>
      <c r="L10" s="100" t="n">
        <f aca="false">Pipeline!$Q$17*Pipeline!$D$17*MIN(1,MAX(0,(10-Pipeline!$E$17+1)/MAX(Pipeline!$F$17,1)))</f>
        <v>234.9</v>
      </c>
      <c r="M10" s="100" t="n">
        <f aca="false">Pipeline!$Q$17*Pipeline!$D$17*MIN(1,MAX(0,(11-Pipeline!$E$17+1)/MAX(Pipeline!$F$17,1)))</f>
        <v>234.9</v>
      </c>
      <c r="N10" s="100" t="n">
        <f aca="false">Pipeline!$Q$17*Pipeline!$D$17*MIN(1,MAX(0,(12-Pipeline!$E$17+1)/MAX(Pipeline!$F$17,1)))</f>
        <v>234.9</v>
      </c>
      <c r="O10" s="100" t="n">
        <f aca="false">Pipeline!$Q$17*Pipeline!$D$17*MIN(1,MAX(0,(13-Pipeline!$E$17+1)/MAX(Pipeline!$F$17,1)))</f>
        <v>234.9</v>
      </c>
      <c r="P10" s="100" t="n">
        <f aca="false">Pipeline!$Q$17*Pipeline!$D$17*MIN(1,MAX(0,(14-Pipeline!$E$17+1)/MAX(Pipeline!$F$17,1)))</f>
        <v>234.9</v>
      </c>
      <c r="Q10" s="100" t="n">
        <f aca="false">Pipeline!$Q$17*Pipeline!$D$17*MIN(1,MAX(0,(15-Pipeline!$E$17+1)/MAX(Pipeline!$F$17,1)))</f>
        <v>234.9</v>
      </c>
      <c r="R10" s="100" t="n">
        <f aca="false">Pipeline!$Q$17*Pipeline!$D$17*MIN(1,MAX(0,(16-Pipeline!$E$17+1)/MAX(Pipeline!$F$17,1)))</f>
        <v>234.9</v>
      </c>
      <c r="S10" s="100" t="n">
        <f aca="false">Pipeline!$Q$17*Pipeline!$D$17*MIN(1,MAX(0,(17-Pipeline!$E$17+1)/MAX(Pipeline!$F$17,1)))</f>
        <v>234.9</v>
      </c>
      <c r="T10" s="100" t="n">
        <f aca="false">Pipeline!$Q$17*Pipeline!$D$17*MIN(1,MAX(0,(18-Pipeline!$E$17+1)/MAX(Pipeline!$F$17,1)))</f>
        <v>234.9</v>
      </c>
      <c r="U10" s="100" t="n">
        <f aca="false">Pipeline!$Q$17*Pipeline!$D$17*MIN(1,MAX(0,(19-Pipeline!$E$17+1)/MAX(Pipeline!$F$17,1)))</f>
        <v>234.9</v>
      </c>
      <c r="V10" s="100" t="n">
        <f aca="false">Pipeline!$Q$17*Pipeline!$D$17*MIN(1,MAX(0,(20-Pipeline!$E$17+1)/MAX(Pipeline!$F$17,1)))</f>
        <v>234.9</v>
      </c>
      <c r="W10" s="100" t="n">
        <f aca="false">Pipeline!$Q$17*Pipeline!$D$17*MIN(1,MAX(0,(21-Pipeline!$E$17+1)/MAX(Pipeline!$F$17,1)))</f>
        <v>234.9</v>
      </c>
      <c r="X10" s="100" t="n">
        <f aca="false">Pipeline!$Q$17*Pipeline!$D$17*MIN(1,MAX(0,(22-Pipeline!$E$17+1)/MAX(Pipeline!$F$17,1)))</f>
        <v>234.9</v>
      </c>
      <c r="Y10" s="100" t="n">
        <f aca="false">Pipeline!$Q$17*Pipeline!$D$17*MIN(1,MAX(0,(23-Pipeline!$E$17+1)/MAX(Pipeline!$F$17,1)))</f>
        <v>234.9</v>
      </c>
      <c r="Z10" s="100" t="n">
        <f aca="false">Pipeline!$Q$17*Pipeline!$D$17*MIN(1,MAX(0,(24-Pipeline!$E$17+1)/MAX(Pipeline!$F$17,1)))</f>
        <v>234.9</v>
      </c>
      <c r="AA10" s="100" t="n">
        <f aca="false">Pipeline!$Q$17*Pipeline!$D$17*MIN(1,MAX(0,(25-Pipeline!$E$17+1)/MAX(Pipeline!$F$17,1)))</f>
        <v>234.9</v>
      </c>
      <c r="AB10" s="100" t="n">
        <f aca="false">Pipeline!$Q$17*Pipeline!$D$17*MIN(1,MAX(0,(26-Pipeline!$E$17+1)/MAX(Pipeline!$F$17,1)))</f>
        <v>234.9</v>
      </c>
      <c r="AC10" s="100" t="n">
        <f aca="false">Pipeline!$Q$17*Pipeline!$D$17*MIN(1,MAX(0,(27-Pipeline!$E$17+1)/MAX(Pipeline!$F$17,1)))</f>
        <v>234.9</v>
      </c>
      <c r="AD10" s="100" t="n">
        <f aca="false">Pipeline!$Q$17*Pipeline!$D$17*MIN(1,MAX(0,(28-Pipeline!$E$17+1)/MAX(Pipeline!$F$17,1)))</f>
        <v>234.9</v>
      </c>
      <c r="AE10" s="100" t="n">
        <f aca="false">Pipeline!$Q$17*Pipeline!$D$17*MIN(1,MAX(0,(29-Pipeline!$E$17+1)/MAX(Pipeline!$F$17,1)))</f>
        <v>234.9</v>
      </c>
      <c r="AF10" s="100" t="n">
        <f aca="false">Pipeline!$Q$17*Pipeline!$D$17*MIN(1,MAX(0,(30-Pipeline!$E$17+1)/MAX(Pipeline!$F$17,1)))</f>
        <v>234.9</v>
      </c>
      <c r="AG10" s="100" t="n">
        <f aca="false">Pipeline!$Q$17*Pipeline!$D$17*MIN(1,MAX(0,(31-Pipeline!$E$17+1)/MAX(Pipeline!$F$17,1)))</f>
        <v>234.9</v>
      </c>
      <c r="AH10" s="100" t="n">
        <f aca="false">Pipeline!$Q$17*Pipeline!$D$17*MIN(1,MAX(0,(32-Pipeline!$E$17+1)/MAX(Pipeline!$F$17,1)))</f>
        <v>234.9</v>
      </c>
      <c r="AI10" s="100" t="n">
        <f aca="false">Pipeline!$Q$17*Pipeline!$D$17*MIN(1,MAX(0,(33-Pipeline!$E$17+1)/MAX(Pipeline!$F$17,1)))</f>
        <v>234.9</v>
      </c>
      <c r="AJ10" s="100" t="n">
        <f aca="false">Pipeline!$Q$17*Pipeline!$D$17*MIN(1,MAX(0,(34-Pipeline!$E$17+1)/MAX(Pipeline!$F$17,1)))</f>
        <v>234.9</v>
      </c>
      <c r="AK10" s="100" t="n">
        <f aca="false">Pipeline!$Q$17*Pipeline!$D$17*MIN(1,MAX(0,(35-Pipeline!$E$17+1)/MAX(Pipeline!$F$17,1)))</f>
        <v>234.9</v>
      </c>
      <c r="AL10" s="100" t="n">
        <f aca="false">Pipeline!$Q$17*Pipeline!$D$17*MIN(1,MAX(0,(36-Pipeline!$E$17+1)/MAX(Pipeline!$F$17,1)))</f>
        <v>234.9</v>
      </c>
      <c r="AM10" s="100" t="n">
        <f aca="false">Pipeline!$Q$17*Pipeline!$D$17*MIN(1,MAX(0,(37-Pipeline!$E$17+1)/MAX(Pipeline!$F$17,1)))</f>
        <v>234.9</v>
      </c>
      <c r="AN10" s="100" t="n">
        <f aca="false">Pipeline!$Q$17*Pipeline!$D$17*MIN(1,MAX(0,(38-Pipeline!$E$17+1)/MAX(Pipeline!$F$17,1)))</f>
        <v>234.9</v>
      </c>
      <c r="AO10" s="100" t="n">
        <f aca="false">Pipeline!$Q$17*Pipeline!$D$17*MIN(1,MAX(0,(39-Pipeline!$E$17+1)/MAX(Pipeline!$F$17,1)))</f>
        <v>234.9</v>
      </c>
      <c r="AP10" s="100" t="n">
        <f aca="false">Pipeline!$Q$17*Pipeline!$D$17*MIN(1,MAX(0,(40-Pipeline!$E$17+1)/MAX(Pipeline!$F$17,1)))</f>
        <v>234.9</v>
      </c>
      <c r="AQ10" s="100" t="n">
        <f aca="false">Pipeline!$Q$17*Pipeline!$D$17*MIN(1,MAX(0,(41-Pipeline!$E$17+1)/MAX(Pipeline!$F$17,1)))</f>
        <v>234.9</v>
      </c>
      <c r="AR10" s="100" t="n">
        <f aca="false">Pipeline!$Q$17*Pipeline!$D$17*MIN(1,MAX(0,(42-Pipeline!$E$17+1)/MAX(Pipeline!$F$17,1)))</f>
        <v>234.9</v>
      </c>
      <c r="AS10" s="100" t="n">
        <f aca="false">Pipeline!$Q$17*Pipeline!$D$17*MIN(1,MAX(0,(43-Pipeline!$E$17+1)/MAX(Pipeline!$F$17,1)))</f>
        <v>234.9</v>
      </c>
      <c r="AT10" s="100" t="n">
        <f aca="false">Pipeline!$Q$17*Pipeline!$D$17*MIN(1,MAX(0,(44-Pipeline!$E$17+1)/MAX(Pipeline!$F$17,1)))</f>
        <v>234.9</v>
      </c>
      <c r="AU10" s="100" t="n">
        <f aca="false">Pipeline!$Q$17*Pipeline!$D$17*MIN(1,MAX(0,(45-Pipeline!$E$17+1)/MAX(Pipeline!$F$17,1)))</f>
        <v>234.9</v>
      </c>
      <c r="AV10" s="100" t="n">
        <f aca="false">Pipeline!$Q$17*Pipeline!$D$17*MIN(1,MAX(0,(46-Pipeline!$E$17+1)/MAX(Pipeline!$F$17,1)))</f>
        <v>234.9</v>
      </c>
      <c r="AW10" s="100" t="n">
        <f aca="false">Pipeline!$Q$17*Pipeline!$D$17*MIN(1,MAX(0,(47-Pipeline!$E$17+1)/MAX(Pipeline!$F$17,1)))</f>
        <v>234.9</v>
      </c>
      <c r="AX10" s="100" t="n">
        <f aca="false">Pipeline!$Q$17*Pipeline!$D$17*MIN(1,MAX(0,(48-Pipeline!$E$17+1)/MAX(Pipeline!$F$17,1)))</f>
        <v>234.9</v>
      </c>
      <c r="AY10" s="100" t="n">
        <f aca="false">Pipeline!$Q$17*Pipeline!$D$17*MIN(1,MAX(0,(49-Pipeline!$E$17+1)/MAX(Pipeline!$F$17,1)))</f>
        <v>234.9</v>
      </c>
      <c r="AZ10" s="100" t="n">
        <f aca="false">Pipeline!$Q$17*Pipeline!$D$17*MIN(1,MAX(0,(50-Pipeline!$E$17+1)/MAX(Pipeline!$F$17,1)))</f>
        <v>234.9</v>
      </c>
      <c r="BA10" s="100" t="n">
        <f aca="false">Pipeline!$Q$17*Pipeline!$D$17*MIN(1,MAX(0,(51-Pipeline!$E$17+1)/MAX(Pipeline!$F$17,1)))</f>
        <v>234.9</v>
      </c>
      <c r="BB10" s="100" t="n">
        <f aca="false">Pipeline!$Q$17*Pipeline!$D$17*MIN(1,MAX(0,(52-Pipeline!$E$17+1)/MAX(Pipeline!$F$17,1)))</f>
        <v>234.9</v>
      </c>
      <c r="BC10" s="100" t="n">
        <f aca="false">Pipeline!$Q$17*Pipeline!$D$17*MIN(1,MAX(0,(53-Pipeline!$E$17+1)/MAX(Pipeline!$F$17,1)))</f>
        <v>234.9</v>
      </c>
      <c r="BD10" s="100" t="n">
        <f aca="false">Pipeline!$Q$17*Pipeline!$D$17*MIN(1,MAX(0,(54-Pipeline!$E$17+1)/MAX(Pipeline!$F$17,1)))</f>
        <v>234.9</v>
      </c>
      <c r="BE10" s="100" t="n">
        <f aca="false">Pipeline!$Q$17*Pipeline!$D$17*MIN(1,MAX(0,(55-Pipeline!$E$17+1)/MAX(Pipeline!$F$17,1)))</f>
        <v>234.9</v>
      </c>
      <c r="BF10" s="100" t="n">
        <f aca="false">Pipeline!$Q$17*Pipeline!$D$17*MIN(1,MAX(0,(56-Pipeline!$E$17+1)/MAX(Pipeline!$F$17,1)))</f>
        <v>234.9</v>
      </c>
      <c r="BG10" s="100" t="n">
        <f aca="false">Pipeline!$Q$17*Pipeline!$D$17*MIN(1,MAX(0,(57-Pipeline!$E$17+1)/MAX(Pipeline!$F$17,1)))</f>
        <v>234.9</v>
      </c>
      <c r="BH10" s="100" t="n">
        <f aca="false">Pipeline!$Q$17*Pipeline!$D$17*MIN(1,MAX(0,(58-Pipeline!$E$17+1)/MAX(Pipeline!$F$17,1)))</f>
        <v>234.9</v>
      </c>
      <c r="BI10" s="100" t="n">
        <f aca="false">Pipeline!$Q$17*Pipeline!$D$17*MIN(1,MAX(0,(59-Pipeline!$E$17+1)/MAX(Pipeline!$F$17,1)))</f>
        <v>234.9</v>
      </c>
      <c r="BJ10" s="100" t="n">
        <f aca="false">Pipeline!$Q$17*Pipeline!$D$17*MIN(1,MAX(0,(60-Pipeline!$E$17+1)/MAX(Pipeline!$F$17,1)))</f>
        <v>234.9</v>
      </c>
      <c r="BK10" s="100" t="n">
        <f aca="false">Pipeline!$Q$17*Pipeline!$D$17*MIN(1,MAX(0,(61-Pipeline!$E$17+1)/MAX(Pipeline!$F$17,1)))</f>
        <v>234.9</v>
      </c>
      <c r="BL10" s="100" t="n">
        <f aca="false">Pipeline!$Q$17*Pipeline!$D$17*MIN(1,MAX(0,(62-Pipeline!$E$17+1)/MAX(Pipeline!$F$17,1)))</f>
        <v>234.9</v>
      </c>
      <c r="BM10" s="100" t="n">
        <f aca="false">Pipeline!$Q$17*Pipeline!$D$17*MIN(1,MAX(0,(63-Pipeline!$E$17+1)/MAX(Pipeline!$F$17,1)))</f>
        <v>234.9</v>
      </c>
      <c r="BN10" s="100" t="n">
        <f aca="false">Pipeline!$Q$17*Pipeline!$D$17*MIN(1,MAX(0,(64-Pipeline!$E$17+1)/MAX(Pipeline!$F$17,1)))</f>
        <v>234.9</v>
      </c>
      <c r="BO10" s="100" t="n">
        <f aca="false">Pipeline!$Q$17*Pipeline!$D$17*MIN(1,MAX(0,(65-Pipeline!$E$17+1)/MAX(Pipeline!$F$17,1)))</f>
        <v>234.9</v>
      </c>
      <c r="BP10" s="100" t="n">
        <f aca="false">Pipeline!$Q$17*Pipeline!$D$17*MIN(1,MAX(0,(66-Pipeline!$E$17+1)/MAX(Pipeline!$F$17,1)))</f>
        <v>234.9</v>
      </c>
      <c r="BQ10" s="100" t="n">
        <f aca="false">Pipeline!$Q$17*Pipeline!$D$17*MIN(1,MAX(0,(67-Pipeline!$E$17+1)/MAX(Pipeline!$F$17,1)))</f>
        <v>234.9</v>
      </c>
      <c r="BR10" s="100" t="n">
        <f aca="false">Pipeline!$Q$17*Pipeline!$D$17*MIN(1,MAX(0,(68-Pipeline!$E$17+1)/MAX(Pipeline!$F$17,1)))</f>
        <v>234.9</v>
      </c>
      <c r="BS10" s="100" t="n">
        <f aca="false">Pipeline!$Q$17*Pipeline!$D$17*MIN(1,MAX(0,(69-Pipeline!$E$17+1)/MAX(Pipeline!$F$17,1)))</f>
        <v>234.9</v>
      </c>
      <c r="BT10" s="100" t="n">
        <f aca="false">Pipeline!$Q$17*Pipeline!$D$17*MIN(1,MAX(0,(70-Pipeline!$E$17+1)/MAX(Pipeline!$F$17,1)))</f>
        <v>234.9</v>
      </c>
      <c r="BU10" s="100" t="n">
        <f aca="false">Pipeline!$Q$17*Pipeline!$D$17*MIN(1,MAX(0,(71-Pipeline!$E$17+1)/MAX(Pipeline!$F$17,1)))</f>
        <v>234.9</v>
      </c>
      <c r="BV10" s="100" t="n">
        <f aca="false">Pipeline!$Q$17*Pipeline!$D$17*MIN(1,MAX(0,(72-Pipeline!$E$17+1)/MAX(Pipeline!$F$17,1)))</f>
        <v>234.9</v>
      </c>
      <c r="BW10" s="100" t="n">
        <f aca="false">Pipeline!$Q$17*Pipeline!$D$17*MIN(1,MAX(0,(73-Pipeline!$E$17+1)/MAX(Pipeline!$F$17,1)))</f>
        <v>234.9</v>
      </c>
      <c r="BX10" s="100" t="n">
        <f aca="false">Pipeline!$Q$17*Pipeline!$D$17*MIN(1,MAX(0,(74-Pipeline!$E$17+1)/MAX(Pipeline!$F$17,1)))</f>
        <v>234.9</v>
      </c>
      <c r="BY10" s="100" t="n">
        <f aca="false">Pipeline!$Q$17*Pipeline!$D$17*MIN(1,MAX(0,(75-Pipeline!$E$17+1)/MAX(Pipeline!$F$17,1)))</f>
        <v>234.9</v>
      </c>
      <c r="BZ10" s="100" t="n">
        <f aca="false">Pipeline!$Q$17*Pipeline!$D$17*MIN(1,MAX(0,(76-Pipeline!$E$17+1)/MAX(Pipeline!$F$17,1)))</f>
        <v>234.9</v>
      </c>
      <c r="CA10" s="100" t="n">
        <f aca="false">Pipeline!$Q$17*Pipeline!$D$17*MIN(1,MAX(0,(77-Pipeline!$E$17+1)/MAX(Pipeline!$F$17,1)))</f>
        <v>234.9</v>
      </c>
      <c r="CB10" s="100" t="n">
        <f aca="false">Pipeline!$Q$17*Pipeline!$D$17*MIN(1,MAX(0,(78-Pipeline!$E$17+1)/MAX(Pipeline!$F$17,1)))</f>
        <v>234.9</v>
      </c>
      <c r="CC10" s="100" t="n">
        <f aca="false">Pipeline!$Q$17*Pipeline!$D$17*MIN(1,MAX(0,(79-Pipeline!$E$17+1)/MAX(Pipeline!$F$17,1)))</f>
        <v>234.9</v>
      </c>
      <c r="CD10" s="100" t="n">
        <f aca="false">Pipeline!$Q$17*Pipeline!$D$17*MIN(1,MAX(0,(80-Pipeline!$E$17+1)/MAX(Pipeline!$F$17,1)))</f>
        <v>234.9</v>
      </c>
      <c r="CE10" s="100" t="n">
        <f aca="false">Pipeline!$Q$17*Pipeline!$D$17*MIN(1,MAX(0,(81-Pipeline!$E$17+1)/MAX(Pipeline!$F$17,1)))</f>
        <v>234.9</v>
      </c>
      <c r="CF10" s="100" t="n">
        <f aca="false">Pipeline!$Q$17*Pipeline!$D$17*MIN(1,MAX(0,(82-Pipeline!$E$17+1)/MAX(Pipeline!$F$17,1)))</f>
        <v>234.9</v>
      </c>
      <c r="CG10" s="100" t="n">
        <f aca="false">Pipeline!$Q$17*Pipeline!$D$17*MIN(1,MAX(0,(83-Pipeline!$E$17+1)/MAX(Pipeline!$F$17,1)))</f>
        <v>234.9</v>
      </c>
      <c r="CH10" s="100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6" t="s">
        <v>491</v>
      </c>
      <c r="C11" s="100" t="n">
        <f aca="false">Pipeline!$Q$18*Pipeline!$D$18*MIN(1,MAX(0,(1-Pipeline!$E$18+1)/MAX(Pipeline!$F$18,1)))</f>
        <v>0</v>
      </c>
      <c r="D11" s="100" t="n">
        <f aca="false">Pipeline!$Q$18*Pipeline!$D$18*MIN(1,MAX(0,(2-Pipeline!$E$18+1)/MAX(Pipeline!$F$18,1)))</f>
        <v>0</v>
      </c>
      <c r="E11" s="100" t="n">
        <f aca="false">Pipeline!$Q$18*Pipeline!$D$18*MIN(1,MAX(0,(3-Pipeline!$E$18+1)/MAX(Pipeline!$F$18,1)))</f>
        <v>1178.578125</v>
      </c>
      <c r="F11" s="100" t="n">
        <f aca="false">Pipeline!$Q$18*Pipeline!$D$18*MIN(1,MAX(0,(4-Pipeline!$E$18+1)/MAX(Pipeline!$F$18,1)))</f>
        <v>2357.15625</v>
      </c>
      <c r="G11" s="100" t="n">
        <f aca="false">Pipeline!$Q$18*Pipeline!$D$18*MIN(1,MAX(0,(5-Pipeline!$E$18+1)/MAX(Pipeline!$F$18,1)))</f>
        <v>3535.734375</v>
      </c>
      <c r="H11" s="100" t="n">
        <f aca="false">Pipeline!$Q$18*Pipeline!$D$18*MIN(1,MAX(0,(6-Pipeline!$E$18+1)/MAX(Pipeline!$F$18,1)))</f>
        <v>4714.3125</v>
      </c>
      <c r="I11" s="100" t="n">
        <f aca="false">Pipeline!$Q$18*Pipeline!$D$18*MIN(1,MAX(0,(7-Pipeline!$E$18+1)/MAX(Pipeline!$F$18,1)))</f>
        <v>5892.890625</v>
      </c>
      <c r="J11" s="100" t="n">
        <f aca="false">Pipeline!$Q$18*Pipeline!$D$18*MIN(1,MAX(0,(8-Pipeline!$E$18+1)/MAX(Pipeline!$F$18,1)))</f>
        <v>7071.46875</v>
      </c>
      <c r="K11" s="100" t="n">
        <f aca="false">Pipeline!$Q$18*Pipeline!$D$18*MIN(1,MAX(0,(9-Pipeline!$E$18+1)/MAX(Pipeline!$F$18,1)))</f>
        <v>8250.046875</v>
      </c>
      <c r="L11" s="100" t="n">
        <f aca="false">Pipeline!$Q$18*Pipeline!$D$18*MIN(1,MAX(0,(10-Pipeline!$E$18+1)/MAX(Pipeline!$F$18,1)))</f>
        <v>9428.625</v>
      </c>
      <c r="M11" s="100" t="n">
        <f aca="false">Pipeline!$Q$18*Pipeline!$D$18*MIN(1,MAX(0,(11-Pipeline!$E$18+1)/MAX(Pipeline!$F$18,1)))</f>
        <v>9428.625</v>
      </c>
      <c r="N11" s="100" t="n">
        <f aca="false">Pipeline!$Q$18*Pipeline!$D$18*MIN(1,MAX(0,(12-Pipeline!$E$18+1)/MAX(Pipeline!$F$18,1)))</f>
        <v>9428.625</v>
      </c>
      <c r="O11" s="100" t="n">
        <f aca="false">Pipeline!$Q$18*Pipeline!$D$18*MIN(1,MAX(0,(13-Pipeline!$E$18+1)/MAX(Pipeline!$F$18,1)))</f>
        <v>9428.625</v>
      </c>
      <c r="P11" s="100" t="n">
        <f aca="false">Pipeline!$Q$18*Pipeline!$D$18*MIN(1,MAX(0,(14-Pipeline!$E$18+1)/MAX(Pipeline!$F$18,1)))</f>
        <v>9428.625</v>
      </c>
      <c r="Q11" s="100" t="n">
        <f aca="false">Pipeline!$Q$18*Pipeline!$D$18*MIN(1,MAX(0,(15-Pipeline!$E$18+1)/MAX(Pipeline!$F$18,1)))</f>
        <v>9428.625</v>
      </c>
      <c r="R11" s="100" t="n">
        <f aca="false">Pipeline!$Q$18*Pipeline!$D$18*MIN(1,MAX(0,(16-Pipeline!$E$18+1)/MAX(Pipeline!$F$18,1)))</f>
        <v>9428.625</v>
      </c>
      <c r="S11" s="100" t="n">
        <f aca="false">Pipeline!$Q$18*Pipeline!$D$18*MIN(1,MAX(0,(17-Pipeline!$E$18+1)/MAX(Pipeline!$F$18,1)))</f>
        <v>9428.625</v>
      </c>
      <c r="T11" s="100" t="n">
        <f aca="false">Pipeline!$Q$18*Pipeline!$D$18*MIN(1,MAX(0,(18-Pipeline!$E$18+1)/MAX(Pipeline!$F$18,1)))</f>
        <v>9428.625</v>
      </c>
      <c r="U11" s="100" t="n">
        <f aca="false">Pipeline!$Q$18*Pipeline!$D$18*MIN(1,MAX(0,(19-Pipeline!$E$18+1)/MAX(Pipeline!$F$18,1)))</f>
        <v>9428.625</v>
      </c>
      <c r="V11" s="100" t="n">
        <f aca="false">Pipeline!$Q$18*Pipeline!$D$18*MIN(1,MAX(0,(20-Pipeline!$E$18+1)/MAX(Pipeline!$F$18,1)))</f>
        <v>9428.625</v>
      </c>
      <c r="W11" s="100" t="n">
        <f aca="false">Pipeline!$Q$18*Pipeline!$D$18*MIN(1,MAX(0,(21-Pipeline!$E$18+1)/MAX(Pipeline!$F$18,1)))</f>
        <v>9428.625</v>
      </c>
      <c r="X11" s="100" t="n">
        <f aca="false">Pipeline!$Q$18*Pipeline!$D$18*MIN(1,MAX(0,(22-Pipeline!$E$18+1)/MAX(Pipeline!$F$18,1)))</f>
        <v>9428.625</v>
      </c>
      <c r="Y11" s="100" t="n">
        <f aca="false">Pipeline!$Q$18*Pipeline!$D$18*MIN(1,MAX(0,(23-Pipeline!$E$18+1)/MAX(Pipeline!$F$18,1)))</f>
        <v>9428.625</v>
      </c>
      <c r="Z11" s="100" t="n">
        <f aca="false">Pipeline!$Q$18*Pipeline!$D$18*MIN(1,MAX(0,(24-Pipeline!$E$18+1)/MAX(Pipeline!$F$18,1)))</f>
        <v>9428.625</v>
      </c>
      <c r="AA11" s="100" t="n">
        <f aca="false">Pipeline!$Q$18*Pipeline!$D$18*MIN(1,MAX(0,(25-Pipeline!$E$18+1)/MAX(Pipeline!$F$18,1)))</f>
        <v>9428.625</v>
      </c>
      <c r="AB11" s="100" t="n">
        <f aca="false">Pipeline!$Q$18*Pipeline!$D$18*MIN(1,MAX(0,(26-Pipeline!$E$18+1)/MAX(Pipeline!$F$18,1)))</f>
        <v>9428.625</v>
      </c>
      <c r="AC11" s="100" t="n">
        <f aca="false">Pipeline!$Q$18*Pipeline!$D$18*MIN(1,MAX(0,(27-Pipeline!$E$18+1)/MAX(Pipeline!$F$18,1)))</f>
        <v>9428.625</v>
      </c>
      <c r="AD11" s="100" t="n">
        <f aca="false">Pipeline!$Q$18*Pipeline!$D$18*MIN(1,MAX(0,(28-Pipeline!$E$18+1)/MAX(Pipeline!$F$18,1)))</f>
        <v>9428.625</v>
      </c>
      <c r="AE11" s="100" t="n">
        <f aca="false">Pipeline!$Q$18*Pipeline!$D$18*MIN(1,MAX(0,(29-Pipeline!$E$18+1)/MAX(Pipeline!$F$18,1)))</f>
        <v>9428.625</v>
      </c>
      <c r="AF11" s="100" t="n">
        <f aca="false">Pipeline!$Q$18*Pipeline!$D$18*MIN(1,MAX(0,(30-Pipeline!$E$18+1)/MAX(Pipeline!$F$18,1)))</f>
        <v>9428.625</v>
      </c>
      <c r="AG11" s="100" t="n">
        <f aca="false">Pipeline!$Q$18*Pipeline!$D$18*MIN(1,MAX(0,(31-Pipeline!$E$18+1)/MAX(Pipeline!$F$18,1)))</f>
        <v>9428.625</v>
      </c>
      <c r="AH11" s="100" t="n">
        <f aca="false">Pipeline!$Q$18*Pipeline!$D$18*MIN(1,MAX(0,(32-Pipeline!$E$18+1)/MAX(Pipeline!$F$18,1)))</f>
        <v>9428.625</v>
      </c>
      <c r="AI11" s="100" t="n">
        <f aca="false">Pipeline!$Q$18*Pipeline!$D$18*MIN(1,MAX(0,(33-Pipeline!$E$18+1)/MAX(Pipeline!$F$18,1)))</f>
        <v>9428.625</v>
      </c>
      <c r="AJ11" s="100" t="n">
        <f aca="false">Pipeline!$Q$18*Pipeline!$D$18*MIN(1,MAX(0,(34-Pipeline!$E$18+1)/MAX(Pipeline!$F$18,1)))</f>
        <v>9428.625</v>
      </c>
      <c r="AK11" s="100" t="n">
        <f aca="false">Pipeline!$Q$18*Pipeline!$D$18*MIN(1,MAX(0,(35-Pipeline!$E$18+1)/MAX(Pipeline!$F$18,1)))</f>
        <v>9428.625</v>
      </c>
      <c r="AL11" s="100" t="n">
        <f aca="false">Pipeline!$Q$18*Pipeline!$D$18*MIN(1,MAX(0,(36-Pipeline!$E$18+1)/MAX(Pipeline!$F$18,1)))</f>
        <v>9428.625</v>
      </c>
      <c r="AM11" s="100" t="n">
        <f aca="false">Pipeline!$Q$18*Pipeline!$D$18*MIN(1,MAX(0,(37-Pipeline!$E$18+1)/MAX(Pipeline!$F$18,1)))</f>
        <v>9428.625</v>
      </c>
      <c r="AN11" s="100" t="n">
        <f aca="false">Pipeline!$Q$18*Pipeline!$D$18*MIN(1,MAX(0,(38-Pipeline!$E$18+1)/MAX(Pipeline!$F$18,1)))</f>
        <v>9428.625</v>
      </c>
      <c r="AO11" s="100" t="n">
        <f aca="false">Pipeline!$Q$18*Pipeline!$D$18*MIN(1,MAX(0,(39-Pipeline!$E$18+1)/MAX(Pipeline!$F$18,1)))</f>
        <v>9428.625</v>
      </c>
      <c r="AP11" s="100" t="n">
        <f aca="false">Pipeline!$Q$18*Pipeline!$D$18*MIN(1,MAX(0,(40-Pipeline!$E$18+1)/MAX(Pipeline!$F$18,1)))</f>
        <v>9428.625</v>
      </c>
      <c r="AQ11" s="100" t="n">
        <f aca="false">Pipeline!$Q$18*Pipeline!$D$18*MIN(1,MAX(0,(41-Pipeline!$E$18+1)/MAX(Pipeline!$F$18,1)))</f>
        <v>9428.625</v>
      </c>
      <c r="AR11" s="100" t="n">
        <f aca="false">Pipeline!$Q$18*Pipeline!$D$18*MIN(1,MAX(0,(42-Pipeline!$E$18+1)/MAX(Pipeline!$F$18,1)))</f>
        <v>9428.625</v>
      </c>
      <c r="AS11" s="100" t="n">
        <f aca="false">Pipeline!$Q$18*Pipeline!$D$18*MIN(1,MAX(0,(43-Pipeline!$E$18+1)/MAX(Pipeline!$F$18,1)))</f>
        <v>9428.625</v>
      </c>
      <c r="AT11" s="100" t="n">
        <f aca="false">Pipeline!$Q$18*Pipeline!$D$18*MIN(1,MAX(0,(44-Pipeline!$E$18+1)/MAX(Pipeline!$F$18,1)))</f>
        <v>9428.625</v>
      </c>
      <c r="AU11" s="100" t="n">
        <f aca="false">Pipeline!$Q$18*Pipeline!$D$18*MIN(1,MAX(0,(45-Pipeline!$E$18+1)/MAX(Pipeline!$F$18,1)))</f>
        <v>9428.625</v>
      </c>
      <c r="AV11" s="100" t="n">
        <f aca="false">Pipeline!$Q$18*Pipeline!$D$18*MIN(1,MAX(0,(46-Pipeline!$E$18+1)/MAX(Pipeline!$F$18,1)))</f>
        <v>9428.625</v>
      </c>
      <c r="AW11" s="100" t="n">
        <f aca="false">Pipeline!$Q$18*Pipeline!$D$18*MIN(1,MAX(0,(47-Pipeline!$E$18+1)/MAX(Pipeline!$F$18,1)))</f>
        <v>9428.625</v>
      </c>
      <c r="AX11" s="100" t="n">
        <f aca="false">Pipeline!$Q$18*Pipeline!$D$18*MIN(1,MAX(0,(48-Pipeline!$E$18+1)/MAX(Pipeline!$F$18,1)))</f>
        <v>9428.625</v>
      </c>
      <c r="AY11" s="100" t="n">
        <f aca="false">Pipeline!$Q$18*Pipeline!$D$18*MIN(1,MAX(0,(49-Pipeline!$E$18+1)/MAX(Pipeline!$F$18,1)))</f>
        <v>9428.625</v>
      </c>
      <c r="AZ11" s="100" t="n">
        <f aca="false">Pipeline!$Q$18*Pipeline!$D$18*MIN(1,MAX(0,(50-Pipeline!$E$18+1)/MAX(Pipeline!$F$18,1)))</f>
        <v>9428.625</v>
      </c>
      <c r="BA11" s="100" t="n">
        <f aca="false">Pipeline!$Q$18*Pipeline!$D$18*MIN(1,MAX(0,(51-Pipeline!$E$18+1)/MAX(Pipeline!$F$18,1)))</f>
        <v>9428.625</v>
      </c>
      <c r="BB11" s="100" t="n">
        <f aca="false">Pipeline!$Q$18*Pipeline!$D$18*MIN(1,MAX(0,(52-Pipeline!$E$18+1)/MAX(Pipeline!$F$18,1)))</f>
        <v>9428.625</v>
      </c>
      <c r="BC11" s="100" t="n">
        <f aca="false">Pipeline!$Q$18*Pipeline!$D$18*MIN(1,MAX(0,(53-Pipeline!$E$18+1)/MAX(Pipeline!$F$18,1)))</f>
        <v>9428.625</v>
      </c>
      <c r="BD11" s="100" t="n">
        <f aca="false">Pipeline!$Q$18*Pipeline!$D$18*MIN(1,MAX(0,(54-Pipeline!$E$18+1)/MAX(Pipeline!$F$18,1)))</f>
        <v>9428.625</v>
      </c>
      <c r="BE11" s="100" t="n">
        <f aca="false">Pipeline!$Q$18*Pipeline!$D$18*MIN(1,MAX(0,(55-Pipeline!$E$18+1)/MAX(Pipeline!$F$18,1)))</f>
        <v>9428.625</v>
      </c>
      <c r="BF11" s="100" t="n">
        <f aca="false">Pipeline!$Q$18*Pipeline!$D$18*MIN(1,MAX(0,(56-Pipeline!$E$18+1)/MAX(Pipeline!$F$18,1)))</f>
        <v>9428.625</v>
      </c>
      <c r="BG11" s="100" t="n">
        <f aca="false">Pipeline!$Q$18*Pipeline!$D$18*MIN(1,MAX(0,(57-Pipeline!$E$18+1)/MAX(Pipeline!$F$18,1)))</f>
        <v>9428.625</v>
      </c>
      <c r="BH11" s="100" t="n">
        <f aca="false">Pipeline!$Q$18*Pipeline!$D$18*MIN(1,MAX(0,(58-Pipeline!$E$18+1)/MAX(Pipeline!$F$18,1)))</f>
        <v>9428.625</v>
      </c>
      <c r="BI11" s="100" t="n">
        <f aca="false">Pipeline!$Q$18*Pipeline!$D$18*MIN(1,MAX(0,(59-Pipeline!$E$18+1)/MAX(Pipeline!$F$18,1)))</f>
        <v>9428.625</v>
      </c>
      <c r="BJ11" s="100" t="n">
        <f aca="false">Pipeline!$Q$18*Pipeline!$D$18*MIN(1,MAX(0,(60-Pipeline!$E$18+1)/MAX(Pipeline!$F$18,1)))</f>
        <v>9428.625</v>
      </c>
      <c r="BK11" s="100" t="n">
        <f aca="false">Pipeline!$Q$18*Pipeline!$D$18*MIN(1,MAX(0,(61-Pipeline!$E$18+1)/MAX(Pipeline!$F$18,1)))</f>
        <v>9428.625</v>
      </c>
      <c r="BL11" s="100" t="n">
        <f aca="false">Pipeline!$Q$18*Pipeline!$D$18*MIN(1,MAX(0,(62-Pipeline!$E$18+1)/MAX(Pipeline!$F$18,1)))</f>
        <v>9428.625</v>
      </c>
      <c r="BM11" s="100" t="n">
        <f aca="false">Pipeline!$Q$18*Pipeline!$D$18*MIN(1,MAX(0,(63-Pipeline!$E$18+1)/MAX(Pipeline!$F$18,1)))</f>
        <v>9428.625</v>
      </c>
      <c r="BN11" s="100" t="n">
        <f aca="false">Pipeline!$Q$18*Pipeline!$D$18*MIN(1,MAX(0,(64-Pipeline!$E$18+1)/MAX(Pipeline!$F$18,1)))</f>
        <v>9428.625</v>
      </c>
      <c r="BO11" s="100" t="n">
        <f aca="false">Pipeline!$Q$18*Pipeline!$D$18*MIN(1,MAX(0,(65-Pipeline!$E$18+1)/MAX(Pipeline!$F$18,1)))</f>
        <v>9428.625</v>
      </c>
      <c r="BP11" s="100" t="n">
        <f aca="false">Pipeline!$Q$18*Pipeline!$D$18*MIN(1,MAX(0,(66-Pipeline!$E$18+1)/MAX(Pipeline!$F$18,1)))</f>
        <v>9428.625</v>
      </c>
      <c r="BQ11" s="100" t="n">
        <f aca="false">Pipeline!$Q$18*Pipeline!$D$18*MIN(1,MAX(0,(67-Pipeline!$E$18+1)/MAX(Pipeline!$F$18,1)))</f>
        <v>9428.625</v>
      </c>
      <c r="BR11" s="100" t="n">
        <f aca="false">Pipeline!$Q$18*Pipeline!$D$18*MIN(1,MAX(0,(68-Pipeline!$E$18+1)/MAX(Pipeline!$F$18,1)))</f>
        <v>9428.625</v>
      </c>
      <c r="BS11" s="100" t="n">
        <f aca="false">Pipeline!$Q$18*Pipeline!$D$18*MIN(1,MAX(0,(69-Pipeline!$E$18+1)/MAX(Pipeline!$F$18,1)))</f>
        <v>9428.625</v>
      </c>
      <c r="BT11" s="100" t="n">
        <f aca="false">Pipeline!$Q$18*Pipeline!$D$18*MIN(1,MAX(0,(70-Pipeline!$E$18+1)/MAX(Pipeline!$F$18,1)))</f>
        <v>9428.625</v>
      </c>
      <c r="BU11" s="100" t="n">
        <f aca="false">Pipeline!$Q$18*Pipeline!$D$18*MIN(1,MAX(0,(71-Pipeline!$E$18+1)/MAX(Pipeline!$F$18,1)))</f>
        <v>9428.625</v>
      </c>
      <c r="BV11" s="100" t="n">
        <f aca="false">Pipeline!$Q$18*Pipeline!$D$18*MIN(1,MAX(0,(72-Pipeline!$E$18+1)/MAX(Pipeline!$F$18,1)))</f>
        <v>9428.625</v>
      </c>
      <c r="BW11" s="100" t="n">
        <f aca="false">Pipeline!$Q$18*Pipeline!$D$18*MIN(1,MAX(0,(73-Pipeline!$E$18+1)/MAX(Pipeline!$F$18,1)))</f>
        <v>9428.625</v>
      </c>
      <c r="BX11" s="100" t="n">
        <f aca="false">Pipeline!$Q$18*Pipeline!$D$18*MIN(1,MAX(0,(74-Pipeline!$E$18+1)/MAX(Pipeline!$F$18,1)))</f>
        <v>9428.625</v>
      </c>
      <c r="BY11" s="100" t="n">
        <f aca="false">Pipeline!$Q$18*Pipeline!$D$18*MIN(1,MAX(0,(75-Pipeline!$E$18+1)/MAX(Pipeline!$F$18,1)))</f>
        <v>9428.625</v>
      </c>
      <c r="BZ11" s="100" t="n">
        <f aca="false">Pipeline!$Q$18*Pipeline!$D$18*MIN(1,MAX(0,(76-Pipeline!$E$18+1)/MAX(Pipeline!$F$18,1)))</f>
        <v>9428.625</v>
      </c>
      <c r="CA11" s="100" t="n">
        <f aca="false">Pipeline!$Q$18*Pipeline!$D$18*MIN(1,MAX(0,(77-Pipeline!$E$18+1)/MAX(Pipeline!$F$18,1)))</f>
        <v>9428.625</v>
      </c>
      <c r="CB11" s="100" t="n">
        <f aca="false">Pipeline!$Q$18*Pipeline!$D$18*MIN(1,MAX(0,(78-Pipeline!$E$18+1)/MAX(Pipeline!$F$18,1)))</f>
        <v>9428.625</v>
      </c>
      <c r="CC11" s="100" t="n">
        <f aca="false">Pipeline!$Q$18*Pipeline!$D$18*MIN(1,MAX(0,(79-Pipeline!$E$18+1)/MAX(Pipeline!$F$18,1)))</f>
        <v>9428.625</v>
      </c>
      <c r="CD11" s="100" t="n">
        <f aca="false">Pipeline!$Q$18*Pipeline!$D$18*MIN(1,MAX(0,(80-Pipeline!$E$18+1)/MAX(Pipeline!$F$18,1)))</f>
        <v>9428.625</v>
      </c>
      <c r="CE11" s="100" t="n">
        <f aca="false">Pipeline!$Q$18*Pipeline!$D$18*MIN(1,MAX(0,(81-Pipeline!$E$18+1)/MAX(Pipeline!$F$18,1)))</f>
        <v>9428.625</v>
      </c>
      <c r="CF11" s="100" t="n">
        <f aca="false">Pipeline!$Q$18*Pipeline!$D$18*MIN(1,MAX(0,(82-Pipeline!$E$18+1)/MAX(Pipeline!$F$18,1)))</f>
        <v>9428.625</v>
      </c>
      <c r="CG11" s="100" t="n">
        <f aca="false">Pipeline!$Q$18*Pipeline!$D$18*MIN(1,MAX(0,(83-Pipeline!$E$18+1)/MAX(Pipeline!$F$18,1)))</f>
        <v>9428.625</v>
      </c>
      <c r="CH11" s="100" t="n">
        <f aca="false">Pipeline!$Q$18*Pipeline!$D$18*MIN(1,MAX(0,(84-Pipeline!$E$18+1)/MAX(Pipeline!$F$18,1)))</f>
        <v>9428.625</v>
      </c>
    </row>
    <row r="12" customFormat="false" ht="13.5" hidden="false" customHeight="true" outlineLevel="0" collapsed="false">
      <c r="A12" s="6" t="s">
        <v>492</v>
      </c>
      <c r="C12" s="100" t="n">
        <f aca="false">Pipeline!$Q$19*Pipeline!$D$19*MIN(1,MAX(0,(1-Pipeline!$E$19+1)/MAX(Pipeline!$F$19,1)))</f>
        <v>0</v>
      </c>
      <c r="D12" s="100" t="n">
        <f aca="false">Pipeline!$Q$19*Pipeline!$D$19*MIN(1,MAX(0,(2-Pipeline!$E$19+1)/MAX(Pipeline!$F$19,1)))</f>
        <v>0</v>
      </c>
      <c r="E12" s="100" t="n">
        <f aca="false">Pipeline!$Q$19*Pipeline!$D$19*MIN(1,MAX(0,(3-Pipeline!$E$19+1)/MAX(Pipeline!$F$19,1)))</f>
        <v>0</v>
      </c>
      <c r="F12" s="100" t="n">
        <f aca="false">Pipeline!$Q$19*Pipeline!$D$19*MIN(1,MAX(0,(4-Pipeline!$E$19+1)/MAX(Pipeline!$F$19,1)))</f>
        <v>0</v>
      </c>
      <c r="G12" s="100" t="n">
        <f aca="false">Pipeline!$Q$19*Pipeline!$D$19*MIN(1,MAX(0,(5-Pipeline!$E$19+1)/MAX(Pipeline!$F$19,1)))</f>
        <v>0</v>
      </c>
      <c r="H12" s="100" t="n">
        <f aca="false">Pipeline!$Q$19*Pipeline!$D$19*MIN(1,MAX(0,(6-Pipeline!$E$19+1)/MAX(Pipeline!$F$19,1)))</f>
        <v>717.75</v>
      </c>
      <c r="I12" s="100" t="n">
        <f aca="false">Pipeline!$Q$19*Pipeline!$D$19*MIN(1,MAX(0,(7-Pipeline!$E$19+1)/MAX(Pipeline!$F$19,1)))</f>
        <v>1435.5</v>
      </c>
      <c r="J12" s="100" t="n">
        <f aca="false">Pipeline!$Q$19*Pipeline!$D$19*MIN(1,MAX(0,(8-Pipeline!$E$19+1)/MAX(Pipeline!$F$19,1)))</f>
        <v>2153.25</v>
      </c>
      <c r="K12" s="100" t="n">
        <f aca="false">Pipeline!$Q$19*Pipeline!$D$19*MIN(1,MAX(0,(9-Pipeline!$E$19+1)/MAX(Pipeline!$F$19,1)))</f>
        <v>2871</v>
      </c>
      <c r="L12" s="100" t="n">
        <f aca="false">Pipeline!$Q$19*Pipeline!$D$19*MIN(1,MAX(0,(10-Pipeline!$E$19+1)/MAX(Pipeline!$F$19,1)))</f>
        <v>3588.75</v>
      </c>
      <c r="M12" s="100" t="n">
        <f aca="false">Pipeline!$Q$19*Pipeline!$D$19*MIN(1,MAX(0,(11-Pipeline!$E$19+1)/MAX(Pipeline!$F$19,1)))</f>
        <v>4306.5</v>
      </c>
      <c r="N12" s="100" t="n">
        <f aca="false">Pipeline!$Q$19*Pipeline!$D$19*MIN(1,MAX(0,(12-Pipeline!$E$19+1)/MAX(Pipeline!$F$19,1)))</f>
        <v>5024.25</v>
      </c>
      <c r="O12" s="100" t="n">
        <f aca="false">Pipeline!$Q$19*Pipeline!$D$19*MIN(1,MAX(0,(13-Pipeline!$E$19+1)/MAX(Pipeline!$F$19,1)))</f>
        <v>5742</v>
      </c>
      <c r="P12" s="100" t="n">
        <f aca="false">Pipeline!$Q$19*Pipeline!$D$19*MIN(1,MAX(0,(14-Pipeline!$E$19+1)/MAX(Pipeline!$F$19,1)))</f>
        <v>5742</v>
      </c>
      <c r="Q12" s="100" t="n">
        <f aca="false">Pipeline!$Q$19*Pipeline!$D$19*MIN(1,MAX(0,(15-Pipeline!$E$19+1)/MAX(Pipeline!$F$19,1)))</f>
        <v>5742</v>
      </c>
      <c r="R12" s="100" t="n">
        <f aca="false">Pipeline!$Q$19*Pipeline!$D$19*MIN(1,MAX(0,(16-Pipeline!$E$19+1)/MAX(Pipeline!$F$19,1)))</f>
        <v>5742</v>
      </c>
      <c r="S12" s="100" t="n">
        <f aca="false">Pipeline!$Q$19*Pipeline!$D$19*MIN(1,MAX(0,(17-Pipeline!$E$19+1)/MAX(Pipeline!$F$19,1)))</f>
        <v>5742</v>
      </c>
      <c r="T12" s="100" t="n">
        <f aca="false">Pipeline!$Q$19*Pipeline!$D$19*MIN(1,MAX(0,(18-Pipeline!$E$19+1)/MAX(Pipeline!$F$19,1)))</f>
        <v>5742</v>
      </c>
      <c r="U12" s="100" t="n">
        <f aca="false">Pipeline!$Q$19*Pipeline!$D$19*MIN(1,MAX(0,(19-Pipeline!$E$19+1)/MAX(Pipeline!$F$19,1)))</f>
        <v>5742</v>
      </c>
      <c r="V12" s="100" t="n">
        <f aca="false">Pipeline!$Q$19*Pipeline!$D$19*MIN(1,MAX(0,(20-Pipeline!$E$19+1)/MAX(Pipeline!$F$19,1)))</f>
        <v>5742</v>
      </c>
      <c r="W12" s="100" t="n">
        <f aca="false">Pipeline!$Q$19*Pipeline!$D$19*MIN(1,MAX(0,(21-Pipeline!$E$19+1)/MAX(Pipeline!$F$19,1)))</f>
        <v>5742</v>
      </c>
      <c r="X12" s="100" t="n">
        <f aca="false">Pipeline!$Q$19*Pipeline!$D$19*MIN(1,MAX(0,(22-Pipeline!$E$19+1)/MAX(Pipeline!$F$19,1)))</f>
        <v>5742</v>
      </c>
      <c r="Y12" s="100" t="n">
        <f aca="false">Pipeline!$Q$19*Pipeline!$D$19*MIN(1,MAX(0,(23-Pipeline!$E$19+1)/MAX(Pipeline!$F$19,1)))</f>
        <v>5742</v>
      </c>
      <c r="Z12" s="100" t="n">
        <f aca="false">Pipeline!$Q$19*Pipeline!$D$19*MIN(1,MAX(0,(24-Pipeline!$E$19+1)/MAX(Pipeline!$F$19,1)))</f>
        <v>5742</v>
      </c>
      <c r="AA12" s="100" t="n">
        <f aca="false">Pipeline!$Q$19*Pipeline!$D$19*MIN(1,MAX(0,(25-Pipeline!$E$19+1)/MAX(Pipeline!$F$19,1)))</f>
        <v>5742</v>
      </c>
      <c r="AB12" s="100" t="n">
        <f aca="false">Pipeline!$Q$19*Pipeline!$D$19*MIN(1,MAX(0,(26-Pipeline!$E$19+1)/MAX(Pipeline!$F$19,1)))</f>
        <v>5742</v>
      </c>
      <c r="AC12" s="100" t="n">
        <f aca="false">Pipeline!$Q$19*Pipeline!$D$19*MIN(1,MAX(0,(27-Pipeline!$E$19+1)/MAX(Pipeline!$F$19,1)))</f>
        <v>5742</v>
      </c>
      <c r="AD12" s="100" t="n">
        <f aca="false">Pipeline!$Q$19*Pipeline!$D$19*MIN(1,MAX(0,(28-Pipeline!$E$19+1)/MAX(Pipeline!$F$19,1)))</f>
        <v>5742</v>
      </c>
      <c r="AE12" s="100" t="n">
        <f aca="false">Pipeline!$Q$19*Pipeline!$D$19*MIN(1,MAX(0,(29-Pipeline!$E$19+1)/MAX(Pipeline!$F$19,1)))</f>
        <v>5742</v>
      </c>
      <c r="AF12" s="100" t="n">
        <f aca="false">Pipeline!$Q$19*Pipeline!$D$19*MIN(1,MAX(0,(30-Pipeline!$E$19+1)/MAX(Pipeline!$F$19,1)))</f>
        <v>5742</v>
      </c>
      <c r="AG12" s="100" t="n">
        <f aca="false">Pipeline!$Q$19*Pipeline!$D$19*MIN(1,MAX(0,(31-Pipeline!$E$19+1)/MAX(Pipeline!$F$19,1)))</f>
        <v>5742</v>
      </c>
      <c r="AH12" s="100" t="n">
        <f aca="false">Pipeline!$Q$19*Pipeline!$D$19*MIN(1,MAX(0,(32-Pipeline!$E$19+1)/MAX(Pipeline!$F$19,1)))</f>
        <v>5742</v>
      </c>
      <c r="AI12" s="100" t="n">
        <f aca="false">Pipeline!$Q$19*Pipeline!$D$19*MIN(1,MAX(0,(33-Pipeline!$E$19+1)/MAX(Pipeline!$F$19,1)))</f>
        <v>5742</v>
      </c>
      <c r="AJ12" s="100" t="n">
        <f aca="false">Pipeline!$Q$19*Pipeline!$D$19*MIN(1,MAX(0,(34-Pipeline!$E$19+1)/MAX(Pipeline!$F$19,1)))</f>
        <v>5742</v>
      </c>
      <c r="AK12" s="100" t="n">
        <f aca="false">Pipeline!$Q$19*Pipeline!$D$19*MIN(1,MAX(0,(35-Pipeline!$E$19+1)/MAX(Pipeline!$F$19,1)))</f>
        <v>5742</v>
      </c>
      <c r="AL12" s="100" t="n">
        <f aca="false">Pipeline!$Q$19*Pipeline!$D$19*MIN(1,MAX(0,(36-Pipeline!$E$19+1)/MAX(Pipeline!$F$19,1)))</f>
        <v>5742</v>
      </c>
      <c r="AM12" s="100" t="n">
        <f aca="false">Pipeline!$Q$19*Pipeline!$D$19*MIN(1,MAX(0,(37-Pipeline!$E$19+1)/MAX(Pipeline!$F$19,1)))</f>
        <v>5742</v>
      </c>
      <c r="AN12" s="100" t="n">
        <f aca="false">Pipeline!$Q$19*Pipeline!$D$19*MIN(1,MAX(0,(38-Pipeline!$E$19+1)/MAX(Pipeline!$F$19,1)))</f>
        <v>5742</v>
      </c>
      <c r="AO12" s="100" t="n">
        <f aca="false">Pipeline!$Q$19*Pipeline!$D$19*MIN(1,MAX(0,(39-Pipeline!$E$19+1)/MAX(Pipeline!$F$19,1)))</f>
        <v>5742</v>
      </c>
      <c r="AP12" s="100" t="n">
        <f aca="false">Pipeline!$Q$19*Pipeline!$D$19*MIN(1,MAX(0,(40-Pipeline!$E$19+1)/MAX(Pipeline!$F$19,1)))</f>
        <v>5742</v>
      </c>
      <c r="AQ12" s="100" t="n">
        <f aca="false">Pipeline!$Q$19*Pipeline!$D$19*MIN(1,MAX(0,(41-Pipeline!$E$19+1)/MAX(Pipeline!$F$19,1)))</f>
        <v>5742</v>
      </c>
      <c r="AR12" s="100" t="n">
        <f aca="false">Pipeline!$Q$19*Pipeline!$D$19*MIN(1,MAX(0,(42-Pipeline!$E$19+1)/MAX(Pipeline!$F$19,1)))</f>
        <v>5742</v>
      </c>
      <c r="AS12" s="100" t="n">
        <f aca="false">Pipeline!$Q$19*Pipeline!$D$19*MIN(1,MAX(0,(43-Pipeline!$E$19+1)/MAX(Pipeline!$F$19,1)))</f>
        <v>5742</v>
      </c>
      <c r="AT12" s="100" t="n">
        <f aca="false">Pipeline!$Q$19*Pipeline!$D$19*MIN(1,MAX(0,(44-Pipeline!$E$19+1)/MAX(Pipeline!$F$19,1)))</f>
        <v>5742</v>
      </c>
      <c r="AU12" s="100" t="n">
        <f aca="false">Pipeline!$Q$19*Pipeline!$D$19*MIN(1,MAX(0,(45-Pipeline!$E$19+1)/MAX(Pipeline!$F$19,1)))</f>
        <v>5742</v>
      </c>
      <c r="AV12" s="100" t="n">
        <f aca="false">Pipeline!$Q$19*Pipeline!$D$19*MIN(1,MAX(0,(46-Pipeline!$E$19+1)/MAX(Pipeline!$F$19,1)))</f>
        <v>5742</v>
      </c>
      <c r="AW12" s="100" t="n">
        <f aca="false">Pipeline!$Q$19*Pipeline!$D$19*MIN(1,MAX(0,(47-Pipeline!$E$19+1)/MAX(Pipeline!$F$19,1)))</f>
        <v>5742</v>
      </c>
      <c r="AX12" s="100" t="n">
        <f aca="false">Pipeline!$Q$19*Pipeline!$D$19*MIN(1,MAX(0,(48-Pipeline!$E$19+1)/MAX(Pipeline!$F$19,1)))</f>
        <v>5742</v>
      </c>
      <c r="AY12" s="100" t="n">
        <f aca="false">Pipeline!$Q$19*Pipeline!$D$19*MIN(1,MAX(0,(49-Pipeline!$E$19+1)/MAX(Pipeline!$F$19,1)))</f>
        <v>5742</v>
      </c>
      <c r="AZ12" s="100" t="n">
        <f aca="false">Pipeline!$Q$19*Pipeline!$D$19*MIN(1,MAX(0,(50-Pipeline!$E$19+1)/MAX(Pipeline!$F$19,1)))</f>
        <v>5742</v>
      </c>
      <c r="BA12" s="100" t="n">
        <f aca="false">Pipeline!$Q$19*Pipeline!$D$19*MIN(1,MAX(0,(51-Pipeline!$E$19+1)/MAX(Pipeline!$F$19,1)))</f>
        <v>5742</v>
      </c>
      <c r="BB12" s="100" t="n">
        <f aca="false">Pipeline!$Q$19*Pipeline!$D$19*MIN(1,MAX(0,(52-Pipeline!$E$19+1)/MAX(Pipeline!$F$19,1)))</f>
        <v>5742</v>
      </c>
      <c r="BC12" s="100" t="n">
        <f aca="false">Pipeline!$Q$19*Pipeline!$D$19*MIN(1,MAX(0,(53-Pipeline!$E$19+1)/MAX(Pipeline!$F$19,1)))</f>
        <v>5742</v>
      </c>
      <c r="BD12" s="100" t="n">
        <f aca="false">Pipeline!$Q$19*Pipeline!$D$19*MIN(1,MAX(0,(54-Pipeline!$E$19+1)/MAX(Pipeline!$F$19,1)))</f>
        <v>5742</v>
      </c>
      <c r="BE12" s="100" t="n">
        <f aca="false">Pipeline!$Q$19*Pipeline!$D$19*MIN(1,MAX(0,(55-Pipeline!$E$19+1)/MAX(Pipeline!$F$19,1)))</f>
        <v>5742</v>
      </c>
      <c r="BF12" s="100" t="n">
        <f aca="false">Pipeline!$Q$19*Pipeline!$D$19*MIN(1,MAX(0,(56-Pipeline!$E$19+1)/MAX(Pipeline!$F$19,1)))</f>
        <v>5742</v>
      </c>
      <c r="BG12" s="100" t="n">
        <f aca="false">Pipeline!$Q$19*Pipeline!$D$19*MIN(1,MAX(0,(57-Pipeline!$E$19+1)/MAX(Pipeline!$F$19,1)))</f>
        <v>5742</v>
      </c>
      <c r="BH12" s="100" t="n">
        <f aca="false">Pipeline!$Q$19*Pipeline!$D$19*MIN(1,MAX(0,(58-Pipeline!$E$19+1)/MAX(Pipeline!$F$19,1)))</f>
        <v>5742</v>
      </c>
      <c r="BI12" s="100" t="n">
        <f aca="false">Pipeline!$Q$19*Pipeline!$D$19*MIN(1,MAX(0,(59-Pipeline!$E$19+1)/MAX(Pipeline!$F$19,1)))</f>
        <v>5742</v>
      </c>
      <c r="BJ12" s="100" t="n">
        <f aca="false">Pipeline!$Q$19*Pipeline!$D$19*MIN(1,MAX(0,(60-Pipeline!$E$19+1)/MAX(Pipeline!$F$19,1)))</f>
        <v>5742</v>
      </c>
      <c r="BK12" s="100" t="n">
        <f aca="false">Pipeline!$Q$19*Pipeline!$D$19*MIN(1,MAX(0,(61-Pipeline!$E$19+1)/MAX(Pipeline!$F$19,1)))</f>
        <v>5742</v>
      </c>
      <c r="BL12" s="100" t="n">
        <f aca="false">Pipeline!$Q$19*Pipeline!$D$19*MIN(1,MAX(0,(62-Pipeline!$E$19+1)/MAX(Pipeline!$F$19,1)))</f>
        <v>5742</v>
      </c>
      <c r="BM12" s="100" t="n">
        <f aca="false">Pipeline!$Q$19*Pipeline!$D$19*MIN(1,MAX(0,(63-Pipeline!$E$19+1)/MAX(Pipeline!$F$19,1)))</f>
        <v>5742</v>
      </c>
      <c r="BN12" s="100" t="n">
        <f aca="false">Pipeline!$Q$19*Pipeline!$D$19*MIN(1,MAX(0,(64-Pipeline!$E$19+1)/MAX(Pipeline!$F$19,1)))</f>
        <v>5742</v>
      </c>
      <c r="BO12" s="100" t="n">
        <f aca="false">Pipeline!$Q$19*Pipeline!$D$19*MIN(1,MAX(0,(65-Pipeline!$E$19+1)/MAX(Pipeline!$F$19,1)))</f>
        <v>5742</v>
      </c>
      <c r="BP12" s="100" t="n">
        <f aca="false">Pipeline!$Q$19*Pipeline!$D$19*MIN(1,MAX(0,(66-Pipeline!$E$19+1)/MAX(Pipeline!$F$19,1)))</f>
        <v>5742</v>
      </c>
      <c r="BQ12" s="100" t="n">
        <f aca="false">Pipeline!$Q$19*Pipeline!$D$19*MIN(1,MAX(0,(67-Pipeline!$E$19+1)/MAX(Pipeline!$F$19,1)))</f>
        <v>5742</v>
      </c>
      <c r="BR12" s="100" t="n">
        <f aca="false">Pipeline!$Q$19*Pipeline!$D$19*MIN(1,MAX(0,(68-Pipeline!$E$19+1)/MAX(Pipeline!$F$19,1)))</f>
        <v>5742</v>
      </c>
      <c r="BS12" s="100" t="n">
        <f aca="false">Pipeline!$Q$19*Pipeline!$D$19*MIN(1,MAX(0,(69-Pipeline!$E$19+1)/MAX(Pipeline!$F$19,1)))</f>
        <v>5742</v>
      </c>
      <c r="BT12" s="100" t="n">
        <f aca="false">Pipeline!$Q$19*Pipeline!$D$19*MIN(1,MAX(0,(70-Pipeline!$E$19+1)/MAX(Pipeline!$F$19,1)))</f>
        <v>5742</v>
      </c>
      <c r="BU12" s="100" t="n">
        <f aca="false">Pipeline!$Q$19*Pipeline!$D$19*MIN(1,MAX(0,(71-Pipeline!$E$19+1)/MAX(Pipeline!$F$19,1)))</f>
        <v>5742</v>
      </c>
      <c r="BV12" s="100" t="n">
        <f aca="false">Pipeline!$Q$19*Pipeline!$D$19*MIN(1,MAX(0,(72-Pipeline!$E$19+1)/MAX(Pipeline!$F$19,1)))</f>
        <v>5742</v>
      </c>
      <c r="BW12" s="100" t="n">
        <f aca="false">Pipeline!$Q$19*Pipeline!$D$19*MIN(1,MAX(0,(73-Pipeline!$E$19+1)/MAX(Pipeline!$F$19,1)))</f>
        <v>5742</v>
      </c>
      <c r="BX12" s="100" t="n">
        <f aca="false">Pipeline!$Q$19*Pipeline!$D$19*MIN(1,MAX(0,(74-Pipeline!$E$19+1)/MAX(Pipeline!$F$19,1)))</f>
        <v>5742</v>
      </c>
      <c r="BY12" s="100" t="n">
        <f aca="false">Pipeline!$Q$19*Pipeline!$D$19*MIN(1,MAX(0,(75-Pipeline!$E$19+1)/MAX(Pipeline!$F$19,1)))</f>
        <v>5742</v>
      </c>
      <c r="BZ12" s="100" t="n">
        <f aca="false">Pipeline!$Q$19*Pipeline!$D$19*MIN(1,MAX(0,(76-Pipeline!$E$19+1)/MAX(Pipeline!$F$19,1)))</f>
        <v>5742</v>
      </c>
      <c r="CA12" s="100" t="n">
        <f aca="false">Pipeline!$Q$19*Pipeline!$D$19*MIN(1,MAX(0,(77-Pipeline!$E$19+1)/MAX(Pipeline!$F$19,1)))</f>
        <v>5742</v>
      </c>
      <c r="CB12" s="100" t="n">
        <f aca="false">Pipeline!$Q$19*Pipeline!$D$19*MIN(1,MAX(0,(78-Pipeline!$E$19+1)/MAX(Pipeline!$F$19,1)))</f>
        <v>5742</v>
      </c>
      <c r="CC12" s="100" t="n">
        <f aca="false">Pipeline!$Q$19*Pipeline!$D$19*MIN(1,MAX(0,(79-Pipeline!$E$19+1)/MAX(Pipeline!$F$19,1)))</f>
        <v>5742</v>
      </c>
      <c r="CD12" s="100" t="n">
        <f aca="false">Pipeline!$Q$19*Pipeline!$D$19*MIN(1,MAX(0,(80-Pipeline!$E$19+1)/MAX(Pipeline!$F$19,1)))</f>
        <v>5742</v>
      </c>
      <c r="CE12" s="100" t="n">
        <f aca="false">Pipeline!$Q$19*Pipeline!$D$19*MIN(1,MAX(0,(81-Pipeline!$E$19+1)/MAX(Pipeline!$F$19,1)))</f>
        <v>5742</v>
      </c>
      <c r="CF12" s="100" t="n">
        <f aca="false">Pipeline!$Q$19*Pipeline!$D$19*MIN(1,MAX(0,(82-Pipeline!$E$19+1)/MAX(Pipeline!$F$19,1)))</f>
        <v>5742</v>
      </c>
      <c r="CG12" s="100" t="n">
        <f aca="false">Pipeline!$Q$19*Pipeline!$D$19*MIN(1,MAX(0,(83-Pipeline!$E$19+1)/MAX(Pipeline!$F$19,1)))</f>
        <v>5742</v>
      </c>
      <c r="CH12" s="100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6" t="s">
        <v>493</v>
      </c>
      <c r="C13" s="100" t="n">
        <f aca="false">Pipeline!$Q$20*Pipeline!$D$20*MIN(1,MAX(0,(1-Pipeline!$E$20+1)/MAX(Pipeline!$F$20,1)))</f>
        <v>0</v>
      </c>
      <c r="D13" s="100" t="n">
        <f aca="false">Pipeline!$Q$20*Pipeline!$D$20*MIN(1,MAX(0,(2-Pipeline!$E$20+1)/MAX(Pipeline!$F$20,1)))</f>
        <v>0</v>
      </c>
      <c r="E13" s="100" t="n">
        <f aca="false">Pipeline!$Q$20*Pipeline!$D$20*MIN(1,MAX(0,(3-Pipeline!$E$20+1)/MAX(Pipeline!$F$20,1)))</f>
        <v>0</v>
      </c>
      <c r="F13" s="100" t="n">
        <f aca="false">Pipeline!$Q$20*Pipeline!$D$20*MIN(1,MAX(0,(4-Pipeline!$E$20+1)/MAX(Pipeline!$F$20,1)))</f>
        <v>0</v>
      </c>
      <c r="G13" s="100" t="n">
        <f aca="false">Pipeline!$Q$20*Pipeline!$D$20*MIN(1,MAX(0,(5-Pipeline!$E$20+1)/MAX(Pipeline!$F$20,1)))</f>
        <v>0</v>
      </c>
      <c r="H13" s="100" t="n">
        <f aca="false">Pipeline!$Q$20*Pipeline!$D$20*MIN(1,MAX(0,(6-Pipeline!$E$20+1)/MAX(Pipeline!$F$20,1)))</f>
        <v>0</v>
      </c>
      <c r="I13" s="100" t="n">
        <f aca="false">Pipeline!$Q$20*Pipeline!$D$20*MIN(1,MAX(0,(7-Pipeline!$E$20+1)/MAX(Pipeline!$F$20,1)))</f>
        <v>0</v>
      </c>
      <c r="J13" s="100" t="n">
        <f aca="false">Pipeline!$Q$20*Pipeline!$D$20*MIN(1,MAX(0,(8-Pipeline!$E$20+1)/MAX(Pipeline!$F$20,1)))</f>
        <v>0</v>
      </c>
      <c r="K13" s="100" t="n">
        <f aca="false">Pipeline!$Q$20*Pipeline!$D$20*MIN(1,MAX(0,(9-Pipeline!$E$20+1)/MAX(Pipeline!$F$20,1)))</f>
        <v>0</v>
      </c>
      <c r="L13" s="100" t="n">
        <f aca="false">Pipeline!$Q$20*Pipeline!$D$20*MIN(1,MAX(0,(10-Pipeline!$E$20+1)/MAX(Pipeline!$F$20,1)))</f>
        <v>0</v>
      </c>
      <c r="M13" s="100" t="n">
        <f aca="false">Pipeline!$Q$20*Pipeline!$D$20*MIN(1,MAX(0,(11-Pipeline!$E$20+1)/MAX(Pipeline!$F$20,1)))</f>
        <v>0</v>
      </c>
      <c r="N13" s="100" t="n">
        <f aca="false">Pipeline!$Q$20*Pipeline!$D$20*MIN(1,MAX(0,(12-Pipeline!$E$20+1)/MAX(Pipeline!$F$20,1)))</f>
        <v>978.75</v>
      </c>
      <c r="O13" s="100" t="n">
        <f aca="false">Pipeline!$Q$20*Pipeline!$D$20*MIN(1,MAX(0,(13-Pipeline!$E$20+1)/MAX(Pipeline!$F$20,1)))</f>
        <v>1957.5</v>
      </c>
      <c r="P13" s="100" t="n">
        <f aca="false">Pipeline!$Q$20*Pipeline!$D$20*MIN(1,MAX(0,(14-Pipeline!$E$20+1)/MAX(Pipeline!$F$20,1)))</f>
        <v>2936.25</v>
      </c>
      <c r="Q13" s="100" t="n">
        <f aca="false">Pipeline!$Q$20*Pipeline!$D$20*MIN(1,MAX(0,(15-Pipeline!$E$20+1)/MAX(Pipeline!$F$20,1)))</f>
        <v>3915</v>
      </c>
      <c r="R13" s="100" t="n">
        <f aca="false">Pipeline!$Q$20*Pipeline!$D$20*MIN(1,MAX(0,(16-Pipeline!$E$20+1)/MAX(Pipeline!$F$20,1)))</f>
        <v>4893.75</v>
      </c>
      <c r="S13" s="100" t="n">
        <f aca="false">Pipeline!$Q$20*Pipeline!$D$20*MIN(1,MAX(0,(17-Pipeline!$E$20+1)/MAX(Pipeline!$F$20,1)))</f>
        <v>5872.5</v>
      </c>
      <c r="T13" s="100" t="n">
        <f aca="false">Pipeline!$Q$20*Pipeline!$D$20*MIN(1,MAX(0,(18-Pipeline!$E$20+1)/MAX(Pipeline!$F$20,1)))</f>
        <v>6851.25</v>
      </c>
      <c r="U13" s="100" t="n">
        <f aca="false">Pipeline!$Q$20*Pipeline!$D$20*MIN(1,MAX(0,(19-Pipeline!$E$20+1)/MAX(Pipeline!$F$20,1)))</f>
        <v>7830</v>
      </c>
      <c r="V13" s="100" t="n">
        <f aca="false">Pipeline!$Q$20*Pipeline!$D$20*MIN(1,MAX(0,(20-Pipeline!$E$20+1)/MAX(Pipeline!$F$20,1)))</f>
        <v>8808.75</v>
      </c>
      <c r="W13" s="100" t="n">
        <f aca="false">Pipeline!$Q$20*Pipeline!$D$20*MIN(1,MAX(0,(21-Pipeline!$E$20+1)/MAX(Pipeline!$F$20,1)))</f>
        <v>9787.5</v>
      </c>
      <c r="X13" s="100" t="n">
        <f aca="false">Pipeline!$Q$20*Pipeline!$D$20*MIN(1,MAX(0,(22-Pipeline!$E$20+1)/MAX(Pipeline!$F$20,1)))</f>
        <v>9787.5</v>
      </c>
      <c r="Y13" s="100" t="n">
        <f aca="false">Pipeline!$Q$20*Pipeline!$D$20*MIN(1,MAX(0,(23-Pipeline!$E$20+1)/MAX(Pipeline!$F$20,1)))</f>
        <v>9787.5</v>
      </c>
      <c r="Z13" s="100" t="n">
        <f aca="false">Pipeline!$Q$20*Pipeline!$D$20*MIN(1,MAX(0,(24-Pipeline!$E$20+1)/MAX(Pipeline!$F$20,1)))</f>
        <v>9787.5</v>
      </c>
      <c r="AA13" s="100" t="n">
        <f aca="false">Pipeline!$Q$20*Pipeline!$D$20*MIN(1,MAX(0,(25-Pipeline!$E$20+1)/MAX(Pipeline!$F$20,1)))</f>
        <v>9787.5</v>
      </c>
      <c r="AB13" s="100" t="n">
        <f aca="false">Pipeline!$Q$20*Pipeline!$D$20*MIN(1,MAX(0,(26-Pipeline!$E$20+1)/MAX(Pipeline!$F$20,1)))</f>
        <v>9787.5</v>
      </c>
      <c r="AC13" s="100" t="n">
        <f aca="false">Pipeline!$Q$20*Pipeline!$D$20*MIN(1,MAX(0,(27-Pipeline!$E$20+1)/MAX(Pipeline!$F$20,1)))</f>
        <v>9787.5</v>
      </c>
      <c r="AD13" s="100" t="n">
        <f aca="false">Pipeline!$Q$20*Pipeline!$D$20*MIN(1,MAX(0,(28-Pipeline!$E$20+1)/MAX(Pipeline!$F$20,1)))</f>
        <v>9787.5</v>
      </c>
      <c r="AE13" s="100" t="n">
        <f aca="false">Pipeline!$Q$20*Pipeline!$D$20*MIN(1,MAX(0,(29-Pipeline!$E$20+1)/MAX(Pipeline!$F$20,1)))</f>
        <v>9787.5</v>
      </c>
      <c r="AF13" s="100" t="n">
        <f aca="false">Pipeline!$Q$20*Pipeline!$D$20*MIN(1,MAX(0,(30-Pipeline!$E$20+1)/MAX(Pipeline!$F$20,1)))</f>
        <v>9787.5</v>
      </c>
      <c r="AG13" s="100" t="n">
        <f aca="false">Pipeline!$Q$20*Pipeline!$D$20*MIN(1,MAX(0,(31-Pipeline!$E$20+1)/MAX(Pipeline!$F$20,1)))</f>
        <v>9787.5</v>
      </c>
      <c r="AH13" s="100" t="n">
        <f aca="false">Pipeline!$Q$20*Pipeline!$D$20*MIN(1,MAX(0,(32-Pipeline!$E$20+1)/MAX(Pipeline!$F$20,1)))</f>
        <v>9787.5</v>
      </c>
      <c r="AI13" s="100" t="n">
        <f aca="false">Pipeline!$Q$20*Pipeline!$D$20*MIN(1,MAX(0,(33-Pipeline!$E$20+1)/MAX(Pipeline!$F$20,1)))</f>
        <v>9787.5</v>
      </c>
      <c r="AJ13" s="100" t="n">
        <f aca="false">Pipeline!$Q$20*Pipeline!$D$20*MIN(1,MAX(0,(34-Pipeline!$E$20+1)/MAX(Pipeline!$F$20,1)))</f>
        <v>9787.5</v>
      </c>
      <c r="AK13" s="100" t="n">
        <f aca="false">Pipeline!$Q$20*Pipeline!$D$20*MIN(1,MAX(0,(35-Pipeline!$E$20+1)/MAX(Pipeline!$F$20,1)))</f>
        <v>9787.5</v>
      </c>
      <c r="AL13" s="100" t="n">
        <f aca="false">Pipeline!$Q$20*Pipeline!$D$20*MIN(1,MAX(0,(36-Pipeline!$E$20+1)/MAX(Pipeline!$F$20,1)))</f>
        <v>9787.5</v>
      </c>
      <c r="AM13" s="100" t="n">
        <f aca="false">Pipeline!$Q$20*Pipeline!$D$20*MIN(1,MAX(0,(37-Pipeline!$E$20+1)/MAX(Pipeline!$F$20,1)))</f>
        <v>9787.5</v>
      </c>
      <c r="AN13" s="100" t="n">
        <f aca="false">Pipeline!$Q$20*Pipeline!$D$20*MIN(1,MAX(0,(38-Pipeline!$E$20+1)/MAX(Pipeline!$F$20,1)))</f>
        <v>9787.5</v>
      </c>
      <c r="AO13" s="100" t="n">
        <f aca="false">Pipeline!$Q$20*Pipeline!$D$20*MIN(1,MAX(0,(39-Pipeline!$E$20+1)/MAX(Pipeline!$F$20,1)))</f>
        <v>9787.5</v>
      </c>
      <c r="AP13" s="100" t="n">
        <f aca="false">Pipeline!$Q$20*Pipeline!$D$20*MIN(1,MAX(0,(40-Pipeline!$E$20+1)/MAX(Pipeline!$F$20,1)))</f>
        <v>9787.5</v>
      </c>
      <c r="AQ13" s="100" t="n">
        <f aca="false">Pipeline!$Q$20*Pipeline!$D$20*MIN(1,MAX(0,(41-Pipeline!$E$20+1)/MAX(Pipeline!$F$20,1)))</f>
        <v>9787.5</v>
      </c>
      <c r="AR13" s="100" t="n">
        <f aca="false">Pipeline!$Q$20*Pipeline!$D$20*MIN(1,MAX(0,(42-Pipeline!$E$20+1)/MAX(Pipeline!$F$20,1)))</f>
        <v>9787.5</v>
      </c>
      <c r="AS13" s="100" t="n">
        <f aca="false">Pipeline!$Q$20*Pipeline!$D$20*MIN(1,MAX(0,(43-Pipeline!$E$20+1)/MAX(Pipeline!$F$20,1)))</f>
        <v>9787.5</v>
      </c>
      <c r="AT13" s="100" t="n">
        <f aca="false">Pipeline!$Q$20*Pipeline!$D$20*MIN(1,MAX(0,(44-Pipeline!$E$20+1)/MAX(Pipeline!$F$20,1)))</f>
        <v>9787.5</v>
      </c>
      <c r="AU13" s="100" t="n">
        <f aca="false">Pipeline!$Q$20*Pipeline!$D$20*MIN(1,MAX(0,(45-Pipeline!$E$20+1)/MAX(Pipeline!$F$20,1)))</f>
        <v>9787.5</v>
      </c>
      <c r="AV13" s="100" t="n">
        <f aca="false">Pipeline!$Q$20*Pipeline!$D$20*MIN(1,MAX(0,(46-Pipeline!$E$20+1)/MAX(Pipeline!$F$20,1)))</f>
        <v>9787.5</v>
      </c>
      <c r="AW13" s="100" t="n">
        <f aca="false">Pipeline!$Q$20*Pipeline!$D$20*MIN(1,MAX(0,(47-Pipeline!$E$20+1)/MAX(Pipeline!$F$20,1)))</f>
        <v>9787.5</v>
      </c>
      <c r="AX13" s="100" t="n">
        <f aca="false">Pipeline!$Q$20*Pipeline!$D$20*MIN(1,MAX(0,(48-Pipeline!$E$20+1)/MAX(Pipeline!$F$20,1)))</f>
        <v>9787.5</v>
      </c>
      <c r="AY13" s="100" t="n">
        <f aca="false">Pipeline!$Q$20*Pipeline!$D$20*MIN(1,MAX(0,(49-Pipeline!$E$20+1)/MAX(Pipeline!$F$20,1)))</f>
        <v>9787.5</v>
      </c>
      <c r="AZ13" s="100" t="n">
        <f aca="false">Pipeline!$Q$20*Pipeline!$D$20*MIN(1,MAX(0,(50-Pipeline!$E$20+1)/MAX(Pipeline!$F$20,1)))</f>
        <v>9787.5</v>
      </c>
      <c r="BA13" s="100" t="n">
        <f aca="false">Pipeline!$Q$20*Pipeline!$D$20*MIN(1,MAX(0,(51-Pipeline!$E$20+1)/MAX(Pipeline!$F$20,1)))</f>
        <v>9787.5</v>
      </c>
      <c r="BB13" s="100" t="n">
        <f aca="false">Pipeline!$Q$20*Pipeline!$D$20*MIN(1,MAX(0,(52-Pipeline!$E$20+1)/MAX(Pipeline!$F$20,1)))</f>
        <v>9787.5</v>
      </c>
      <c r="BC13" s="100" t="n">
        <f aca="false">Pipeline!$Q$20*Pipeline!$D$20*MIN(1,MAX(0,(53-Pipeline!$E$20+1)/MAX(Pipeline!$F$20,1)))</f>
        <v>9787.5</v>
      </c>
      <c r="BD13" s="100" t="n">
        <f aca="false">Pipeline!$Q$20*Pipeline!$D$20*MIN(1,MAX(0,(54-Pipeline!$E$20+1)/MAX(Pipeline!$F$20,1)))</f>
        <v>9787.5</v>
      </c>
      <c r="BE13" s="100" t="n">
        <f aca="false">Pipeline!$Q$20*Pipeline!$D$20*MIN(1,MAX(0,(55-Pipeline!$E$20+1)/MAX(Pipeline!$F$20,1)))</f>
        <v>9787.5</v>
      </c>
      <c r="BF13" s="100" t="n">
        <f aca="false">Pipeline!$Q$20*Pipeline!$D$20*MIN(1,MAX(0,(56-Pipeline!$E$20+1)/MAX(Pipeline!$F$20,1)))</f>
        <v>9787.5</v>
      </c>
      <c r="BG13" s="100" t="n">
        <f aca="false">Pipeline!$Q$20*Pipeline!$D$20*MIN(1,MAX(0,(57-Pipeline!$E$20+1)/MAX(Pipeline!$F$20,1)))</f>
        <v>9787.5</v>
      </c>
      <c r="BH13" s="100" t="n">
        <f aca="false">Pipeline!$Q$20*Pipeline!$D$20*MIN(1,MAX(0,(58-Pipeline!$E$20+1)/MAX(Pipeline!$F$20,1)))</f>
        <v>9787.5</v>
      </c>
      <c r="BI13" s="100" t="n">
        <f aca="false">Pipeline!$Q$20*Pipeline!$D$20*MIN(1,MAX(0,(59-Pipeline!$E$20+1)/MAX(Pipeline!$F$20,1)))</f>
        <v>9787.5</v>
      </c>
      <c r="BJ13" s="100" t="n">
        <f aca="false">Pipeline!$Q$20*Pipeline!$D$20*MIN(1,MAX(0,(60-Pipeline!$E$20+1)/MAX(Pipeline!$F$20,1)))</f>
        <v>9787.5</v>
      </c>
      <c r="BK13" s="100" t="n">
        <f aca="false">Pipeline!$Q$20*Pipeline!$D$20*MIN(1,MAX(0,(61-Pipeline!$E$20+1)/MAX(Pipeline!$F$20,1)))</f>
        <v>9787.5</v>
      </c>
      <c r="BL13" s="100" t="n">
        <f aca="false">Pipeline!$Q$20*Pipeline!$D$20*MIN(1,MAX(0,(62-Pipeline!$E$20+1)/MAX(Pipeline!$F$20,1)))</f>
        <v>9787.5</v>
      </c>
      <c r="BM13" s="100" t="n">
        <f aca="false">Pipeline!$Q$20*Pipeline!$D$20*MIN(1,MAX(0,(63-Pipeline!$E$20+1)/MAX(Pipeline!$F$20,1)))</f>
        <v>9787.5</v>
      </c>
      <c r="BN13" s="100" t="n">
        <f aca="false">Pipeline!$Q$20*Pipeline!$D$20*MIN(1,MAX(0,(64-Pipeline!$E$20+1)/MAX(Pipeline!$F$20,1)))</f>
        <v>9787.5</v>
      </c>
      <c r="BO13" s="100" t="n">
        <f aca="false">Pipeline!$Q$20*Pipeline!$D$20*MIN(1,MAX(0,(65-Pipeline!$E$20+1)/MAX(Pipeline!$F$20,1)))</f>
        <v>9787.5</v>
      </c>
      <c r="BP13" s="100" t="n">
        <f aca="false">Pipeline!$Q$20*Pipeline!$D$20*MIN(1,MAX(0,(66-Pipeline!$E$20+1)/MAX(Pipeline!$F$20,1)))</f>
        <v>9787.5</v>
      </c>
      <c r="BQ13" s="100" t="n">
        <f aca="false">Pipeline!$Q$20*Pipeline!$D$20*MIN(1,MAX(0,(67-Pipeline!$E$20+1)/MAX(Pipeline!$F$20,1)))</f>
        <v>9787.5</v>
      </c>
      <c r="BR13" s="100" t="n">
        <f aca="false">Pipeline!$Q$20*Pipeline!$D$20*MIN(1,MAX(0,(68-Pipeline!$E$20+1)/MAX(Pipeline!$F$20,1)))</f>
        <v>9787.5</v>
      </c>
      <c r="BS13" s="100" t="n">
        <f aca="false">Pipeline!$Q$20*Pipeline!$D$20*MIN(1,MAX(0,(69-Pipeline!$E$20+1)/MAX(Pipeline!$F$20,1)))</f>
        <v>9787.5</v>
      </c>
      <c r="BT13" s="100" t="n">
        <f aca="false">Pipeline!$Q$20*Pipeline!$D$20*MIN(1,MAX(0,(70-Pipeline!$E$20+1)/MAX(Pipeline!$F$20,1)))</f>
        <v>9787.5</v>
      </c>
      <c r="BU13" s="100" t="n">
        <f aca="false">Pipeline!$Q$20*Pipeline!$D$20*MIN(1,MAX(0,(71-Pipeline!$E$20+1)/MAX(Pipeline!$F$20,1)))</f>
        <v>9787.5</v>
      </c>
      <c r="BV13" s="100" t="n">
        <f aca="false">Pipeline!$Q$20*Pipeline!$D$20*MIN(1,MAX(0,(72-Pipeline!$E$20+1)/MAX(Pipeline!$F$20,1)))</f>
        <v>9787.5</v>
      </c>
      <c r="BW13" s="100" t="n">
        <f aca="false">Pipeline!$Q$20*Pipeline!$D$20*MIN(1,MAX(0,(73-Pipeline!$E$20+1)/MAX(Pipeline!$F$20,1)))</f>
        <v>9787.5</v>
      </c>
      <c r="BX13" s="100" t="n">
        <f aca="false">Pipeline!$Q$20*Pipeline!$D$20*MIN(1,MAX(0,(74-Pipeline!$E$20+1)/MAX(Pipeline!$F$20,1)))</f>
        <v>9787.5</v>
      </c>
      <c r="BY13" s="100" t="n">
        <f aca="false">Pipeline!$Q$20*Pipeline!$D$20*MIN(1,MAX(0,(75-Pipeline!$E$20+1)/MAX(Pipeline!$F$20,1)))</f>
        <v>9787.5</v>
      </c>
      <c r="BZ13" s="100" t="n">
        <f aca="false">Pipeline!$Q$20*Pipeline!$D$20*MIN(1,MAX(0,(76-Pipeline!$E$20+1)/MAX(Pipeline!$F$20,1)))</f>
        <v>9787.5</v>
      </c>
      <c r="CA13" s="100" t="n">
        <f aca="false">Pipeline!$Q$20*Pipeline!$D$20*MIN(1,MAX(0,(77-Pipeline!$E$20+1)/MAX(Pipeline!$F$20,1)))</f>
        <v>9787.5</v>
      </c>
      <c r="CB13" s="100" t="n">
        <f aca="false">Pipeline!$Q$20*Pipeline!$D$20*MIN(1,MAX(0,(78-Pipeline!$E$20+1)/MAX(Pipeline!$F$20,1)))</f>
        <v>9787.5</v>
      </c>
      <c r="CC13" s="100" t="n">
        <f aca="false">Pipeline!$Q$20*Pipeline!$D$20*MIN(1,MAX(0,(79-Pipeline!$E$20+1)/MAX(Pipeline!$F$20,1)))</f>
        <v>9787.5</v>
      </c>
      <c r="CD13" s="100" t="n">
        <f aca="false">Pipeline!$Q$20*Pipeline!$D$20*MIN(1,MAX(0,(80-Pipeline!$E$20+1)/MAX(Pipeline!$F$20,1)))</f>
        <v>9787.5</v>
      </c>
      <c r="CE13" s="100" t="n">
        <f aca="false">Pipeline!$Q$20*Pipeline!$D$20*MIN(1,MAX(0,(81-Pipeline!$E$20+1)/MAX(Pipeline!$F$20,1)))</f>
        <v>9787.5</v>
      </c>
      <c r="CF13" s="100" t="n">
        <f aca="false">Pipeline!$Q$20*Pipeline!$D$20*MIN(1,MAX(0,(82-Pipeline!$E$20+1)/MAX(Pipeline!$F$20,1)))</f>
        <v>9787.5</v>
      </c>
      <c r="CG13" s="100" t="n">
        <f aca="false">Pipeline!$Q$20*Pipeline!$D$20*MIN(1,MAX(0,(83-Pipeline!$E$20+1)/MAX(Pipeline!$F$20,1)))</f>
        <v>9787.5</v>
      </c>
      <c r="CH13" s="100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6" t="s">
        <v>494</v>
      </c>
      <c r="C14" s="100" t="n">
        <f aca="false">Pipeline!$Q$21*Pipeline!$D$21*MIN(1,MAX(0,(1-Pipeline!$E$21+1)/MAX(Pipeline!$F$21,1)))</f>
        <v>0</v>
      </c>
      <c r="D14" s="100" t="n">
        <f aca="false">Pipeline!$Q$21*Pipeline!$D$21*MIN(1,MAX(0,(2-Pipeline!$E$21+1)/MAX(Pipeline!$F$21,1)))</f>
        <v>0</v>
      </c>
      <c r="E14" s="100" t="n">
        <f aca="false">Pipeline!$Q$21*Pipeline!$D$21*MIN(1,MAX(0,(3-Pipeline!$E$21+1)/MAX(Pipeline!$F$21,1)))</f>
        <v>0</v>
      </c>
      <c r="F14" s="100" t="n">
        <f aca="false">Pipeline!$Q$21*Pipeline!$D$21*MIN(1,MAX(0,(4-Pipeline!$E$21+1)/MAX(Pipeline!$F$21,1)))</f>
        <v>0</v>
      </c>
      <c r="G14" s="100" t="n">
        <f aca="false">Pipeline!$Q$21*Pipeline!$D$21*MIN(1,MAX(0,(5-Pipeline!$E$21+1)/MAX(Pipeline!$F$21,1)))</f>
        <v>0</v>
      </c>
      <c r="H14" s="100" t="n">
        <f aca="false">Pipeline!$Q$21*Pipeline!$D$21*MIN(1,MAX(0,(6-Pipeline!$E$21+1)/MAX(Pipeline!$F$21,1)))</f>
        <v>0</v>
      </c>
      <c r="I14" s="100" t="n">
        <f aca="false">Pipeline!$Q$21*Pipeline!$D$21*MIN(1,MAX(0,(7-Pipeline!$E$21+1)/MAX(Pipeline!$F$21,1)))</f>
        <v>0</v>
      </c>
      <c r="J14" s="100" t="n">
        <f aca="false">Pipeline!$Q$21*Pipeline!$D$21*MIN(1,MAX(0,(8-Pipeline!$E$21+1)/MAX(Pipeline!$F$21,1)))</f>
        <v>0</v>
      </c>
      <c r="K14" s="100" t="n">
        <f aca="false">Pipeline!$Q$21*Pipeline!$D$21*MIN(1,MAX(0,(9-Pipeline!$E$21+1)/MAX(Pipeline!$F$21,1)))</f>
        <v>0</v>
      </c>
      <c r="L14" s="100" t="n">
        <f aca="false">Pipeline!$Q$21*Pipeline!$D$21*MIN(1,MAX(0,(10-Pipeline!$E$21+1)/MAX(Pipeline!$F$21,1)))</f>
        <v>0</v>
      </c>
      <c r="M14" s="100" t="n">
        <f aca="false">Pipeline!$Q$21*Pipeline!$D$21*MIN(1,MAX(0,(11-Pipeline!$E$21+1)/MAX(Pipeline!$F$21,1)))</f>
        <v>0</v>
      </c>
      <c r="N14" s="100" t="n">
        <f aca="false">Pipeline!$Q$21*Pipeline!$D$21*MIN(1,MAX(0,(12-Pipeline!$E$21+1)/MAX(Pipeline!$F$21,1)))</f>
        <v>0</v>
      </c>
      <c r="O14" s="100" t="n">
        <f aca="false">Pipeline!$Q$21*Pipeline!$D$21*MIN(1,MAX(0,(13-Pipeline!$E$21+1)/MAX(Pipeline!$F$21,1)))</f>
        <v>0</v>
      </c>
      <c r="P14" s="100" t="n">
        <f aca="false">Pipeline!$Q$21*Pipeline!$D$21*MIN(1,MAX(0,(14-Pipeline!$E$21+1)/MAX(Pipeline!$F$21,1)))</f>
        <v>365.4</v>
      </c>
      <c r="Q14" s="100" t="n">
        <f aca="false">Pipeline!$Q$21*Pipeline!$D$21*MIN(1,MAX(0,(15-Pipeline!$E$21+1)/MAX(Pipeline!$F$21,1)))</f>
        <v>730.8</v>
      </c>
      <c r="R14" s="100" t="n">
        <f aca="false">Pipeline!$Q$21*Pipeline!$D$21*MIN(1,MAX(0,(16-Pipeline!$E$21+1)/MAX(Pipeline!$F$21,1)))</f>
        <v>1096.2</v>
      </c>
      <c r="S14" s="100" t="n">
        <f aca="false">Pipeline!$Q$21*Pipeline!$D$21*MIN(1,MAX(0,(17-Pipeline!$E$21+1)/MAX(Pipeline!$F$21,1)))</f>
        <v>1461.6</v>
      </c>
      <c r="T14" s="100" t="n">
        <f aca="false">Pipeline!$Q$21*Pipeline!$D$21*MIN(1,MAX(0,(18-Pipeline!$E$21+1)/MAX(Pipeline!$F$21,1)))</f>
        <v>1827</v>
      </c>
      <c r="U14" s="100" t="n">
        <f aca="false">Pipeline!$Q$21*Pipeline!$D$21*MIN(1,MAX(0,(19-Pipeline!$E$21+1)/MAX(Pipeline!$F$21,1)))</f>
        <v>2192.4</v>
      </c>
      <c r="V14" s="100" t="n">
        <f aca="false">Pipeline!$Q$21*Pipeline!$D$21*MIN(1,MAX(0,(20-Pipeline!$E$21+1)/MAX(Pipeline!$F$21,1)))</f>
        <v>2557.8</v>
      </c>
      <c r="W14" s="100" t="n">
        <f aca="false">Pipeline!$Q$21*Pipeline!$D$21*MIN(1,MAX(0,(21-Pipeline!$E$21+1)/MAX(Pipeline!$F$21,1)))</f>
        <v>2923.2</v>
      </c>
      <c r="X14" s="100" t="n">
        <f aca="false">Pipeline!$Q$21*Pipeline!$D$21*MIN(1,MAX(0,(22-Pipeline!$E$21+1)/MAX(Pipeline!$F$21,1)))</f>
        <v>3288.6</v>
      </c>
      <c r="Y14" s="100" t="n">
        <f aca="false">Pipeline!$Q$21*Pipeline!$D$21*MIN(1,MAX(0,(23-Pipeline!$E$21+1)/MAX(Pipeline!$F$21,1)))</f>
        <v>3654</v>
      </c>
      <c r="Z14" s="100" t="n">
        <f aca="false">Pipeline!$Q$21*Pipeline!$D$21*MIN(1,MAX(0,(24-Pipeline!$E$21+1)/MAX(Pipeline!$F$21,1)))</f>
        <v>3654</v>
      </c>
      <c r="AA14" s="100" t="n">
        <f aca="false">Pipeline!$Q$21*Pipeline!$D$21*MIN(1,MAX(0,(25-Pipeline!$E$21+1)/MAX(Pipeline!$F$21,1)))</f>
        <v>3654</v>
      </c>
      <c r="AB14" s="100" t="n">
        <f aca="false">Pipeline!$Q$21*Pipeline!$D$21*MIN(1,MAX(0,(26-Pipeline!$E$21+1)/MAX(Pipeline!$F$21,1)))</f>
        <v>3654</v>
      </c>
      <c r="AC14" s="100" t="n">
        <f aca="false">Pipeline!$Q$21*Pipeline!$D$21*MIN(1,MAX(0,(27-Pipeline!$E$21+1)/MAX(Pipeline!$F$21,1)))</f>
        <v>3654</v>
      </c>
      <c r="AD14" s="100" t="n">
        <f aca="false">Pipeline!$Q$21*Pipeline!$D$21*MIN(1,MAX(0,(28-Pipeline!$E$21+1)/MAX(Pipeline!$F$21,1)))</f>
        <v>3654</v>
      </c>
      <c r="AE14" s="100" t="n">
        <f aca="false">Pipeline!$Q$21*Pipeline!$D$21*MIN(1,MAX(0,(29-Pipeline!$E$21+1)/MAX(Pipeline!$F$21,1)))</f>
        <v>3654</v>
      </c>
      <c r="AF14" s="100" t="n">
        <f aca="false">Pipeline!$Q$21*Pipeline!$D$21*MIN(1,MAX(0,(30-Pipeline!$E$21+1)/MAX(Pipeline!$F$21,1)))</f>
        <v>3654</v>
      </c>
      <c r="AG14" s="100" t="n">
        <f aca="false">Pipeline!$Q$21*Pipeline!$D$21*MIN(1,MAX(0,(31-Pipeline!$E$21+1)/MAX(Pipeline!$F$21,1)))</f>
        <v>3654</v>
      </c>
      <c r="AH14" s="100" t="n">
        <f aca="false">Pipeline!$Q$21*Pipeline!$D$21*MIN(1,MAX(0,(32-Pipeline!$E$21+1)/MAX(Pipeline!$F$21,1)))</f>
        <v>3654</v>
      </c>
      <c r="AI14" s="100" t="n">
        <f aca="false">Pipeline!$Q$21*Pipeline!$D$21*MIN(1,MAX(0,(33-Pipeline!$E$21+1)/MAX(Pipeline!$F$21,1)))</f>
        <v>3654</v>
      </c>
      <c r="AJ14" s="100" t="n">
        <f aca="false">Pipeline!$Q$21*Pipeline!$D$21*MIN(1,MAX(0,(34-Pipeline!$E$21+1)/MAX(Pipeline!$F$21,1)))</f>
        <v>3654</v>
      </c>
      <c r="AK14" s="100" t="n">
        <f aca="false">Pipeline!$Q$21*Pipeline!$D$21*MIN(1,MAX(0,(35-Pipeline!$E$21+1)/MAX(Pipeline!$F$21,1)))</f>
        <v>3654</v>
      </c>
      <c r="AL14" s="100" t="n">
        <f aca="false">Pipeline!$Q$21*Pipeline!$D$21*MIN(1,MAX(0,(36-Pipeline!$E$21+1)/MAX(Pipeline!$F$21,1)))</f>
        <v>3654</v>
      </c>
      <c r="AM14" s="100" t="n">
        <f aca="false">Pipeline!$Q$21*Pipeline!$D$21*MIN(1,MAX(0,(37-Pipeline!$E$21+1)/MAX(Pipeline!$F$21,1)))</f>
        <v>3654</v>
      </c>
      <c r="AN14" s="100" t="n">
        <f aca="false">Pipeline!$Q$21*Pipeline!$D$21*MIN(1,MAX(0,(38-Pipeline!$E$21+1)/MAX(Pipeline!$F$21,1)))</f>
        <v>3654</v>
      </c>
      <c r="AO14" s="100" t="n">
        <f aca="false">Pipeline!$Q$21*Pipeline!$D$21*MIN(1,MAX(0,(39-Pipeline!$E$21+1)/MAX(Pipeline!$F$21,1)))</f>
        <v>3654</v>
      </c>
      <c r="AP14" s="100" t="n">
        <f aca="false">Pipeline!$Q$21*Pipeline!$D$21*MIN(1,MAX(0,(40-Pipeline!$E$21+1)/MAX(Pipeline!$F$21,1)))</f>
        <v>3654</v>
      </c>
      <c r="AQ14" s="100" t="n">
        <f aca="false">Pipeline!$Q$21*Pipeline!$D$21*MIN(1,MAX(0,(41-Pipeline!$E$21+1)/MAX(Pipeline!$F$21,1)))</f>
        <v>3654</v>
      </c>
      <c r="AR14" s="100" t="n">
        <f aca="false">Pipeline!$Q$21*Pipeline!$D$21*MIN(1,MAX(0,(42-Pipeline!$E$21+1)/MAX(Pipeline!$F$21,1)))</f>
        <v>3654</v>
      </c>
      <c r="AS14" s="100" t="n">
        <f aca="false">Pipeline!$Q$21*Pipeline!$D$21*MIN(1,MAX(0,(43-Pipeline!$E$21+1)/MAX(Pipeline!$F$21,1)))</f>
        <v>3654</v>
      </c>
      <c r="AT14" s="100" t="n">
        <f aca="false">Pipeline!$Q$21*Pipeline!$D$21*MIN(1,MAX(0,(44-Pipeline!$E$21+1)/MAX(Pipeline!$F$21,1)))</f>
        <v>3654</v>
      </c>
      <c r="AU14" s="100" t="n">
        <f aca="false">Pipeline!$Q$21*Pipeline!$D$21*MIN(1,MAX(0,(45-Pipeline!$E$21+1)/MAX(Pipeline!$F$21,1)))</f>
        <v>3654</v>
      </c>
      <c r="AV14" s="100" t="n">
        <f aca="false">Pipeline!$Q$21*Pipeline!$D$21*MIN(1,MAX(0,(46-Pipeline!$E$21+1)/MAX(Pipeline!$F$21,1)))</f>
        <v>3654</v>
      </c>
      <c r="AW14" s="100" t="n">
        <f aca="false">Pipeline!$Q$21*Pipeline!$D$21*MIN(1,MAX(0,(47-Pipeline!$E$21+1)/MAX(Pipeline!$F$21,1)))</f>
        <v>3654</v>
      </c>
      <c r="AX14" s="100" t="n">
        <f aca="false">Pipeline!$Q$21*Pipeline!$D$21*MIN(1,MAX(0,(48-Pipeline!$E$21+1)/MAX(Pipeline!$F$21,1)))</f>
        <v>3654</v>
      </c>
      <c r="AY14" s="100" t="n">
        <f aca="false">Pipeline!$Q$21*Pipeline!$D$21*MIN(1,MAX(0,(49-Pipeline!$E$21+1)/MAX(Pipeline!$F$21,1)))</f>
        <v>3654</v>
      </c>
      <c r="AZ14" s="100" t="n">
        <f aca="false">Pipeline!$Q$21*Pipeline!$D$21*MIN(1,MAX(0,(50-Pipeline!$E$21+1)/MAX(Pipeline!$F$21,1)))</f>
        <v>3654</v>
      </c>
      <c r="BA14" s="100" t="n">
        <f aca="false">Pipeline!$Q$21*Pipeline!$D$21*MIN(1,MAX(0,(51-Pipeline!$E$21+1)/MAX(Pipeline!$F$21,1)))</f>
        <v>3654</v>
      </c>
      <c r="BB14" s="100" t="n">
        <f aca="false">Pipeline!$Q$21*Pipeline!$D$21*MIN(1,MAX(0,(52-Pipeline!$E$21+1)/MAX(Pipeline!$F$21,1)))</f>
        <v>3654</v>
      </c>
      <c r="BC14" s="100" t="n">
        <f aca="false">Pipeline!$Q$21*Pipeline!$D$21*MIN(1,MAX(0,(53-Pipeline!$E$21+1)/MAX(Pipeline!$F$21,1)))</f>
        <v>3654</v>
      </c>
      <c r="BD14" s="100" t="n">
        <f aca="false">Pipeline!$Q$21*Pipeline!$D$21*MIN(1,MAX(0,(54-Pipeline!$E$21+1)/MAX(Pipeline!$F$21,1)))</f>
        <v>3654</v>
      </c>
      <c r="BE14" s="100" t="n">
        <f aca="false">Pipeline!$Q$21*Pipeline!$D$21*MIN(1,MAX(0,(55-Pipeline!$E$21+1)/MAX(Pipeline!$F$21,1)))</f>
        <v>3654</v>
      </c>
      <c r="BF14" s="100" t="n">
        <f aca="false">Pipeline!$Q$21*Pipeline!$D$21*MIN(1,MAX(0,(56-Pipeline!$E$21+1)/MAX(Pipeline!$F$21,1)))</f>
        <v>3654</v>
      </c>
      <c r="BG14" s="100" t="n">
        <f aca="false">Pipeline!$Q$21*Pipeline!$D$21*MIN(1,MAX(0,(57-Pipeline!$E$21+1)/MAX(Pipeline!$F$21,1)))</f>
        <v>3654</v>
      </c>
      <c r="BH14" s="100" t="n">
        <f aca="false">Pipeline!$Q$21*Pipeline!$D$21*MIN(1,MAX(0,(58-Pipeline!$E$21+1)/MAX(Pipeline!$F$21,1)))</f>
        <v>3654</v>
      </c>
      <c r="BI14" s="100" t="n">
        <f aca="false">Pipeline!$Q$21*Pipeline!$D$21*MIN(1,MAX(0,(59-Pipeline!$E$21+1)/MAX(Pipeline!$F$21,1)))</f>
        <v>3654</v>
      </c>
      <c r="BJ14" s="100" t="n">
        <f aca="false">Pipeline!$Q$21*Pipeline!$D$21*MIN(1,MAX(0,(60-Pipeline!$E$21+1)/MAX(Pipeline!$F$21,1)))</f>
        <v>3654</v>
      </c>
      <c r="BK14" s="100" t="n">
        <f aca="false">Pipeline!$Q$21*Pipeline!$D$21*MIN(1,MAX(0,(61-Pipeline!$E$21+1)/MAX(Pipeline!$F$21,1)))</f>
        <v>3654</v>
      </c>
      <c r="BL14" s="100" t="n">
        <f aca="false">Pipeline!$Q$21*Pipeline!$D$21*MIN(1,MAX(0,(62-Pipeline!$E$21+1)/MAX(Pipeline!$F$21,1)))</f>
        <v>3654</v>
      </c>
      <c r="BM14" s="100" t="n">
        <f aca="false">Pipeline!$Q$21*Pipeline!$D$21*MIN(1,MAX(0,(63-Pipeline!$E$21+1)/MAX(Pipeline!$F$21,1)))</f>
        <v>3654</v>
      </c>
      <c r="BN14" s="100" t="n">
        <f aca="false">Pipeline!$Q$21*Pipeline!$D$21*MIN(1,MAX(0,(64-Pipeline!$E$21+1)/MAX(Pipeline!$F$21,1)))</f>
        <v>3654</v>
      </c>
      <c r="BO14" s="100" t="n">
        <f aca="false">Pipeline!$Q$21*Pipeline!$D$21*MIN(1,MAX(0,(65-Pipeline!$E$21+1)/MAX(Pipeline!$F$21,1)))</f>
        <v>3654</v>
      </c>
      <c r="BP14" s="100" t="n">
        <f aca="false">Pipeline!$Q$21*Pipeline!$D$21*MIN(1,MAX(0,(66-Pipeline!$E$21+1)/MAX(Pipeline!$F$21,1)))</f>
        <v>3654</v>
      </c>
      <c r="BQ14" s="100" t="n">
        <f aca="false">Pipeline!$Q$21*Pipeline!$D$21*MIN(1,MAX(0,(67-Pipeline!$E$21+1)/MAX(Pipeline!$F$21,1)))</f>
        <v>3654</v>
      </c>
      <c r="BR14" s="100" t="n">
        <f aca="false">Pipeline!$Q$21*Pipeline!$D$21*MIN(1,MAX(0,(68-Pipeline!$E$21+1)/MAX(Pipeline!$F$21,1)))</f>
        <v>3654</v>
      </c>
      <c r="BS14" s="100" t="n">
        <f aca="false">Pipeline!$Q$21*Pipeline!$D$21*MIN(1,MAX(0,(69-Pipeline!$E$21+1)/MAX(Pipeline!$F$21,1)))</f>
        <v>3654</v>
      </c>
      <c r="BT14" s="100" t="n">
        <f aca="false">Pipeline!$Q$21*Pipeline!$D$21*MIN(1,MAX(0,(70-Pipeline!$E$21+1)/MAX(Pipeline!$F$21,1)))</f>
        <v>3654</v>
      </c>
      <c r="BU14" s="100" t="n">
        <f aca="false">Pipeline!$Q$21*Pipeline!$D$21*MIN(1,MAX(0,(71-Pipeline!$E$21+1)/MAX(Pipeline!$F$21,1)))</f>
        <v>3654</v>
      </c>
      <c r="BV14" s="100" t="n">
        <f aca="false">Pipeline!$Q$21*Pipeline!$D$21*MIN(1,MAX(0,(72-Pipeline!$E$21+1)/MAX(Pipeline!$F$21,1)))</f>
        <v>3654</v>
      </c>
      <c r="BW14" s="100" t="n">
        <f aca="false">Pipeline!$Q$21*Pipeline!$D$21*MIN(1,MAX(0,(73-Pipeline!$E$21+1)/MAX(Pipeline!$F$21,1)))</f>
        <v>3654</v>
      </c>
      <c r="BX14" s="100" t="n">
        <f aca="false">Pipeline!$Q$21*Pipeline!$D$21*MIN(1,MAX(0,(74-Pipeline!$E$21+1)/MAX(Pipeline!$F$21,1)))</f>
        <v>3654</v>
      </c>
      <c r="BY14" s="100" t="n">
        <f aca="false">Pipeline!$Q$21*Pipeline!$D$21*MIN(1,MAX(0,(75-Pipeline!$E$21+1)/MAX(Pipeline!$F$21,1)))</f>
        <v>3654</v>
      </c>
      <c r="BZ14" s="100" t="n">
        <f aca="false">Pipeline!$Q$21*Pipeline!$D$21*MIN(1,MAX(0,(76-Pipeline!$E$21+1)/MAX(Pipeline!$F$21,1)))</f>
        <v>3654</v>
      </c>
      <c r="CA14" s="100" t="n">
        <f aca="false">Pipeline!$Q$21*Pipeline!$D$21*MIN(1,MAX(0,(77-Pipeline!$E$21+1)/MAX(Pipeline!$F$21,1)))</f>
        <v>3654</v>
      </c>
      <c r="CB14" s="100" t="n">
        <f aca="false">Pipeline!$Q$21*Pipeline!$D$21*MIN(1,MAX(0,(78-Pipeline!$E$21+1)/MAX(Pipeline!$F$21,1)))</f>
        <v>3654</v>
      </c>
      <c r="CC14" s="100" t="n">
        <f aca="false">Pipeline!$Q$21*Pipeline!$D$21*MIN(1,MAX(0,(79-Pipeline!$E$21+1)/MAX(Pipeline!$F$21,1)))</f>
        <v>3654</v>
      </c>
      <c r="CD14" s="100" t="n">
        <f aca="false">Pipeline!$Q$21*Pipeline!$D$21*MIN(1,MAX(0,(80-Pipeline!$E$21+1)/MAX(Pipeline!$F$21,1)))</f>
        <v>3654</v>
      </c>
      <c r="CE14" s="100" t="n">
        <f aca="false">Pipeline!$Q$21*Pipeline!$D$21*MIN(1,MAX(0,(81-Pipeline!$E$21+1)/MAX(Pipeline!$F$21,1)))</f>
        <v>3654</v>
      </c>
      <c r="CF14" s="100" t="n">
        <f aca="false">Pipeline!$Q$21*Pipeline!$D$21*MIN(1,MAX(0,(82-Pipeline!$E$21+1)/MAX(Pipeline!$F$21,1)))</f>
        <v>3654</v>
      </c>
      <c r="CG14" s="100" t="n">
        <f aca="false">Pipeline!$Q$21*Pipeline!$D$21*MIN(1,MAX(0,(83-Pipeline!$E$21+1)/MAX(Pipeline!$F$21,1)))</f>
        <v>3654</v>
      </c>
      <c r="CH14" s="100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6" t="s">
        <v>495</v>
      </c>
      <c r="C15" s="100" t="n">
        <f aca="false">Pipeline!$Q$22*Pipeline!$D$22*MIN(1,MAX(0,(1-Pipeline!$E$22+1)/MAX(Pipeline!$F$22,1)))</f>
        <v>0</v>
      </c>
      <c r="D15" s="100" t="n">
        <f aca="false">Pipeline!$Q$22*Pipeline!$D$22*MIN(1,MAX(0,(2-Pipeline!$E$22+1)/MAX(Pipeline!$F$22,1)))</f>
        <v>0</v>
      </c>
      <c r="E15" s="100" t="n">
        <f aca="false">Pipeline!$Q$22*Pipeline!$D$22*MIN(1,MAX(0,(3-Pipeline!$E$22+1)/MAX(Pipeline!$F$22,1)))</f>
        <v>0</v>
      </c>
      <c r="F15" s="100" t="n">
        <f aca="false">Pipeline!$Q$22*Pipeline!$D$22*MIN(1,MAX(0,(4-Pipeline!$E$22+1)/MAX(Pipeline!$F$22,1)))</f>
        <v>0</v>
      </c>
      <c r="G15" s="100" t="n">
        <f aca="false">Pipeline!$Q$22*Pipeline!$D$22*MIN(1,MAX(0,(5-Pipeline!$E$22+1)/MAX(Pipeline!$F$22,1)))</f>
        <v>0</v>
      </c>
      <c r="H15" s="100" t="n">
        <f aca="false">Pipeline!$Q$22*Pipeline!$D$22*MIN(1,MAX(0,(6-Pipeline!$E$22+1)/MAX(Pipeline!$F$22,1)))</f>
        <v>0</v>
      </c>
      <c r="I15" s="100" t="n">
        <f aca="false">Pipeline!$Q$22*Pipeline!$D$22*MIN(1,MAX(0,(7-Pipeline!$E$22+1)/MAX(Pipeline!$F$22,1)))</f>
        <v>0</v>
      </c>
      <c r="J15" s="100" t="n">
        <f aca="false">Pipeline!$Q$22*Pipeline!$D$22*MIN(1,MAX(0,(8-Pipeline!$E$22+1)/MAX(Pipeline!$F$22,1)))</f>
        <v>0</v>
      </c>
      <c r="K15" s="100" t="n">
        <f aca="false">Pipeline!$Q$22*Pipeline!$D$22*MIN(1,MAX(0,(9-Pipeline!$E$22+1)/MAX(Pipeline!$F$22,1)))</f>
        <v>0</v>
      </c>
      <c r="L15" s="100" t="n">
        <f aca="false">Pipeline!$Q$22*Pipeline!$D$22*MIN(1,MAX(0,(10-Pipeline!$E$22+1)/MAX(Pipeline!$F$22,1)))</f>
        <v>0</v>
      </c>
      <c r="M15" s="100" t="n">
        <f aca="false">Pipeline!$Q$22*Pipeline!$D$22*MIN(1,MAX(0,(11-Pipeline!$E$22+1)/MAX(Pipeline!$F$22,1)))</f>
        <v>0</v>
      </c>
      <c r="N15" s="100" t="n">
        <f aca="false">Pipeline!$Q$22*Pipeline!$D$22*MIN(1,MAX(0,(12-Pipeline!$E$22+1)/MAX(Pipeline!$F$22,1)))</f>
        <v>0</v>
      </c>
      <c r="O15" s="100" t="n">
        <f aca="false">Pipeline!$Q$22*Pipeline!$D$22*MIN(1,MAX(0,(13-Pipeline!$E$22+1)/MAX(Pipeline!$F$22,1)))</f>
        <v>0</v>
      </c>
      <c r="P15" s="100" t="n">
        <f aca="false">Pipeline!$Q$22*Pipeline!$D$22*MIN(1,MAX(0,(14-Pipeline!$E$22+1)/MAX(Pipeline!$F$22,1)))</f>
        <v>0</v>
      </c>
      <c r="Q15" s="100" t="n">
        <f aca="false">Pipeline!$Q$22*Pipeline!$D$22*MIN(1,MAX(0,(15-Pipeline!$E$22+1)/MAX(Pipeline!$F$22,1)))</f>
        <v>0</v>
      </c>
      <c r="R15" s="100" t="n">
        <f aca="false">Pipeline!$Q$22*Pipeline!$D$22*MIN(1,MAX(0,(16-Pipeline!$E$22+1)/MAX(Pipeline!$F$22,1)))</f>
        <v>0</v>
      </c>
      <c r="S15" s="100" t="n">
        <f aca="false">Pipeline!$Q$22*Pipeline!$D$22*MIN(1,MAX(0,(17-Pipeline!$E$22+1)/MAX(Pipeline!$F$22,1)))</f>
        <v>0</v>
      </c>
      <c r="T15" s="100" t="n">
        <f aca="false">Pipeline!$Q$22*Pipeline!$D$22*MIN(1,MAX(0,(18-Pipeline!$E$22+1)/MAX(Pipeline!$F$22,1)))</f>
        <v>0</v>
      </c>
      <c r="U15" s="100" t="n">
        <f aca="false">Pipeline!$Q$22*Pipeline!$D$22*MIN(1,MAX(0,(19-Pipeline!$E$22+1)/MAX(Pipeline!$F$22,1)))</f>
        <v>0</v>
      </c>
      <c r="V15" s="100" t="n">
        <f aca="false">Pipeline!$Q$22*Pipeline!$D$22*MIN(1,MAX(0,(20-Pipeline!$E$22+1)/MAX(Pipeline!$F$22,1)))</f>
        <v>0</v>
      </c>
      <c r="W15" s="100" t="n">
        <f aca="false">Pipeline!$Q$22*Pipeline!$D$22*MIN(1,MAX(0,(21-Pipeline!$E$22+1)/MAX(Pipeline!$F$22,1)))</f>
        <v>0</v>
      </c>
      <c r="X15" s="100" t="n">
        <f aca="false">Pipeline!$Q$22*Pipeline!$D$22*MIN(1,MAX(0,(22-Pipeline!$E$22+1)/MAX(Pipeline!$F$22,1)))</f>
        <v>0</v>
      </c>
      <c r="Y15" s="100" t="n">
        <f aca="false">Pipeline!$Q$22*Pipeline!$D$22*MIN(1,MAX(0,(23-Pipeline!$E$22+1)/MAX(Pipeline!$F$22,1)))</f>
        <v>0</v>
      </c>
      <c r="Z15" s="100" t="n">
        <f aca="false">Pipeline!$Q$22*Pipeline!$D$22*MIN(1,MAX(0,(24-Pipeline!$E$22+1)/MAX(Pipeline!$F$22,1)))</f>
        <v>0</v>
      </c>
      <c r="AA15" s="100" t="n">
        <f aca="false">Pipeline!$Q$22*Pipeline!$D$22*MIN(1,MAX(0,(25-Pipeline!$E$22+1)/MAX(Pipeline!$F$22,1)))</f>
        <v>0</v>
      </c>
      <c r="AB15" s="100" t="n">
        <f aca="false">Pipeline!$Q$22*Pipeline!$D$22*MIN(1,MAX(0,(26-Pipeline!$E$22+1)/MAX(Pipeline!$F$22,1)))</f>
        <v>0</v>
      </c>
      <c r="AC15" s="100" t="n">
        <f aca="false">Pipeline!$Q$22*Pipeline!$D$22*MIN(1,MAX(0,(27-Pipeline!$E$22+1)/MAX(Pipeline!$F$22,1)))</f>
        <v>0</v>
      </c>
      <c r="AD15" s="100" t="n">
        <f aca="false">Pipeline!$Q$22*Pipeline!$D$22*MIN(1,MAX(0,(28-Pipeline!$E$22+1)/MAX(Pipeline!$F$22,1)))</f>
        <v>0</v>
      </c>
      <c r="AE15" s="100" t="n">
        <f aca="false">Pipeline!$Q$22*Pipeline!$D$22*MIN(1,MAX(0,(29-Pipeline!$E$22+1)/MAX(Pipeline!$F$22,1)))</f>
        <v>0</v>
      </c>
      <c r="AF15" s="100" t="n">
        <f aca="false">Pipeline!$Q$22*Pipeline!$D$22*MIN(1,MAX(0,(30-Pipeline!$E$22+1)/MAX(Pipeline!$F$22,1)))</f>
        <v>0</v>
      </c>
      <c r="AG15" s="100" t="n">
        <f aca="false">Pipeline!$Q$22*Pipeline!$D$22*MIN(1,MAX(0,(31-Pipeline!$E$22+1)/MAX(Pipeline!$F$22,1)))</f>
        <v>0</v>
      </c>
      <c r="AH15" s="100" t="n">
        <f aca="false">Pipeline!$Q$22*Pipeline!$D$22*MIN(1,MAX(0,(32-Pipeline!$E$22+1)/MAX(Pipeline!$F$22,1)))</f>
        <v>0</v>
      </c>
      <c r="AI15" s="100" t="n">
        <f aca="false">Pipeline!$Q$22*Pipeline!$D$22*MIN(1,MAX(0,(33-Pipeline!$E$22+1)/MAX(Pipeline!$F$22,1)))</f>
        <v>0</v>
      </c>
      <c r="AJ15" s="100" t="n">
        <f aca="false">Pipeline!$Q$22*Pipeline!$D$22*MIN(1,MAX(0,(34-Pipeline!$E$22+1)/MAX(Pipeline!$F$22,1)))</f>
        <v>0</v>
      </c>
      <c r="AK15" s="100" t="n">
        <f aca="false">Pipeline!$Q$22*Pipeline!$D$22*MIN(1,MAX(0,(35-Pipeline!$E$22+1)/MAX(Pipeline!$F$22,1)))</f>
        <v>0</v>
      </c>
      <c r="AL15" s="100" t="n">
        <f aca="false">Pipeline!$Q$22*Pipeline!$D$22*MIN(1,MAX(0,(36-Pipeline!$E$22+1)/MAX(Pipeline!$F$22,1)))</f>
        <v>0</v>
      </c>
      <c r="AM15" s="100" t="n">
        <f aca="false">Pipeline!$Q$22*Pipeline!$D$22*MIN(1,MAX(0,(37-Pipeline!$E$22+1)/MAX(Pipeline!$F$22,1)))</f>
        <v>0</v>
      </c>
      <c r="AN15" s="100" t="n">
        <f aca="false">Pipeline!$Q$22*Pipeline!$D$22*MIN(1,MAX(0,(38-Pipeline!$E$22+1)/MAX(Pipeline!$F$22,1)))</f>
        <v>0</v>
      </c>
      <c r="AO15" s="100" t="n">
        <f aca="false">Pipeline!$Q$22*Pipeline!$D$22*MIN(1,MAX(0,(39-Pipeline!$E$22+1)/MAX(Pipeline!$F$22,1)))</f>
        <v>0</v>
      </c>
      <c r="AP15" s="100" t="n">
        <f aca="false">Pipeline!$Q$22*Pipeline!$D$22*MIN(1,MAX(0,(40-Pipeline!$E$22+1)/MAX(Pipeline!$F$22,1)))</f>
        <v>0</v>
      </c>
      <c r="AQ15" s="100" t="n">
        <f aca="false">Pipeline!$Q$22*Pipeline!$D$22*MIN(1,MAX(0,(41-Pipeline!$E$22+1)/MAX(Pipeline!$F$22,1)))</f>
        <v>0</v>
      </c>
      <c r="AR15" s="100" t="n">
        <f aca="false">Pipeline!$Q$22*Pipeline!$D$22*MIN(1,MAX(0,(42-Pipeline!$E$22+1)/MAX(Pipeline!$F$22,1)))</f>
        <v>0</v>
      </c>
      <c r="AS15" s="100" t="n">
        <f aca="false">Pipeline!$Q$22*Pipeline!$D$22*MIN(1,MAX(0,(43-Pipeline!$E$22+1)/MAX(Pipeline!$F$22,1)))</f>
        <v>0</v>
      </c>
      <c r="AT15" s="100" t="n">
        <f aca="false">Pipeline!$Q$22*Pipeline!$D$22*MIN(1,MAX(0,(44-Pipeline!$E$22+1)/MAX(Pipeline!$F$22,1)))</f>
        <v>0</v>
      </c>
      <c r="AU15" s="100" t="n">
        <f aca="false">Pipeline!$Q$22*Pipeline!$D$22*MIN(1,MAX(0,(45-Pipeline!$E$22+1)/MAX(Pipeline!$F$22,1)))</f>
        <v>0</v>
      </c>
      <c r="AV15" s="100" t="n">
        <f aca="false">Pipeline!$Q$22*Pipeline!$D$22*MIN(1,MAX(0,(46-Pipeline!$E$22+1)/MAX(Pipeline!$F$22,1)))</f>
        <v>0</v>
      </c>
      <c r="AW15" s="100" t="n">
        <f aca="false">Pipeline!$Q$22*Pipeline!$D$22*MIN(1,MAX(0,(47-Pipeline!$E$22+1)/MAX(Pipeline!$F$22,1)))</f>
        <v>0</v>
      </c>
      <c r="AX15" s="100" t="n">
        <f aca="false">Pipeline!$Q$22*Pipeline!$D$22*MIN(1,MAX(0,(48-Pipeline!$E$22+1)/MAX(Pipeline!$F$22,1)))</f>
        <v>0</v>
      </c>
      <c r="AY15" s="100" t="n">
        <f aca="false">Pipeline!$Q$22*Pipeline!$D$22*MIN(1,MAX(0,(49-Pipeline!$E$22+1)/MAX(Pipeline!$F$22,1)))</f>
        <v>0</v>
      </c>
      <c r="AZ15" s="100" t="n">
        <f aca="false">Pipeline!$Q$22*Pipeline!$D$22*MIN(1,MAX(0,(50-Pipeline!$E$22+1)/MAX(Pipeline!$F$22,1)))</f>
        <v>0</v>
      </c>
      <c r="BA15" s="100" t="n">
        <f aca="false">Pipeline!$Q$22*Pipeline!$D$22*MIN(1,MAX(0,(51-Pipeline!$E$22+1)/MAX(Pipeline!$F$22,1)))</f>
        <v>0</v>
      </c>
      <c r="BB15" s="100" t="n">
        <f aca="false">Pipeline!$Q$22*Pipeline!$D$22*MIN(1,MAX(0,(52-Pipeline!$E$22+1)/MAX(Pipeline!$F$22,1)))</f>
        <v>0</v>
      </c>
      <c r="BC15" s="100" t="n">
        <f aca="false">Pipeline!$Q$22*Pipeline!$D$22*MIN(1,MAX(0,(53-Pipeline!$E$22+1)/MAX(Pipeline!$F$22,1)))</f>
        <v>0</v>
      </c>
      <c r="BD15" s="100" t="n">
        <f aca="false">Pipeline!$Q$22*Pipeline!$D$22*MIN(1,MAX(0,(54-Pipeline!$E$22+1)/MAX(Pipeline!$F$22,1)))</f>
        <v>0</v>
      </c>
      <c r="BE15" s="100" t="n">
        <f aca="false">Pipeline!$Q$22*Pipeline!$D$22*MIN(1,MAX(0,(55-Pipeline!$E$22+1)/MAX(Pipeline!$F$22,1)))</f>
        <v>0</v>
      </c>
      <c r="BF15" s="100" t="n">
        <f aca="false">Pipeline!$Q$22*Pipeline!$D$22*MIN(1,MAX(0,(56-Pipeline!$E$22+1)/MAX(Pipeline!$F$22,1)))</f>
        <v>0</v>
      </c>
      <c r="BG15" s="100" t="n">
        <f aca="false">Pipeline!$Q$22*Pipeline!$D$22*MIN(1,MAX(0,(57-Pipeline!$E$22+1)/MAX(Pipeline!$F$22,1)))</f>
        <v>0</v>
      </c>
      <c r="BH15" s="100" t="n">
        <f aca="false">Pipeline!$Q$22*Pipeline!$D$22*MIN(1,MAX(0,(58-Pipeline!$E$22+1)/MAX(Pipeline!$F$22,1)))</f>
        <v>0</v>
      </c>
      <c r="BI15" s="100" t="n">
        <f aca="false">Pipeline!$Q$22*Pipeline!$D$22*MIN(1,MAX(0,(59-Pipeline!$E$22+1)/MAX(Pipeline!$F$22,1)))</f>
        <v>0</v>
      </c>
      <c r="BJ15" s="100" t="n">
        <f aca="false">Pipeline!$Q$22*Pipeline!$D$22*MIN(1,MAX(0,(60-Pipeline!$E$22+1)/MAX(Pipeline!$F$22,1)))</f>
        <v>0</v>
      </c>
      <c r="BK15" s="100" t="n">
        <f aca="false">Pipeline!$Q$22*Pipeline!$D$22*MIN(1,MAX(0,(61-Pipeline!$E$22+1)/MAX(Pipeline!$F$22,1)))</f>
        <v>0</v>
      </c>
      <c r="BL15" s="100" t="n">
        <f aca="false">Pipeline!$Q$22*Pipeline!$D$22*MIN(1,MAX(0,(62-Pipeline!$E$22+1)/MAX(Pipeline!$F$22,1)))</f>
        <v>0</v>
      </c>
      <c r="BM15" s="100" t="n">
        <f aca="false">Pipeline!$Q$22*Pipeline!$D$22*MIN(1,MAX(0,(63-Pipeline!$E$22+1)/MAX(Pipeline!$F$22,1)))</f>
        <v>0</v>
      </c>
      <c r="BN15" s="100" t="n">
        <f aca="false">Pipeline!$Q$22*Pipeline!$D$22*MIN(1,MAX(0,(64-Pipeline!$E$22+1)/MAX(Pipeline!$F$22,1)))</f>
        <v>0</v>
      </c>
      <c r="BO15" s="100" t="n">
        <f aca="false">Pipeline!$Q$22*Pipeline!$D$22*MIN(1,MAX(0,(65-Pipeline!$E$22+1)/MAX(Pipeline!$F$22,1)))</f>
        <v>0</v>
      </c>
      <c r="BP15" s="100" t="n">
        <f aca="false">Pipeline!$Q$22*Pipeline!$D$22*MIN(1,MAX(0,(66-Pipeline!$E$22+1)/MAX(Pipeline!$F$22,1)))</f>
        <v>0</v>
      </c>
      <c r="BQ15" s="100" t="n">
        <f aca="false">Pipeline!$Q$22*Pipeline!$D$22*MIN(1,MAX(0,(67-Pipeline!$E$22+1)/MAX(Pipeline!$F$22,1)))</f>
        <v>0</v>
      </c>
      <c r="BR15" s="100" t="n">
        <f aca="false">Pipeline!$Q$22*Pipeline!$D$22*MIN(1,MAX(0,(68-Pipeline!$E$22+1)/MAX(Pipeline!$F$22,1)))</f>
        <v>0</v>
      </c>
      <c r="BS15" s="100" t="n">
        <f aca="false">Pipeline!$Q$22*Pipeline!$D$22*MIN(1,MAX(0,(69-Pipeline!$E$22+1)/MAX(Pipeline!$F$22,1)))</f>
        <v>0</v>
      </c>
      <c r="BT15" s="100" t="n">
        <f aca="false">Pipeline!$Q$22*Pipeline!$D$22*MIN(1,MAX(0,(70-Pipeline!$E$22+1)/MAX(Pipeline!$F$22,1)))</f>
        <v>0</v>
      </c>
      <c r="BU15" s="100" t="n">
        <f aca="false">Pipeline!$Q$22*Pipeline!$D$22*MIN(1,MAX(0,(71-Pipeline!$E$22+1)/MAX(Pipeline!$F$22,1)))</f>
        <v>0</v>
      </c>
      <c r="BV15" s="100" t="n">
        <f aca="false">Pipeline!$Q$22*Pipeline!$D$22*MIN(1,MAX(0,(72-Pipeline!$E$22+1)/MAX(Pipeline!$F$22,1)))</f>
        <v>0</v>
      </c>
      <c r="BW15" s="100" t="n">
        <f aca="false">Pipeline!$Q$22*Pipeline!$D$22*MIN(1,MAX(0,(73-Pipeline!$E$22+1)/MAX(Pipeline!$F$22,1)))</f>
        <v>0</v>
      </c>
      <c r="BX15" s="100" t="n">
        <f aca="false">Pipeline!$Q$22*Pipeline!$D$22*MIN(1,MAX(0,(74-Pipeline!$E$22+1)/MAX(Pipeline!$F$22,1)))</f>
        <v>0</v>
      </c>
      <c r="BY15" s="100" t="n">
        <f aca="false">Pipeline!$Q$22*Pipeline!$D$22*MIN(1,MAX(0,(75-Pipeline!$E$22+1)/MAX(Pipeline!$F$22,1)))</f>
        <v>0</v>
      </c>
      <c r="BZ15" s="100" t="n">
        <f aca="false">Pipeline!$Q$22*Pipeline!$D$22*MIN(1,MAX(0,(76-Pipeline!$E$22+1)/MAX(Pipeline!$F$22,1)))</f>
        <v>0</v>
      </c>
      <c r="CA15" s="100" t="n">
        <f aca="false">Pipeline!$Q$22*Pipeline!$D$22*MIN(1,MAX(0,(77-Pipeline!$E$22+1)/MAX(Pipeline!$F$22,1)))</f>
        <v>0</v>
      </c>
      <c r="CB15" s="100" t="n">
        <f aca="false">Pipeline!$Q$22*Pipeline!$D$22*MIN(1,MAX(0,(78-Pipeline!$E$22+1)/MAX(Pipeline!$F$22,1)))</f>
        <v>0</v>
      </c>
      <c r="CC15" s="100" t="n">
        <f aca="false">Pipeline!$Q$22*Pipeline!$D$22*MIN(1,MAX(0,(79-Pipeline!$E$22+1)/MAX(Pipeline!$F$22,1)))</f>
        <v>0</v>
      </c>
      <c r="CD15" s="100" t="n">
        <f aca="false">Pipeline!$Q$22*Pipeline!$D$22*MIN(1,MAX(0,(80-Pipeline!$E$22+1)/MAX(Pipeline!$F$22,1)))</f>
        <v>0</v>
      </c>
      <c r="CE15" s="100" t="n">
        <f aca="false">Pipeline!$Q$22*Pipeline!$D$22*MIN(1,MAX(0,(81-Pipeline!$E$22+1)/MAX(Pipeline!$F$22,1)))</f>
        <v>0</v>
      </c>
      <c r="CF15" s="100" t="n">
        <f aca="false">Pipeline!$Q$22*Pipeline!$D$22*MIN(1,MAX(0,(82-Pipeline!$E$22+1)/MAX(Pipeline!$F$22,1)))</f>
        <v>0</v>
      </c>
      <c r="CG15" s="100" t="n">
        <f aca="false">Pipeline!$Q$22*Pipeline!$D$22*MIN(1,MAX(0,(83-Pipeline!$E$22+1)/MAX(Pipeline!$F$22,1)))</f>
        <v>0</v>
      </c>
      <c r="CH15" s="100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22" t="s">
        <v>496</v>
      </c>
      <c r="C16" s="100" t="n">
        <f aca="false">SUM(C9:C15)</f>
        <v>1005.575</v>
      </c>
      <c r="D16" s="100" t="n">
        <f aca="false">SUM(D9:D15)</f>
        <v>2089.45</v>
      </c>
      <c r="E16" s="100" t="n">
        <f aca="false">SUM(E9:E15)</f>
        <v>4351.903125</v>
      </c>
      <c r="F16" s="100" t="n">
        <f aca="false">SUM(F9:F15)</f>
        <v>5608.78125</v>
      </c>
      <c r="G16" s="100" t="n">
        <f aca="false">SUM(G9:G15)</f>
        <v>6787.359375</v>
      </c>
      <c r="H16" s="100" t="n">
        <f aca="false">SUM(H9:H15)</f>
        <v>8683.6875</v>
      </c>
      <c r="I16" s="100" t="n">
        <f aca="false">SUM(I9:I15)</f>
        <v>10580.015625</v>
      </c>
      <c r="J16" s="100" t="n">
        <f aca="false">SUM(J9:J15)</f>
        <v>12476.34375</v>
      </c>
      <c r="K16" s="100" t="n">
        <f aca="false">SUM(K9:K15)</f>
        <v>14372.671875</v>
      </c>
      <c r="L16" s="100" t="n">
        <f aca="false">SUM(L9:L15)</f>
        <v>16269</v>
      </c>
      <c r="M16" s="100" t="n">
        <f aca="false">SUM(M9:M15)</f>
        <v>16986.75</v>
      </c>
      <c r="N16" s="100" t="n">
        <f aca="false">SUM(N9:N15)</f>
        <v>18683.25</v>
      </c>
      <c r="O16" s="100" t="n">
        <f aca="false">SUM(O9:O15)</f>
        <v>20379.75</v>
      </c>
      <c r="P16" s="100" t="n">
        <f aca="false">SUM(P9:P15)</f>
        <v>21723.9</v>
      </c>
      <c r="Q16" s="100" t="n">
        <f aca="false">SUM(Q9:Q15)</f>
        <v>23068.05</v>
      </c>
      <c r="R16" s="100" t="n">
        <f aca="false">SUM(R9:R15)</f>
        <v>24412.2</v>
      </c>
      <c r="S16" s="100" t="n">
        <f aca="false">SUM(S9:S15)</f>
        <v>25756.35</v>
      </c>
      <c r="T16" s="100" t="n">
        <f aca="false">SUM(T9:T15)</f>
        <v>27100.5</v>
      </c>
      <c r="U16" s="100" t="n">
        <f aca="false">SUM(U9:U15)</f>
        <v>28444.65</v>
      </c>
      <c r="V16" s="100" t="n">
        <f aca="false">SUM(V9:V15)</f>
        <v>29788.8</v>
      </c>
      <c r="W16" s="100" t="n">
        <f aca="false">SUM(W9:W15)</f>
        <v>31132.95</v>
      </c>
      <c r="X16" s="100" t="n">
        <f aca="false">SUM(X9:X15)</f>
        <v>31498.35</v>
      </c>
      <c r="Y16" s="100" t="n">
        <f aca="false">SUM(Y9:Y15)</f>
        <v>31863.75</v>
      </c>
      <c r="Z16" s="100" t="n">
        <f aca="false">SUM(Z9:Z15)</f>
        <v>31863.75</v>
      </c>
      <c r="AA16" s="100" t="n">
        <f aca="false">SUM(AA9:AA15)</f>
        <v>31863.75</v>
      </c>
      <c r="AB16" s="100" t="n">
        <f aca="false">SUM(AB9:AB15)</f>
        <v>31863.75</v>
      </c>
      <c r="AC16" s="100" t="n">
        <f aca="false">SUM(AC9:AC15)</f>
        <v>31863.75</v>
      </c>
      <c r="AD16" s="100" t="n">
        <f aca="false">SUM(AD9:AD15)</f>
        <v>31863.75</v>
      </c>
      <c r="AE16" s="100" t="n">
        <f aca="false">SUM(AE9:AE15)</f>
        <v>31863.75</v>
      </c>
      <c r="AF16" s="100" t="n">
        <f aca="false">SUM(AF9:AF15)</f>
        <v>31863.75</v>
      </c>
      <c r="AG16" s="100" t="n">
        <f aca="false">SUM(AG9:AG15)</f>
        <v>31863.75</v>
      </c>
      <c r="AH16" s="100" t="n">
        <f aca="false">SUM(AH9:AH15)</f>
        <v>31863.75</v>
      </c>
      <c r="AI16" s="100" t="n">
        <f aca="false">SUM(AI9:AI15)</f>
        <v>31863.75</v>
      </c>
      <c r="AJ16" s="100" t="n">
        <f aca="false">SUM(AJ9:AJ15)</f>
        <v>31863.75</v>
      </c>
      <c r="AK16" s="100" t="n">
        <f aca="false">SUM(AK9:AK15)</f>
        <v>31863.75</v>
      </c>
      <c r="AL16" s="100" t="n">
        <f aca="false">SUM(AL9:AL15)</f>
        <v>31863.75</v>
      </c>
      <c r="AM16" s="100" t="n">
        <f aca="false">SUM(AM9:AM15)</f>
        <v>31863.75</v>
      </c>
      <c r="AN16" s="100" t="n">
        <f aca="false">SUM(AN9:AN15)</f>
        <v>31863.75</v>
      </c>
      <c r="AO16" s="100" t="n">
        <f aca="false">SUM(AO9:AO15)</f>
        <v>31863.75</v>
      </c>
      <c r="AP16" s="100" t="n">
        <f aca="false">SUM(AP9:AP15)</f>
        <v>31863.75</v>
      </c>
      <c r="AQ16" s="100" t="n">
        <f aca="false">SUM(AQ9:AQ15)</f>
        <v>31863.75</v>
      </c>
      <c r="AR16" s="100" t="n">
        <f aca="false">SUM(AR9:AR15)</f>
        <v>31863.75</v>
      </c>
      <c r="AS16" s="100" t="n">
        <f aca="false">SUM(AS9:AS15)</f>
        <v>31863.75</v>
      </c>
      <c r="AT16" s="100" t="n">
        <f aca="false">SUM(AT9:AT15)</f>
        <v>31863.75</v>
      </c>
      <c r="AU16" s="100" t="n">
        <f aca="false">SUM(AU9:AU15)</f>
        <v>31863.75</v>
      </c>
      <c r="AV16" s="100" t="n">
        <f aca="false">SUM(AV9:AV15)</f>
        <v>31863.75</v>
      </c>
      <c r="AW16" s="100" t="n">
        <f aca="false">SUM(AW9:AW15)</f>
        <v>31863.75</v>
      </c>
      <c r="AX16" s="100" t="n">
        <f aca="false">SUM(AX9:AX15)</f>
        <v>31863.75</v>
      </c>
      <c r="AY16" s="100" t="n">
        <f aca="false">SUM(AY9:AY15)</f>
        <v>31863.75</v>
      </c>
      <c r="AZ16" s="100" t="n">
        <f aca="false">SUM(AZ9:AZ15)</f>
        <v>31863.75</v>
      </c>
      <c r="BA16" s="100" t="n">
        <f aca="false">SUM(BA9:BA15)</f>
        <v>31863.75</v>
      </c>
      <c r="BB16" s="100" t="n">
        <f aca="false">SUM(BB9:BB15)</f>
        <v>31863.75</v>
      </c>
      <c r="BC16" s="100" t="n">
        <f aca="false">SUM(BC9:BC15)</f>
        <v>31863.75</v>
      </c>
      <c r="BD16" s="100" t="n">
        <f aca="false">SUM(BD9:BD15)</f>
        <v>31863.75</v>
      </c>
      <c r="BE16" s="100" t="n">
        <f aca="false">SUM(BE9:BE15)</f>
        <v>31863.75</v>
      </c>
      <c r="BF16" s="100" t="n">
        <f aca="false">SUM(BF9:BF15)</f>
        <v>31863.75</v>
      </c>
      <c r="BG16" s="100" t="n">
        <f aca="false">SUM(BG9:BG15)</f>
        <v>31863.75</v>
      </c>
      <c r="BH16" s="100" t="n">
        <f aca="false">SUM(BH9:BH15)</f>
        <v>31863.75</v>
      </c>
      <c r="BI16" s="100" t="n">
        <f aca="false">SUM(BI9:BI15)</f>
        <v>31863.75</v>
      </c>
      <c r="BJ16" s="100" t="n">
        <f aca="false">SUM(BJ9:BJ15)</f>
        <v>31863.75</v>
      </c>
      <c r="BK16" s="100" t="n">
        <f aca="false">SUM(BK9:BK15)</f>
        <v>31863.75</v>
      </c>
      <c r="BL16" s="100" t="n">
        <f aca="false">SUM(BL9:BL15)</f>
        <v>31863.75</v>
      </c>
      <c r="BM16" s="100" t="n">
        <f aca="false">SUM(BM9:BM15)</f>
        <v>31863.75</v>
      </c>
      <c r="BN16" s="100" t="n">
        <f aca="false">SUM(BN9:BN15)</f>
        <v>31863.75</v>
      </c>
      <c r="BO16" s="100" t="n">
        <f aca="false">SUM(BO9:BO15)</f>
        <v>31863.75</v>
      </c>
      <c r="BP16" s="100" t="n">
        <f aca="false">SUM(BP9:BP15)</f>
        <v>31863.75</v>
      </c>
      <c r="BQ16" s="100" t="n">
        <f aca="false">SUM(BQ9:BQ15)</f>
        <v>31863.75</v>
      </c>
      <c r="BR16" s="100" t="n">
        <f aca="false">SUM(BR9:BR15)</f>
        <v>31863.75</v>
      </c>
      <c r="BS16" s="100" t="n">
        <f aca="false">SUM(BS9:BS15)</f>
        <v>31863.75</v>
      </c>
      <c r="BT16" s="100" t="n">
        <f aca="false">SUM(BT9:BT15)</f>
        <v>31863.75</v>
      </c>
      <c r="BU16" s="100" t="n">
        <f aca="false">SUM(BU9:BU15)</f>
        <v>31863.75</v>
      </c>
      <c r="BV16" s="100" t="n">
        <f aca="false">SUM(BV9:BV15)</f>
        <v>31863.75</v>
      </c>
      <c r="BW16" s="100" t="n">
        <f aca="false">SUM(BW9:BW15)</f>
        <v>31863.75</v>
      </c>
      <c r="BX16" s="100" t="n">
        <f aca="false">SUM(BX9:BX15)</f>
        <v>31863.75</v>
      </c>
      <c r="BY16" s="100" t="n">
        <f aca="false">SUM(BY9:BY15)</f>
        <v>31863.75</v>
      </c>
      <c r="BZ16" s="100" t="n">
        <f aca="false">SUM(BZ9:BZ15)</f>
        <v>31863.75</v>
      </c>
      <c r="CA16" s="100" t="n">
        <f aca="false">SUM(CA9:CA15)</f>
        <v>31863.75</v>
      </c>
      <c r="CB16" s="100" t="n">
        <f aca="false">SUM(CB9:CB15)</f>
        <v>31863.75</v>
      </c>
      <c r="CC16" s="100" t="n">
        <f aca="false">SUM(CC9:CC15)</f>
        <v>31863.75</v>
      </c>
      <c r="CD16" s="100" t="n">
        <f aca="false">SUM(CD9:CD15)</f>
        <v>31863.75</v>
      </c>
      <c r="CE16" s="100" t="n">
        <f aca="false">SUM(CE9:CE15)</f>
        <v>31863.75</v>
      </c>
      <c r="CF16" s="100" t="n">
        <f aca="false">SUM(CF9:CF15)</f>
        <v>31863.75</v>
      </c>
      <c r="CG16" s="100" t="n">
        <f aca="false">SUM(CG9:CG15)</f>
        <v>31863.75</v>
      </c>
      <c r="CH16" s="100" t="n">
        <f aca="false">SUM(CH9:CH15)</f>
        <v>31863.75</v>
      </c>
    </row>
    <row r="17" customFormat="false" ht="13.5" hidden="false" customHeight="true" outlineLevel="0" collapsed="false">
      <c r="A17" s="6" t="s">
        <v>497</v>
      </c>
      <c r="C17" s="101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F$17</f>
        <v>110.2</v>
      </c>
      <c r="D17" s="101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F$17</f>
        <v>235.752941176471</v>
      </c>
      <c r="E17" s="101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F$17</f>
        <v>565.69762342437</v>
      </c>
      <c r="F17" s="101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F$17</f>
        <v>785.442305672269</v>
      </c>
      <c r="G17" s="101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F$17</f>
        <v>989.834046743697</v>
      </c>
      <c r="H17" s="101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F$17</f>
        <v>1370.14490546218</v>
      </c>
      <c r="I17" s="101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F$17</f>
        <v>1750.45576418067</v>
      </c>
      <c r="J17" s="101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F$17</f>
        <v>2130.76662289916</v>
      </c>
      <c r="K17" s="101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F$17</f>
        <v>2511.07748161765</v>
      </c>
      <c r="L17" s="101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F$17</f>
        <v>2891.38834033613</v>
      </c>
      <c r="M17" s="101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F$17</f>
        <v>3067.30745798319</v>
      </c>
      <c r="N17" s="101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F$17</f>
        <v>3499.10892857143</v>
      </c>
      <c r="O17" s="101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F$17</f>
        <v>3930.91039915966</v>
      </c>
      <c r="P17" s="101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F$17</f>
        <v>4289.14569327731</v>
      </c>
      <c r="Q17" s="101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F$17</f>
        <v>4647.38098739496</v>
      </c>
      <c r="R17" s="101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F$17</f>
        <v>5005.6162815126</v>
      </c>
      <c r="S17" s="101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F$17</f>
        <v>5363.85157563025</v>
      </c>
      <c r="T17" s="101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F$17</f>
        <v>5722.0868697479</v>
      </c>
      <c r="U17" s="101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F$17</f>
        <v>6080.32216386555</v>
      </c>
      <c r="V17" s="101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F$17</f>
        <v>6438.55745798319</v>
      </c>
      <c r="W17" s="101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F$17</f>
        <v>6796.79275210084</v>
      </c>
      <c r="X17" s="101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F$17</f>
        <v>6899.14569327731</v>
      </c>
      <c r="Y17" s="101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F$17</f>
        <v>7001.49863445378</v>
      </c>
      <c r="Z17" s="101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F$17</f>
        <v>7001.49863445378</v>
      </c>
      <c r="AA17" s="101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F$17</f>
        <v>7001.49863445378</v>
      </c>
      <c r="AB17" s="101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F$17</f>
        <v>7001.49863445378</v>
      </c>
      <c r="AC17" s="101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F$17</f>
        <v>7001.49863445378</v>
      </c>
      <c r="AD17" s="101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F$17</f>
        <v>7001.49863445378</v>
      </c>
      <c r="AE17" s="101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F$17</f>
        <v>7001.49863445378</v>
      </c>
      <c r="AF17" s="101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F$17</f>
        <v>7001.49863445378</v>
      </c>
      <c r="AG17" s="101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F$17</f>
        <v>7001.49863445378</v>
      </c>
      <c r="AH17" s="101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F$17</f>
        <v>7001.49863445378</v>
      </c>
      <c r="AI17" s="101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F$17</f>
        <v>7001.49863445378</v>
      </c>
      <c r="AJ17" s="101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F$17</f>
        <v>7001.49863445378</v>
      </c>
      <c r="AK17" s="101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F$17</f>
        <v>7001.49863445378</v>
      </c>
      <c r="AL17" s="101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F$17</f>
        <v>7001.49863445378</v>
      </c>
      <c r="AM17" s="101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F$17</f>
        <v>7001.49863445378</v>
      </c>
      <c r="AN17" s="101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F$17</f>
        <v>7001.49863445378</v>
      </c>
      <c r="AO17" s="101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F$17</f>
        <v>7001.49863445378</v>
      </c>
      <c r="AP17" s="101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F$17</f>
        <v>7001.49863445378</v>
      </c>
      <c r="AQ17" s="101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F$17</f>
        <v>7001.49863445378</v>
      </c>
      <c r="AR17" s="101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F$17</f>
        <v>7001.49863445378</v>
      </c>
      <c r="AS17" s="101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F$17</f>
        <v>7001.49863445378</v>
      </c>
      <c r="AT17" s="101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F$17</f>
        <v>7001.49863445378</v>
      </c>
      <c r="AU17" s="101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F$17</f>
        <v>7001.49863445378</v>
      </c>
      <c r="AV17" s="101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F$17</f>
        <v>7001.49863445378</v>
      </c>
      <c r="AW17" s="101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F$17</f>
        <v>7001.49863445378</v>
      </c>
      <c r="AX17" s="101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F$17</f>
        <v>7001.49863445378</v>
      </c>
      <c r="AY17" s="101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F$17</f>
        <v>7001.49863445378</v>
      </c>
      <c r="AZ17" s="101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F$17</f>
        <v>7001.49863445378</v>
      </c>
      <c r="BA17" s="101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F$17</f>
        <v>7001.49863445378</v>
      </c>
      <c r="BB17" s="101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F$17</f>
        <v>7001.49863445378</v>
      </c>
      <c r="BC17" s="101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F$17</f>
        <v>7001.49863445378</v>
      </c>
      <c r="BD17" s="101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F$17</f>
        <v>7001.49863445378</v>
      </c>
      <c r="BE17" s="101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F$17</f>
        <v>7001.49863445378</v>
      </c>
      <c r="BF17" s="101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F$17</f>
        <v>7001.49863445378</v>
      </c>
      <c r="BG17" s="101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F$17</f>
        <v>7001.49863445378</v>
      </c>
      <c r="BH17" s="101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F$17</f>
        <v>7001.49863445378</v>
      </c>
      <c r="BI17" s="101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F$17</f>
        <v>7001.49863445378</v>
      </c>
      <c r="BJ17" s="101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F$17</f>
        <v>7001.49863445378</v>
      </c>
      <c r="BK17" s="101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F$17</f>
        <v>7001.49863445378</v>
      </c>
      <c r="BL17" s="101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F$17</f>
        <v>7001.49863445378</v>
      </c>
      <c r="BM17" s="101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F$17</f>
        <v>7001.49863445378</v>
      </c>
      <c r="BN17" s="101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F$17</f>
        <v>7001.49863445378</v>
      </c>
      <c r="BO17" s="101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F$17</f>
        <v>7001.49863445378</v>
      </c>
      <c r="BP17" s="101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F$17</f>
        <v>7001.49863445378</v>
      </c>
      <c r="BQ17" s="101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F$17</f>
        <v>7001.49863445378</v>
      </c>
      <c r="BR17" s="101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F$17</f>
        <v>7001.49863445378</v>
      </c>
      <c r="BS17" s="101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F$17</f>
        <v>7001.49863445378</v>
      </c>
      <c r="BT17" s="101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F$17</f>
        <v>7001.49863445378</v>
      </c>
      <c r="BU17" s="101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F$17</f>
        <v>7001.49863445378</v>
      </c>
      <c r="BV17" s="101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F$17</f>
        <v>7001.49863445378</v>
      </c>
      <c r="BW17" s="101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F$17</f>
        <v>7001.49863445378</v>
      </c>
      <c r="BX17" s="101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F$17</f>
        <v>7001.49863445378</v>
      </c>
      <c r="BY17" s="101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F$17</f>
        <v>7001.49863445378</v>
      </c>
      <c r="BZ17" s="101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F$17</f>
        <v>7001.49863445378</v>
      </c>
      <c r="CA17" s="101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F$17</f>
        <v>7001.49863445378</v>
      </c>
      <c r="CB17" s="101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F$17</f>
        <v>7001.49863445378</v>
      </c>
      <c r="CC17" s="101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F$17</f>
        <v>7001.49863445378</v>
      </c>
      <c r="CD17" s="101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F$17</f>
        <v>7001.49863445378</v>
      </c>
      <c r="CE17" s="101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F$17</f>
        <v>7001.49863445378</v>
      </c>
      <c r="CF17" s="101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F$17</f>
        <v>7001.49863445378</v>
      </c>
      <c r="CG17" s="101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F$17</f>
        <v>7001.49863445378</v>
      </c>
      <c r="CH17" s="101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F$17</f>
        <v>7001.49863445378</v>
      </c>
    </row>
    <row r="18" customFormat="false" ht="13.5" hidden="false" customHeight="true" outlineLevel="0" collapsed="false">
      <c r="A18" s="6" t="s">
        <v>498</v>
      </c>
      <c r="C18" s="109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F$17</f>
        <v>42.5657462195924</v>
      </c>
      <c r="D18" s="109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F$17</f>
        <v>86.9988784468422</v>
      </c>
      <c r="E18" s="109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F$17</f>
        <v>162.939455552931</v>
      </c>
      <c r="F18" s="109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F$17</f>
        <v>196.314286439428</v>
      </c>
      <c r="G18" s="109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F$17</f>
        <v>227.821731318267</v>
      </c>
      <c r="H18" s="109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F$17</f>
        <v>280.726307534848</v>
      </c>
      <c r="I18" s="109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F$17</f>
        <v>333.63088375143</v>
      </c>
      <c r="J18" s="109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F$17</f>
        <v>386.535459968011</v>
      </c>
      <c r="K18" s="109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F$17</f>
        <v>439.440036184592</v>
      </c>
      <c r="L18" s="109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F$17</f>
        <v>492.344612401173</v>
      </c>
      <c r="M18" s="109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F$17</f>
        <v>513.741743738916</v>
      </c>
      <c r="N18" s="109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F$17</f>
        <v>566.261975204283</v>
      </c>
      <c r="O18" s="109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F$17</f>
        <v>618.78220666965</v>
      </c>
      <c r="P18" s="109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F$17</f>
        <v>662.354546848325</v>
      </c>
      <c r="Q18" s="109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F$17</f>
        <v>705.926887027</v>
      </c>
      <c r="R18" s="109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F$17</f>
        <v>749.499227205675</v>
      </c>
      <c r="S18" s="109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F$17</f>
        <v>793.07156738435</v>
      </c>
      <c r="T18" s="109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F$17</f>
        <v>836.643907563025</v>
      </c>
      <c r="U18" s="109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F$17</f>
        <v>880.2162477417</v>
      </c>
      <c r="V18" s="109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F$17</f>
        <v>923.788587920375</v>
      </c>
      <c r="W18" s="109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F$17</f>
        <v>967.36092809905</v>
      </c>
      <c r="X18" s="109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F$17</f>
        <v>979.8101681501</v>
      </c>
      <c r="Y18" s="109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F$17</f>
        <v>992.25940820115</v>
      </c>
      <c r="Z18" s="109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F$17</f>
        <v>992.25940820115</v>
      </c>
      <c r="AA18" s="109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F$17</f>
        <v>992.25940820115</v>
      </c>
      <c r="AB18" s="109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F$17</f>
        <v>992.25940820115</v>
      </c>
      <c r="AC18" s="109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F$17</f>
        <v>992.25940820115</v>
      </c>
      <c r="AD18" s="109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F$17</f>
        <v>992.25940820115</v>
      </c>
      <c r="AE18" s="109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F$17</f>
        <v>992.25940820115</v>
      </c>
      <c r="AF18" s="109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F$17</f>
        <v>992.25940820115</v>
      </c>
      <c r="AG18" s="109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F$17</f>
        <v>992.25940820115</v>
      </c>
      <c r="AH18" s="109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F$17</f>
        <v>992.25940820115</v>
      </c>
      <c r="AI18" s="109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F$17</f>
        <v>992.25940820115</v>
      </c>
      <c r="AJ18" s="109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F$17</f>
        <v>992.25940820115</v>
      </c>
      <c r="AK18" s="109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F$17</f>
        <v>992.25940820115</v>
      </c>
      <c r="AL18" s="109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F$17</f>
        <v>992.25940820115</v>
      </c>
      <c r="AM18" s="109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F$17</f>
        <v>992.25940820115</v>
      </c>
      <c r="AN18" s="109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F$17</f>
        <v>992.25940820115</v>
      </c>
      <c r="AO18" s="109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F$17</f>
        <v>992.25940820115</v>
      </c>
      <c r="AP18" s="109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F$17</f>
        <v>992.25940820115</v>
      </c>
      <c r="AQ18" s="109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F$17</f>
        <v>992.25940820115</v>
      </c>
      <c r="AR18" s="109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F$17</f>
        <v>992.25940820115</v>
      </c>
      <c r="AS18" s="109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F$17</f>
        <v>992.25940820115</v>
      </c>
      <c r="AT18" s="109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F$17</f>
        <v>992.25940820115</v>
      </c>
      <c r="AU18" s="109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F$17</f>
        <v>992.25940820115</v>
      </c>
      <c r="AV18" s="109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F$17</f>
        <v>992.25940820115</v>
      </c>
      <c r="AW18" s="109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F$17</f>
        <v>992.25940820115</v>
      </c>
      <c r="AX18" s="109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F$17</f>
        <v>992.25940820115</v>
      </c>
      <c r="AY18" s="109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F$17</f>
        <v>992.25940820115</v>
      </c>
      <c r="AZ18" s="109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F$17</f>
        <v>992.25940820115</v>
      </c>
      <c r="BA18" s="109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F$17</f>
        <v>992.25940820115</v>
      </c>
      <c r="BB18" s="109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F$17</f>
        <v>992.25940820115</v>
      </c>
      <c r="BC18" s="109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F$17</f>
        <v>992.25940820115</v>
      </c>
      <c r="BD18" s="109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F$17</f>
        <v>992.25940820115</v>
      </c>
      <c r="BE18" s="109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F$17</f>
        <v>992.25940820115</v>
      </c>
      <c r="BF18" s="109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F$17</f>
        <v>992.25940820115</v>
      </c>
      <c r="BG18" s="109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F$17</f>
        <v>992.25940820115</v>
      </c>
      <c r="BH18" s="109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F$17</f>
        <v>992.25940820115</v>
      </c>
      <c r="BI18" s="109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F$17</f>
        <v>992.25940820115</v>
      </c>
      <c r="BJ18" s="109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F$17</f>
        <v>992.25940820115</v>
      </c>
      <c r="BK18" s="109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F$17</f>
        <v>992.25940820115</v>
      </c>
      <c r="BL18" s="109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F$17</f>
        <v>992.25940820115</v>
      </c>
      <c r="BM18" s="109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F$17</f>
        <v>992.25940820115</v>
      </c>
      <c r="BN18" s="109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F$17</f>
        <v>992.25940820115</v>
      </c>
      <c r="BO18" s="109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F$17</f>
        <v>992.25940820115</v>
      </c>
      <c r="BP18" s="109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F$17</f>
        <v>992.25940820115</v>
      </c>
      <c r="BQ18" s="109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F$17</f>
        <v>992.25940820115</v>
      </c>
      <c r="BR18" s="109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F$17</f>
        <v>992.25940820115</v>
      </c>
      <c r="BS18" s="109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F$17</f>
        <v>992.25940820115</v>
      </c>
      <c r="BT18" s="109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F$17</f>
        <v>992.25940820115</v>
      </c>
      <c r="BU18" s="109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F$17</f>
        <v>992.25940820115</v>
      </c>
      <c r="BV18" s="109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F$17</f>
        <v>992.25940820115</v>
      </c>
      <c r="BW18" s="109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F$17</f>
        <v>992.25940820115</v>
      </c>
      <c r="BX18" s="109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F$17</f>
        <v>992.25940820115</v>
      </c>
      <c r="BY18" s="109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F$17</f>
        <v>992.25940820115</v>
      </c>
      <c r="BZ18" s="109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F$17</f>
        <v>992.25940820115</v>
      </c>
      <c r="CA18" s="109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F$17</f>
        <v>992.25940820115</v>
      </c>
      <c r="CB18" s="109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F$17</f>
        <v>992.25940820115</v>
      </c>
      <c r="CC18" s="109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F$17</f>
        <v>992.25940820115</v>
      </c>
      <c r="CD18" s="109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F$17</f>
        <v>992.25940820115</v>
      </c>
      <c r="CE18" s="109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F$17</f>
        <v>992.25940820115</v>
      </c>
      <c r="CF18" s="109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F$17</f>
        <v>992.25940820115</v>
      </c>
      <c r="CG18" s="109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F$17</f>
        <v>992.25940820115</v>
      </c>
      <c r="CH18" s="109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F$17</f>
        <v>992.25940820115</v>
      </c>
    </row>
    <row r="19" customFormat="false" ht="13.5" hidden="false" customHeight="true" outlineLevel="0" collapsed="false">
      <c r="A19" s="6" t="s">
        <v>499</v>
      </c>
      <c r="C19" s="100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109.098</v>
      </c>
      <c r="D19" s="100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234.623647058823</v>
      </c>
      <c r="E19" s="100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579.188495010504</v>
      </c>
      <c r="F19" s="100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814.655342962185</v>
      </c>
      <c r="G19" s="100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1033.69454385504</v>
      </c>
      <c r="H19" s="100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1440.96720063025</v>
      </c>
      <c r="I19" s="100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1848.23985740546</v>
      </c>
      <c r="J19" s="100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2255.51251418067</v>
      </c>
      <c r="K19" s="100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2662.78517095588</v>
      </c>
      <c r="L19" s="100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3070.05782773109</v>
      </c>
      <c r="M19" s="100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3258.29128361345</v>
      </c>
      <c r="N19" s="100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3720.31885714286</v>
      </c>
      <c r="O19" s="100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4182.34643067227</v>
      </c>
      <c r="P19" s="100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4565.65819537815</v>
      </c>
      <c r="Q19" s="100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4948.96996008403</v>
      </c>
      <c r="R19" s="100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5332.28172478992</v>
      </c>
      <c r="S19" s="100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5715.5934894958</v>
      </c>
      <c r="T19" s="100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6098.90525420168</v>
      </c>
      <c r="U19" s="100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6482.21701890756</v>
      </c>
      <c r="V19" s="100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6865.52878361345</v>
      </c>
      <c r="W19" s="100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7248.84054831933</v>
      </c>
      <c r="X19" s="100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7358.35819537815</v>
      </c>
      <c r="Y19" s="100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7467.87584243697</v>
      </c>
      <c r="Z19" s="100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7467.87584243697</v>
      </c>
      <c r="AA19" s="100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7467.87584243697</v>
      </c>
      <c r="AB19" s="100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7467.87584243697</v>
      </c>
      <c r="AC19" s="100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7467.87584243697</v>
      </c>
      <c r="AD19" s="100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7467.87584243697</v>
      </c>
      <c r="AE19" s="100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7467.87584243697</v>
      </c>
      <c r="AF19" s="100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7467.87584243697</v>
      </c>
      <c r="AG19" s="100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7467.87584243697</v>
      </c>
      <c r="AH19" s="100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7467.87584243697</v>
      </c>
      <c r="AI19" s="100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7467.87584243697</v>
      </c>
      <c r="AJ19" s="100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7467.87584243697</v>
      </c>
      <c r="AK19" s="100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7467.87584243697</v>
      </c>
      <c r="AL19" s="100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7467.87584243697</v>
      </c>
      <c r="AM19" s="100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7467.87584243697</v>
      </c>
      <c r="AN19" s="100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7467.87584243697</v>
      </c>
      <c r="AO19" s="100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7467.87584243697</v>
      </c>
      <c r="AP19" s="100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7467.87584243697</v>
      </c>
      <c r="AQ19" s="100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7467.87584243697</v>
      </c>
      <c r="AR19" s="100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7467.87584243697</v>
      </c>
      <c r="AS19" s="100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7467.87584243697</v>
      </c>
      <c r="AT19" s="100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7467.87584243697</v>
      </c>
      <c r="AU19" s="100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7467.87584243697</v>
      </c>
      <c r="AV19" s="100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7467.87584243697</v>
      </c>
      <c r="AW19" s="100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7467.87584243697</v>
      </c>
      <c r="AX19" s="100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7467.87584243697</v>
      </c>
      <c r="AY19" s="100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7467.87584243697</v>
      </c>
      <c r="AZ19" s="100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7467.87584243697</v>
      </c>
      <c r="BA19" s="100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7467.87584243697</v>
      </c>
      <c r="BB19" s="100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7467.87584243697</v>
      </c>
      <c r="BC19" s="100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7467.87584243697</v>
      </c>
      <c r="BD19" s="100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7467.87584243697</v>
      </c>
      <c r="BE19" s="100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7467.87584243697</v>
      </c>
      <c r="BF19" s="100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7467.87584243697</v>
      </c>
      <c r="BG19" s="100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7467.87584243697</v>
      </c>
      <c r="BH19" s="100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7467.87584243697</v>
      </c>
      <c r="BI19" s="100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7467.87584243697</v>
      </c>
      <c r="BJ19" s="100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7467.87584243697</v>
      </c>
      <c r="BK19" s="100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7467.87584243697</v>
      </c>
      <c r="BL19" s="100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7467.87584243697</v>
      </c>
      <c r="BM19" s="100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7467.87584243697</v>
      </c>
      <c r="BN19" s="100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7467.87584243697</v>
      </c>
      <c r="BO19" s="100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7467.87584243697</v>
      </c>
      <c r="BP19" s="100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7467.87584243697</v>
      </c>
      <c r="BQ19" s="100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7467.87584243697</v>
      </c>
      <c r="BR19" s="100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7467.87584243697</v>
      </c>
      <c r="BS19" s="100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7467.87584243697</v>
      </c>
      <c r="BT19" s="100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7467.87584243697</v>
      </c>
      <c r="BU19" s="100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7467.87584243697</v>
      </c>
      <c r="BV19" s="100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7467.87584243697</v>
      </c>
      <c r="BW19" s="100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7467.87584243697</v>
      </c>
      <c r="BX19" s="100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7467.87584243697</v>
      </c>
      <c r="BY19" s="100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7467.87584243697</v>
      </c>
      <c r="BZ19" s="100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7467.87584243697</v>
      </c>
      <c r="CA19" s="100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7467.87584243697</v>
      </c>
      <c r="CB19" s="100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7467.87584243697</v>
      </c>
      <c r="CC19" s="100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7467.87584243697</v>
      </c>
      <c r="CD19" s="100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7467.87584243697</v>
      </c>
      <c r="CE19" s="100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7467.87584243697</v>
      </c>
      <c r="CF19" s="100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7467.87584243697</v>
      </c>
      <c r="CG19" s="100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7467.87584243697</v>
      </c>
      <c r="CH19" s="100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7467.87584243697</v>
      </c>
    </row>
    <row r="20" customFormat="false" ht="13.5" hidden="false" customHeight="true" outlineLevel="0" collapsed="false">
      <c r="A20" s="6" t="s">
        <v>500</v>
      </c>
      <c r="C20" s="109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09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09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09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09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09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09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09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09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09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09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09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09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09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09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09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09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09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09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09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09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09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09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09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09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09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09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09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09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09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09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09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09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09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09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09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09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09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09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09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09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09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09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09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09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09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09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09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09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09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09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09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09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09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09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09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09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09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09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09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09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09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09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09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09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09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09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09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09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09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09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09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09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09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09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09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09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09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09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09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09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09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09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09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6" t="s">
        <v>501</v>
      </c>
      <c r="C21" s="110" t="n">
        <f aca="false">IF(C18=0,1,MIN(1,C8/C18))</f>
        <v>1</v>
      </c>
      <c r="D21" s="110" t="n">
        <f aca="false">IF(D18=0,1,MIN(1,D8/D18))</f>
        <v>1</v>
      </c>
      <c r="E21" s="110" t="n">
        <f aca="false">IF(E18=0,1,MIN(1,E8/E18))</f>
        <v>1</v>
      </c>
      <c r="F21" s="110" t="n">
        <f aca="false">IF(F18=0,1,MIN(1,F8/F18))</f>
        <v>1</v>
      </c>
      <c r="G21" s="110" t="n">
        <f aca="false">IF(G18=0,1,MIN(1,G8/G18))</f>
        <v>1</v>
      </c>
      <c r="H21" s="110" t="n">
        <f aca="false">IF(H18=0,1,MIN(1,H8/H18))</f>
        <v>1</v>
      </c>
      <c r="I21" s="110" t="n">
        <f aca="false">IF(I18=0,1,MIN(1,I8/I18))</f>
        <v>1</v>
      </c>
      <c r="J21" s="110" t="n">
        <f aca="false">IF(J18=0,1,MIN(1,J8/J18))</f>
        <v>1</v>
      </c>
      <c r="K21" s="110" t="n">
        <f aca="false">IF(K18=0,1,MIN(1,K8/K18))</f>
        <v>1</v>
      </c>
      <c r="L21" s="110" t="n">
        <f aca="false">IF(L18=0,1,MIN(1,L8/L18))</f>
        <v>1</v>
      </c>
      <c r="M21" s="110" t="n">
        <f aca="false">IF(M18=0,1,MIN(1,M8/M18))</f>
        <v>1</v>
      </c>
      <c r="N21" s="110" t="n">
        <f aca="false">IF(N18=0,1,MIN(1,N8/N18))</f>
        <v>1</v>
      </c>
      <c r="O21" s="110" t="n">
        <f aca="false">IF(O18=0,1,MIN(1,O8/O18))</f>
        <v>1</v>
      </c>
      <c r="P21" s="110" t="n">
        <f aca="false">IF(P18=0,1,MIN(1,P8/P18))</f>
        <v>1</v>
      </c>
      <c r="Q21" s="110" t="n">
        <f aca="false">IF(Q18=0,1,MIN(1,Q8/Q18))</f>
        <v>1</v>
      </c>
      <c r="R21" s="110" t="n">
        <f aca="false">IF(R18=0,1,MIN(1,R8/R18))</f>
        <v>1</v>
      </c>
      <c r="S21" s="110" t="n">
        <f aca="false">IF(S18=0,1,MIN(1,S8/S18))</f>
        <v>1</v>
      </c>
      <c r="T21" s="110" t="n">
        <f aca="false">IF(T18=0,1,MIN(1,T8/T18))</f>
        <v>1</v>
      </c>
      <c r="U21" s="110" t="n">
        <f aca="false">IF(U18=0,1,MIN(1,U8/U18))</f>
        <v>1</v>
      </c>
      <c r="V21" s="110" t="n">
        <f aca="false">IF(V18=0,1,MIN(1,V8/V18))</f>
        <v>1</v>
      </c>
      <c r="W21" s="110" t="n">
        <f aca="false">IF(W18=0,1,MIN(1,W8/W18))</f>
        <v>1</v>
      </c>
      <c r="X21" s="110" t="n">
        <f aca="false">IF(X18=0,1,MIN(1,X8/X18))</f>
        <v>1</v>
      </c>
      <c r="Y21" s="110" t="n">
        <f aca="false">IF(Y18=0,1,MIN(1,Y8/Y18))</f>
        <v>1</v>
      </c>
      <c r="Z21" s="110" t="n">
        <f aca="false">IF(Z18=0,1,MIN(1,Z8/Z18))</f>
        <v>1</v>
      </c>
      <c r="AA21" s="110" t="n">
        <f aca="false">IF(AA18=0,1,MIN(1,AA8/AA18))</f>
        <v>1</v>
      </c>
      <c r="AB21" s="110" t="n">
        <f aca="false">IF(AB18=0,1,MIN(1,AB8/AB18))</f>
        <v>1</v>
      </c>
      <c r="AC21" s="110" t="n">
        <f aca="false">IF(AC18=0,1,MIN(1,AC8/AC18))</f>
        <v>1</v>
      </c>
      <c r="AD21" s="110" t="n">
        <f aca="false">IF(AD18=0,1,MIN(1,AD8/AD18))</f>
        <v>1</v>
      </c>
      <c r="AE21" s="110" t="n">
        <f aca="false">IF(AE18=0,1,MIN(1,AE8/AE18))</f>
        <v>1</v>
      </c>
      <c r="AF21" s="110" t="n">
        <f aca="false">IF(AF18=0,1,MIN(1,AF8/AF18))</f>
        <v>1</v>
      </c>
      <c r="AG21" s="110" t="n">
        <f aca="false">IF(AG18=0,1,MIN(1,AG8/AG18))</f>
        <v>1</v>
      </c>
      <c r="AH21" s="110" t="n">
        <f aca="false">IF(AH18=0,1,MIN(1,AH8/AH18))</f>
        <v>1</v>
      </c>
      <c r="AI21" s="110" t="n">
        <f aca="false">IF(AI18=0,1,MIN(1,AI8/AI18))</f>
        <v>1</v>
      </c>
      <c r="AJ21" s="110" t="n">
        <f aca="false">IF(AJ18=0,1,MIN(1,AJ8/AJ18))</f>
        <v>1</v>
      </c>
      <c r="AK21" s="110" t="n">
        <f aca="false">IF(AK18=0,1,MIN(1,AK8/AK18))</f>
        <v>1</v>
      </c>
      <c r="AL21" s="110" t="n">
        <f aca="false">IF(AL18=0,1,MIN(1,AL8/AL18))</f>
        <v>1</v>
      </c>
      <c r="AM21" s="110" t="n">
        <f aca="false">IF(AM18=0,1,MIN(1,AM8/AM18))</f>
        <v>1</v>
      </c>
      <c r="AN21" s="110" t="n">
        <f aca="false">IF(AN18=0,1,MIN(1,AN8/AN18))</f>
        <v>1</v>
      </c>
      <c r="AO21" s="110" t="n">
        <f aca="false">IF(AO18=0,1,MIN(1,AO8/AO18))</f>
        <v>1</v>
      </c>
      <c r="AP21" s="110" t="n">
        <f aca="false">IF(AP18=0,1,MIN(1,AP8/AP18))</f>
        <v>1</v>
      </c>
      <c r="AQ21" s="110" t="n">
        <f aca="false">IF(AQ18=0,1,MIN(1,AQ8/AQ18))</f>
        <v>1</v>
      </c>
      <c r="AR21" s="110" t="n">
        <f aca="false">IF(AR18=0,1,MIN(1,AR8/AR18))</f>
        <v>1</v>
      </c>
      <c r="AS21" s="110" t="n">
        <f aca="false">IF(AS18=0,1,MIN(1,AS8/AS18))</f>
        <v>1</v>
      </c>
      <c r="AT21" s="110" t="n">
        <f aca="false">IF(AT18=0,1,MIN(1,AT8/AT18))</f>
        <v>1</v>
      </c>
      <c r="AU21" s="110" t="n">
        <f aca="false">IF(AU18=0,1,MIN(1,AU8/AU18))</f>
        <v>1</v>
      </c>
      <c r="AV21" s="110" t="n">
        <f aca="false">IF(AV18=0,1,MIN(1,AV8/AV18))</f>
        <v>1</v>
      </c>
      <c r="AW21" s="110" t="n">
        <f aca="false">IF(AW18=0,1,MIN(1,AW8/AW18))</f>
        <v>1</v>
      </c>
      <c r="AX21" s="110" t="n">
        <f aca="false">IF(AX18=0,1,MIN(1,AX8/AX18))</f>
        <v>1</v>
      </c>
      <c r="AY21" s="110" t="n">
        <f aca="false">IF(AY18=0,1,MIN(1,AY8/AY18))</f>
        <v>1</v>
      </c>
      <c r="AZ21" s="110" t="n">
        <f aca="false">IF(AZ18=0,1,MIN(1,AZ8/AZ18))</f>
        <v>1</v>
      </c>
      <c r="BA21" s="110" t="n">
        <f aca="false">IF(BA18=0,1,MIN(1,BA8/BA18))</f>
        <v>1</v>
      </c>
      <c r="BB21" s="110" t="n">
        <f aca="false">IF(BB18=0,1,MIN(1,BB8/BB18))</f>
        <v>1</v>
      </c>
      <c r="BC21" s="110" t="n">
        <f aca="false">IF(BC18=0,1,MIN(1,BC8/BC18))</f>
        <v>1</v>
      </c>
      <c r="BD21" s="110" t="n">
        <f aca="false">IF(BD18=0,1,MIN(1,BD8/BD18))</f>
        <v>1</v>
      </c>
      <c r="BE21" s="110" t="n">
        <f aca="false">IF(BE18=0,1,MIN(1,BE8/BE18))</f>
        <v>1</v>
      </c>
      <c r="BF21" s="110" t="n">
        <f aca="false">IF(BF18=0,1,MIN(1,BF8/BF18))</f>
        <v>1</v>
      </c>
      <c r="BG21" s="110" t="n">
        <f aca="false">IF(BG18=0,1,MIN(1,BG8/BG18))</f>
        <v>1</v>
      </c>
      <c r="BH21" s="110" t="n">
        <f aca="false">IF(BH18=0,1,MIN(1,BH8/BH18))</f>
        <v>1</v>
      </c>
      <c r="BI21" s="110" t="n">
        <f aca="false">IF(BI18=0,1,MIN(1,BI8/BI18))</f>
        <v>1</v>
      </c>
      <c r="BJ21" s="110" t="n">
        <f aca="false">IF(BJ18=0,1,MIN(1,BJ8/BJ18))</f>
        <v>1</v>
      </c>
      <c r="BK21" s="110" t="n">
        <f aca="false">IF(BK18=0,1,MIN(1,BK8/BK18))</f>
        <v>1</v>
      </c>
      <c r="BL21" s="110" t="n">
        <f aca="false">IF(BL18=0,1,MIN(1,BL8/BL18))</f>
        <v>1</v>
      </c>
      <c r="BM21" s="110" t="n">
        <f aca="false">IF(BM18=0,1,MIN(1,BM8/BM18))</f>
        <v>1</v>
      </c>
      <c r="BN21" s="110" t="n">
        <f aca="false">IF(BN18=0,1,MIN(1,BN8/BN18))</f>
        <v>1</v>
      </c>
      <c r="BO21" s="110" t="n">
        <f aca="false">IF(BO18=0,1,MIN(1,BO8/BO18))</f>
        <v>1</v>
      </c>
      <c r="BP21" s="110" t="n">
        <f aca="false">IF(BP18=0,1,MIN(1,BP8/BP18))</f>
        <v>1</v>
      </c>
      <c r="BQ21" s="110" t="n">
        <f aca="false">IF(BQ18=0,1,MIN(1,BQ8/BQ18))</f>
        <v>1</v>
      </c>
      <c r="BR21" s="110" t="n">
        <f aca="false">IF(BR18=0,1,MIN(1,BR8/BR18))</f>
        <v>1</v>
      </c>
      <c r="BS21" s="110" t="n">
        <f aca="false">IF(BS18=0,1,MIN(1,BS8/BS18))</f>
        <v>1</v>
      </c>
      <c r="BT21" s="110" t="n">
        <f aca="false">IF(BT18=0,1,MIN(1,BT8/BT18))</f>
        <v>1</v>
      </c>
      <c r="BU21" s="110" t="n">
        <f aca="false">IF(BU18=0,1,MIN(1,BU8/BU18))</f>
        <v>1</v>
      </c>
      <c r="BV21" s="110" t="n">
        <f aca="false">IF(BV18=0,1,MIN(1,BV8/BV18))</f>
        <v>1</v>
      </c>
      <c r="BW21" s="110" t="n">
        <f aca="false">IF(BW18=0,1,MIN(1,BW8/BW18))</f>
        <v>1</v>
      </c>
      <c r="BX21" s="110" t="n">
        <f aca="false">IF(BX18=0,1,MIN(1,BX8/BX18))</f>
        <v>1</v>
      </c>
      <c r="BY21" s="110" t="n">
        <f aca="false">IF(BY18=0,1,MIN(1,BY8/BY18))</f>
        <v>1</v>
      </c>
      <c r="BZ21" s="110" t="n">
        <f aca="false">IF(BZ18=0,1,MIN(1,BZ8/BZ18))</f>
        <v>1</v>
      </c>
      <c r="CA21" s="110" t="n">
        <f aca="false">IF(CA18=0,1,MIN(1,CA8/CA18))</f>
        <v>1</v>
      </c>
      <c r="CB21" s="110" t="n">
        <f aca="false">IF(CB18=0,1,MIN(1,CB8/CB18))</f>
        <v>1</v>
      </c>
      <c r="CC21" s="110" t="n">
        <f aca="false">IF(CC18=0,1,MIN(1,CC8/CC18))</f>
        <v>1</v>
      </c>
      <c r="CD21" s="110" t="n">
        <f aca="false">IF(CD18=0,1,MIN(1,CD8/CD18))</f>
        <v>1</v>
      </c>
      <c r="CE21" s="110" t="n">
        <f aca="false">IF(CE18=0,1,MIN(1,CE8/CE18))</f>
        <v>1</v>
      </c>
      <c r="CF21" s="110" t="n">
        <f aca="false">IF(CF18=0,1,MIN(1,CF8/CF18))</f>
        <v>1</v>
      </c>
      <c r="CG21" s="110" t="n">
        <f aca="false">IF(CG18=0,1,MIN(1,CG8/CG18))</f>
        <v>1</v>
      </c>
      <c r="CH21" s="110" t="n">
        <f aca="false">IF(CH18=0,1,MIN(1,CH8/CH18))</f>
        <v>1</v>
      </c>
    </row>
    <row r="22" customFormat="false" ht="13.5" hidden="false" customHeight="true" outlineLevel="0" collapsed="false">
      <c r="A22" s="6" t="s">
        <v>502</v>
      </c>
      <c r="C22" s="110" t="n">
        <f aca="false">MIN(Hipótesis!$F$32,Hipótesis!$F$31+(Hipótesis!$F$32-Hipótesis!$F$31)*MAX(0,1-Hipótesis!$F$29)/Hipótesis!$F$33)</f>
        <v>0</v>
      </c>
      <c r="D22" s="110" t="n">
        <f aca="false">MIN(Hipótesis!$F$32,Hipótesis!$F$31+(Hipótesis!$F$32-Hipótesis!$F$31)*MAX(0,2-Hipótesis!$F$29)/Hipótesis!$F$33)</f>
        <v>0</v>
      </c>
      <c r="E22" s="110" t="n">
        <f aca="false">MIN(Hipótesis!$F$32,Hipótesis!$F$31+(Hipótesis!$F$32-Hipótesis!$F$31)*MAX(0,3-Hipótesis!$F$29)/Hipótesis!$F$33)</f>
        <v>0</v>
      </c>
      <c r="F22" s="110" t="n">
        <f aca="false">MIN(Hipótesis!$F$32,Hipótesis!$F$31+(Hipótesis!$F$32-Hipótesis!$F$31)*MAX(0,4-Hipótesis!$F$29)/Hipótesis!$F$33)</f>
        <v>0</v>
      </c>
      <c r="G22" s="110" t="n">
        <f aca="false">MIN(Hipótesis!$F$32,Hipótesis!$F$31+(Hipótesis!$F$32-Hipótesis!$F$31)*MAX(0,5-Hipótesis!$F$29)/Hipótesis!$F$33)</f>
        <v>0</v>
      </c>
      <c r="H22" s="110" t="n">
        <f aca="false">MIN(Hipótesis!$F$32,Hipótesis!$F$31+(Hipótesis!$F$32-Hipótesis!$F$31)*MAX(0,6-Hipótesis!$F$29)/Hipótesis!$F$33)</f>
        <v>0</v>
      </c>
      <c r="I22" s="110" t="n">
        <f aca="false">MIN(Hipótesis!$F$32,Hipótesis!$F$31+(Hipótesis!$F$32-Hipótesis!$F$31)*MAX(0,7-Hipótesis!$F$29)/Hipótesis!$F$33)</f>
        <v>0.0152777777777778</v>
      </c>
      <c r="J22" s="110" t="n">
        <f aca="false">MIN(Hipótesis!$F$32,Hipótesis!$F$31+(Hipótesis!$F$32-Hipótesis!$F$31)*MAX(0,8-Hipótesis!$F$29)/Hipótesis!$F$33)</f>
        <v>0.0305555555555556</v>
      </c>
      <c r="K22" s="110" t="n">
        <f aca="false">MIN(Hipótesis!$F$32,Hipótesis!$F$31+(Hipótesis!$F$32-Hipótesis!$F$31)*MAX(0,9-Hipótesis!$F$29)/Hipótesis!$F$33)</f>
        <v>0.0458333333333333</v>
      </c>
      <c r="L22" s="110" t="n">
        <f aca="false">MIN(Hipótesis!$F$32,Hipótesis!$F$31+(Hipótesis!$F$32-Hipótesis!$F$31)*MAX(0,10-Hipótesis!$F$29)/Hipótesis!$F$33)</f>
        <v>0.0611111111111111</v>
      </c>
      <c r="M22" s="110" t="n">
        <f aca="false">MIN(Hipótesis!$F$32,Hipótesis!$F$31+(Hipótesis!$F$32-Hipótesis!$F$31)*MAX(0,11-Hipótesis!$F$29)/Hipótesis!$F$33)</f>
        <v>0.0763888888888889</v>
      </c>
      <c r="N22" s="110" t="n">
        <f aca="false">MIN(Hipótesis!$F$32,Hipótesis!$F$31+(Hipótesis!$F$32-Hipótesis!$F$31)*MAX(0,12-Hipótesis!$F$29)/Hipótesis!$F$33)</f>
        <v>0.0916666666666667</v>
      </c>
      <c r="O22" s="110" t="n">
        <f aca="false">MIN(Hipótesis!$F$32,Hipótesis!$F$31+(Hipótesis!$F$32-Hipótesis!$F$31)*MAX(0,13-Hipótesis!$F$29)/Hipótesis!$F$33)</f>
        <v>0.106944444444444</v>
      </c>
      <c r="P22" s="110" t="n">
        <f aca="false">MIN(Hipótesis!$F$32,Hipótesis!$F$31+(Hipótesis!$F$32-Hipótesis!$F$31)*MAX(0,14-Hipótesis!$F$29)/Hipótesis!$F$33)</f>
        <v>0.122222222222222</v>
      </c>
      <c r="Q22" s="110" t="n">
        <f aca="false">MIN(Hipótesis!$F$32,Hipótesis!$F$31+(Hipótesis!$F$32-Hipótesis!$F$31)*MAX(0,15-Hipótesis!$F$29)/Hipótesis!$F$33)</f>
        <v>0.1375</v>
      </c>
      <c r="R22" s="110" t="n">
        <f aca="false">MIN(Hipótesis!$F$32,Hipótesis!$F$31+(Hipótesis!$F$32-Hipótesis!$F$31)*MAX(0,16-Hipótesis!$F$29)/Hipótesis!$F$33)</f>
        <v>0.152777777777778</v>
      </c>
      <c r="S22" s="110" t="n">
        <f aca="false">MIN(Hipótesis!$F$32,Hipótesis!$F$31+(Hipótesis!$F$32-Hipótesis!$F$31)*MAX(0,17-Hipótesis!$F$29)/Hipótesis!$F$33)</f>
        <v>0.168055555555556</v>
      </c>
      <c r="T22" s="110" t="n">
        <f aca="false">MIN(Hipótesis!$F$32,Hipótesis!$F$31+(Hipótesis!$F$32-Hipótesis!$F$31)*MAX(0,18-Hipótesis!$F$29)/Hipótesis!$F$33)</f>
        <v>0.183333333333333</v>
      </c>
      <c r="U22" s="110" t="n">
        <f aca="false">MIN(Hipótesis!$F$32,Hipótesis!$F$31+(Hipótesis!$F$32-Hipótesis!$F$31)*MAX(0,19-Hipótesis!$F$29)/Hipótesis!$F$33)</f>
        <v>0.198611111111111</v>
      </c>
      <c r="V22" s="110" t="n">
        <f aca="false">MIN(Hipótesis!$F$32,Hipótesis!$F$31+(Hipótesis!$F$32-Hipótesis!$F$31)*MAX(0,20-Hipótesis!$F$29)/Hipótesis!$F$33)</f>
        <v>0.213888888888889</v>
      </c>
      <c r="W22" s="110" t="n">
        <f aca="false">MIN(Hipótesis!$F$32,Hipótesis!$F$31+(Hipótesis!$F$32-Hipótesis!$F$31)*MAX(0,21-Hipótesis!$F$29)/Hipótesis!$F$33)</f>
        <v>0.229166666666667</v>
      </c>
      <c r="X22" s="110" t="n">
        <f aca="false">MIN(Hipótesis!$F$32,Hipótesis!$F$31+(Hipótesis!$F$32-Hipótesis!$F$31)*MAX(0,22-Hipótesis!$F$29)/Hipótesis!$F$33)</f>
        <v>0.244444444444444</v>
      </c>
      <c r="Y22" s="110" t="n">
        <f aca="false">MIN(Hipótesis!$F$32,Hipótesis!$F$31+(Hipótesis!$F$32-Hipótesis!$F$31)*MAX(0,23-Hipótesis!$F$29)/Hipótesis!$F$33)</f>
        <v>0.259722222222222</v>
      </c>
      <c r="Z22" s="110" t="n">
        <f aca="false">MIN(Hipótesis!$F$32,Hipótesis!$F$31+(Hipótesis!$F$32-Hipótesis!$F$31)*MAX(0,24-Hipótesis!$F$29)/Hipótesis!$F$33)</f>
        <v>0.275</v>
      </c>
      <c r="AA22" s="110" t="n">
        <f aca="false">MIN(Hipótesis!$F$32,Hipótesis!$F$31+(Hipótesis!$F$32-Hipótesis!$F$31)*MAX(0,25-Hipótesis!$F$29)/Hipótesis!$F$33)</f>
        <v>0.290277777777778</v>
      </c>
      <c r="AB22" s="110" t="n">
        <f aca="false">MIN(Hipótesis!$F$32,Hipótesis!$F$31+(Hipótesis!$F$32-Hipótesis!$F$31)*MAX(0,26-Hipótesis!$F$29)/Hipótesis!$F$33)</f>
        <v>0.305555555555556</v>
      </c>
      <c r="AC22" s="110" t="n">
        <f aca="false">MIN(Hipótesis!$F$32,Hipótesis!$F$31+(Hipótesis!$F$32-Hipótesis!$F$31)*MAX(0,27-Hipótesis!$F$29)/Hipótesis!$F$33)</f>
        <v>0.320833333333333</v>
      </c>
      <c r="AD22" s="110" t="n">
        <f aca="false">MIN(Hipótesis!$F$32,Hipótesis!$F$31+(Hipótesis!$F$32-Hipótesis!$F$31)*MAX(0,28-Hipótesis!$F$29)/Hipótesis!$F$33)</f>
        <v>0.336111111111111</v>
      </c>
      <c r="AE22" s="110" t="n">
        <f aca="false">MIN(Hipótesis!$F$32,Hipótesis!$F$31+(Hipótesis!$F$32-Hipótesis!$F$31)*MAX(0,29-Hipótesis!$F$29)/Hipótesis!$F$33)</f>
        <v>0.351388888888889</v>
      </c>
      <c r="AF22" s="110" t="n">
        <f aca="false">MIN(Hipótesis!$F$32,Hipótesis!$F$31+(Hipótesis!$F$32-Hipótesis!$F$31)*MAX(0,30-Hipótesis!$F$29)/Hipótesis!$F$33)</f>
        <v>0.366666666666667</v>
      </c>
      <c r="AG22" s="110" t="n">
        <f aca="false">MIN(Hipótesis!$F$32,Hipótesis!$F$31+(Hipótesis!$F$32-Hipótesis!$F$31)*MAX(0,31-Hipótesis!$F$29)/Hipótesis!$F$33)</f>
        <v>0.381944444444445</v>
      </c>
      <c r="AH22" s="110" t="n">
        <f aca="false">MIN(Hipótesis!$F$32,Hipótesis!$F$31+(Hipótesis!$F$32-Hipótesis!$F$31)*MAX(0,32-Hipótesis!$F$29)/Hipótesis!$F$33)</f>
        <v>0.397222222222222</v>
      </c>
      <c r="AI22" s="110" t="n">
        <f aca="false">MIN(Hipótesis!$F$32,Hipótesis!$F$31+(Hipótesis!$F$32-Hipótesis!$F$31)*MAX(0,33-Hipótesis!$F$29)/Hipótesis!$F$33)</f>
        <v>0.4125</v>
      </c>
      <c r="AJ22" s="110" t="n">
        <f aca="false">MIN(Hipótesis!$F$32,Hipótesis!$F$31+(Hipótesis!$F$32-Hipótesis!$F$31)*MAX(0,34-Hipótesis!$F$29)/Hipótesis!$F$33)</f>
        <v>0.427777777777778</v>
      </c>
      <c r="AK22" s="110" t="n">
        <f aca="false">MIN(Hipótesis!$F$32,Hipótesis!$F$31+(Hipótesis!$F$32-Hipótesis!$F$31)*MAX(0,35-Hipótesis!$F$29)/Hipótesis!$F$33)</f>
        <v>0.443055555555556</v>
      </c>
      <c r="AL22" s="110" t="n">
        <f aca="false">MIN(Hipótesis!$F$32,Hipótesis!$F$31+(Hipótesis!$F$32-Hipótesis!$F$31)*MAX(0,36-Hipótesis!$F$29)/Hipótesis!$F$33)</f>
        <v>0.458333333333333</v>
      </c>
      <c r="AM22" s="110" t="n">
        <f aca="false">MIN(Hipótesis!$F$32,Hipótesis!$F$31+(Hipótesis!$F$32-Hipótesis!$F$31)*MAX(0,37-Hipótesis!$F$29)/Hipótesis!$F$33)</f>
        <v>0.473611111111111</v>
      </c>
      <c r="AN22" s="110" t="n">
        <f aca="false">MIN(Hipótesis!$F$32,Hipótesis!$F$31+(Hipótesis!$F$32-Hipótesis!$F$31)*MAX(0,38-Hipótesis!$F$29)/Hipótesis!$F$33)</f>
        <v>0.488888888888889</v>
      </c>
      <c r="AO22" s="110" t="n">
        <f aca="false">MIN(Hipótesis!$F$32,Hipótesis!$F$31+(Hipótesis!$F$32-Hipótesis!$F$31)*MAX(0,39-Hipótesis!$F$29)/Hipótesis!$F$33)</f>
        <v>0.504166666666667</v>
      </c>
      <c r="AP22" s="110" t="n">
        <f aca="false">MIN(Hipótesis!$F$32,Hipótesis!$F$31+(Hipótesis!$F$32-Hipótesis!$F$31)*MAX(0,40-Hipótesis!$F$29)/Hipótesis!$F$33)</f>
        <v>0.519444444444445</v>
      </c>
      <c r="AQ22" s="110" t="n">
        <f aca="false">MIN(Hipótesis!$F$32,Hipótesis!$F$31+(Hipótesis!$F$32-Hipótesis!$F$31)*MAX(0,41-Hipótesis!$F$29)/Hipótesis!$F$33)</f>
        <v>0.534722222222222</v>
      </c>
      <c r="AR22" s="110" t="n">
        <f aca="false">MIN(Hipótesis!$F$32,Hipótesis!$F$31+(Hipótesis!$F$32-Hipótesis!$F$31)*MAX(0,42-Hipótesis!$F$29)/Hipótesis!$F$33)</f>
        <v>0.55</v>
      </c>
      <c r="AS22" s="110" t="n">
        <f aca="false">MIN(Hipótesis!$F$32,Hipótesis!$F$31+(Hipótesis!$F$32-Hipótesis!$F$31)*MAX(0,43-Hipótesis!$F$29)/Hipótesis!$F$33)</f>
        <v>0.55</v>
      </c>
      <c r="AT22" s="110" t="n">
        <f aca="false">MIN(Hipótesis!$F$32,Hipótesis!$F$31+(Hipótesis!$F$32-Hipótesis!$F$31)*MAX(0,44-Hipótesis!$F$29)/Hipótesis!$F$33)</f>
        <v>0.55</v>
      </c>
      <c r="AU22" s="110" t="n">
        <f aca="false">MIN(Hipótesis!$F$32,Hipótesis!$F$31+(Hipótesis!$F$32-Hipótesis!$F$31)*MAX(0,45-Hipótesis!$F$29)/Hipótesis!$F$33)</f>
        <v>0.55</v>
      </c>
      <c r="AV22" s="110" t="n">
        <f aca="false">MIN(Hipótesis!$F$32,Hipótesis!$F$31+(Hipótesis!$F$32-Hipótesis!$F$31)*MAX(0,46-Hipótesis!$F$29)/Hipótesis!$F$33)</f>
        <v>0.55</v>
      </c>
      <c r="AW22" s="110" t="n">
        <f aca="false">MIN(Hipótesis!$F$32,Hipótesis!$F$31+(Hipótesis!$F$32-Hipótesis!$F$31)*MAX(0,47-Hipótesis!$F$29)/Hipótesis!$F$33)</f>
        <v>0.55</v>
      </c>
      <c r="AX22" s="110" t="n">
        <f aca="false">MIN(Hipótesis!$F$32,Hipótesis!$F$31+(Hipótesis!$F$32-Hipótesis!$F$31)*MAX(0,48-Hipótesis!$F$29)/Hipótesis!$F$33)</f>
        <v>0.55</v>
      </c>
      <c r="AY22" s="110" t="n">
        <f aca="false">MIN(Hipótesis!$F$32,Hipótesis!$F$31+(Hipótesis!$F$32-Hipótesis!$F$31)*MAX(0,49-Hipótesis!$F$29)/Hipótesis!$F$33)</f>
        <v>0.55</v>
      </c>
      <c r="AZ22" s="110" t="n">
        <f aca="false">MIN(Hipótesis!$F$32,Hipótesis!$F$31+(Hipótesis!$F$32-Hipótesis!$F$31)*MAX(0,50-Hipótesis!$F$29)/Hipótesis!$F$33)</f>
        <v>0.55</v>
      </c>
      <c r="BA22" s="110" t="n">
        <f aca="false">MIN(Hipótesis!$F$32,Hipótesis!$F$31+(Hipótesis!$F$32-Hipótesis!$F$31)*MAX(0,51-Hipótesis!$F$29)/Hipótesis!$F$33)</f>
        <v>0.55</v>
      </c>
      <c r="BB22" s="110" t="n">
        <f aca="false">MIN(Hipótesis!$F$32,Hipótesis!$F$31+(Hipótesis!$F$32-Hipótesis!$F$31)*MAX(0,52-Hipótesis!$F$29)/Hipótesis!$F$33)</f>
        <v>0.55</v>
      </c>
      <c r="BC22" s="110" t="n">
        <f aca="false">MIN(Hipótesis!$F$32,Hipótesis!$F$31+(Hipótesis!$F$32-Hipótesis!$F$31)*MAX(0,53-Hipótesis!$F$29)/Hipótesis!$F$33)</f>
        <v>0.55</v>
      </c>
      <c r="BD22" s="110" t="n">
        <f aca="false">MIN(Hipótesis!$F$32,Hipótesis!$F$31+(Hipótesis!$F$32-Hipótesis!$F$31)*MAX(0,54-Hipótesis!$F$29)/Hipótesis!$F$33)</f>
        <v>0.55</v>
      </c>
      <c r="BE22" s="110" t="n">
        <f aca="false">MIN(Hipótesis!$F$32,Hipótesis!$F$31+(Hipótesis!$F$32-Hipótesis!$F$31)*MAX(0,55-Hipótesis!$F$29)/Hipótesis!$F$33)</f>
        <v>0.55</v>
      </c>
      <c r="BF22" s="110" t="n">
        <f aca="false">MIN(Hipótesis!$F$32,Hipótesis!$F$31+(Hipótesis!$F$32-Hipótesis!$F$31)*MAX(0,56-Hipótesis!$F$29)/Hipótesis!$F$33)</f>
        <v>0.55</v>
      </c>
      <c r="BG22" s="110" t="n">
        <f aca="false">MIN(Hipótesis!$F$32,Hipótesis!$F$31+(Hipótesis!$F$32-Hipótesis!$F$31)*MAX(0,57-Hipótesis!$F$29)/Hipótesis!$F$33)</f>
        <v>0.55</v>
      </c>
      <c r="BH22" s="110" t="n">
        <f aca="false">MIN(Hipótesis!$F$32,Hipótesis!$F$31+(Hipótesis!$F$32-Hipótesis!$F$31)*MAX(0,58-Hipótesis!$F$29)/Hipótesis!$F$33)</f>
        <v>0.55</v>
      </c>
      <c r="BI22" s="110" t="n">
        <f aca="false">MIN(Hipótesis!$F$32,Hipótesis!$F$31+(Hipótesis!$F$32-Hipótesis!$F$31)*MAX(0,59-Hipótesis!$F$29)/Hipótesis!$F$33)</f>
        <v>0.55</v>
      </c>
      <c r="BJ22" s="110" t="n">
        <f aca="false">MIN(Hipótesis!$F$32,Hipótesis!$F$31+(Hipótesis!$F$32-Hipótesis!$F$31)*MAX(0,60-Hipótesis!$F$29)/Hipótesis!$F$33)</f>
        <v>0.55</v>
      </c>
      <c r="BK22" s="110" t="n">
        <f aca="false">MIN(Hipótesis!$F$32,Hipótesis!$F$31+(Hipótesis!$F$32-Hipótesis!$F$31)*MAX(0,61-Hipótesis!$F$29)/Hipótesis!$F$33)</f>
        <v>0.55</v>
      </c>
      <c r="BL22" s="110" t="n">
        <f aca="false">MIN(Hipótesis!$F$32,Hipótesis!$F$31+(Hipótesis!$F$32-Hipótesis!$F$31)*MAX(0,62-Hipótesis!$F$29)/Hipótesis!$F$33)</f>
        <v>0.55</v>
      </c>
      <c r="BM22" s="110" t="n">
        <f aca="false">MIN(Hipótesis!$F$32,Hipótesis!$F$31+(Hipótesis!$F$32-Hipótesis!$F$31)*MAX(0,63-Hipótesis!$F$29)/Hipótesis!$F$33)</f>
        <v>0.55</v>
      </c>
      <c r="BN22" s="110" t="n">
        <f aca="false">MIN(Hipótesis!$F$32,Hipótesis!$F$31+(Hipótesis!$F$32-Hipótesis!$F$31)*MAX(0,64-Hipótesis!$F$29)/Hipótesis!$F$33)</f>
        <v>0.55</v>
      </c>
      <c r="BO22" s="110" t="n">
        <f aca="false">MIN(Hipótesis!$F$32,Hipótesis!$F$31+(Hipótesis!$F$32-Hipótesis!$F$31)*MAX(0,65-Hipótesis!$F$29)/Hipótesis!$F$33)</f>
        <v>0.55</v>
      </c>
      <c r="BP22" s="110" t="n">
        <f aca="false">MIN(Hipótesis!$F$32,Hipótesis!$F$31+(Hipótesis!$F$32-Hipótesis!$F$31)*MAX(0,66-Hipótesis!$F$29)/Hipótesis!$F$33)</f>
        <v>0.55</v>
      </c>
      <c r="BQ22" s="110" t="n">
        <f aca="false">MIN(Hipótesis!$F$32,Hipótesis!$F$31+(Hipótesis!$F$32-Hipótesis!$F$31)*MAX(0,67-Hipótesis!$F$29)/Hipótesis!$F$33)</f>
        <v>0.55</v>
      </c>
      <c r="BR22" s="110" t="n">
        <f aca="false">MIN(Hipótesis!$F$32,Hipótesis!$F$31+(Hipótesis!$F$32-Hipótesis!$F$31)*MAX(0,68-Hipótesis!$F$29)/Hipótesis!$F$33)</f>
        <v>0.55</v>
      </c>
      <c r="BS22" s="110" t="n">
        <f aca="false">MIN(Hipótesis!$F$32,Hipótesis!$F$31+(Hipótesis!$F$32-Hipótesis!$F$31)*MAX(0,69-Hipótesis!$F$29)/Hipótesis!$F$33)</f>
        <v>0.55</v>
      </c>
      <c r="BT22" s="110" t="n">
        <f aca="false">MIN(Hipótesis!$F$32,Hipótesis!$F$31+(Hipótesis!$F$32-Hipótesis!$F$31)*MAX(0,70-Hipótesis!$F$29)/Hipótesis!$F$33)</f>
        <v>0.55</v>
      </c>
      <c r="BU22" s="110" t="n">
        <f aca="false">MIN(Hipótesis!$F$32,Hipótesis!$F$31+(Hipótesis!$F$32-Hipótesis!$F$31)*MAX(0,71-Hipótesis!$F$29)/Hipótesis!$F$33)</f>
        <v>0.55</v>
      </c>
      <c r="BV22" s="110" t="n">
        <f aca="false">MIN(Hipótesis!$F$32,Hipótesis!$F$31+(Hipótesis!$F$32-Hipótesis!$F$31)*MAX(0,72-Hipótesis!$F$29)/Hipótesis!$F$33)</f>
        <v>0.55</v>
      </c>
      <c r="BW22" s="110" t="n">
        <f aca="false">MIN(Hipótesis!$F$32,Hipótesis!$F$31+(Hipótesis!$F$32-Hipótesis!$F$31)*MAX(0,73-Hipótesis!$F$29)/Hipótesis!$F$33)</f>
        <v>0.55</v>
      </c>
      <c r="BX22" s="110" t="n">
        <f aca="false">MIN(Hipótesis!$F$32,Hipótesis!$F$31+(Hipótesis!$F$32-Hipótesis!$F$31)*MAX(0,74-Hipótesis!$F$29)/Hipótesis!$F$33)</f>
        <v>0.55</v>
      </c>
      <c r="BY22" s="110" t="n">
        <f aca="false">MIN(Hipótesis!$F$32,Hipótesis!$F$31+(Hipótesis!$F$32-Hipótesis!$F$31)*MAX(0,75-Hipótesis!$F$29)/Hipótesis!$F$33)</f>
        <v>0.55</v>
      </c>
      <c r="BZ22" s="110" t="n">
        <f aca="false">MIN(Hipótesis!$F$32,Hipótesis!$F$31+(Hipótesis!$F$32-Hipótesis!$F$31)*MAX(0,76-Hipótesis!$F$29)/Hipótesis!$F$33)</f>
        <v>0.55</v>
      </c>
      <c r="CA22" s="110" t="n">
        <f aca="false">MIN(Hipótesis!$F$32,Hipótesis!$F$31+(Hipótesis!$F$32-Hipótesis!$F$31)*MAX(0,77-Hipótesis!$F$29)/Hipótesis!$F$33)</f>
        <v>0.55</v>
      </c>
      <c r="CB22" s="110" t="n">
        <f aca="false">MIN(Hipótesis!$F$32,Hipótesis!$F$31+(Hipótesis!$F$32-Hipótesis!$F$31)*MAX(0,78-Hipótesis!$F$29)/Hipótesis!$F$33)</f>
        <v>0.55</v>
      </c>
      <c r="CC22" s="110" t="n">
        <f aca="false">MIN(Hipótesis!$F$32,Hipótesis!$F$31+(Hipótesis!$F$32-Hipótesis!$F$31)*MAX(0,79-Hipótesis!$F$29)/Hipótesis!$F$33)</f>
        <v>0.55</v>
      </c>
      <c r="CD22" s="110" t="n">
        <f aca="false">MIN(Hipótesis!$F$32,Hipótesis!$F$31+(Hipótesis!$F$32-Hipótesis!$F$31)*MAX(0,80-Hipótesis!$F$29)/Hipótesis!$F$33)</f>
        <v>0.55</v>
      </c>
      <c r="CE22" s="110" t="n">
        <f aca="false">MIN(Hipótesis!$F$32,Hipótesis!$F$31+(Hipótesis!$F$32-Hipótesis!$F$31)*MAX(0,81-Hipótesis!$F$29)/Hipótesis!$F$33)</f>
        <v>0.55</v>
      </c>
      <c r="CF22" s="110" t="n">
        <f aca="false">MIN(Hipótesis!$F$32,Hipótesis!$F$31+(Hipótesis!$F$32-Hipótesis!$F$31)*MAX(0,82-Hipótesis!$F$29)/Hipótesis!$F$33)</f>
        <v>0.55</v>
      </c>
      <c r="CG22" s="110" t="n">
        <f aca="false">MIN(Hipótesis!$F$32,Hipótesis!$F$31+(Hipótesis!$F$32-Hipótesis!$F$31)*MAX(0,83-Hipótesis!$F$29)/Hipótesis!$F$33)</f>
        <v>0.55</v>
      </c>
      <c r="CH22" s="110" t="n">
        <f aca="false">MIN(Hipótesis!$F$32,Hipótesis!$F$31+(Hipótesis!$F$32-Hipótesis!$F$31)*MAX(0,84-Hipótesis!$F$29)/Hipótesis!$F$33)</f>
        <v>0.55</v>
      </c>
    </row>
    <row r="23" customFormat="false" ht="13.5" hidden="false" customHeight="true" outlineLevel="0" collapsed="false">
      <c r="A23" s="6" t="s">
        <v>503</v>
      </c>
      <c r="C23" s="101" t="n">
        <f aca="false">MAX(0,MIN(C8*C22,C8-C18*C21))</f>
        <v>0</v>
      </c>
      <c r="D23" s="101" t="n">
        <f aca="false">MAX(0,MIN(D8*D22,D8-D18*D21))</f>
        <v>0</v>
      </c>
      <c r="E23" s="101" t="n">
        <f aca="false">MAX(0,MIN(E8*E22,E8-E18*E21))</f>
        <v>0</v>
      </c>
      <c r="F23" s="101" t="n">
        <f aca="false">MAX(0,MIN(F8*F22,F8-F18*F21))</f>
        <v>0</v>
      </c>
      <c r="G23" s="101" t="n">
        <f aca="false">MAX(0,MIN(G8*G22,G8-G18*G21))</f>
        <v>0</v>
      </c>
      <c r="H23" s="101" t="n">
        <f aca="false">MAX(0,MIN(H8*H22,H8-H18*H21))</f>
        <v>0</v>
      </c>
      <c r="I23" s="101" t="n">
        <f aca="false">MAX(0,MIN(I8*I22,I8-I18*I21))</f>
        <v>44</v>
      </c>
      <c r="J23" s="101" t="n">
        <f aca="false">MAX(0,MIN(J8*J22,J8-J18*J21))</f>
        <v>88</v>
      </c>
      <c r="K23" s="101" t="n">
        <f aca="false">MAX(0,MIN(K8*K22,K8-K18*K21))</f>
        <v>132</v>
      </c>
      <c r="L23" s="101" t="n">
        <f aca="false">MAX(0,MIN(L8*L22,L8-L18*L21))</f>
        <v>176</v>
      </c>
      <c r="M23" s="101" t="n">
        <f aca="false">MAX(0,MIN(M8*M22,M8-M18*M21))</f>
        <v>220</v>
      </c>
      <c r="N23" s="101" t="n">
        <f aca="false">MAX(0,MIN(N8*N22,N8-N18*N21))</f>
        <v>264</v>
      </c>
      <c r="O23" s="101" t="n">
        <f aca="false">MAX(0,MIN(O8*O22,O8-O18*O21))</f>
        <v>308</v>
      </c>
      <c r="P23" s="101" t="n">
        <f aca="false">MAX(0,MIN(P8*P22,P8-P18*P21))</f>
        <v>352</v>
      </c>
      <c r="Q23" s="101" t="n">
        <f aca="false">MAX(0,MIN(Q8*Q22,Q8-Q18*Q21))</f>
        <v>396</v>
      </c>
      <c r="R23" s="101" t="n">
        <f aca="false">MAX(0,MIN(R8*R22,R8-R18*R21))</f>
        <v>440</v>
      </c>
      <c r="S23" s="101" t="n">
        <f aca="false">MAX(0,MIN(S8*S22,S8-S18*S21))</f>
        <v>484</v>
      </c>
      <c r="T23" s="101" t="n">
        <f aca="false">MAX(0,MIN(T8*T22,T8-T18*T21))</f>
        <v>528</v>
      </c>
      <c r="U23" s="101" t="n">
        <f aca="false">MAX(0,MIN(U8*U22,U8-U18*U21))</f>
        <v>572</v>
      </c>
      <c r="V23" s="101" t="n">
        <f aca="false">MAX(0,MIN(V8*V22,V8-V18*V21))</f>
        <v>616</v>
      </c>
      <c r="W23" s="101" t="n">
        <f aca="false">MAX(0,MIN(W8*W22,W8-W18*W21))</f>
        <v>660</v>
      </c>
      <c r="X23" s="101" t="n">
        <f aca="false">MAX(0,MIN(X8*X22,X8-X18*X21))</f>
        <v>704</v>
      </c>
      <c r="Y23" s="101" t="n">
        <f aca="false">MAX(0,MIN(Y8*Y22,Y8-Y18*Y21))</f>
        <v>748</v>
      </c>
      <c r="Z23" s="101" t="n">
        <f aca="false">MAX(0,MIN(Z8*Z22,Z8-Z18*Z21))</f>
        <v>792</v>
      </c>
      <c r="AA23" s="101" t="n">
        <f aca="false">MAX(0,MIN(AA8*AA22,AA8-AA18*AA21))</f>
        <v>836</v>
      </c>
      <c r="AB23" s="101" t="n">
        <f aca="false">MAX(0,MIN(AB8*AB22,AB8-AB18*AB21))</f>
        <v>880</v>
      </c>
      <c r="AC23" s="101" t="n">
        <f aca="false">MAX(0,MIN(AC8*AC22,AC8-AC18*AC21))</f>
        <v>924</v>
      </c>
      <c r="AD23" s="101" t="n">
        <f aca="false">MAX(0,MIN(AD8*AD22,AD8-AD18*AD21))</f>
        <v>968</v>
      </c>
      <c r="AE23" s="101" t="n">
        <f aca="false">MAX(0,MIN(AE8*AE22,AE8-AE18*AE21))</f>
        <v>1012</v>
      </c>
      <c r="AF23" s="101" t="n">
        <f aca="false">MAX(0,MIN(AF8*AF22,AF8-AF18*AF21))</f>
        <v>1056</v>
      </c>
      <c r="AG23" s="101" t="n">
        <f aca="false">MAX(0,MIN(AG8*AG22,AG8-AG18*AG21))</f>
        <v>1100</v>
      </c>
      <c r="AH23" s="101" t="n">
        <f aca="false">MAX(0,MIN(AH8*AH22,AH8-AH18*AH21))</f>
        <v>1144</v>
      </c>
      <c r="AI23" s="101" t="n">
        <f aca="false">MAX(0,MIN(AI8*AI22,AI8-AI18*AI21))</f>
        <v>1188</v>
      </c>
      <c r="AJ23" s="101" t="n">
        <f aca="false">MAX(0,MIN(AJ8*AJ22,AJ8-AJ18*AJ21))</f>
        <v>1232</v>
      </c>
      <c r="AK23" s="101" t="n">
        <f aca="false">MAX(0,MIN(AK8*AK22,AK8-AK18*AK21))</f>
        <v>1276</v>
      </c>
      <c r="AL23" s="101" t="n">
        <f aca="false">MAX(0,MIN(AL8*AL22,AL8-AL18*AL21))</f>
        <v>1320</v>
      </c>
      <c r="AM23" s="101" t="n">
        <f aca="false">MAX(0,MIN(AM8*AM22,AM8-AM18*AM21))</f>
        <v>1364</v>
      </c>
      <c r="AN23" s="101" t="n">
        <f aca="false">MAX(0,MIN(AN8*AN22,AN8-AN18*AN21))</f>
        <v>1408</v>
      </c>
      <c r="AO23" s="101" t="n">
        <f aca="false">MAX(0,MIN(AO8*AO22,AO8-AO18*AO21))</f>
        <v>1452</v>
      </c>
      <c r="AP23" s="101" t="n">
        <f aca="false">MAX(0,MIN(AP8*AP22,AP8-AP18*AP21))</f>
        <v>1496</v>
      </c>
      <c r="AQ23" s="101" t="n">
        <f aca="false">MAX(0,MIN(AQ8*AQ22,AQ8-AQ18*AQ21))</f>
        <v>1540</v>
      </c>
      <c r="AR23" s="101" t="n">
        <f aca="false">MAX(0,MIN(AR8*AR22,AR8-AR18*AR21))</f>
        <v>1584</v>
      </c>
      <c r="AS23" s="101" t="n">
        <f aca="false">MAX(0,MIN(AS8*AS22,AS8-AS18*AS21))</f>
        <v>1584</v>
      </c>
      <c r="AT23" s="101" t="n">
        <f aca="false">MAX(0,MIN(AT8*AT22,AT8-AT18*AT21))</f>
        <v>1584</v>
      </c>
      <c r="AU23" s="101" t="n">
        <f aca="false">MAX(0,MIN(AU8*AU22,AU8-AU18*AU21))</f>
        <v>1584</v>
      </c>
      <c r="AV23" s="101" t="n">
        <f aca="false">MAX(0,MIN(AV8*AV22,AV8-AV18*AV21))</f>
        <v>1584</v>
      </c>
      <c r="AW23" s="101" t="n">
        <f aca="false">MAX(0,MIN(AW8*AW22,AW8-AW18*AW21))</f>
        <v>1584</v>
      </c>
      <c r="AX23" s="101" t="n">
        <f aca="false">MAX(0,MIN(AX8*AX22,AX8-AX18*AX21))</f>
        <v>1584</v>
      </c>
      <c r="AY23" s="101" t="n">
        <f aca="false">MAX(0,MIN(AY8*AY22,AY8-AY18*AY21))</f>
        <v>1584</v>
      </c>
      <c r="AZ23" s="101" t="n">
        <f aca="false">MAX(0,MIN(AZ8*AZ22,AZ8-AZ18*AZ21))</f>
        <v>1584</v>
      </c>
      <c r="BA23" s="101" t="n">
        <f aca="false">MAX(0,MIN(BA8*BA22,BA8-BA18*BA21))</f>
        <v>1584</v>
      </c>
      <c r="BB23" s="101" t="n">
        <f aca="false">MAX(0,MIN(BB8*BB22,BB8-BB18*BB21))</f>
        <v>1584</v>
      </c>
      <c r="BC23" s="101" t="n">
        <f aca="false">MAX(0,MIN(BC8*BC22,BC8-BC18*BC21))</f>
        <v>1584</v>
      </c>
      <c r="BD23" s="101" t="n">
        <f aca="false">MAX(0,MIN(BD8*BD22,BD8-BD18*BD21))</f>
        <v>1584</v>
      </c>
      <c r="BE23" s="101" t="n">
        <f aca="false">MAX(0,MIN(BE8*BE22,BE8-BE18*BE21))</f>
        <v>1584</v>
      </c>
      <c r="BF23" s="101" t="n">
        <f aca="false">MAX(0,MIN(BF8*BF22,BF8-BF18*BF21))</f>
        <v>1584</v>
      </c>
      <c r="BG23" s="101" t="n">
        <f aca="false">MAX(0,MIN(BG8*BG22,BG8-BG18*BG21))</f>
        <v>1584</v>
      </c>
      <c r="BH23" s="101" t="n">
        <f aca="false">MAX(0,MIN(BH8*BH22,BH8-BH18*BH21))</f>
        <v>1584</v>
      </c>
      <c r="BI23" s="101" t="n">
        <f aca="false">MAX(0,MIN(BI8*BI22,BI8-BI18*BI21))</f>
        <v>1584</v>
      </c>
      <c r="BJ23" s="101" t="n">
        <f aca="false">MAX(0,MIN(BJ8*BJ22,BJ8-BJ18*BJ21))</f>
        <v>1584</v>
      </c>
      <c r="BK23" s="101" t="n">
        <f aca="false">MAX(0,MIN(BK8*BK22,BK8-BK18*BK21))</f>
        <v>1584</v>
      </c>
      <c r="BL23" s="101" t="n">
        <f aca="false">MAX(0,MIN(BL8*BL22,BL8-BL18*BL21))</f>
        <v>1584</v>
      </c>
      <c r="BM23" s="101" t="n">
        <f aca="false">MAX(0,MIN(BM8*BM22,BM8-BM18*BM21))</f>
        <v>1584</v>
      </c>
      <c r="BN23" s="101" t="n">
        <f aca="false">MAX(0,MIN(BN8*BN22,BN8-BN18*BN21))</f>
        <v>1584</v>
      </c>
      <c r="BO23" s="101" t="n">
        <f aca="false">MAX(0,MIN(BO8*BO22,BO8-BO18*BO21))</f>
        <v>1584</v>
      </c>
      <c r="BP23" s="101" t="n">
        <f aca="false">MAX(0,MIN(BP8*BP22,BP8-BP18*BP21))</f>
        <v>1584</v>
      </c>
      <c r="BQ23" s="101" t="n">
        <f aca="false">MAX(0,MIN(BQ8*BQ22,BQ8-BQ18*BQ21))</f>
        <v>1584</v>
      </c>
      <c r="BR23" s="101" t="n">
        <f aca="false">MAX(0,MIN(BR8*BR22,BR8-BR18*BR21))</f>
        <v>1584</v>
      </c>
      <c r="BS23" s="101" t="n">
        <f aca="false">MAX(0,MIN(BS8*BS22,BS8-BS18*BS21))</f>
        <v>1584</v>
      </c>
      <c r="BT23" s="101" t="n">
        <f aca="false">MAX(0,MIN(BT8*BT22,BT8-BT18*BT21))</f>
        <v>1584</v>
      </c>
      <c r="BU23" s="101" t="n">
        <f aca="false">MAX(0,MIN(BU8*BU22,BU8-BU18*BU21))</f>
        <v>1584</v>
      </c>
      <c r="BV23" s="101" t="n">
        <f aca="false">MAX(0,MIN(BV8*BV22,BV8-BV18*BV21))</f>
        <v>1584</v>
      </c>
      <c r="BW23" s="101" t="n">
        <f aca="false">MAX(0,MIN(BW8*BW22,BW8-BW18*BW21))</f>
        <v>1584</v>
      </c>
      <c r="BX23" s="101" t="n">
        <f aca="false">MAX(0,MIN(BX8*BX22,BX8-BX18*BX21))</f>
        <v>1584</v>
      </c>
      <c r="BY23" s="101" t="n">
        <f aca="false">MAX(0,MIN(BY8*BY22,BY8-BY18*BY21))</f>
        <v>1584</v>
      </c>
      <c r="BZ23" s="101" t="n">
        <f aca="false">MAX(0,MIN(BZ8*BZ22,BZ8-BZ18*BZ21))</f>
        <v>1584</v>
      </c>
      <c r="CA23" s="101" t="n">
        <f aca="false">MAX(0,MIN(CA8*CA22,CA8-CA18*CA21))</f>
        <v>1584</v>
      </c>
      <c r="CB23" s="101" t="n">
        <f aca="false">MAX(0,MIN(CB8*CB22,CB8-CB18*CB21))</f>
        <v>1584</v>
      </c>
      <c r="CC23" s="101" t="n">
        <f aca="false">MAX(0,MIN(CC8*CC22,CC8-CC18*CC21))</f>
        <v>1584</v>
      </c>
      <c r="CD23" s="101" t="n">
        <f aca="false">MAX(0,MIN(CD8*CD22,CD8-CD18*CD21))</f>
        <v>1584</v>
      </c>
      <c r="CE23" s="101" t="n">
        <f aca="false">MAX(0,MIN(CE8*CE22,CE8-CE18*CE21))</f>
        <v>1584</v>
      </c>
      <c r="CF23" s="101" t="n">
        <f aca="false">MAX(0,MIN(CF8*CF22,CF8-CF18*CF21))</f>
        <v>1584</v>
      </c>
      <c r="CG23" s="101" t="n">
        <f aca="false">MAX(0,MIN(CG8*CG22,CG8-CG18*CG21))</f>
        <v>1584</v>
      </c>
      <c r="CH23" s="101" t="n">
        <f aca="false">MAX(0,MIN(CH8*CH22,CH8-CH18*CH21))</f>
        <v>1584</v>
      </c>
    </row>
    <row r="24" customFormat="false" ht="13.5" hidden="false" customHeight="true" outlineLevel="0" collapsed="false">
      <c r="A24" s="22" t="s">
        <v>504</v>
      </c>
      <c r="C24" s="101" t="n">
        <f aca="false">C18*C21+C23</f>
        <v>42.5657462195924</v>
      </c>
      <c r="D24" s="101" t="n">
        <f aca="false">D18*D21+D23</f>
        <v>86.9988784468422</v>
      </c>
      <c r="E24" s="101" t="n">
        <f aca="false">E18*E21+E23</f>
        <v>162.939455552931</v>
      </c>
      <c r="F24" s="101" t="n">
        <f aca="false">F18*F21+F23</f>
        <v>196.314286439428</v>
      </c>
      <c r="G24" s="101" t="n">
        <f aca="false">G18*G21+G23</f>
        <v>227.821731318267</v>
      </c>
      <c r="H24" s="101" t="n">
        <f aca="false">H18*H21+H23</f>
        <v>280.726307534848</v>
      </c>
      <c r="I24" s="101" t="n">
        <f aca="false">I18*I21+I23</f>
        <v>377.63088375143</v>
      </c>
      <c r="J24" s="101" t="n">
        <f aca="false">J18*J21+J23</f>
        <v>474.535459968011</v>
      </c>
      <c r="K24" s="101" t="n">
        <f aca="false">K18*K21+K23</f>
        <v>571.440036184592</v>
      </c>
      <c r="L24" s="101" t="n">
        <f aca="false">L18*L21+L23</f>
        <v>668.344612401173</v>
      </c>
      <c r="M24" s="101" t="n">
        <f aca="false">M18*M21+M23</f>
        <v>733.741743738916</v>
      </c>
      <c r="N24" s="101" t="n">
        <f aca="false">N18*N21+N23</f>
        <v>830.261975204283</v>
      </c>
      <c r="O24" s="101" t="n">
        <f aca="false">O18*O21+O23</f>
        <v>926.78220666965</v>
      </c>
      <c r="P24" s="101" t="n">
        <f aca="false">P18*P21+P23</f>
        <v>1014.35454684833</v>
      </c>
      <c r="Q24" s="101" t="n">
        <f aca="false">Q18*Q21+Q23</f>
        <v>1101.926887027</v>
      </c>
      <c r="R24" s="101" t="n">
        <f aca="false">R18*R21+R23</f>
        <v>1189.49922720568</v>
      </c>
      <c r="S24" s="101" t="n">
        <f aca="false">S18*S21+S23</f>
        <v>1277.07156738435</v>
      </c>
      <c r="T24" s="101" t="n">
        <f aca="false">T18*T21+T23</f>
        <v>1364.64390756303</v>
      </c>
      <c r="U24" s="101" t="n">
        <f aca="false">U18*U21+U23</f>
        <v>1452.2162477417</v>
      </c>
      <c r="V24" s="101" t="n">
        <f aca="false">V18*V21+V23</f>
        <v>1539.78858792038</v>
      </c>
      <c r="W24" s="101" t="n">
        <f aca="false">W18*W21+W23</f>
        <v>1627.36092809905</v>
      </c>
      <c r="X24" s="101" t="n">
        <f aca="false">X18*X21+X23</f>
        <v>1683.8101681501</v>
      </c>
      <c r="Y24" s="101" t="n">
        <f aca="false">Y18*Y21+Y23</f>
        <v>1740.25940820115</v>
      </c>
      <c r="Z24" s="101" t="n">
        <f aca="false">Z18*Z21+Z23</f>
        <v>1784.25940820115</v>
      </c>
      <c r="AA24" s="101" t="n">
        <f aca="false">AA18*AA21+AA23</f>
        <v>1828.25940820115</v>
      </c>
      <c r="AB24" s="101" t="n">
        <f aca="false">AB18*AB21+AB23</f>
        <v>1872.25940820115</v>
      </c>
      <c r="AC24" s="101" t="n">
        <f aca="false">AC18*AC21+AC23</f>
        <v>1916.25940820115</v>
      </c>
      <c r="AD24" s="101" t="n">
        <f aca="false">AD18*AD21+AD23</f>
        <v>1960.25940820115</v>
      </c>
      <c r="AE24" s="101" t="n">
        <f aca="false">AE18*AE21+AE23</f>
        <v>2004.25940820115</v>
      </c>
      <c r="AF24" s="101" t="n">
        <f aca="false">AF18*AF21+AF23</f>
        <v>2048.25940820115</v>
      </c>
      <c r="AG24" s="101" t="n">
        <f aca="false">AG18*AG21+AG23</f>
        <v>2092.25940820115</v>
      </c>
      <c r="AH24" s="101" t="n">
        <f aca="false">AH18*AH21+AH23</f>
        <v>2136.25940820115</v>
      </c>
      <c r="AI24" s="101" t="n">
        <f aca="false">AI18*AI21+AI23</f>
        <v>2180.25940820115</v>
      </c>
      <c r="AJ24" s="101" t="n">
        <f aca="false">AJ18*AJ21+AJ23</f>
        <v>2224.25940820115</v>
      </c>
      <c r="AK24" s="101" t="n">
        <f aca="false">AK18*AK21+AK23</f>
        <v>2268.25940820115</v>
      </c>
      <c r="AL24" s="101" t="n">
        <f aca="false">AL18*AL21+AL23</f>
        <v>2312.25940820115</v>
      </c>
      <c r="AM24" s="101" t="n">
        <f aca="false">AM18*AM21+AM23</f>
        <v>2356.25940820115</v>
      </c>
      <c r="AN24" s="101" t="n">
        <f aca="false">AN18*AN21+AN23</f>
        <v>2400.25940820115</v>
      </c>
      <c r="AO24" s="101" t="n">
        <f aca="false">AO18*AO21+AO23</f>
        <v>2444.25940820115</v>
      </c>
      <c r="AP24" s="101" t="n">
        <f aca="false">AP18*AP21+AP23</f>
        <v>2488.25940820115</v>
      </c>
      <c r="AQ24" s="101" t="n">
        <f aca="false">AQ18*AQ21+AQ23</f>
        <v>2532.25940820115</v>
      </c>
      <c r="AR24" s="101" t="n">
        <f aca="false">AR18*AR21+AR23</f>
        <v>2576.25940820115</v>
      </c>
      <c r="AS24" s="101" t="n">
        <f aca="false">AS18*AS21+AS23</f>
        <v>2576.25940820115</v>
      </c>
      <c r="AT24" s="101" t="n">
        <f aca="false">AT18*AT21+AT23</f>
        <v>2576.25940820115</v>
      </c>
      <c r="AU24" s="101" t="n">
        <f aca="false">AU18*AU21+AU23</f>
        <v>2576.25940820115</v>
      </c>
      <c r="AV24" s="101" t="n">
        <f aca="false">AV18*AV21+AV23</f>
        <v>2576.25940820115</v>
      </c>
      <c r="AW24" s="101" t="n">
        <f aca="false">AW18*AW21+AW23</f>
        <v>2576.25940820115</v>
      </c>
      <c r="AX24" s="101" t="n">
        <f aca="false">AX18*AX21+AX23</f>
        <v>2576.25940820115</v>
      </c>
      <c r="AY24" s="101" t="n">
        <f aca="false">AY18*AY21+AY23</f>
        <v>2576.25940820115</v>
      </c>
      <c r="AZ24" s="101" t="n">
        <f aca="false">AZ18*AZ21+AZ23</f>
        <v>2576.25940820115</v>
      </c>
      <c r="BA24" s="101" t="n">
        <f aca="false">BA18*BA21+BA23</f>
        <v>2576.25940820115</v>
      </c>
      <c r="BB24" s="101" t="n">
        <f aca="false">BB18*BB21+BB23</f>
        <v>2576.25940820115</v>
      </c>
      <c r="BC24" s="101" t="n">
        <f aca="false">BC18*BC21+BC23</f>
        <v>2576.25940820115</v>
      </c>
      <c r="BD24" s="101" t="n">
        <f aca="false">BD18*BD21+BD23</f>
        <v>2576.25940820115</v>
      </c>
      <c r="BE24" s="101" t="n">
        <f aca="false">BE18*BE21+BE23</f>
        <v>2576.25940820115</v>
      </c>
      <c r="BF24" s="101" t="n">
        <f aca="false">BF18*BF21+BF23</f>
        <v>2576.25940820115</v>
      </c>
      <c r="BG24" s="101" t="n">
        <f aca="false">BG18*BG21+BG23</f>
        <v>2576.25940820115</v>
      </c>
      <c r="BH24" s="101" t="n">
        <f aca="false">BH18*BH21+BH23</f>
        <v>2576.25940820115</v>
      </c>
      <c r="BI24" s="101" t="n">
        <f aca="false">BI18*BI21+BI23</f>
        <v>2576.25940820115</v>
      </c>
      <c r="BJ24" s="101" t="n">
        <f aca="false">BJ18*BJ21+BJ23</f>
        <v>2576.25940820115</v>
      </c>
      <c r="BK24" s="101" t="n">
        <f aca="false">BK18*BK21+BK23</f>
        <v>2576.25940820115</v>
      </c>
      <c r="BL24" s="101" t="n">
        <f aca="false">BL18*BL21+BL23</f>
        <v>2576.25940820115</v>
      </c>
      <c r="BM24" s="101" t="n">
        <f aca="false">BM18*BM21+BM23</f>
        <v>2576.25940820115</v>
      </c>
      <c r="BN24" s="101" t="n">
        <f aca="false">BN18*BN21+BN23</f>
        <v>2576.25940820115</v>
      </c>
      <c r="BO24" s="101" t="n">
        <f aca="false">BO18*BO21+BO23</f>
        <v>2576.25940820115</v>
      </c>
      <c r="BP24" s="101" t="n">
        <f aca="false">BP18*BP21+BP23</f>
        <v>2576.25940820115</v>
      </c>
      <c r="BQ24" s="101" t="n">
        <f aca="false">BQ18*BQ21+BQ23</f>
        <v>2576.25940820115</v>
      </c>
      <c r="BR24" s="101" t="n">
        <f aca="false">BR18*BR21+BR23</f>
        <v>2576.25940820115</v>
      </c>
      <c r="BS24" s="101" t="n">
        <f aca="false">BS18*BS21+BS23</f>
        <v>2576.25940820115</v>
      </c>
      <c r="BT24" s="101" t="n">
        <f aca="false">BT18*BT21+BT23</f>
        <v>2576.25940820115</v>
      </c>
      <c r="BU24" s="101" t="n">
        <f aca="false">BU18*BU21+BU23</f>
        <v>2576.25940820115</v>
      </c>
      <c r="BV24" s="101" t="n">
        <f aca="false">BV18*BV21+BV23</f>
        <v>2576.25940820115</v>
      </c>
      <c r="BW24" s="101" t="n">
        <f aca="false">BW18*BW21+BW23</f>
        <v>2576.25940820115</v>
      </c>
      <c r="BX24" s="101" t="n">
        <f aca="false">BX18*BX21+BX23</f>
        <v>2576.25940820115</v>
      </c>
      <c r="BY24" s="101" t="n">
        <f aca="false">BY18*BY21+BY23</f>
        <v>2576.25940820115</v>
      </c>
      <c r="BZ24" s="101" t="n">
        <f aca="false">BZ18*BZ21+BZ23</f>
        <v>2576.25940820115</v>
      </c>
      <c r="CA24" s="101" t="n">
        <f aca="false">CA18*CA21+CA23</f>
        <v>2576.25940820115</v>
      </c>
      <c r="CB24" s="101" t="n">
        <f aca="false">CB18*CB21+CB23</f>
        <v>2576.25940820115</v>
      </c>
      <c r="CC24" s="101" t="n">
        <f aca="false">CC18*CC21+CC23</f>
        <v>2576.25940820115</v>
      </c>
      <c r="CD24" s="101" t="n">
        <f aca="false">CD18*CD21+CD23</f>
        <v>2576.25940820115</v>
      </c>
      <c r="CE24" s="101" t="n">
        <f aca="false">CE18*CE21+CE23</f>
        <v>2576.25940820115</v>
      </c>
      <c r="CF24" s="101" t="n">
        <f aca="false">CF18*CF21+CF23</f>
        <v>2576.25940820115</v>
      </c>
      <c r="CG24" s="101" t="n">
        <f aca="false">CG18*CG21+CG23</f>
        <v>2576.25940820115</v>
      </c>
      <c r="CH24" s="101" t="n">
        <f aca="false">CH18*CH21+CH23</f>
        <v>2576.25940820115</v>
      </c>
    </row>
    <row r="25" customFormat="false" ht="13.5" hidden="false" customHeight="true" outlineLevel="0" collapsed="false">
      <c r="A25" s="6" t="s">
        <v>505</v>
      </c>
      <c r="C25" s="110" t="n">
        <f aca="false">IFERROR(C24/C8,0)</f>
        <v>0.044339318978742</v>
      </c>
      <c r="D25" s="110" t="n">
        <f aca="false">IFERROR(D24/D8,0)</f>
        <v>0.0604158878103071</v>
      </c>
      <c r="E25" s="110" t="n">
        <f aca="false">IFERROR(E24/E8,0)</f>
        <v>0.0848642997671517</v>
      </c>
      <c r="F25" s="110" t="n">
        <f aca="false">IFERROR(F24/F8,0)</f>
        <v>0.0817976193497616</v>
      </c>
      <c r="G25" s="110" t="n">
        <f aca="false">IFERROR(G24/G8,0)</f>
        <v>0.0791047678188427</v>
      </c>
      <c r="H25" s="110" t="n">
        <f aca="false">IFERROR(H24/H8,0)</f>
        <v>0.0974744123384889</v>
      </c>
      <c r="I25" s="110" t="n">
        <f aca="false">IFERROR(I24/I8,0)</f>
        <v>0.131121834635913</v>
      </c>
      <c r="J25" s="110" t="n">
        <f aca="false">IFERROR(J24/J8,0)</f>
        <v>0.164769256933337</v>
      </c>
      <c r="K25" s="110" t="n">
        <f aca="false">IFERROR(K24/K8,0)</f>
        <v>0.198416679230761</v>
      </c>
      <c r="L25" s="110" t="n">
        <f aca="false">IFERROR(L24/L8,0)</f>
        <v>0.232064101528185</v>
      </c>
      <c r="M25" s="110" t="n">
        <f aca="false">IFERROR(M24/M8,0)</f>
        <v>0.254771438798235</v>
      </c>
      <c r="N25" s="110" t="n">
        <f aca="false">IFERROR(N24/N8,0)</f>
        <v>0.288285408057043</v>
      </c>
      <c r="O25" s="110" t="n">
        <f aca="false">IFERROR(O24/O8,0)</f>
        <v>0.321799377315851</v>
      </c>
      <c r="P25" s="110" t="n">
        <f aca="false">IFERROR(P24/P8,0)</f>
        <v>0.352206439877891</v>
      </c>
      <c r="Q25" s="110" t="n">
        <f aca="false">IFERROR(Q24/Q8,0)</f>
        <v>0.382613502439931</v>
      </c>
      <c r="R25" s="110" t="n">
        <f aca="false">IFERROR(R24/R8,0)</f>
        <v>0.413020565001971</v>
      </c>
      <c r="S25" s="110" t="n">
        <f aca="false">IFERROR(S24/S8,0)</f>
        <v>0.44342762756401</v>
      </c>
      <c r="T25" s="110" t="n">
        <f aca="false">IFERROR(T24/T8,0)</f>
        <v>0.47383469012605</v>
      </c>
      <c r="U25" s="110" t="n">
        <f aca="false">IFERROR(U24/U8,0)</f>
        <v>0.50424175268809</v>
      </c>
      <c r="V25" s="110" t="n">
        <f aca="false">IFERROR(V24/V8,0)</f>
        <v>0.53464881525013</v>
      </c>
      <c r="W25" s="110" t="n">
        <f aca="false">IFERROR(W24/W8,0)</f>
        <v>0.56505587781217</v>
      </c>
      <c r="X25" s="110" t="n">
        <f aca="false">IFERROR(X24/X8,0)</f>
        <v>0.584656308385451</v>
      </c>
      <c r="Y25" s="110" t="n">
        <f aca="false">IFERROR(Y24/Y8,0)</f>
        <v>0.604256738958733</v>
      </c>
      <c r="Z25" s="110" t="n">
        <f aca="false">IFERROR(Z24/Z8,0)</f>
        <v>0.619534516736511</v>
      </c>
      <c r="AA25" s="110" t="n">
        <f aca="false">IFERROR(AA24/AA8,0)</f>
        <v>0.634812294514288</v>
      </c>
      <c r="AB25" s="110" t="n">
        <f aca="false">IFERROR(AB24/AB8,0)</f>
        <v>0.650090072292066</v>
      </c>
      <c r="AC25" s="110" t="n">
        <f aca="false">IFERROR(AC24/AC8,0)</f>
        <v>0.665367850069844</v>
      </c>
      <c r="AD25" s="110" t="n">
        <f aca="false">IFERROR(AD24/AD8,0)</f>
        <v>0.680645627847622</v>
      </c>
      <c r="AE25" s="110" t="n">
        <f aca="false">IFERROR(AE24/AE8,0)</f>
        <v>0.695923405625399</v>
      </c>
      <c r="AF25" s="110" t="n">
        <f aca="false">IFERROR(AF24/AF8,0)</f>
        <v>0.711201183403177</v>
      </c>
      <c r="AG25" s="110" t="n">
        <f aca="false">IFERROR(AG24/AG8,0)</f>
        <v>0.726478961180955</v>
      </c>
      <c r="AH25" s="110" t="n">
        <f aca="false">IFERROR(AH24/AH8,0)</f>
        <v>0.741756738958733</v>
      </c>
      <c r="AI25" s="110" t="n">
        <f aca="false">IFERROR(AI24/AI8,0)</f>
        <v>0.757034516736511</v>
      </c>
      <c r="AJ25" s="110" t="n">
        <f aca="false">IFERROR(AJ24/AJ8,0)</f>
        <v>0.772312294514288</v>
      </c>
      <c r="AK25" s="110" t="n">
        <f aca="false">IFERROR(AK24/AK8,0)</f>
        <v>0.787590072292066</v>
      </c>
      <c r="AL25" s="110" t="n">
        <f aca="false">IFERROR(AL24/AL8,0)</f>
        <v>0.802867850069844</v>
      </c>
      <c r="AM25" s="110" t="n">
        <f aca="false">IFERROR(AM24/AM8,0)</f>
        <v>0.818145627847622</v>
      </c>
      <c r="AN25" s="110" t="n">
        <f aca="false">IFERROR(AN24/AN8,0)</f>
        <v>0.833423405625399</v>
      </c>
      <c r="AO25" s="110" t="n">
        <f aca="false">IFERROR(AO24/AO8,0)</f>
        <v>0.848701183403177</v>
      </c>
      <c r="AP25" s="110" t="n">
        <f aca="false">IFERROR(AP24/AP8,0)</f>
        <v>0.863978961180955</v>
      </c>
      <c r="AQ25" s="110" t="n">
        <f aca="false">IFERROR(AQ24/AQ8,0)</f>
        <v>0.879256738958733</v>
      </c>
      <c r="AR25" s="110" t="n">
        <f aca="false">IFERROR(AR24/AR8,0)</f>
        <v>0.89453451673651</v>
      </c>
      <c r="AS25" s="110" t="n">
        <f aca="false">IFERROR(AS24/AS8,0)</f>
        <v>0.89453451673651</v>
      </c>
      <c r="AT25" s="110" t="n">
        <f aca="false">IFERROR(AT24/AT8,0)</f>
        <v>0.89453451673651</v>
      </c>
      <c r="AU25" s="110" t="n">
        <f aca="false">IFERROR(AU24/AU8,0)</f>
        <v>0.89453451673651</v>
      </c>
      <c r="AV25" s="110" t="n">
        <f aca="false">IFERROR(AV24/AV8,0)</f>
        <v>0.89453451673651</v>
      </c>
      <c r="AW25" s="110" t="n">
        <f aca="false">IFERROR(AW24/AW8,0)</f>
        <v>0.89453451673651</v>
      </c>
      <c r="AX25" s="110" t="n">
        <f aca="false">IFERROR(AX24/AX8,0)</f>
        <v>0.89453451673651</v>
      </c>
      <c r="AY25" s="110" t="n">
        <f aca="false">IFERROR(AY24/AY8,0)</f>
        <v>0.89453451673651</v>
      </c>
      <c r="AZ25" s="110" t="n">
        <f aca="false">IFERROR(AZ24/AZ8,0)</f>
        <v>0.89453451673651</v>
      </c>
      <c r="BA25" s="110" t="n">
        <f aca="false">IFERROR(BA24/BA8,0)</f>
        <v>0.89453451673651</v>
      </c>
      <c r="BB25" s="110" t="n">
        <f aca="false">IFERROR(BB24/BB8,0)</f>
        <v>0.89453451673651</v>
      </c>
      <c r="BC25" s="110" t="n">
        <f aca="false">IFERROR(BC24/BC8,0)</f>
        <v>0.89453451673651</v>
      </c>
      <c r="BD25" s="110" t="n">
        <f aca="false">IFERROR(BD24/BD8,0)</f>
        <v>0.89453451673651</v>
      </c>
      <c r="BE25" s="110" t="n">
        <f aca="false">IFERROR(BE24/BE8,0)</f>
        <v>0.89453451673651</v>
      </c>
      <c r="BF25" s="110" t="n">
        <f aca="false">IFERROR(BF24/BF8,0)</f>
        <v>0.89453451673651</v>
      </c>
      <c r="BG25" s="110" t="n">
        <f aca="false">IFERROR(BG24/BG8,0)</f>
        <v>0.89453451673651</v>
      </c>
      <c r="BH25" s="110" t="n">
        <f aca="false">IFERROR(BH24/BH8,0)</f>
        <v>0.89453451673651</v>
      </c>
      <c r="BI25" s="110" t="n">
        <f aca="false">IFERROR(BI24/BI8,0)</f>
        <v>0.89453451673651</v>
      </c>
      <c r="BJ25" s="110" t="n">
        <f aca="false">IFERROR(BJ24/BJ8,0)</f>
        <v>0.89453451673651</v>
      </c>
      <c r="BK25" s="110" t="n">
        <f aca="false">IFERROR(BK24/BK8,0)</f>
        <v>0.89453451673651</v>
      </c>
      <c r="BL25" s="110" t="n">
        <f aca="false">IFERROR(BL24/BL8,0)</f>
        <v>0.89453451673651</v>
      </c>
      <c r="BM25" s="110" t="n">
        <f aca="false">IFERROR(BM24/BM8,0)</f>
        <v>0.89453451673651</v>
      </c>
      <c r="BN25" s="110" t="n">
        <f aca="false">IFERROR(BN24/BN8,0)</f>
        <v>0.89453451673651</v>
      </c>
      <c r="BO25" s="110" t="n">
        <f aca="false">IFERROR(BO24/BO8,0)</f>
        <v>0.89453451673651</v>
      </c>
      <c r="BP25" s="110" t="n">
        <f aca="false">IFERROR(BP24/BP8,0)</f>
        <v>0.89453451673651</v>
      </c>
      <c r="BQ25" s="110" t="n">
        <f aca="false">IFERROR(BQ24/BQ8,0)</f>
        <v>0.89453451673651</v>
      </c>
      <c r="BR25" s="110" t="n">
        <f aca="false">IFERROR(BR24/BR8,0)</f>
        <v>0.89453451673651</v>
      </c>
      <c r="BS25" s="110" t="n">
        <f aca="false">IFERROR(BS24/BS8,0)</f>
        <v>0.89453451673651</v>
      </c>
      <c r="BT25" s="110" t="n">
        <f aca="false">IFERROR(BT24/BT8,0)</f>
        <v>0.89453451673651</v>
      </c>
      <c r="BU25" s="110" t="n">
        <f aca="false">IFERROR(BU24/BU8,0)</f>
        <v>0.89453451673651</v>
      </c>
      <c r="BV25" s="110" t="n">
        <f aca="false">IFERROR(BV24/BV8,0)</f>
        <v>0.89453451673651</v>
      </c>
      <c r="BW25" s="110" t="n">
        <f aca="false">IFERROR(BW24/BW8,0)</f>
        <v>0.89453451673651</v>
      </c>
      <c r="BX25" s="110" t="n">
        <f aca="false">IFERROR(BX24/BX8,0)</f>
        <v>0.89453451673651</v>
      </c>
      <c r="BY25" s="110" t="n">
        <f aca="false">IFERROR(BY24/BY8,0)</f>
        <v>0.89453451673651</v>
      </c>
      <c r="BZ25" s="110" t="n">
        <f aca="false">IFERROR(BZ24/BZ8,0)</f>
        <v>0.89453451673651</v>
      </c>
      <c r="CA25" s="110" t="n">
        <f aca="false">IFERROR(CA24/CA8,0)</f>
        <v>0.89453451673651</v>
      </c>
      <c r="CB25" s="110" t="n">
        <f aca="false">IFERROR(CB24/CB8,0)</f>
        <v>0.89453451673651</v>
      </c>
      <c r="CC25" s="110" t="n">
        <f aca="false">IFERROR(CC24/CC8,0)</f>
        <v>0.89453451673651</v>
      </c>
      <c r="CD25" s="110" t="n">
        <f aca="false">IFERROR(CD24/CD8,0)</f>
        <v>0.89453451673651</v>
      </c>
      <c r="CE25" s="110" t="n">
        <f aca="false">IFERROR(CE24/CE8,0)</f>
        <v>0.89453451673651</v>
      </c>
      <c r="CF25" s="110" t="n">
        <f aca="false">IFERROR(CF24/CF8,0)</f>
        <v>0.89453451673651</v>
      </c>
      <c r="CG25" s="110" t="n">
        <f aca="false">IFERROR(CG24/CG8,0)</f>
        <v>0.89453451673651</v>
      </c>
      <c r="CH25" s="110" t="n">
        <f aca="false">IFERROR(CH24/CH8,0)</f>
        <v>0.89453451673651</v>
      </c>
    </row>
    <row r="26" customFormat="false" ht="13.5" hidden="false" customHeight="true" outlineLevel="0" collapsed="false">
      <c r="A26" s="6" t="s">
        <v>241</v>
      </c>
      <c r="C26" s="101" t="n">
        <f aca="false">C20*C21+C23*Hipótesis!$F$23</f>
        <v>12.3975</v>
      </c>
      <c r="D26" s="101" t="n">
        <f aca="false">D20*D21+D23*Hipótesis!$F$23</f>
        <v>27.405</v>
      </c>
      <c r="E26" s="101" t="n">
        <f aca="false">E20*E21+E23*Hipótesis!$F$23</f>
        <v>75.69</v>
      </c>
      <c r="F26" s="101" t="n">
        <f aca="false">F20*F21+F23*Hipótesis!$F$23</f>
        <v>111.5775</v>
      </c>
      <c r="G26" s="101" t="n">
        <f aca="false">G20*G21+G23*Hipótesis!$F$23</f>
        <v>144.855</v>
      </c>
      <c r="H26" s="101" t="n">
        <f aca="false">H20*H21+H23*Hipótesis!$F$23</f>
        <v>208.03875</v>
      </c>
      <c r="I26" s="101" t="n">
        <f aca="false">I20*I21+I23*Hipótesis!$F$23</f>
        <v>320.613267891892</v>
      </c>
      <c r="J26" s="101" t="n">
        <f aca="false">J20*J21+J23*Hipótesis!$F$23</f>
        <v>433.187785783784</v>
      </c>
      <c r="K26" s="101" t="n">
        <f aca="false">K20*K21+K23*Hipótesis!$F$23</f>
        <v>545.762303675676</v>
      </c>
      <c r="L26" s="101" t="n">
        <f aca="false">L20*L21+L23*Hipótesis!$F$23</f>
        <v>658.336821567568</v>
      </c>
      <c r="M26" s="101" t="n">
        <f aca="false">M20*M21+M23*Hipótesis!$F$23</f>
        <v>737.63383945946</v>
      </c>
      <c r="N26" s="101" t="n">
        <f aca="false">N20*N21+N23*Hipótesis!$F$23</f>
        <v>860.430857351351</v>
      </c>
      <c r="O26" s="101" t="n">
        <f aca="false">O20*O21+O23*Hipótesis!$F$23</f>
        <v>983.227875243243</v>
      </c>
      <c r="P26" s="101" t="n">
        <f aca="false">P20*P21+P23*Hipótesis!$F$23</f>
        <v>1093.51864313514</v>
      </c>
      <c r="Q26" s="101" t="n">
        <f aca="false">Q20*Q21+Q23*Hipótesis!$F$23</f>
        <v>1203.80941102703</v>
      </c>
      <c r="R26" s="101" t="n">
        <f aca="false">R20*R21+R23*Hipótesis!$F$23</f>
        <v>1314.10017891892</v>
      </c>
      <c r="S26" s="101" t="n">
        <f aca="false">S20*S21+S23*Hipótesis!$F$23</f>
        <v>1424.39094681081</v>
      </c>
      <c r="T26" s="101" t="n">
        <f aca="false">T20*T21+T23*Hipótesis!$F$23</f>
        <v>1534.6817147027</v>
      </c>
      <c r="U26" s="101" t="n">
        <f aca="false">U20*U21+U23*Hipótesis!$F$23</f>
        <v>1644.97248259459</v>
      </c>
      <c r="V26" s="101" t="n">
        <f aca="false">V20*V21+V23*Hipótesis!$F$23</f>
        <v>1755.26325048649</v>
      </c>
      <c r="W26" s="101" t="n">
        <f aca="false">W20*W21+W23*Hipótesis!$F$23</f>
        <v>1865.55401837838</v>
      </c>
      <c r="X26" s="101" t="n">
        <f aca="false">X20*X21+X23*Hipótesis!$F$23</f>
        <v>1932.34478627027</v>
      </c>
      <c r="Y26" s="101" t="n">
        <f aca="false">Y20*Y21+Y23*Hipótesis!$F$23</f>
        <v>1999.13555416216</v>
      </c>
      <c r="Z26" s="101" t="n">
        <f aca="false">Z20*Z21+Z23*Hipótesis!$F$23</f>
        <v>2048.52632205405</v>
      </c>
      <c r="AA26" s="101" t="n">
        <f aca="false">AA20*AA21+AA23*Hipótesis!$F$23</f>
        <v>2097.91708994595</v>
      </c>
      <c r="AB26" s="101" t="n">
        <f aca="false">AB20*AB21+AB23*Hipótesis!$F$23</f>
        <v>2147.30785783784</v>
      </c>
      <c r="AC26" s="101" t="n">
        <f aca="false">AC20*AC21+AC23*Hipótesis!$F$23</f>
        <v>2196.69862572973</v>
      </c>
      <c r="AD26" s="101" t="n">
        <f aca="false">AD20*AD21+AD23*Hipótesis!$F$23</f>
        <v>2246.08939362162</v>
      </c>
      <c r="AE26" s="101" t="n">
        <f aca="false">AE20*AE21+AE23*Hipótesis!$F$23</f>
        <v>2295.48016151351</v>
      </c>
      <c r="AF26" s="101" t="n">
        <f aca="false">AF20*AF21+AF23*Hipótesis!$F$23</f>
        <v>2344.87092940541</v>
      </c>
      <c r="AG26" s="101" t="n">
        <f aca="false">AG20*AG21+AG23*Hipótesis!$F$23</f>
        <v>2394.2616972973</v>
      </c>
      <c r="AH26" s="101" t="n">
        <f aca="false">AH20*AH21+AH23*Hipótesis!$F$23</f>
        <v>2443.65246518919</v>
      </c>
      <c r="AI26" s="101" t="n">
        <f aca="false">AI20*AI21+AI23*Hipótesis!$F$23</f>
        <v>2493.04323308108</v>
      </c>
      <c r="AJ26" s="101" t="n">
        <f aca="false">AJ20*AJ21+AJ23*Hipótesis!$F$23</f>
        <v>2542.43400097297</v>
      </c>
      <c r="AK26" s="101" t="n">
        <f aca="false">AK20*AK21+AK23*Hipótesis!$F$23</f>
        <v>2591.82476886487</v>
      </c>
      <c r="AL26" s="101" t="n">
        <f aca="false">AL20*AL21+AL23*Hipótesis!$F$23</f>
        <v>2641.21553675676</v>
      </c>
      <c r="AM26" s="101" t="n">
        <f aca="false">AM20*AM21+AM23*Hipótesis!$F$23</f>
        <v>2690.60630464865</v>
      </c>
      <c r="AN26" s="101" t="n">
        <f aca="false">AN20*AN21+AN23*Hipótesis!$F$23</f>
        <v>2739.99707254054</v>
      </c>
      <c r="AO26" s="101" t="n">
        <f aca="false">AO20*AO21+AO23*Hipótesis!$F$23</f>
        <v>2789.38784043243</v>
      </c>
      <c r="AP26" s="101" t="n">
        <f aca="false">AP20*AP21+AP23*Hipótesis!$F$23</f>
        <v>2838.77860832432</v>
      </c>
      <c r="AQ26" s="101" t="n">
        <f aca="false">AQ20*AQ21+AQ23*Hipótesis!$F$23</f>
        <v>2888.16937621622</v>
      </c>
      <c r="AR26" s="101" t="n">
        <f aca="false">AR20*AR21+AR23*Hipótesis!$F$23</f>
        <v>2937.56014410811</v>
      </c>
      <c r="AS26" s="101" t="n">
        <f aca="false">AS20*AS21+AS23*Hipótesis!$F$23</f>
        <v>2937.56014410811</v>
      </c>
      <c r="AT26" s="101" t="n">
        <f aca="false">AT20*AT21+AT23*Hipótesis!$F$23</f>
        <v>2937.56014410811</v>
      </c>
      <c r="AU26" s="101" t="n">
        <f aca="false">AU20*AU21+AU23*Hipótesis!$F$23</f>
        <v>2937.56014410811</v>
      </c>
      <c r="AV26" s="101" t="n">
        <f aca="false">AV20*AV21+AV23*Hipótesis!$F$23</f>
        <v>2937.56014410811</v>
      </c>
      <c r="AW26" s="101" t="n">
        <f aca="false">AW20*AW21+AW23*Hipótesis!$F$23</f>
        <v>2937.56014410811</v>
      </c>
      <c r="AX26" s="101" t="n">
        <f aca="false">AX20*AX21+AX23*Hipótesis!$F$23</f>
        <v>2937.56014410811</v>
      </c>
      <c r="AY26" s="101" t="n">
        <f aca="false">AY20*AY21+AY23*Hipótesis!$F$23</f>
        <v>2937.56014410811</v>
      </c>
      <c r="AZ26" s="101" t="n">
        <f aca="false">AZ20*AZ21+AZ23*Hipótesis!$F$23</f>
        <v>2937.56014410811</v>
      </c>
      <c r="BA26" s="101" t="n">
        <f aca="false">BA20*BA21+BA23*Hipótesis!$F$23</f>
        <v>2937.56014410811</v>
      </c>
      <c r="BB26" s="101" t="n">
        <f aca="false">BB20*BB21+BB23*Hipótesis!$F$23</f>
        <v>2937.56014410811</v>
      </c>
      <c r="BC26" s="101" t="n">
        <f aca="false">BC20*BC21+BC23*Hipótesis!$F$23</f>
        <v>2937.56014410811</v>
      </c>
      <c r="BD26" s="101" t="n">
        <f aca="false">BD20*BD21+BD23*Hipótesis!$F$23</f>
        <v>2937.56014410811</v>
      </c>
      <c r="BE26" s="101" t="n">
        <f aca="false">BE20*BE21+BE23*Hipótesis!$F$23</f>
        <v>2937.56014410811</v>
      </c>
      <c r="BF26" s="101" t="n">
        <f aca="false">BF20*BF21+BF23*Hipótesis!$F$23</f>
        <v>2937.56014410811</v>
      </c>
      <c r="BG26" s="101" t="n">
        <f aca="false">BG20*BG21+BG23*Hipótesis!$F$23</f>
        <v>2937.56014410811</v>
      </c>
      <c r="BH26" s="101" t="n">
        <f aca="false">BH20*BH21+BH23*Hipótesis!$F$23</f>
        <v>2937.56014410811</v>
      </c>
      <c r="BI26" s="101" t="n">
        <f aca="false">BI20*BI21+BI23*Hipótesis!$F$23</f>
        <v>2937.56014410811</v>
      </c>
      <c r="BJ26" s="101" t="n">
        <f aca="false">BJ20*BJ21+BJ23*Hipótesis!$F$23</f>
        <v>2937.56014410811</v>
      </c>
      <c r="BK26" s="101" t="n">
        <f aca="false">BK20*BK21+BK23*Hipótesis!$F$23</f>
        <v>2937.56014410811</v>
      </c>
      <c r="BL26" s="101" t="n">
        <f aca="false">BL20*BL21+BL23*Hipótesis!$F$23</f>
        <v>2937.56014410811</v>
      </c>
      <c r="BM26" s="101" t="n">
        <f aca="false">BM20*BM21+BM23*Hipótesis!$F$23</f>
        <v>2937.56014410811</v>
      </c>
      <c r="BN26" s="101" t="n">
        <f aca="false">BN20*BN21+BN23*Hipótesis!$F$23</f>
        <v>2937.56014410811</v>
      </c>
      <c r="BO26" s="101" t="n">
        <f aca="false">BO20*BO21+BO23*Hipótesis!$F$23</f>
        <v>2937.56014410811</v>
      </c>
      <c r="BP26" s="101" t="n">
        <f aca="false">BP20*BP21+BP23*Hipótesis!$F$23</f>
        <v>2937.56014410811</v>
      </c>
      <c r="BQ26" s="101" t="n">
        <f aca="false">BQ20*BQ21+BQ23*Hipótesis!$F$23</f>
        <v>2937.56014410811</v>
      </c>
      <c r="BR26" s="101" t="n">
        <f aca="false">BR20*BR21+BR23*Hipótesis!$F$23</f>
        <v>2937.56014410811</v>
      </c>
      <c r="BS26" s="101" t="n">
        <f aca="false">BS20*BS21+BS23*Hipótesis!$F$23</f>
        <v>2937.56014410811</v>
      </c>
      <c r="BT26" s="101" t="n">
        <f aca="false">BT20*BT21+BT23*Hipótesis!$F$23</f>
        <v>2937.56014410811</v>
      </c>
      <c r="BU26" s="101" t="n">
        <f aca="false">BU20*BU21+BU23*Hipótesis!$F$23</f>
        <v>2937.56014410811</v>
      </c>
      <c r="BV26" s="101" t="n">
        <f aca="false">BV20*BV21+BV23*Hipótesis!$F$23</f>
        <v>2937.56014410811</v>
      </c>
      <c r="BW26" s="101" t="n">
        <f aca="false">BW20*BW21+BW23*Hipótesis!$F$23</f>
        <v>2937.56014410811</v>
      </c>
      <c r="BX26" s="101" t="n">
        <f aca="false">BX20*BX21+BX23*Hipótesis!$F$23</f>
        <v>2937.56014410811</v>
      </c>
      <c r="BY26" s="101" t="n">
        <f aca="false">BY20*BY21+BY23*Hipótesis!$F$23</f>
        <v>2937.56014410811</v>
      </c>
      <c r="BZ26" s="101" t="n">
        <f aca="false">BZ20*BZ21+BZ23*Hipótesis!$F$23</f>
        <v>2937.56014410811</v>
      </c>
      <c r="CA26" s="101" t="n">
        <f aca="false">CA20*CA21+CA23*Hipótesis!$F$23</f>
        <v>2937.56014410811</v>
      </c>
      <c r="CB26" s="101" t="n">
        <f aca="false">CB20*CB21+CB23*Hipótesis!$F$23</f>
        <v>2937.56014410811</v>
      </c>
      <c r="CC26" s="101" t="n">
        <f aca="false">CC20*CC21+CC23*Hipótesis!$F$23</f>
        <v>2937.56014410811</v>
      </c>
      <c r="CD26" s="101" t="n">
        <f aca="false">CD20*CD21+CD23*Hipótesis!$F$23</f>
        <v>2937.56014410811</v>
      </c>
      <c r="CE26" s="101" t="n">
        <f aca="false">CE20*CE21+CE23*Hipótesis!$F$23</f>
        <v>2937.56014410811</v>
      </c>
      <c r="CF26" s="101" t="n">
        <f aca="false">CF20*CF21+CF23*Hipótesis!$F$23</f>
        <v>2937.56014410811</v>
      </c>
      <c r="CG26" s="101" t="n">
        <f aca="false">CG20*CG21+CG23*Hipótesis!$F$23</f>
        <v>2937.56014410811</v>
      </c>
      <c r="CH26" s="101" t="n">
        <f aca="false">CH20*CH21+CH23*Hipótesis!$F$23</f>
        <v>2937.56014410811</v>
      </c>
    </row>
    <row r="27" customFormat="false" ht="13.5" hidden="false" customHeight="true" outlineLevel="0" collapsed="false">
      <c r="A27" s="6" t="s">
        <v>427</v>
      </c>
      <c r="C27" s="101" t="n">
        <f aca="false">C17*C21+C23*Hipótesis!$F$24</f>
        <v>110.2</v>
      </c>
      <c r="D27" s="101" t="n">
        <f aca="false">D17*D21+D23*Hipótesis!$F$24</f>
        <v>235.752941176471</v>
      </c>
      <c r="E27" s="101" t="n">
        <f aca="false">E17*E21+E23*Hipótesis!$F$24</f>
        <v>565.69762342437</v>
      </c>
      <c r="F27" s="101" t="n">
        <f aca="false">F17*F21+F23*Hipótesis!$F$24</f>
        <v>785.442305672269</v>
      </c>
      <c r="G27" s="101" t="n">
        <f aca="false">G17*G21+G23*Hipótesis!$F$24</f>
        <v>989.834046743697</v>
      </c>
      <c r="H27" s="101" t="n">
        <f aca="false">H17*H21+H23*Hipótesis!$F$24</f>
        <v>1370.14490546218</v>
      </c>
      <c r="I27" s="101" t="n">
        <f aca="false">I17*I21+I23*Hipótesis!$F$24</f>
        <v>2051.97530472121</v>
      </c>
      <c r="J27" s="101" t="n">
        <f aca="false">J17*J21+J23*Hipótesis!$F$24</f>
        <v>2733.80570398024</v>
      </c>
      <c r="K27" s="101" t="n">
        <f aca="false">K17*K21+K23*Hipótesis!$F$24</f>
        <v>3415.63610323927</v>
      </c>
      <c r="L27" s="101" t="n">
        <f aca="false">L17*L21+L23*Hipótesis!$F$24</f>
        <v>4097.4665024983</v>
      </c>
      <c r="M27" s="101" t="n">
        <f aca="false">M17*M21+M23*Hipótesis!$F$24</f>
        <v>4574.9051606859</v>
      </c>
      <c r="N27" s="101" t="n">
        <f aca="false">N17*N21+N23*Hipótesis!$F$24</f>
        <v>5308.22617181467</v>
      </c>
      <c r="O27" s="101" t="n">
        <f aca="false">O17*O21+O23*Hipótesis!$F$24</f>
        <v>6041.54718294345</v>
      </c>
      <c r="P27" s="101" t="n">
        <f aca="false">P17*P21+P23*Hipótesis!$F$24</f>
        <v>6701.30201760164</v>
      </c>
      <c r="Q27" s="101" t="n">
        <f aca="false">Q17*Q21+Q23*Hipótesis!$F$24</f>
        <v>7361.05685225982</v>
      </c>
      <c r="R27" s="101" t="n">
        <f aca="false">R17*R21+R23*Hipótesis!$F$24</f>
        <v>8020.81168691801</v>
      </c>
      <c r="S27" s="101" t="n">
        <f aca="false">S17*S21+S23*Hipótesis!$F$24</f>
        <v>8680.5665215762</v>
      </c>
      <c r="T27" s="101" t="n">
        <f aca="false">T17*T21+T23*Hipótesis!$F$24</f>
        <v>9340.32135623439</v>
      </c>
      <c r="U27" s="101" t="n">
        <f aca="false">U17*U21+U23*Hipótesis!$F$24</f>
        <v>10000.0761908926</v>
      </c>
      <c r="V27" s="101" t="n">
        <f aca="false">V17*V21+V23*Hipótesis!$F$24</f>
        <v>10659.8310255508</v>
      </c>
      <c r="W27" s="101" t="n">
        <f aca="false">W17*W21+W23*Hipótesis!$F$24</f>
        <v>11319.5858602089</v>
      </c>
      <c r="X27" s="101" t="n">
        <f aca="false">X17*X21+X23*Hipótesis!$F$24</f>
        <v>11723.458341926</v>
      </c>
      <c r="Y27" s="101" t="n">
        <f aca="false">Y17*Y21+Y23*Hipótesis!$F$24</f>
        <v>12127.330823643</v>
      </c>
      <c r="Z27" s="101" t="n">
        <f aca="false">Z17*Z21+Z23*Hipótesis!$F$24</f>
        <v>12428.8503641835</v>
      </c>
      <c r="AA27" s="101" t="n">
        <f aca="false">AA17*AA21+AA23*Hipótesis!$F$24</f>
        <v>12730.3699047241</v>
      </c>
      <c r="AB27" s="101" t="n">
        <f aca="false">AB17*AB21+AB23*Hipótesis!$F$24</f>
        <v>13031.8894452646</v>
      </c>
      <c r="AC27" s="101" t="n">
        <f aca="false">AC17*AC21+AC23*Hipótesis!$F$24</f>
        <v>13333.4089858051</v>
      </c>
      <c r="AD27" s="101" t="n">
        <f aca="false">AD17*AD21+AD23*Hipótesis!$F$24</f>
        <v>13634.9285263457</v>
      </c>
      <c r="AE27" s="101" t="n">
        <f aca="false">AE17*AE21+AE23*Hipótesis!$F$24</f>
        <v>13936.4480668862</v>
      </c>
      <c r="AF27" s="101" t="n">
        <f aca="false">AF17*AF21+AF23*Hipótesis!$F$24</f>
        <v>14237.9676074268</v>
      </c>
      <c r="AG27" s="101" t="n">
        <f aca="false">AG17*AG21+AG23*Hipótesis!$F$24</f>
        <v>14539.4871479673</v>
      </c>
      <c r="AH27" s="101" t="n">
        <f aca="false">AH17*AH21+AH23*Hipótesis!$F$24</f>
        <v>14841.0066885078</v>
      </c>
      <c r="AI27" s="101" t="n">
        <f aca="false">AI17*AI21+AI23*Hipótesis!$F$24</f>
        <v>15142.5262290484</v>
      </c>
      <c r="AJ27" s="101" t="n">
        <f aca="false">AJ17*AJ21+AJ23*Hipótesis!$F$24</f>
        <v>15444.0457695889</v>
      </c>
      <c r="AK27" s="101" t="n">
        <f aca="false">AK17*AK21+AK23*Hipótesis!$F$24</f>
        <v>15745.5653101295</v>
      </c>
      <c r="AL27" s="101" t="n">
        <f aca="false">AL17*AL21+AL23*Hipótesis!$F$24</f>
        <v>16047.08485067</v>
      </c>
      <c r="AM27" s="101" t="n">
        <f aca="false">AM17*AM21+AM23*Hipótesis!$F$24</f>
        <v>16348.6043912105</v>
      </c>
      <c r="AN27" s="101" t="n">
        <f aca="false">AN17*AN21+AN23*Hipótesis!$F$24</f>
        <v>16650.1239317511</v>
      </c>
      <c r="AO27" s="101" t="n">
        <f aca="false">AO17*AO21+AO23*Hipótesis!$F$24</f>
        <v>16951.6434722916</v>
      </c>
      <c r="AP27" s="101" t="n">
        <f aca="false">AP17*AP21+AP23*Hipótesis!$F$24</f>
        <v>17253.1630128322</v>
      </c>
      <c r="AQ27" s="101" t="n">
        <f aca="false">AQ17*AQ21+AQ23*Hipótesis!$F$24</f>
        <v>17554.6825533727</v>
      </c>
      <c r="AR27" s="101" t="n">
        <f aca="false">AR17*AR21+AR23*Hipótesis!$F$24</f>
        <v>17856.2020939132</v>
      </c>
      <c r="AS27" s="101" t="n">
        <f aca="false">AS17*AS21+AS23*Hipótesis!$F$24</f>
        <v>17856.2020939132</v>
      </c>
      <c r="AT27" s="101" t="n">
        <f aca="false">AT17*AT21+AT23*Hipótesis!$F$24</f>
        <v>17856.2020939132</v>
      </c>
      <c r="AU27" s="101" t="n">
        <f aca="false">AU17*AU21+AU23*Hipótesis!$F$24</f>
        <v>17856.2020939132</v>
      </c>
      <c r="AV27" s="101" t="n">
        <f aca="false">AV17*AV21+AV23*Hipótesis!$F$24</f>
        <v>17856.2020939132</v>
      </c>
      <c r="AW27" s="101" t="n">
        <f aca="false">AW17*AW21+AW23*Hipótesis!$F$24</f>
        <v>17856.2020939132</v>
      </c>
      <c r="AX27" s="101" t="n">
        <f aca="false">AX17*AX21+AX23*Hipótesis!$F$24</f>
        <v>17856.2020939132</v>
      </c>
      <c r="AY27" s="101" t="n">
        <f aca="false">AY17*AY21+AY23*Hipótesis!$F$24</f>
        <v>17856.2020939132</v>
      </c>
      <c r="AZ27" s="101" t="n">
        <f aca="false">AZ17*AZ21+AZ23*Hipótesis!$F$24</f>
        <v>17856.2020939132</v>
      </c>
      <c r="BA27" s="101" t="n">
        <f aca="false">BA17*BA21+BA23*Hipótesis!$F$24</f>
        <v>17856.2020939132</v>
      </c>
      <c r="BB27" s="101" t="n">
        <f aca="false">BB17*BB21+BB23*Hipótesis!$F$24</f>
        <v>17856.2020939132</v>
      </c>
      <c r="BC27" s="101" t="n">
        <f aca="false">BC17*BC21+BC23*Hipótesis!$F$24</f>
        <v>17856.2020939132</v>
      </c>
      <c r="BD27" s="101" t="n">
        <f aca="false">BD17*BD21+BD23*Hipótesis!$F$24</f>
        <v>17856.2020939132</v>
      </c>
      <c r="BE27" s="101" t="n">
        <f aca="false">BE17*BE21+BE23*Hipótesis!$F$24</f>
        <v>17856.2020939132</v>
      </c>
      <c r="BF27" s="101" t="n">
        <f aca="false">BF17*BF21+BF23*Hipótesis!$F$24</f>
        <v>17856.2020939132</v>
      </c>
      <c r="BG27" s="101" t="n">
        <f aca="false">BG17*BG21+BG23*Hipótesis!$F$24</f>
        <v>17856.2020939132</v>
      </c>
      <c r="BH27" s="101" t="n">
        <f aca="false">BH17*BH21+BH23*Hipótesis!$F$24</f>
        <v>17856.2020939132</v>
      </c>
      <c r="BI27" s="101" t="n">
        <f aca="false">BI17*BI21+BI23*Hipótesis!$F$24</f>
        <v>17856.2020939132</v>
      </c>
      <c r="BJ27" s="101" t="n">
        <f aca="false">BJ17*BJ21+BJ23*Hipótesis!$F$24</f>
        <v>17856.2020939132</v>
      </c>
      <c r="BK27" s="101" t="n">
        <f aca="false">BK17*BK21+BK23*Hipótesis!$F$24</f>
        <v>17856.2020939132</v>
      </c>
      <c r="BL27" s="101" t="n">
        <f aca="false">BL17*BL21+BL23*Hipótesis!$F$24</f>
        <v>17856.2020939132</v>
      </c>
      <c r="BM27" s="101" t="n">
        <f aca="false">BM17*BM21+BM23*Hipótesis!$F$24</f>
        <v>17856.2020939132</v>
      </c>
      <c r="BN27" s="101" t="n">
        <f aca="false">BN17*BN21+BN23*Hipótesis!$F$24</f>
        <v>17856.2020939132</v>
      </c>
      <c r="BO27" s="101" t="n">
        <f aca="false">BO17*BO21+BO23*Hipótesis!$F$24</f>
        <v>17856.2020939132</v>
      </c>
      <c r="BP27" s="101" t="n">
        <f aca="false">BP17*BP21+BP23*Hipótesis!$F$24</f>
        <v>17856.2020939132</v>
      </c>
      <c r="BQ27" s="101" t="n">
        <f aca="false">BQ17*BQ21+BQ23*Hipótesis!$F$24</f>
        <v>17856.2020939132</v>
      </c>
      <c r="BR27" s="101" t="n">
        <f aca="false">BR17*BR21+BR23*Hipótesis!$F$24</f>
        <v>17856.2020939132</v>
      </c>
      <c r="BS27" s="101" t="n">
        <f aca="false">BS17*BS21+BS23*Hipótesis!$F$24</f>
        <v>17856.2020939132</v>
      </c>
      <c r="BT27" s="101" t="n">
        <f aca="false">BT17*BT21+BT23*Hipótesis!$F$24</f>
        <v>17856.2020939132</v>
      </c>
      <c r="BU27" s="101" t="n">
        <f aca="false">BU17*BU21+BU23*Hipótesis!$F$24</f>
        <v>17856.2020939132</v>
      </c>
      <c r="BV27" s="101" t="n">
        <f aca="false">BV17*BV21+BV23*Hipótesis!$F$24</f>
        <v>17856.2020939132</v>
      </c>
      <c r="BW27" s="101" t="n">
        <f aca="false">BW17*BW21+BW23*Hipótesis!$F$24</f>
        <v>17856.2020939132</v>
      </c>
      <c r="BX27" s="101" t="n">
        <f aca="false">BX17*BX21+BX23*Hipótesis!$F$24</f>
        <v>17856.2020939132</v>
      </c>
      <c r="BY27" s="101" t="n">
        <f aca="false">BY17*BY21+BY23*Hipótesis!$F$24</f>
        <v>17856.2020939132</v>
      </c>
      <c r="BZ27" s="101" t="n">
        <f aca="false">BZ17*BZ21+BZ23*Hipótesis!$F$24</f>
        <v>17856.2020939132</v>
      </c>
      <c r="CA27" s="101" t="n">
        <f aca="false">CA17*CA21+CA23*Hipótesis!$F$24</f>
        <v>17856.2020939132</v>
      </c>
      <c r="CB27" s="101" t="n">
        <f aca="false">CB17*CB21+CB23*Hipótesis!$F$24</f>
        <v>17856.2020939132</v>
      </c>
      <c r="CC27" s="101" t="n">
        <f aca="false">CC17*CC21+CC23*Hipótesis!$F$24</f>
        <v>17856.2020939132</v>
      </c>
      <c r="CD27" s="101" t="n">
        <f aca="false">CD17*CD21+CD23*Hipótesis!$F$24</f>
        <v>17856.2020939132</v>
      </c>
      <c r="CE27" s="101" t="n">
        <f aca="false">CE17*CE21+CE23*Hipótesis!$F$24</f>
        <v>17856.2020939132</v>
      </c>
      <c r="CF27" s="101" t="n">
        <f aca="false">CF17*CF21+CF23*Hipótesis!$F$24</f>
        <v>17856.2020939132</v>
      </c>
      <c r="CG27" s="101" t="n">
        <f aca="false">CG17*CG21+CG23*Hipótesis!$F$24</f>
        <v>17856.2020939132</v>
      </c>
      <c r="CH27" s="101" t="n">
        <f aca="false">CH17*CH21+CH23*Hipótesis!$F$24</f>
        <v>17856.2020939132</v>
      </c>
    </row>
    <row r="28" customFormat="false" ht="13.5" hidden="false" customHeight="true" outlineLevel="0" collapsed="false">
      <c r="A28" s="6" t="s">
        <v>506</v>
      </c>
      <c r="C28" s="101" t="n">
        <f aca="false">C27*Producto!$D$11/60</f>
        <v>5.51</v>
      </c>
      <c r="D28" s="101" t="n">
        <f aca="false">D27*Producto!$D$11/60</f>
        <v>11.7876470588235</v>
      </c>
      <c r="E28" s="101" t="n">
        <f aca="false">E27*Producto!$D$11/60</f>
        <v>28.2848811712185</v>
      </c>
      <c r="F28" s="101" t="n">
        <f aca="false">F27*Producto!$D$11/60</f>
        <v>39.2721152836134</v>
      </c>
      <c r="G28" s="101" t="n">
        <f aca="false">G27*Producto!$D$11/60</f>
        <v>49.4917023371849</v>
      </c>
      <c r="H28" s="101" t="n">
        <f aca="false">H27*Producto!$D$11/60</f>
        <v>68.5072452731092</v>
      </c>
      <c r="I28" s="101" t="n">
        <f aca="false">I27*Producto!$D$11/60</f>
        <v>102.598765236061</v>
      </c>
      <c r="J28" s="101" t="n">
        <f aca="false">J27*Producto!$D$11/60</f>
        <v>136.690285199012</v>
      </c>
      <c r="K28" s="101" t="n">
        <f aca="false">K27*Producto!$D$11/60</f>
        <v>170.781805161963</v>
      </c>
      <c r="L28" s="101" t="n">
        <f aca="false">L27*Producto!$D$11/60</f>
        <v>204.873325124915</v>
      </c>
      <c r="M28" s="101" t="n">
        <f aca="false">M27*Producto!$D$11/60</f>
        <v>228.745258034295</v>
      </c>
      <c r="N28" s="101" t="n">
        <f aca="false">N27*Producto!$D$11/60</f>
        <v>265.411308590734</v>
      </c>
      <c r="O28" s="101" t="n">
        <f aca="false">O27*Producto!$D$11/60</f>
        <v>302.077359147172</v>
      </c>
      <c r="P28" s="101" t="n">
        <f aca="false">P27*Producto!$D$11/60</f>
        <v>335.065100880082</v>
      </c>
      <c r="Q28" s="101" t="n">
        <f aca="false">Q27*Producto!$D$11/60</f>
        <v>368.052842612991</v>
      </c>
      <c r="R28" s="101" t="n">
        <f aca="false">R27*Producto!$D$11/60</f>
        <v>401.040584345901</v>
      </c>
      <c r="S28" s="101" t="n">
        <f aca="false">S27*Producto!$D$11/60</f>
        <v>434.02832607881</v>
      </c>
      <c r="T28" s="101" t="n">
        <f aca="false">T27*Producto!$D$11/60</f>
        <v>467.016067811719</v>
      </c>
      <c r="U28" s="101" t="n">
        <f aca="false">U27*Producto!$D$11/60</f>
        <v>500.003809544629</v>
      </c>
      <c r="V28" s="101" t="n">
        <f aca="false">V27*Producto!$D$11/60</f>
        <v>532.991551277538</v>
      </c>
      <c r="W28" s="101" t="n">
        <f aca="false">W27*Producto!$D$11/60</f>
        <v>565.979293010447</v>
      </c>
      <c r="X28" s="101" t="n">
        <f aca="false">X27*Producto!$D$11/60</f>
        <v>586.172917096298</v>
      </c>
      <c r="Y28" s="101" t="n">
        <f aca="false">Y27*Producto!$D$11/60</f>
        <v>606.366541182149</v>
      </c>
      <c r="Z28" s="101" t="n">
        <f aca="false">Z27*Producto!$D$11/60</f>
        <v>621.442518209176</v>
      </c>
      <c r="AA28" s="101" t="n">
        <f aca="false">AA27*Producto!$D$11/60</f>
        <v>636.518495236203</v>
      </c>
      <c r="AB28" s="101" t="n">
        <f aca="false">AB27*Producto!$D$11/60</f>
        <v>651.59447226323</v>
      </c>
      <c r="AC28" s="101" t="n">
        <f aca="false">AC27*Producto!$D$11/60</f>
        <v>666.670449290257</v>
      </c>
      <c r="AD28" s="101" t="n">
        <f aca="false">AD27*Producto!$D$11/60</f>
        <v>681.746426317284</v>
      </c>
      <c r="AE28" s="101" t="n">
        <f aca="false">AE27*Producto!$D$11/60</f>
        <v>696.822403344311</v>
      </c>
      <c r="AF28" s="101" t="n">
        <f aca="false">AF27*Producto!$D$11/60</f>
        <v>711.898380371338</v>
      </c>
      <c r="AG28" s="101" t="n">
        <f aca="false">AG27*Producto!$D$11/60</f>
        <v>726.974357398365</v>
      </c>
      <c r="AH28" s="101" t="n">
        <f aca="false">AH27*Producto!$D$11/60</f>
        <v>742.050334425392</v>
      </c>
      <c r="AI28" s="101" t="n">
        <f aca="false">AI27*Producto!$D$11/60</f>
        <v>757.126311452419</v>
      </c>
      <c r="AJ28" s="101" t="n">
        <f aca="false">AJ27*Producto!$D$11/60</f>
        <v>772.202288479446</v>
      </c>
      <c r="AK28" s="101" t="n">
        <f aca="false">AK27*Producto!$D$11/60</f>
        <v>787.278265506473</v>
      </c>
      <c r="AL28" s="101" t="n">
        <f aca="false">AL27*Producto!$D$11/60</f>
        <v>802.3542425335</v>
      </c>
      <c r="AM28" s="101" t="n">
        <f aca="false">AM27*Producto!$D$11/60</f>
        <v>817.430219560527</v>
      </c>
      <c r="AN28" s="101" t="n">
        <f aca="false">AN27*Producto!$D$11/60</f>
        <v>832.506196587554</v>
      </c>
      <c r="AO28" s="101" t="n">
        <f aca="false">AO27*Producto!$D$11/60</f>
        <v>847.582173614581</v>
      </c>
      <c r="AP28" s="101" t="n">
        <f aca="false">AP27*Producto!$D$11/60</f>
        <v>862.658150641608</v>
      </c>
      <c r="AQ28" s="101" t="n">
        <f aca="false">AQ27*Producto!$D$11/60</f>
        <v>877.734127668635</v>
      </c>
      <c r="AR28" s="101" t="n">
        <f aca="false">AR27*Producto!$D$11/60</f>
        <v>892.810104695662</v>
      </c>
      <c r="AS28" s="101" t="n">
        <f aca="false">AS27*Producto!$D$11/60</f>
        <v>892.810104695662</v>
      </c>
      <c r="AT28" s="101" t="n">
        <f aca="false">AT27*Producto!$D$11/60</f>
        <v>892.810104695662</v>
      </c>
      <c r="AU28" s="101" t="n">
        <f aca="false">AU27*Producto!$D$11/60</f>
        <v>892.810104695662</v>
      </c>
      <c r="AV28" s="101" t="n">
        <f aca="false">AV27*Producto!$D$11/60</f>
        <v>892.810104695662</v>
      </c>
      <c r="AW28" s="101" t="n">
        <f aca="false">AW27*Producto!$D$11/60</f>
        <v>892.810104695662</v>
      </c>
      <c r="AX28" s="101" t="n">
        <f aca="false">AX27*Producto!$D$11/60</f>
        <v>892.810104695662</v>
      </c>
      <c r="AY28" s="101" t="n">
        <f aca="false">AY27*Producto!$D$11/60</f>
        <v>892.810104695662</v>
      </c>
      <c r="AZ28" s="101" t="n">
        <f aca="false">AZ27*Producto!$D$11/60</f>
        <v>892.810104695662</v>
      </c>
      <c r="BA28" s="101" t="n">
        <f aca="false">BA27*Producto!$D$11/60</f>
        <v>892.810104695662</v>
      </c>
      <c r="BB28" s="101" t="n">
        <f aca="false">BB27*Producto!$D$11/60</f>
        <v>892.810104695662</v>
      </c>
      <c r="BC28" s="101" t="n">
        <f aca="false">BC27*Producto!$D$11/60</f>
        <v>892.810104695662</v>
      </c>
      <c r="BD28" s="101" t="n">
        <f aca="false">BD27*Producto!$D$11/60</f>
        <v>892.810104695662</v>
      </c>
      <c r="BE28" s="101" t="n">
        <f aca="false">BE27*Producto!$D$11/60</f>
        <v>892.810104695662</v>
      </c>
      <c r="BF28" s="101" t="n">
        <f aca="false">BF27*Producto!$D$11/60</f>
        <v>892.810104695662</v>
      </c>
      <c r="BG28" s="101" t="n">
        <f aca="false">BG27*Producto!$D$11/60</f>
        <v>892.810104695662</v>
      </c>
      <c r="BH28" s="101" t="n">
        <f aca="false">BH27*Producto!$D$11/60</f>
        <v>892.810104695662</v>
      </c>
      <c r="BI28" s="101" t="n">
        <f aca="false">BI27*Producto!$D$11/60</f>
        <v>892.810104695662</v>
      </c>
      <c r="BJ28" s="101" t="n">
        <f aca="false">BJ27*Producto!$D$11/60</f>
        <v>892.810104695662</v>
      </c>
      <c r="BK28" s="101" t="n">
        <f aca="false">BK27*Producto!$D$11/60</f>
        <v>892.810104695662</v>
      </c>
      <c r="BL28" s="101" t="n">
        <f aca="false">BL27*Producto!$D$11/60</f>
        <v>892.810104695662</v>
      </c>
      <c r="BM28" s="101" t="n">
        <f aca="false">BM27*Producto!$D$11/60</f>
        <v>892.810104695662</v>
      </c>
      <c r="BN28" s="101" t="n">
        <f aca="false">BN27*Producto!$D$11/60</f>
        <v>892.810104695662</v>
      </c>
      <c r="BO28" s="101" t="n">
        <f aca="false">BO27*Producto!$D$11/60</f>
        <v>892.810104695662</v>
      </c>
      <c r="BP28" s="101" t="n">
        <f aca="false">BP27*Producto!$D$11/60</f>
        <v>892.810104695662</v>
      </c>
      <c r="BQ28" s="101" t="n">
        <f aca="false">BQ27*Producto!$D$11/60</f>
        <v>892.810104695662</v>
      </c>
      <c r="BR28" s="101" t="n">
        <f aca="false">BR27*Producto!$D$11/60</f>
        <v>892.810104695662</v>
      </c>
      <c r="BS28" s="101" t="n">
        <f aca="false">BS27*Producto!$D$11/60</f>
        <v>892.810104695662</v>
      </c>
      <c r="BT28" s="101" t="n">
        <f aca="false">BT27*Producto!$D$11/60</f>
        <v>892.810104695662</v>
      </c>
      <c r="BU28" s="101" t="n">
        <f aca="false">BU27*Producto!$D$11/60</f>
        <v>892.810104695662</v>
      </c>
      <c r="BV28" s="101" t="n">
        <f aca="false">BV27*Producto!$D$11/60</f>
        <v>892.810104695662</v>
      </c>
      <c r="BW28" s="101" t="n">
        <f aca="false">BW27*Producto!$D$11/60</f>
        <v>892.810104695662</v>
      </c>
      <c r="BX28" s="101" t="n">
        <f aca="false">BX27*Producto!$D$11/60</f>
        <v>892.810104695662</v>
      </c>
      <c r="BY28" s="101" t="n">
        <f aca="false">BY27*Producto!$D$11/60</f>
        <v>892.810104695662</v>
      </c>
      <c r="BZ28" s="101" t="n">
        <f aca="false">BZ27*Producto!$D$11/60</f>
        <v>892.810104695662</v>
      </c>
      <c r="CA28" s="101" t="n">
        <f aca="false">CA27*Producto!$D$11/60</f>
        <v>892.810104695662</v>
      </c>
      <c r="CB28" s="101" t="n">
        <f aca="false">CB27*Producto!$D$11/60</f>
        <v>892.810104695662</v>
      </c>
      <c r="CC28" s="101" t="n">
        <f aca="false">CC27*Producto!$D$11/60</f>
        <v>892.810104695662</v>
      </c>
      <c r="CD28" s="101" t="n">
        <f aca="false">CD27*Producto!$D$11/60</f>
        <v>892.810104695662</v>
      </c>
      <c r="CE28" s="101" t="n">
        <f aca="false">CE27*Producto!$D$11/60</f>
        <v>892.810104695662</v>
      </c>
      <c r="CF28" s="101" t="n">
        <f aca="false">CF27*Producto!$D$11/60</f>
        <v>892.810104695662</v>
      </c>
      <c r="CG28" s="101" t="n">
        <f aca="false">CG27*Producto!$D$11/60</f>
        <v>892.810104695662</v>
      </c>
      <c r="CH28" s="101" t="n">
        <f aca="false">CH27*Producto!$D$11/60</f>
        <v>892.810104695662</v>
      </c>
    </row>
    <row r="29" customFormat="false" ht="13.5" hidden="false" customHeight="true" outlineLevel="0" collapsed="false">
      <c r="A29" s="6" t="s">
        <v>507</v>
      </c>
      <c r="C29" s="101" t="n">
        <f aca="false">SUMPRODUCT((Hipótesis!$D$48:$D$53&lt;=1)*(Hipótesis!$B$48:$B$53)*(Hipótesis!$F$48:$F$53))</f>
        <v>320</v>
      </c>
      <c r="D29" s="101" t="n">
        <f aca="false">SUMPRODUCT((Hipótesis!$D$48:$D$53&lt;=2)*(Hipótesis!$B$48:$B$53)*(Hipótesis!$F$48:$F$53))</f>
        <v>320</v>
      </c>
      <c r="E29" s="101" t="n">
        <f aca="false">SUMPRODUCT((Hipótesis!$D$48:$D$53&lt;=3)*(Hipótesis!$B$48:$B$53)*(Hipótesis!$F$48:$F$53))</f>
        <v>320</v>
      </c>
      <c r="F29" s="101" t="n">
        <f aca="false">SUMPRODUCT((Hipótesis!$D$48:$D$53&lt;=4)*(Hipótesis!$B$48:$B$53)*(Hipótesis!$F$48:$F$53))</f>
        <v>320</v>
      </c>
      <c r="G29" s="101" t="n">
        <f aca="false">SUMPRODUCT((Hipótesis!$D$48:$D$53&lt;=5)*(Hipótesis!$B$48:$B$53)*(Hipótesis!$F$48:$F$53))</f>
        <v>320</v>
      </c>
      <c r="H29" s="101" t="n">
        <f aca="false">SUMPRODUCT((Hipótesis!$D$48:$D$53&lt;=6)*(Hipótesis!$B$48:$B$53)*(Hipótesis!$F$48:$F$53))</f>
        <v>320</v>
      </c>
      <c r="I29" s="101" t="n">
        <f aca="false">SUMPRODUCT((Hipótesis!$D$48:$D$53&lt;=7)*(Hipótesis!$B$48:$B$53)*(Hipótesis!$F$48:$F$53))</f>
        <v>320</v>
      </c>
      <c r="J29" s="101" t="n">
        <f aca="false">SUMPRODUCT((Hipótesis!$D$48:$D$53&lt;=8)*(Hipótesis!$B$48:$B$53)*(Hipótesis!$F$48:$F$53))</f>
        <v>320</v>
      </c>
      <c r="K29" s="101" t="n">
        <f aca="false">SUMPRODUCT((Hipótesis!$D$48:$D$53&lt;=9)*(Hipótesis!$B$48:$B$53)*(Hipótesis!$F$48:$F$53))</f>
        <v>320</v>
      </c>
      <c r="L29" s="101" t="n">
        <f aca="false">SUMPRODUCT((Hipótesis!$D$48:$D$53&lt;=10)*(Hipótesis!$B$48:$B$53)*(Hipótesis!$F$48:$F$53))</f>
        <v>320</v>
      </c>
      <c r="M29" s="101" t="n">
        <f aca="false">SUMPRODUCT((Hipótesis!$D$48:$D$53&lt;=11)*(Hipótesis!$B$48:$B$53)*(Hipótesis!$F$48:$F$53))</f>
        <v>320</v>
      </c>
      <c r="N29" s="101" t="n">
        <f aca="false">SUMPRODUCT((Hipótesis!$D$48:$D$53&lt;=12)*(Hipótesis!$B$48:$B$53)*(Hipótesis!$F$48:$F$53))</f>
        <v>320</v>
      </c>
      <c r="O29" s="101" t="n">
        <f aca="false">SUMPRODUCT((Hipótesis!$D$48:$D$53&lt;=13)*(Hipótesis!$B$48:$B$53)*(Hipótesis!$F$48:$F$53))</f>
        <v>320</v>
      </c>
      <c r="P29" s="101" t="n">
        <f aca="false">SUMPRODUCT((Hipótesis!$D$48:$D$53&lt;=14)*(Hipótesis!$B$48:$B$53)*(Hipótesis!$F$48:$F$53))</f>
        <v>320</v>
      </c>
      <c r="Q29" s="101" t="n">
        <f aca="false">SUMPRODUCT((Hipótesis!$D$48:$D$53&lt;=15)*(Hipótesis!$B$48:$B$53)*(Hipótesis!$F$48:$F$53))</f>
        <v>320</v>
      </c>
      <c r="R29" s="101" t="n">
        <f aca="false">SUMPRODUCT((Hipótesis!$D$48:$D$53&lt;=16)*(Hipótesis!$B$48:$B$53)*(Hipótesis!$F$48:$F$53))</f>
        <v>320</v>
      </c>
      <c r="S29" s="101" t="n">
        <f aca="false">SUMPRODUCT((Hipótesis!$D$48:$D$53&lt;=17)*(Hipótesis!$B$48:$B$53)*(Hipótesis!$F$48:$F$53))</f>
        <v>320</v>
      </c>
      <c r="T29" s="101" t="n">
        <f aca="false">SUMPRODUCT((Hipótesis!$D$48:$D$53&lt;=18)*(Hipótesis!$B$48:$B$53)*(Hipótesis!$F$48:$F$53))</f>
        <v>320</v>
      </c>
      <c r="U29" s="101" t="n">
        <f aca="false">SUMPRODUCT((Hipótesis!$D$48:$D$53&lt;=19)*(Hipótesis!$B$48:$B$53)*(Hipótesis!$F$48:$F$53))</f>
        <v>320</v>
      </c>
      <c r="V29" s="101" t="n">
        <f aca="false">SUMPRODUCT((Hipótesis!$D$48:$D$53&lt;=20)*(Hipótesis!$B$48:$B$53)*(Hipótesis!$F$48:$F$53))</f>
        <v>320</v>
      </c>
      <c r="W29" s="101" t="n">
        <f aca="false">SUMPRODUCT((Hipótesis!$D$48:$D$53&lt;=21)*(Hipótesis!$B$48:$B$53)*(Hipótesis!$F$48:$F$53))</f>
        <v>320</v>
      </c>
      <c r="X29" s="101" t="n">
        <f aca="false">SUMPRODUCT((Hipótesis!$D$48:$D$53&lt;=22)*(Hipótesis!$B$48:$B$53)*(Hipótesis!$F$48:$F$53))</f>
        <v>320</v>
      </c>
      <c r="Y29" s="101" t="n">
        <f aca="false">SUMPRODUCT((Hipótesis!$D$48:$D$53&lt;=23)*(Hipótesis!$B$48:$B$53)*(Hipótesis!$F$48:$F$53))</f>
        <v>320</v>
      </c>
      <c r="Z29" s="101" t="n">
        <f aca="false">SUMPRODUCT((Hipótesis!$D$48:$D$53&lt;=24)*(Hipótesis!$B$48:$B$53)*(Hipótesis!$F$48:$F$53))</f>
        <v>320</v>
      </c>
      <c r="AA29" s="101" t="n">
        <f aca="false">SUMPRODUCT((Hipótesis!$D$48:$D$53&lt;=25)*(Hipótesis!$B$48:$B$53)*(Hipótesis!$F$48:$F$53))</f>
        <v>320</v>
      </c>
      <c r="AB29" s="101" t="n">
        <f aca="false">SUMPRODUCT((Hipótesis!$D$48:$D$53&lt;=26)*(Hipótesis!$B$48:$B$53)*(Hipótesis!$F$48:$F$53))</f>
        <v>320</v>
      </c>
      <c r="AC29" s="101" t="n">
        <f aca="false">SUMPRODUCT((Hipótesis!$D$48:$D$53&lt;=27)*(Hipótesis!$B$48:$B$53)*(Hipótesis!$F$48:$F$53))</f>
        <v>320</v>
      </c>
      <c r="AD29" s="101" t="n">
        <f aca="false">SUMPRODUCT((Hipótesis!$D$48:$D$53&lt;=28)*(Hipótesis!$B$48:$B$53)*(Hipótesis!$F$48:$F$53))</f>
        <v>320</v>
      </c>
      <c r="AE29" s="101" t="n">
        <f aca="false">SUMPRODUCT((Hipótesis!$D$48:$D$53&lt;=29)*(Hipótesis!$B$48:$B$53)*(Hipótesis!$F$48:$F$53))</f>
        <v>320</v>
      </c>
      <c r="AF29" s="101" t="n">
        <f aca="false">SUMPRODUCT((Hipótesis!$D$48:$D$53&lt;=30)*(Hipótesis!$B$48:$B$53)*(Hipótesis!$F$48:$F$53))</f>
        <v>320</v>
      </c>
      <c r="AG29" s="101" t="n">
        <f aca="false">SUMPRODUCT((Hipótesis!$D$48:$D$53&lt;=31)*(Hipótesis!$B$48:$B$53)*(Hipótesis!$F$48:$F$53))</f>
        <v>320</v>
      </c>
      <c r="AH29" s="101" t="n">
        <f aca="false">SUMPRODUCT((Hipótesis!$D$48:$D$53&lt;=32)*(Hipótesis!$B$48:$B$53)*(Hipótesis!$F$48:$F$53))</f>
        <v>320</v>
      </c>
      <c r="AI29" s="101" t="n">
        <f aca="false">SUMPRODUCT((Hipótesis!$D$48:$D$53&lt;=33)*(Hipótesis!$B$48:$B$53)*(Hipótesis!$F$48:$F$53))</f>
        <v>320</v>
      </c>
      <c r="AJ29" s="101" t="n">
        <f aca="false">SUMPRODUCT((Hipótesis!$D$48:$D$53&lt;=34)*(Hipótesis!$B$48:$B$53)*(Hipótesis!$F$48:$F$53))</f>
        <v>320</v>
      </c>
      <c r="AK29" s="101" t="n">
        <f aca="false">SUMPRODUCT((Hipótesis!$D$48:$D$53&lt;=35)*(Hipótesis!$B$48:$B$53)*(Hipótesis!$F$48:$F$53))</f>
        <v>320</v>
      </c>
      <c r="AL29" s="101" t="n">
        <f aca="false">SUMPRODUCT((Hipótesis!$D$48:$D$53&lt;=36)*(Hipótesis!$B$48:$B$53)*(Hipótesis!$F$48:$F$53))</f>
        <v>320</v>
      </c>
      <c r="AM29" s="101" t="n">
        <f aca="false">SUMPRODUCT((Hipótesis!$D$48:$D$53&lt;=37)*(Hipótesis!$B$48:$B$53)*(Hipótesis!$F$48:$F$53))</f>
        <v>320</v>
      </c>
      <c r="AN29" s="101" t="n">
        <f aca="false">SUMPRODUCT((Hipótesis!$D$48:$D$53&lt;=38)*(Hipótesis!$B$48:$B$53)*(Hipótesis!$F$48:$F$53))</f>
        <v>320</v>
      </c>
      <c r="AO29" s="101" t="n">
        <f aca="false">SUMPRODUCT((Hipótesis!$D$48:$D$53&lt;=39)*(Hipótesis!$B$48:$B$53)*(Hipótesis!$F$48:$F$53))</f>
        <v>320</v>
      </c>
      <c r="AP29" s="101" t="n">
        <f aca="false">SUMPRODUCT((Hipótesis!$D$48:$D$53&lt;=40)*(Hipótesis!$B$48:$B$53)*(Hipótesis!$F$48:$F$53))</f>
        <v>320</v>
      </c>
      <c r="AQ29" s="101" t="n">
        <f aca="false">SUMPRODUCT((Hipótesis!$D$48:$D$53&lt;=41)*(Hipótesis!$B$48:$B$53)*(Hipótesis!$F$48:$F$53))</f>
        <v>320</v>
      </c>
      <c r="AR29" s="101" t="n">
        <f aca="false">SUMPRODUCT((Hipótesis!$D$48:$D$53&lt;=42)*(Hipótesis!$B$48:$B$53)*(Hipótesis!$F$48:$F$53))</f>
        <v>320</v>
      </c>
      <c r="AS29" s="101" t="n">
        <f aca="false">SUMPRODUCT((Hipótesis!$D$48:$D$53&lt;=43)*(Hipótesis!$B$48:$B$53)*(Hipótesis!$F$48:$F$53))</f>
        <v>320</v>
      </c>
      <c r="AT29" s="101" t="n">
        <f aca="false">SUMPRODUCT((Hipótesis!$D$48:$D$53&lt;=44)*(Hipótesis!$B$48:$B$53)*(Hipótesis!$F$48:$F$53))</f>
        <v>320</v>
      </c>
      <c r="AU29" s="101" t="n">
        <f aca="false">SUMPRODUCT((Hipótesis!$D$48:$D$53&lt;=45)*(Hipótesis!$B$48:$B$53)*(Hipótesis!$F$48:$F$53))</f>
        <v>320</v>
      </c>
      <c r="AV29" s="101" t="n">
        <f aca="false">SUMPRODUCT((Hipótesis!$D$48:$D$53&lt;=46)*(Hipótesis!$B$48:$B$53)*(Hipótesis!$F$48:$F$53))</f>
        <v>320</v>
      </c>
      <c r="AW29" s="101" t="n">
        <f aca="false">SUMPRODUCT((Hipótesis!$D$48:$D$53&lt;=47)*(Hipótesis!$B$48:$B$53)*(Hipótesis!$F$48:$F$53))</f>
        <v>320</v>
      </c>
      <c r="AX29" s="101" t="n">
        <f aca="false">SUMPRODUCT((Hipótesis!$D$48:$D$53&lt;=48)*(Hipótesis!$B$48:$B$53)*(Hipótesis!$F$48:$F$53))</f>
        <v>320</v>
      </c>
      <c r="AY29" s="101" t="n">
        <f aca="false">SUMPRODUCT((Hipótesis!$D$48:$D$53&lt;=49)*(Hipótesis!$B$48:$B$53)*(Hipótesis!$F$48:$F$53))</f>
        <v>320</v>
      </c>
      <c r="AZ29" s="101" t="n">
        <f aca="false">SUMPRODUCT((Hipótesis!$D$48:$D$53&lt;=50)*(Hipótesis!$B$48:$B$53)*(Hipótesis!$F$48:$F$53))</f>
        <v>320</v>
      </c>
      <c r="BA29" s="101" t="n">
        <f aca="false">SUMPRODUCT((Hipótesis!$D$48:$D$53&lt;=51)*(Hipótesis!$B$48:$B$53)*(Hipótesis!$F$48:$F$53))</f>
        <v>320</v>
      </c>
      <c r="BB29" s="101" t="n">
        <f aca="false">SUMPRODUCT((Hipótesis!$D$48:$D$53&lt;=52)*(Hipótesis!$B$48:$B$53)*(Hipótesis!$F$48:$F$53))</f>
        <v>320</v>
      </c>
      <c r="BC29" s="101" t="n">
        <f aca="false">SUMPRODUCT((Hipótesis!$D$48:$D$53&lt;=53)*(Hipótesis!$B$48:$B$53)*(Hipótesis!$F$48:$F$53))</f>
        <v>320</v>
      </c>
      <c r="BD29" s="101" t="n">
        <f aca="false">SUMPRODUCT((Hipótesis!$D$48:$D$53&lt;=54)*(Hipótesis!$B$48:$B$53)*(Hipótesis!$F$48:$F$53))</f>
        <v>320</v>
      </c>
      <c r="BE29" s="101" t="n">
        <f aca="false">SUMPRODUCT((Hipótesis!$D$48:$D$53&lt;=55)*(Hipótesis!$B$48:$B$53)*(Hipótesis!$F$48:$F$53))</f>
        <v>320</v>
      </c>
      <c r="BF29" s="101" t="n">
        <f aca="false">SUMPRODUCT((Hipótesis!$D$48:$D$53&lt;=56)*(Hipótesis!$B$48:$B$53)*(Hipótesis!$F$48:$F$53))</f>
        <v>320</v>
      </c>
      <c r="BG29" s="101" t="n">
        <f aca="false">SUMPRODUCT((Hipótesis!$D$48:$D$53&lt;=57)*(Hipótesis!$B$48:$B$53)*(Hipótesis!$F$48:$F$53))</f>
        <v>320</v>
      </c>
      <c r="BH29" s="101" t="n">
        <f aca="false">SUMPRODUCT((Hipótesis!$D$48:$D$53&lt;=58)*(Hipótesis!$B$48:$B$53)*(Hipótesis!$F$48:$F$53))</f>
        <v>320</v>
      </c>
      <c r="BI29" s="101" t="n">
        <f aca="false">SUMPRODUCT((Hipótesis!$D$48:$D$53&lt;=59)*(Hipótesis!$B$48:$B$53)*(Hipótesis!$F$48:$F$53))</f>
        <v>320</v>
      </c>
      <c r="BJ29" s="101" t="n">
        <f aca="false">SUMPRODUCT((Hipótesis!$D$48:$D$53&lt;=60)*(Hipótesis!$B$48:$B$53)*(Hipótesis!$F$48:$F$53))</f>
        <v>320</v>
      </c>
      <c r="BK29" s="101" t="n">
        <f aca="false">SUMPRODUCT((Hipótesis!$D$48:$D$53&lt;=61)*(Hipótesis!$B$48:$B$53)*(Hipótesis!$F$48:$F$53))</f>
        <v>320</v>
      </c>
      <c r="BL29" s="101" t="n">
        <f aca="false">SUMPRODUCT((Hipótesis!$D$48:$D$53&lt;=62)*(Hipótesis!$B$48:$B$53)*(Hipótesis!$F$48:$F$53))</f>
        <v>320</v>
      </c>
      <c r="BM29" s="101" t="n">
        <f aca="false">SUMPRODUCT((Hipótesis!$D$48:$D$53&lt;=63)*(Hipótesis!$B$48:$B$53)*(Hipótesis!$F$48:$F$53))</f>
        <v>320</v>
      </c>
      <c r="BN29" s="101" t="n">
        <f aca="false">SUMPRODUCT((Hipótesis!$D$48:$D$53&lt;=64)*(Hipótesis!$B$48:$B$53)*(Hipótesis!$F$48:$F$53))</f>
        <v>320</v>
      </c>
      <c r="BO29" s="101" t="n">
        <f aca="false">SUMPRODUCT((Hipótesis!$D$48:$D$53&lt;=65)*(Hipótesis!$B$48:$B$53)*(Hipótesis!$F$48:$F$53))</f>
        <v>320</v>
      </c>
      <c r="BP29" s="101" t="n">
        <f aca="false">SUMPRODUCT((Hipótesis!$D$48:$D$53&lt;=66)*(Hipótesis!$B$48:$B$53)*(Hipótesis!$F$48:$F$53))</f>
        <v>320</v>
      </c>
      <c r="BQ29" s="101" t="n">
        <f aca="false">SUMPRODUCT((Hipótesis!$D$48:$D$53&lt;=67)*(Hipótesis!$B$48:$B$53)*(Hipótesis!$F$48:$F$53))</f>
        <v>320</v>
      </c>
      <c r="BR29" s="101" t="n">
        <f aca="false">SUMPRODUCT((Hipótesis!$D$48:$D$53&lt;=68)*(Hipótesis!$B$48:$B$53)*(Hipótesis!$F$48:$F$53))</f>
        <v>320</v>
      </c>
      <c r="BS29" s="101" t="n">
        <f aca="false">SUMPRODUCT((Hipótesis!$D$48:$D$53&lt;=69)*(Hipótesis!$B$48:$B$53)*(Hipótesis!$F$48:$F$53))</f>
        <v>320</v>
      </c>
      <c r="BT29" s="101" t="n">
        <f aca="false">SUMPRODUCT((Hipótesis!$D$48:$D$53&lt;=70)*(Hipótesis!$B$48:$B$53)*(Hipótesis!$F$48:$F$53))</f>
        <v>320</v>
      </c>
      <c r="BU29" s="101" t="n">
        <f aca="false">SUMPRODUCT((Hipótesis!$D$48:$D$53&lt;=71)*(Hipótesis!$B$48:$B$53)*(Hipótesis!$F$48:$F$53))</f>
        <v>320</v>
      </c>
      <c r="BV29" s="101" t="n">
        <f aca="false">SUMPRODUCT((Hipótesis!$D$48:$D$53&lt;=72)*(Hipótesis!$B$48:$B$53)*(Hipótesis!$F$48:$F$53))</f>
        <v>320</v>
      </c>
      <c r="BW29" s="101" t="n">
        <f aca="false">SUMPRODUCT((Hipótesis!$D$48:$D$53&lt;=73)*(Hipótesis!$B$48:$B$53)*(Hipótesis!$F$48:$F$53))</f>
        <v>320</v>
      </c>
      <c r="BX29" s="101" t="n">
        <f aca="false">SUMPRODUCT((Hipótesis!$D$48:$D$53&lt;=74)*(Hipótesis!$B$48:$B$53)*(Hipótesis!$F$48:$F$53))</f>
        <v>320</v>
      </c>
      <c r="BY29" s="101" t="n">
        <f aca="false">SUMPRODUCT((Hipótesis!$D$48:$D$53&lt;=75)*(Hipótesis!$B$48:$B$53)*(Hipótesis!$F$48:$F$53))</f>
        <v>320</v>
      </c>
      <c r="BZ29" s="101" t="n">
        <f aca="false">SUMPRODUCT((Hipótesis!$D$48:$D$53&lt;=76)*(Hipótesis!$B$48:$B$53)*(Hipótesis!$F$48:$F$53))</f>
        <v>320</v>
      </c>
      <c r="CA29" s="101" t="n">
        <f aca="false">SUMPRODUCT((Hipótesis!$D$48:$D$53&lt;=77)*(Hipótesis!$B$48:$B$53)*(Hipótesis!$F$48:$F$53))</f>
        <v>320</v>
      </c>
      <c r="CB29" s="101" t="n">
        <f aca="false">SUMPRODUCT((Hipótesis!$D$48:$D$53&lt;=78)*(Hipótesis!$B$48:$B$53)*(Hipótesis!$F$48:$F$53))</f>
        <v>320</v>
      </c>
      <c r="CC29" s="101" t="n">
        <f aca="false">SUMPRODUCT((Hipótesis!$D$48:$D$53&lt;=79)*(Hipótesis!$B$48:$B$53)*(Hipótesis!$F$48:$F$53))</f>
        <v>320</v>
      </c>
      <c r="CD29" s="101" t="n">
        <f aca="false">SUMPRODUCT((Hipótesis!$D$48:$D$53&lt;=80)*(Hipótesis!$B$48:$B$53)*(Hipótesis!$F$48:$F$53))</f>
        <v>320</v>
      </c>
      <c r="CE29" s="101" t="n">
        <f aca="false">SUMPRODUCT((Hipótesis!$D$48:$D$53&lt;=81)*(Hipótesis!$B$48:$B$53)*(Hipótesis!$F$48:$F$53))</f>
        <v>320</v>
      </c>
      <c r="CF29" s="101" t="n">
        <f aca="false">SUMPRODUCT((Hipótesis!$D$48:$D$53&lt;=82)*(Hipótesis!$B$48:$B$53)*(Hipótesis!$F$48:$F$53))</f>
        <v>320</v>
      </c>
      <c r="CG29" s="101" t="n">
        <f aca="false">SUMPRODUCT((Hipótesis!$D$48:$D$53&lt;=83)*(Hipótesis!$B$48:$B$53)*(Hipótesis!$F$48:$F$53))</f>
        <v>320</v>
      </c>
      <c r="CH29" s="101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22" t="s">
        <v>508</v>
      </c>
      <c r="C30" s="101" t="n">
        <f aca="false">ROUNDUP(MAX(0,C28-C29)/Hipótesis!$D$63,0)</f>
        <v>0</v>
      </c>
      <c r="D30" s="101" t="n">
        <f aca="false">ROUNDUP(MAX(0,D28-D29)/Hipótesis!$D$63,0)</f>
        <v>0</v>
      </c>
      <c r="E30" s="101" t="n">
        <f aca="false">ROUNDUP(MAX(0,E28-E29)/Hipótesis!$D$63,0)</f>
        <v>0</v>
      </c>
      <c r="F30" s="101" t="n">
        <f aca="false">ROUNDUP(MAX(0,F28-F29)/Hipótesis!$D$63,0)</f>
        <v>0</v>
      </c>
      <c r="G30" s="101" t="n">
        <f aca="false">ROUNDUP(MAX(0,G28-G29)/Hipótesis!$D$63,0)</f>
        <v>0</v>
      </c>
      <c r="H30" s="101" t="n">
        <f aca="false">ROUNDUP(MAX(0,H28-H29)/Hipótesis!$D$63,0)</f>
        <v>0</v>
      </c>
      <c r="I30" s="101" t="n">
        <f aca="false">ROUNDUP(MAX(0,I28-I29)/Hipótesis!$D$63,0)</f>
        <v>0</v>
      </c>
      <c r="J30" s="101" t="n">
        <f aca="false">ROUNDUP(MAX(0,J28-J29)/Hipótesis!$D$63,0)</f>
        <v>0</v>
      </c>
      <c r="K30" s="101" t="n">
        <f aca="false">ROUNDUP(MAX(0,K28-K29)/Hipótesis!$D$63,0)</f>
        <v>0</v>
      </c>
      <c r="L30" s="101" t="n">
        <f aca="false">ROUNDUP(MAX(0,L28-L29)/Hipótesis!$D$63,0)</f>
        <v>0</v>
      </c>
      <c r="M30" s="101" t="n">
        <f aca="false">ROUNDUP(MAX(0,M28-M29)/Hipótesis!$D$63,0)</f>
        <v>0</v>
      </c>
      <c r="N30" s="101" t="n">
        <f aca="false">ROUNDUP(MAX(0,N28-N29)/Hipótesis!$D$63,0)</f>
        <v>0</v>
      </c>
      <c r="O30" s="101" t="n">
        <f aca="false">ROUNDUP(MAX(0,O28-O29)/Hipótesis!$D$63,0)</f>
        <v>0</v>
      </c>
      <c r="P30" s="101" t="n">
        <f aca="false">ROUNDUP(MAX(0,P28-P29)/Hipótesis!$D$63,0)</f>
        <v>1</v>
      </c>
      <c r="Q30" s="101" t="n">
        <f aca="false">ROUNDUP(MAX(0,Q28-Q29)/Hipótesis!$D$63,0)</f>
        <v>1</v>
      </c>
      <c r="R30" s="101" t="n">
        <f aca="false">ROUNDUP(MAX(0,R28-R29)/Hipótesis!$D$63,0)</f>
        <v>1</v>
      </c>
      <c r="S30" s="101" t="n">
        <f aca="false">ROUNDUP(MAX(0,S28-S29)/Hipótesis!$D$63,0)</f>
        <v>1</v>
      </c>
      <c r="T30" s="101" t="n">
        <f aca="false">ROUNDUP(MAX(0,T28-T29)/Hipótesis!$D$63,0)</f>
        <v>1</v>
      </c>
      <c r="U30" s="101" t="n">
        <f aca="false">ROUNDUP(MAX(0,U28-U29)/Hipótesis!$D$63,0)</f>
        <v>2</v>
      </c>
      <c r="V30" s="101" t="n">
        <f aca="false">ROUNDUP(MAX(0,V28-V29)/Hipótesis!$D$63,0)</f>
        <v>2</v>
      </c>
      <c r="W30" s="101" t="n">
        <f aca="false">ROUNDUP(MAX(0,W28-W29)/Hipótesis!$D$63,0)</f>
        <v>2</v>
      </c>
      <c r="X30" s="101" t="n">
        <f aca="false">ROUNDUP(MAX(0,X28-X29)/Hipótesis!$D$63,0)</f>
        <v>2</v>
      </c>
      <c r="Y30" s="101" t="n">
        <f aca="false">ROUNDUP(MAX(0,Y28-Y29)/Hipótesis!$D$63,0)</f>
        <v>2</v>
      </c>
      <c r="Z30" s="101" t="n">
        <f aca="false">ROUNDUP(MAX(0,Z28-Z29)/Hipótesis!$D$63,0)</f>
        <v>2</v>
      </c>
      <c r="AA30" s="101" t="n">
        <f aca="false">ROUNDUP(MAX(0,AA28-AA29)/Hipótesis!$D$63,0)</f>
        <v>2</v>
      </c>
      <c r="AB30" s="101" t="n">
        <f aca="false">ROUNDUP(MAX(0,AB28-AB29)/Hipótesis!$D$63,0)</f>
        <v>3</v>
      </c>
      <c r="AC30" s="101" t="n">
        <f aca="false">ROUNDUP(MAX(0,AC28-AC29)/Hipótesis!$D$63,0)</f>
        <v>3</v>
      </c>
      <c r="AD30" s="101" t="n">
        <f aca="false">ROUNDUP(MAX(0,AD28-AD29)/Hipótesis!$D$63,0)</f>
        <v>3</v>
      </c>
      <c r="AE30" s="101" t="n">
        <f aca="false">ROUNDUP(MAX(0,AE28-AE29)/Hipótesis!$D$63,0)</f>
        <v>3</v>
      </c>
      <c r="AF30" s="101" t="n">
        <f aca="false">ROUNDUP(MAX(0,AF28-AF29)/Hipótesis!$D$63,0)</f>
        <v>3</v>
      </c>
      <c r="AG30" s="101" t="n">
        <f aca="false">ROUNDUP(MAX(0,AG28-AG29)/Hipótesis!$D$63,0)</f>
        <v>3</v>
      </c>
      <c r="AH30" s="101" t="n">
        <f aca="false">ROUNDUP(MAX(0,AH28-AH29)/Hipótesis!$D$63,0)</f>
        <v>3</v>
      </c>
      <c r="AI30" s="101" t="n">
        <f aca="false">ROUNDUP(MAX(0,AI28-AI29)/Hipótesis!$D$63,0)</f>
        <v>3</v>
      </c>
      <c r="AJ30" s="101" t="n">
        <f aca="false">ROUNDUP(MAX(0,AJ28-AJ29)/Hipótesis!$D$63,0)</f>
        <v>3</v>
      </c>
      <c r="AK30" s="101" t="n">
        <f aca="false">ROUNDUP(MAX(0,AK28-AK29)/Hipótesis!$D$63,0)</f>
        <v>3</v>
      </c>
      <c r="AL30" s="101" t="n">
        <f aca="false">ROUNDUP(MAX(0,AL28-AL29)/Hipótesis!$D$63,0)</f>
        <v>4</v>
      </c>
      <c r="AM30" s="101" t="n">
        <f aca="false">ROUNDUP(MAX(0,AM28-AM29)/Hipótesis!$D$63,0)</f>
        <v>4</v>
      </c>
      <c r="AN30" s="101" t="n">
        <f aca="false">ROUNDUP(MAX(0,AN28-AN29)/Hipótesis!$D$63,0)</f>
        <v>4</v>
      </c>
      <c r="AO30" s="101" t="n">
        <f aca="false">ROUNDUP(MAX(0,AO28-AO29)/Hipótesis!$D$63,0)</f>
        <v>4</v>
      </c>
      <c r="AP30" s="101" t="n">
        <f aca="false">ROUNDUP(MAX(0,AP28-AP29)/Hipótesis!$D$63,0)</f>
        <v>4</v>
      </c>
      <c r="AQ30" s="101" t="n">
        <f aca="false">ROUNDUP(MAX(0,AQ28-AQ29)/Hipótesis!$D$63,0)</f>
        <v>4</v>
      </c>
      <c r="AR30" s="101" t="n">
        <f aca="false">ROUNDUP(MAX(0,AR28-AR29)/Hipótesis!$D$63,0)</f>
        <v>4</v>
      </c>
      <c r="AS30" s="101" t="n">
        <f aca="false">ROUNDUP(MAX(0,AS28-AS29)/Hipótesis!$D$63,0)</f>
        <v>4</v>
      </c>
      <c r="AT30" s="101" t="n">
        <f aca="false">ROUNDUP(MAX(0,AT28-AT29)/Hipótesis!$D$63,0)</f>
        <v>4</v>
      </c>
      <c r="AU30" s="101" t="n">
        <f aca="false">ROUNDUP(MAX(0,AU28-AU29)/Hipótesis!$D$63,0)</f>
        <v>4</v>
      </c>
      <c r="AV30" s="101" t="n">
        <f aca="false">ROUNDUP(MAX(0,AV28-AV29)/Hipótesis!$D$63,0)</f>
        <v>4</v>
      </c>
      <c r="AW30" s="101" t="n">
        <f aca="false">ROUNDUP(MAX(0,AW28-AW29)/Hipótesis!$D$63,0)</f>
        <v>4</v>
      </c>
      <c r="AX30" s="101" t="n">
        <f aca="false">ROUNDUP(MAX(0,AX28-AX29)/Hipótesis!$D$63,0)</f>
        <v>4</v>
      </c>
      <c r="AY30" s="101" t="n">
        <f aca="false">ROUNDUP(MAX(0,AY28-AY29)/Hipótesis!$D$63,0)</f>
        <v>4</v>
      </c>
      <c r="AZ30" s="101" t="n">
        <f aca="false">ROUNDUP(MAX(0,AZ28-AZ29)/Hipótesis!$D$63,0)</f>
        <v>4</v>
      </c>
      <c r="BA30" s="101" t="n">
        <f aca="false">ROUNDUP(MAX(0,BA28-BA29)/Hipótesis!$D$63,0)</f>
        <v>4</v>
      </c>
      <c r="BB30" s="101" t="n">
        <f aca="false">ROUNDUP(MAX(0,BB28-BB29)/Hipótesis!$D$63,0)</f>
        <v>4</v>
      </c>
      <c r="BC30" s="101" t="n">
        <f aca="false">ROUNDUP(MAX(0,BC28-BC29)/Hipótesis!$D$63,0)</f>
        <v>4</v>
      </c>
      <c r="BD30" s="101" t="n">
        <f aca="false">ROUNDUP(MAX(0,BD28-BD29)/Hipótesis!$D$63,0)</f>
        <v>4</v>
      </c>
      <c r="BE30" s="101" t="n">
        <f aca="false">ROUNDUP(MAX(0,BE28-BE29)/Hipótesis!$D$63,0)</f>
        <v>4</v>
      </c>
      <c r="BF30" s="101" t="n">
        <f aca="false">ROUNDUP(MAX(0,BF28-BF29)/Hipótesis!$D$63,0)</f>
        <v>4</v>
      </c>
      <c r="BG30" s="101" t="n">
        <f aca="false">ROUNDUP(MAX(0,BG28-BG29)/Hipótesis!$D$63,0)</f>
        <v>4</v>
      </c>
      <c r="BH30" s="101" t="n">
        <f aca="false">ROUNDUP(MAX(0,BH28-BH29)/Hipótesis!$D$63,0)</f>
        <v>4</v>
      </c>
      <c r="BI30" s="101" t="n">
        <f aca="false">ROUNDUP(MAX(0,BI28-BI29)/Hipótesis!$D$63,0)</f>
        <v>4</v>
      </c>
      <c r="BJ30" s="101" t="n">
        <f aca="false">ROUNDUP(MAX(0,BJ28-BJ29)/Hipótesis!$D$63,0)</f>
        <v>4</v>
      </c>
      <c r="BK30" s="101" t="n">
        <f aca="false">ROUNDUP(MAX(0,BK28-BK29)/Hipótesis!$D$63,0)</f>
        <v>4</v>
      </c>
      <c r="BL30" s="101" t="n">
        <f aca="false">ROUNDUP(MAX(0,BL28-BL29)/Hipótesis!$D$63,0)</f>
        <v>4</v>
      </c>
      <c r="BM30" s="101" t="n">
        <f aca="false">ROUNDUP(MAX(0,BM28-BM29)/Hipótesis!$D$63,0)</f>
        <v>4</v>
      </c>
      <c r="BN30" s="101" t="n">
        <f aca="false">ROUNDUP(MAX(0,BN28-BN29)/Hipótesis!$D$63,0)</f>
        <v>4</v>
      </c>
      <c r="BO30" s="101" t="n">
        <f aca="false">ROUNDUP(MAX(0,BO28-BO29)/Hipótesis!$D$63,0)</f>
        <v>4</v>
      </c>
      <c r="BP30" s="101" t="n">
        <f aca="false">ROUNDUP(MAX(0,BP28-BP29)/Hipótesis!$D$63,0)</f>
        <v>4</v>
      </c>
      <c r="BQ30" s="101" t="n">
        <f aca="false">ROUNDUP(MAX(0,BQ28-BQ29)/Hipótesis!$D$63,0)</f>
        <v>4</v>
      </c>
      <c r="BR30" s="101" t="n">
        <f aca="false">ROUNDUP(MAX(0,BR28-BR29)/Hipótesis!$D$63,0)</f>
        <v>4</v>
      </c>
      <c r="BS30" s="101" t="n">
        <f aca="false">ROUNDUP(MAX(0,BS28-BS29)/Hipótesis!$D$63,0)</f>
        <v>4</v>
      </c>
      <c r="BT30" s="101" t="n">
        <f aca="false">ROUNDUP(MAX(0,BT28-BT29)/Hipótesis!$D$63,0)</f>
        <v>4</v>
      </c>
      <c r="BU30" s="101" t="n">
        <f aca="false">ROUNDUP(MAX(0,BU28-BU29)/Hipótesis!$D$63,0)</f>
        <v>4</v>
      </c>
      <c r="BV30" s="101" t="n">
        <f aca="false">ROUNDUP(MAX(0,BV28-BV29)/Hipótesis!$D$63,0)</f>
        <v>4</v>
      </c>
      <c r="BW30" s="101" t="n">
        <f aca="false">ROUNDUP(MAX(0,BW28-BW29)/Hipótesis!$D$63,0)</f>
        <v>4</v>
      </c>
      <c r="BX30" s="101" t="n">
        <f aca="false">ROUNDUP(MAX(0,BX28-BX29)/Hipótesis!$D$63,0)</f>
        <v>4</v>
      </c>
      <c r="BY30" s="101" t="n">
        <f aca="false">ROUNDUP(MAX(0,BY28-BY29)/Hipótesis!$D$63,0)</f>
        <v>4</v>
      </c>
      <c r="BZ30" s="101" t="n">
        <f aca="false">ROUNDUP(MAX(0,BZ28-BZ29)/Hipótesis!$D$63,0)</f>
        <v>4</v>
      </c>
      <c r="CA30" s="101" t="n">
        <f aca="false">ROUNDUP(MAX(0,CA28-CA29)/Hipótesis!$D$63,0)</f>
        <v>4</v>
      </c>
      <c r="CB30" s="101" t="n">
        <f aca="false">ROUNDUP(MAX(0,CB28-CB29)/Hipótesis!$D$63,0)</f>
        <v>4</v>
      </c>
      <c r="CC30" s="101" t="n">
        <f aca="false">ROUNDUP(MAX(0,CC28-CC29)/Hipótesis!$D$63,0)</f>
        <v>4</v>
      </c>
      <c r="CD30" s="101" t="n">
        <f aca="false">ROUNDUP(MAX(0,CD28-CD29)/Hipótesis!$D$63,0)</f>
        <v>4</v>
      </c>
      <c r="CE30" s="101" t="n">
        <f aca="false">ROUNDUP(MAX(0,CE28-CE29)/Hipótesis!$D$63,0)</f>
        <v>4</v>
      </c>
      <c r="CF30" s="101" t="n">
        <f aca="false">ROUNDUP(MAX(0,CF28-CF29)/Hipótesis!$D$63,0)</f>
        <v>4</v>
      </c>
      <c r="CG30" s="101" t="n">
        <f aca="false">ROUNDUP(MAX(0,CG28-CG29)/Hipótesis!$D$63,0)</f>
        <v>4</v>
      </c>
      <c r="CH30" s="101" t="n">
        <f aca="false">ROUNDUP(MAX(0,CH28-CH29)/Hipótesis!$D$63,0)</f>
        <v>4</v>
      </c>
    </row>
    <row r="31" customFormat="false" ht="13.5" hidden="false" customHeight="true" outlineLevel="0" collapsed="false">
      <c r="A31" s="22" t="s">
        <v>509</v>
      </c>
      <c r="C31" s="101" t="n">
        <f aca="false">SUMPRODUCT((Hipótesis!$D$48:$D$53&lt;=1)*(Hipótesis!$B$48:$B$53))+C30</f>
        <v>4</v>
      </c>
      <c r="D31" s="101" t="n">
        <f aca="false">SUMPRODUCT((Hipótesis!$D$48:$D$53&lt;=2)*(Hipótesis!$B$48:$B$53))+D30</f>
        <v>4</v>
      </c>
      <c r="E31" s="101" t="n">
        <f aca="false">SUMPRODUCT((Hipótesis!$D$48:$D$53&lt;=3)*(Hipótesis!$B$48:$B$53))+E30</f>
        <v>4</v>
      </c>
      <c r="F31" s="101" t="n">
        <f aca="false">SUMPRODUCT((Hipótesis!$D$48:$D$53&lt;=4)*(Hipótesis!$B$48:$B$53))+F30</f>
        <v>4</v>
      </c>
      <c r="G31" s="101" t="n">
        <f aca="false">SUMPRODUCT((Hipótesis!$D$48:$D$53&lt;=5)*(Hipótesis!$B$48:$B$53))+G30</f>
        <v>4</v>
      </c>
      <c r="H31" s="101" t="n">
        <f aca="false">SUMPRODUCT((Hipótesis!$D$48:$D$53&lt;=6)*(Hipótesis!$B$48:$B$53))+H30</f>
        <v>4</v>
      </c>
      <c r="I31" s="101" t="n">
        <f aca="false">SUMPRODUCT((Hipótesis!$D$48:$D$53&lt;=7)*(Hipótesis!$B$48:$B$53))+I30</f>
        <v>4</v>
      </c>
      <c r="J31" s="101" t="n">
        <f aca="false">SUMPRODUCT((Hipótesis!$D$48:$D$53&lt;=8)*(Hipótesis!$B$48:$B$53))+J30</f>
        <v>4</v>
      </c>
      <c r="K31" s="101" t="n">
        <f aca="false">SUMPRODUCT((Hipótesis!$D$48:$D$53&lt;=9)*(Hipótesis!$B$48:$B$53))+K30</f>
        <v>4</v>
      </c>
      <c r="L31" s="101" t="n">
        <f aca="false">SUMPRODUCT((Hipótesis!$D$48:$D$53&lt;=10)*(Hipótesis!$B$48:$B$53))+L30</f>
        <v>4</v>
      </c>
      <c r="M31" s="101" t="n">
        <f aca="false">SUMPRODUCT((Hipótesis!$D$48:$D$53&lt;=11)*(Hipótesis!$B$48:$B$53))+M30</f>
        <v>4</v>
      </c>
      <c r="N31" s="101" t="n">
        <f aca="false">SUMPRODUCT((Hipótesis!$D$48:$D$53&lt;=12)*(Hipótesis!$B$48:$B$53))+N30</f>
        <v>4</v>
      </c>
      <c r="O31" s="101" t="n">
        <f aca="false">SUMPRODUCT((Hipótesis!$D$48:$D$53&lt;=13)*(Hipótesis!$B$48:$B$53))+O30</f>
        <v>4</v>
      </c>
      <c r="P31" s="101" t="n">
        <f aca="false">SUMPRODUCT((Hipótesis!$D$48:$D$53&lt;=14)*(Hipótesis!$B$48:$B$53))+P30</f>
        <v>5</v>
      </c>
      <c r="Q31" s="101" t="n">
        <f aca="false">SUMPRODUCT((Hipótesis!$D$48:$D$53&lt;=15)*(Hipótesis!$B$48:$B$53))+Q30</f>
        <v>5</v>
      </c>
      <c r="R31" s="101" t="n">
        <f aca="false">SUMPRODUCT((Hipótesis!$D$48:$D$53&lt;=16)*(Hipótesis!$B$48:$B$53))+R30</f>
        <v>5</v>
      </c>
      <c r="S31" s="101" t="n">
        <f aca="false">SUMPRODUCT((Hipótesis!$D$48:$D$53&lt;=17)*(Hipótesis!$B$48:$B$53))+S30</f>
        <v>5</v>
      </c>
      <c r="T31" s="101" t="n">
        <f aca="false">SUMPRODUCT((Hipótesis!$D$48:$D$53&lt;=18)*(Hipótesis!$B$48:$B$53))+T30</f>
        <v>5</v>
      </c>
      <c r="U31" s="101" t="n">
        <f aca="false">SUMPRODUCT((Hipótesis!$D$48:$D$53&lt;=19)*(Hipótesis!$B$48:$B$53))+U30</f>
        <v>6</v>
      </c>
      <c r="V31" s="101" t="n">
        <f aca="false">SUMPRODUCT((Hipótesis!$D$48:$D$53&lt;=20)*(Hipótesis!$B$48:$B$53))+V30</f>
        <v>7</v>
      </c>
      <c r="W31" s="101" t="n">
        <f aca="false">SUMPRODUCT((Hipótesis!$D$48:$D$53&lt;=21)*(Hipótesis!$B$48:$B$53))+W30</f>
        <v>7</v>
      </c>
      <c r="X31" s="101" t="n">
        <f aca="false">SUMPRODUCT((Hipótesis!$D$48:$D$53&lt;=22)*(Hipótesis!$B$48:$B$53))+X30</f>
        <v>7</v>
      </c>
      <c r="Y31" s="101" t="n">
        <f aca="false">SUMPRODUCT((Hipótesis!$D$48:$D$53&lt;=23)*(Hipótesis!$B$48:$B$53))+Y30</f>
        <v>7</v>
      </c>
      <c r="Z31" s="101" t="n">
        <f aca="false">SUMPRODUCT((Hipótesis!$D$48:$D$53&lt;=24)*(Hipótesis!$B$48:$B$53))+Z30</f>
        <v>7</v>
      </c>
      <c r="AA31" s="101" t="n">
        <f aca="false">SUMPRODUCT((Hipótesis!$D$48:$D$53&lt;=25)*(Hipótesis!$B$48:$B$53))+AA30</f>
        <v>7</v>
      </c>
      <c r="AB31" s="101" t="n">
        <f aca="false">SUMPRODUCT((Hipótesis!$D$48:$D$53&lt;=26)*(Hipótesis!$B$48:$B$53))+AB30</f>
        <v>8</v>
      </c>
      <c r="AC31" s="101" t="n">
        <f aca="false">SUMPRODUCT((Hipótesis!$D$48:$D$53&lt;=27)*(Hipótesis!$B$48:$B$53))+AC30</f>
        <v>8</v>
      </c>
      <c r="AD31" s="101" t="n">
        <f aca="false">SUMPRODUCT((Hipótesis!$D$48:$D$53&lt;=28)*(Hipótesis!$B$48:$B$53))+AD30</f>
        <v>8</v>
      </c>
      <c r="AE31" s="101" t="n">
        <f aca="false">SUMPRODUCT((Hipótesis!$D$48:$D$53&lt;=29)*(Hipótesis!$B$48:$B$53))+AE30</f>
        <v>8</v>
      </c>
      <c r="AF31" s="101" t="n">
        <f aca="false">SUMPRODUCT((Hipótesis!$D$48:$D$53&lt;=30)*(Hipótesis!$B$48:$B$53))+AF30</f>
        <v>8</v>
      </c>
      <c r="AG31" s="101" t="n">
        <f aca="false">SUMPRODUCT((Hipótesis!$D$48:$D$53&lt;=31)*(Hipótesis!$B$48:$B$53))+AG30</f>
        <v>8</v>
      </c>
      <c r="AH31" s="101" t="n">
        <f aca="false">SUMPRODUCT((Hipótesis!$D$48:$D$53&lt;=32)*(Hipótesis!$B$48:$B$53))+AH30</f>
        <v>8</v>
      </c>
      <c r="AI31" s="101" t="n">
        <f aca="false">SUMPRODUCT((Hipótesis!$D$48:$D$53&lt;=33)*(Hipótesis!$B$48:$B$53))+AI30</f>
        <v>8</v>
      </c>
      <c r="AJ31" s="101" t="n">
        <f aca="false">SUMPRODUCT((Hipótesis!$D$48:$D$53&lt;=34)*(Hipótesis!$B$48:$B$53))+AJ30</f>
        <v>8</v>
      </c>
      <c r="AK31" s="101" t="n">
        <f aca="false">SUMPRODUCT((Hipótesis!$D$48:$D$53&lt;=35)*(Hipótesis!$B$48:$B$53))+AK30</f>
        <v>8</v>
      </c>
      <c r="AL31" s="101" t="n">
        <f aca="false">SUMPRODUCT((Hipótesis!$D$48:$D$53&lt;=36)*(Hipótesis!$B$48:$B$53))+AL30</f>
        <v>9</v>
      </c>
      <c r="AM31" s="101" t="n">
        <f aca="false">SUMPRODUCT((Hipótesis!$D$48:$D$53&lt;=37)*(Hipótesis!$B$48:$B$53))+AM30</f>
        <v>9</v>
      </c>
      <c r="AN31" s="101" t="n">
        <f aca="false">SUMPRODUCT((Hipótesis!$D$48:$D$53&lt;=38)*(Hipótesis!$B$48:$B$53))+AN30</f>
        <v>9</v>
      </c>
      <c r="AO31" s="101" t="n">
        <f aca="false">SUMPRODUCT((Hipótesis!$D$48:$D$53&lt;=39)*(Hipótesis!$B$48:$B$53))+AO30</f>
        <v>9</v>
      </c>
      <c r="AP31" s="101" t="n">
        <f aca="false">SUMPRODUCT((Hipótesis!$D$48:$D$53&lt;=40)*(Hipótesis!$B$48:$B$53))+AP30</f>
        <v>9</v>
      </c>
      <c r="AQ31" s="101" t="n">
        <f aca="false">SUMPRODUCT((Hipótesis!$D$48:$D$53&lt;=41)*(Hipótesis!$B$48:$B$53))+AQ30</f>
        <v>9</v>
      </c>
      <c r="AR31" s="101" t="n">
        <f aca="false">SUMPRODUCT((Hipótesis!$D$48:$D$53&lt;=42)*(Hipótesis!$B$48:$B$53))+AR30</f>
        <v>9</v>
      </c>
      <c r="AS31" s="101" t="n">
        <f aca="false">SUMPRODUCT((Hipótesis!$D$48:$D$53&lt;=43)*(Hipótesis!$B$48:$B$53))+AS30</f>
        <v>9</v>
      </c>
      <c r="AT31" s="101" t="n">
        <f aca="false">SUMPRODUCT((Hipótesis!$D$48:$D$53&lt;=44)*(Hipótesis!$B$48:$B$53))+AT30</f>
        <v>9</v>
      </c>
      <c r="AU31" s="101" t="n">
        <f aca="false">SUMPRODUCT((Hipótesis!$D$48:$D$53&lt;=45)*(Hipótesis!$B$48:$B$53))+AU30</f>
        <v>9</v>
      </c>
      <c r="AV31" s="101" t="n">
        <f aca="false">SUMPRODUCT((Hipótesis!$D$48:$D$53&lt;=46)*(Hipótesis!$B$48:$B$53))+AV30</f>
        <v>9</v>
      </c>
      <c r="AW31" s="101" t="n">
        <f aca="false">SUMPRODUCT((Hipótesis!$D$48:$D$53&lt;=47)*(Hipótesis!$B$48:$B$53))+AW30</f>
        <v>9</v>
      </c>
      <c r="AX31" s="101" t="n">
        <f aca="false">SUMPRODUCT((Hipótesis!$D$48:$D$53&lt;=48)*(Hipótesis!$B$48:$B$53))+AX30</f>
        <v>9</v>
      </c>
      <c r="AY31" s="101" t="n">
        <f aca="false">SUMPRODUCT((Hipótesis!$D$48:$D$53&lt;=49)*(Hipótesis!$B$48:$B$53))+AY30</f>
        <v>9</v>
      </c>
      <c r="AZ31" s="101" t="n">
        <f aca="false">SUMPRODUCT((Hipótesis!$D$48:$D$53&lt;=50)*(Hipótesis!$B$48:$B$53))+AZ30</f>
        <v>9</v>
      </c>
      <c r="BA31" s="101" t="n">
        <f aca="false">SUMPRODUCT((Hipótesis!$D$48:$D$53&lt;=51)*(Hipótesis!$B$48:$B$53))+BA30</f>
        <v>9</v>
      </c>
      <c r="BB31" s="101" t="n">
        <f aca="false">SUMPRODUCT((Hipótesis!$D$48:$D$53&lt;=52)*(Hipótesis!$B$48:$B$53))+BB30</f>
        <v>9</v>
      </c>
      <c r="BC31" s="101" t="n">
        <f aca="false">SUMPRODUCT((Hipótesis!$D$48:$D$53&lt;=53)*(Hipótesis!$B$48:$B$53))+BC30</f>
        <v>9</v>
      </c>
      <c r="BD31" s="101" t="n">
        <f aca="false">SUMPRODUCT((Hipótesis!$D$48:$D$53&lt;=54)*(Hipótesis!$B$48:$B$53))+BD30</f>
        <v>9</v>
      </c>
      <c r="BE31" s="101" t="n">
        <f aca="false">SUMPRODUCT((Hipótesis!$D$48:$D$53&lt;=55)*(Hipótesis!$B$48:$B$53))+BE30</f>
        <v>9</v>
      </c>
      <c r="BF31" s="101" t="n">
        <f aca="false">SUMPRODUCT((Hipótesis!$D$48:$D$53&lt;=56)*(Hipótesis!$B$48:$B$53))+BF30</f>
        <v>9</v>
      </c>
      <c r="BG31" s="101" t="n">
        <f aca="false">SUMPRODUCT((Hipótesis!$D$48:$D$53&lt;=57)*(Hipótesis!$B$48:$B$53))+BG30</f>
        <v>9</v>
      </c>
      <c r="BH31" s="101" t="n">
        <f aca="false">SUMPRODUCT((Hipótesis!$D$48:$D$53&lt;=58)*(Hipótesis!$B$48:$B$53))+BH30</f>
        <v>9</v>
      </c>
      <c r="BI31" s="101" t="n">
        <f aca="false">SUMPRODUCT((Hipótesis!$D$48:$D$53&lt;=59)*(Hipótesis!$B$48:$B$53))+BI30</f>
        <v>9</v>
      </c>
      <c r="BJ31" s="101" t="n">
        <f aca="false">SUMPRODUCT((Hipótesis!$D$48:$D$53&lt;=60)*(Hipótesis!$B$48:$B$53))+BJ30</f>
        <v>9</v>
      </c>
      <c r="BK31" s="101" t="n">
        <f aca="false">SUMPRODUCT((Hipótesis!$D$48:$D$53&lt;=61)*(Hipótesis!$B$48:$B$53))+BK30</f>
        <v>9</v>
      </c>
      <c r="BL31" s="101" t="n">
        <f aca="false">SUMPRODUCT((Hipótesis!$D$48:$D$53&lt;=62)*(Hipótesis!$B$48:$B$53))+BL30</f>
        <v>9</v>
      </c>
      <c r="BM31" s="101" t="n">
        <f aca="false">SUMPRODUCT((Hipótesis!$D$48:$D$53&lt;=63)*(Hipótesis!$B$48:$B$53))+BM30</f>
        <v>9</v>
      </c>
      <c r="BN31" s="101" t="n">
        <f aca="false">SUMPRODUCT((Hipótesis!$D$48:$D$53&lt;=64)*(Hipótesis!$B$48:$B$53))+BN30</f>
        <v>9</v>
      </c>
      <c r="BO31" s="101" t="n">
        <f aca="false">SUMPRODUCT((Hipótesis!$D$48:$D$53&lt;=65)*(Hipótesis!$B$48:$B$53))+BO30</f>
        <v>9</v>
      </c>
      <c r="BP31" s="101" t="n">
        <f aca="false">SUMPRODUCT((Hipótesis!$D$48:$D$53&lt;=66)*(Hipótesis!$B$48:$B$53))+BP30</f>
        <v>9</v>
      </c>
      <c r="BQ31" s="101" t="n">
        <f aca="false">SUMPRODUCT((Hipótesis!$D$48:$D$53&lt;=67)*(Hipótesis!$B$48:$B$53))+BQ30</f>
        <v>9</v>
      </c>
      <c r="BR31" s="101" t="n">
        <f aca="false">SUMPRODUCT((Hipótesis!$D$48:$D$53&lt;=68)*(Hipótesis!$B$48:$B$53))+BR30</f>
        <v>9</v>
      </c>
      <c r="BS31" s="101" t="n">
        <f aca="false">SUMPRODUCT((Hipótesis!$D$48:$D$53&lt;=69)*(Hipótesis!$B$48:$B$53))+BS30</f>
        <v>9</v>
      </c>
      <c r="BT31" s="101" t="n">
        <f aca="false">SUMPRODUCT((Hipótesis!$D$48:$D$53&lt;=70)*(Hipótesis!$B$48:$B$53))+BT30</f>
        <v>9</v>
      </c>
      <c r="BU31" s="101" t="n">
        <f aca="false">SUMPRODUCT((Hipótesis!$D$48:$D$53&lt;=71)*(Hipótesis!$B$48:$B$53))+BU30</f>
        <v>9</v>
      </c>
      <c r="BV31" s="101" t="n">
        <f aca="false">SUMPRODUCT((Hipótesis!$D$48:$D$53&lt;=72)*(Hipótesis!$B$48:$B$53))+BV30</f>
        <v>9</v>
      </c>
      <c r="BW31" s="101" t="n">
        <f aca="false">SUMPRODUCT((Hipótesis!$D$48:$D$53&lt;=73)*(Hipótesis!$B$48:$B$53))+BW30</f>
        <v>9</v>
      </c>
      <c r="BX31" s="101" t="n">
        <f aca="false">SUMPRODUCT((Hipótesis!$D$48:$D$53&lt;=74)*(Hipótesis!$B$48:$B$53))+BX30</f>
        <v>9</v>
      </c>
      <c r="BY31" s="101" t="n">
        <f aca="false">SUMPRODUCT((Hipótesis!$D$48:$D$53&lt;=75)*(Hipótesis!$B$48:$B$53))+BY30</f>
        <v>9</v>
      </c>
      <c r="BZ31" s="101" t="n">
        <f aca="false">SUMPRODUCT((Hipótesis!$D$48:$D$53&lt;=76)*(Hipótesis!$B$48:$B$53))+BZ30</f>
        <v>9</v>
      </c>
      <c r="CA31" s="101" t="n">
        <f aca="false">SUMPRODUCT((Hipótesis!$D$48:$D$53&lt;=77)*(Hipótesis!$B$48:$B$53))+CA30</f>
        <v>9</v>
      </c>
      <c r="CB31" s="101" t="n">
        <f aca="false">SUMPRODUCT((Hipótesis!$D$48:$D$53&lt;=78)*(Hipótesis!$B$48:$B$53))+CB30</f>
        <v>9</v>
      </c>
      <c r="CC31" s="101" t="n">
        <f aca="false">SUMPRODUCT((Hipótesis!$D$48:$D$53&lt;=79)*(Hipótesis!$B$48:$B$53))+CC30</f>
        <v>9</v>
      </c>
      <c r="CD31" s="101" t="n">
        <f aca="false">SUMPRODUCT((Hipótesis!$D$48:$D$53&lt;=80)*(Hipótesis!$B$48:$B$53))+CD30</f>
        <v>9</v>
      </c>
      <c r="CE31" s="101" t="n">
        <f aca="false">SUMPRODUCT((Hipótesis!$D$48:$D$53&lt;=81)*(Hipótesis!$B$48:$B$53))+CE30</f>
        <v>9</v>
      </c>
      <c r="CF31" s="101" t="n">
        <f aca="false">SUMPRODUCT((Hipótesis!$D$48:$D$53&lt;=82)*(Hipótesis!$B$48:$B$53))+CF30</f>
        <v>9</v>
      </c>
      <c r="CG31" s="101" t="n">
        <f aca="false">SUMPRODUCT((Hipótesis!$D$48:$D$53&lt;=83)*(Hipótesis!$B$48:$B$53))+CG30</f>
        <v>9</v>
      </c>
      <c r="CH31" s="101" t="n">
        <f aca="false">SUMPRODUCT((Hipótesis!$D$48:$D$53&lt;=84)*(Hipótesis!$B$48:$B$53))+CH30</f>
        <v>9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9" t="s">
        <v>510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</row>
    <row r="34" customFormat="false" ht="13.5" hidden="false" customHeight="true" outlineLevel="0" collapsed="false">
      <c r="A34" s="6" t="s">
        <v>511</v>
      </c>
      <c r="C34" s="100" t="n">
        <f aca="false">C16*C21*Hipótesis!$F$16</f>
        <v>1206.69</v>
      </c>
      <c r="D34" s="100" t="n">
        <f aca="false">D16*D21*Hipótesis!$F$16</f>
        <v>2507.34</v>
      </c>
      <c r="E34" s="100" t="n">
        <f aca="false">E16*E21*Hipótesis!$F$16</f>
        <v>5222.28375</v>
      </c>
      <c r="F34" s="100" t="n">
        <f aca="false">F16*F21*Hipótesis!$F$16</f>
        <v>6730.5375</v>
      </c>
      <c r="G34" s="100" t="n">
        <f aca="false">G16*G21*Hipótesis!$F$16</f>
        <v>8144.83125</v>
      </c>
      <c r="H34" s="100" t="n">
        <f aca="false">H16*H21*Hipótesis!$F$16</f>
        <v>10420.425</v>
      </c>
      <c r="I34" s="100" t="n">
        <f aca="false">I16*I21*Hipótesis!$F$16</f>
        <v>12696.01875</v>
      </c>
      <c r="J34" s="100" t="n">
        <f aca="false">J16*J21*Hipótesis!$F$16</f>
        <v>14971.6125</v>
      </c>
      <c r="K34" s="100" t="n">
        <f aca="false">K16*K21*Hipótesis!$F$16</f>
        <v>17247.20625</v>
      </c>
      <c r="L34" s="100" t="n">
        <f aca="false">L16*L21*Hipótesis!$F$16</f>
        <v>19522.8</v>
      </c>
      <c r="M34" s="100" t="n">
        <f aca="false">M16*M21*Hipótesis!$F$16</f>
        <v>20384.1</v>
      </c>
      <c r="N34" s="100" t="n">
        <f aca="false">N16*N21*Hipótesis!$F$16</f>
        <v>22419.9</v>
      </c>
      <c r="O34" s="100" t="n">
        <f aca="false">O16*O21*Hipótesis!$F$16</f>
        <v>24455.7</v>
      </c>
      <c r="P34" s="100" t="n">
        <f aca="false">P16*P21*Hipótesis!$F$16</f>
        <v>26068.68</v>
      </c>
      <c r="Q34" s="100" t="n">
        <f aca="false">Q16*Q21*Hipótesis!$F$16</f>
        <v>27681.66</v>
      </c>
      <c r="R34" s="100" t="n">
        <f aca="false">R16*R21*Hipótesis!$F$16</f>
        <v>29294.64</v>
      </c>
      <c r="S34" s="100" t="n">
        <f aca="false">S16*S21*Hipótesis!$F$16</f>
        <v>30907.62</v>
      </c>
      <c r="T34" s="100" t="n">
        <f aca="false">T16*T21*Hipótesis!$F$16</f>
        <v>32520.6</v>
      </c>
      <c r="U34" s="100" t="n">
        <f aca="false">U16*U21*Hipótesis!$F$16</f>
        <v>34133.58</v>
      </c>
      <c r="V34" s="100" t="n">
        <f aca="false">V16*V21*Hipótesis!$F$16</f>
        <v>35746.56</v>
      </c>
      <c r="W34" s="100" t="n">
        <f aca="false">W16*W21*Hipótesis!$F$16</f>
        <v>37359.54</v>
      </c>
      <c r="X34" s="100" t="n">
        <f aca="false">X16*X21*Hipótesis!$F$16</f>
        <v>37798.02</v>
      </c>
      <c r="Y34" s="100" t="n">
        <f aca="false">Y16*Y21*Hipótesis!$F$16</f>
        <v>38236.5</v>
      </c>
      <c r="Z34" s="100" t="n">
        <f aca="false">Z16*Z21*Hipótesis!$F$16</f>
        <v>38236.5</v>
      </c>
      <c r="AA34" s="100" t="n">
        <f aca="false">AA16*AA21*Hipótesis!$F$16</f>
        <v>38236.5</v>
      </c>
      <c r="AB34" s="100" t="n">
        <f aca="false">AB16*AB21*Hipótesis!$F$16</f>
        <v>38236.5</v>
      </c>
      <c r="AC34" s="100" t="n">
        <f aca="false">AC16*AC21*Hipótesis!$F$16</f>
        <v>38236.5</v>
      </c>
      <c r="AD34" s="100" t="n">
        <f aca="false">AD16*AD21*Hipótesis!$F$16</f>
        <v>38236.5</v>
      </c>
      <c r="AE34" s="100" t="n">
        <f aca="false">AE16*AE21*Hipótesis!$F$16</f>
        <v>38236.5</v>
      </c>
      <c r="AF34" s="100" t="n">
        <f aca="false">AF16*AF21*Hipótesis!$F$16</f>
        <v>38236.5</v>
      </c>
      <c r="AG34" s="100" t="n">
        <f aca="false">AG16*AG21*Hipótesis!$F$16</f>
        <v>38236.5</v>
      </c>
      <c r="AH34" s="100" t="n">
        <f aca="false">AH16*AH21*Hipótesis!$F$16</f>
        <v>38236.5</v>
      </c>
      <c r="AI34" s="100" t="n">
        <f aca="false">AI16*AI21*Hipótesis!$F$16</f>
        <v>38236.5</v>
      </c>
      <c r="AJ34" s="100" t="n">
        <f aca="false">AJ16*AJ21*Hipótesis!$F$16</f>
        <v>38236.5</v>
      </c>
      <c r="AK34" s="100" t="n">
        <f aca="false">AK16*AK21*Hipótesis!$F$16</f>
        <v>38236.5</v>
      </c>
      <c r="AL34" s="100" t="n">
        <f aca="false">AL16*AL21*Hipótesis!$F$16</f>
        <v>38236.5</v>
      </c>
      <c r="AM34" s="100" t="n">
        <f aca="false">AM16*AM21*Hipótesis!$F$16</f>
        <v>38236.5</v>
      </c>
      <c r="AN34" s="100" t="n">
        <f aca="false">AN16*AN21*Hipótesis!$F$16</f>
        <v>38236.5</v>
      </c>
      <c r="AO34" s="100" t="n">
        <f aca="false">AO16*AO21*Hipótesis!$F$16</f>
        <v>38236.5</v>
      </c>
      <c r="AP34" s="100" t="n">
        <f aca="false">AP16*AP21*Hipótesis!$F$16</f>
        <v>38236.5</v>
      </c>
      <c r="AQ34" s="100" t="n">
        <f aca="false">AQ16*AQ21*Hipótesis!$F$16</f>
        <v>38236.5</v>
      </c>
      <c r="AR34" s="100" t="n">
        <f aca="false">AR16*AR21*Hipótesis!$F$16</f>
        <v>38236.5</v>
      </c>
      <c r="AS34" s="100" t="n">
        <f aca="false">AS16*AS21*Hipótesis!$F$16</f>
        <v>38236.5</v>
      </c>
      <c r="AT34" s="100" t="n">
        <f aca="false">AT16*AT21*Hipótesis!$F$16</f>
        <v>38236.5</v>
      </c>
      <c r="AU34" s="100" t="n">
        <f aca="false">AU16*AU21*Hipótesis!$F$16</f>
        <v>38236.5</v>
      </c>
      <c r="AV34" s="100" t="n">
        <f aca="false">AV16*AV21*Hipótesis!$F$16</f>
        <v>38236.5</v>
      </c>
      <c r="AW34" s="100" t="n">
        <f aca="false">AW16*AW21*Hipótesis!$F$16</f>
        <v>38236.5</v>
      </c>
      <c r="AX34" s="100" t="n">
        <f aca="false">AX16*AX21*Hipótesis!$F$16</f>
        <v>38236.5</v>
      </c>
      <c r="AY34" s="100" t="n">
        <f aca="false">AY16*AY21*Hipótesis!$F$16</f>
        <v>38236.5</v>
      </c>
      <c r="AZ34" s="100" t="n">
        <f aca="false">AZ16*AZ21*Hipótesis!$F$16</f>
        <v>38236.5</v>
      </c>
      <c r="BA34" s="100" t="n">
        <f aca="false">BA16*BA21*Hipótesis!$F$16</f>
        <v>38236.5</v>
      </c>
      <c r="BB34" s="100" t="n">
        <f aca="false">BB16*BB21*Hipótesis!$F$16</f>
        <v>38236.5</v>
      </c>
      <c r="BC34" s="100" t="n">
        <f aca="false">BC16*BC21*Hipótesis!$F$16</f>
        <v>38236.5</v>
      </c>
      <c r="BD34" s="100" t="n">
        <f aca="false">BD16*BD21*Hipótesis!$F$16</f>
        <v>38236.5</v>
      </c>
      <c r="BE34" s="100" t="n">
        <f aca="false">BE16*BE21*Hipótesis!$F$16</f>
        <v>38236.5</v>
      </c>
      <c r="BF34" s="100" t="n">
        <f aca="false">BF16*BF21*Hipótesis!$F$16</f>
        <v>38236.5</v>
      </c>
      <c r="BG34" s="100" t="n">
        <f aca="false">BG16*BG21*Hipótesis!$F$16</f>
        <v>38236.5</v>
      </c>
      <c r="BH34" s="100" t="n">
        <f aca="false">BH16*BH21*Hipótesis!$F$16</f>
        <v>38236.5</v>
      </c>
      <c r="BI34" s="100" t="n">
        <f aca="false">BI16*BI21*Hipótesis!$F$16</f>
        <v>38236.5</v>
      </c>
      <c r="BJ34" s="100" t="n">
        <f aca="false">BJ16*BJ21*Hipótesis!$F$16</f>
        <v>38236.5</v>
      </c>
      <c r="BK34" s="100" t="n">
        <f aca="false">BK16*BK21*Hipótesis!$F$16</f>
        <v>38236.5</v>
      </c>
      <c r="BL34" s="100" t="n">
        <f aca="false">BL16*BL21*Hipótesis!$F$16</f>
        <v>38236.5</v>
      </c>
      <c r="BM34" s="100" t="n">
        <f aca="false">BM16*BM21*Hipótesis!$F$16</f>
        <v>38236.5</v>
      </c>
      <c r="BN34" s="100" t="n">
        <f aca="false">BN16*BN21*Hipótesis!$F$16</f>
        <v>38236.5</v>
      </c>
      <c r="BO34" s="100" t="n">
        <f aca="false">BO16*BO21*Hipótesis!$F$16</f>
        <v>38236.5</v>
      </c>
      <c r="BP34" s="100" t="n">
        <f aca="false">BP16*BP21*Hipótesis!$F$16</f>
        <v>38236.5</v>
      </c>
      <c r="BQ34" s="100" t="n">
        <f aca="false">BQ16*BQ21*Hipótesis!$F$16</f>
        <v>38236.5</v>
      </c>
      <c r="BR34" s="100" t="n">
        <f aca="false">BR16*BR21*Hipótesis!$F$16</f>
        <v>38236.5</v>
      </c>
      <c r="BS34" s="100" t="n">
        <f aca="false">BS16*BS21*Hipótesis!$F$16</f>
        <v>38236.5</v>
      </c>
      <c r="BT34" s="100" t="n">
        <f aca="false">BT16*BT21*Hipótesis!$F$16</f>
        <v>38236.5</v>
      </c>
      <c r="BU34" s="100" t="n">
        <f aca="false">BU16*BU21*Hipótesis!$F$16</f>
        <v>38236.5</v>
      </c>
      <c r="BV34" s="100" t="n">
        <f aca="false">BV16*BV21*Hipótesis!$F$16</f>
        <v>38236.5</v>
      </c>
      <c r="BW34" s="100" t="n">
        <f aca="false">BW16*BW21*Hipótesis!$F$16</f>
        <v>38236.5</v>
      </c>
      <c r="BX34" s="100" t="n">
        <f aca="false">BX16*BX21*Hipótesis!$F$16</f>
        <v>38236.5</v>
      </c>
      <c r="BY34" s="100" t="n">
        <f aca="false">BY16*BY21*Hipótesis!$F$16</f>
        <v>38236.5</v>
      </c>
      <c r="BZ34" s="100" t="n">
        <f aca="false">BZ16*BZ21*Hipótesis!$F$16</f>
        <v>38236.5</v>
      </c>
      <c r="CA34" s="100" t="n">
        <f aca="false">CA16*CA21*Hipótesis!$F$16</f>
        <v>38236.5</v>
      </c>
      <c r="CB34" s="100" t="n">
        <f aca="false">CB16*CB21*Hipótesis!$F$16</f>
        <v>38236.5</v>
      </c>
      <c r="CC34" s="100" t="n">
        <f aca="false">CC16*CC21*Hipótesis!$F$16</f>
        <v>38236.5</v>
      </c>
      <c r="CD34" s="100" t="n">
        <f aca="false">CD16*CD21*Hipótesis!$F$16</f>
        <v>38236.5</v>
      </c>
      <c r="CE34" s="100" t="n">
        <f aca="false">CE16*CE21*Hipótesis!$F$16</f>
        <v>38236.5</v>
      </c>
      <c r="CF34" s="100" t="n">
        <f aca="false">CF16*CF21*Hipótesis!$F$16</f>
        <v>38236.5</v>
      </c>
      <c r="CG34" s="100" t="n">
        <f aca="false">CG16*CG21*Hipótesis!$F$16</f>
        <v>38236.5</v>
      </c>
      <c r="CH34" s="100" t="n">
        <f aca="false">CH16*CH21*Hipótesis!$F$16</f>
        <v>38236.5</v>
      </c>
    </row>
    <row r="35" customFormat="false" ht="13.5" hidden="false" customHeight="true" outlineLevel="0" collapsed="false">
      <c r="A35" s="6" t="s">
        <v>512</v>
      </c>
      <c r="C35" s="100" t="n">
        <f aca="false">C23*(Hipótesis!$F$30*Hipótesis!$F$20+(1-Hipótesis!$F$30)*Hipótesis!$F$21)</f>
        <v>0</v>
      </c>
      <c r="D35" s="100" t="n">
        <f aca="false">D23*(Hipótesis!$F$30*Hipótesis!$F$20+(1-Hipótesis!$F$30)*Hipótesis!$F$21)</f>
        <v>0</v>
      </c>
      <c r="E35" s="100" t="n">
        <f aca="false">E23*(Hipótesis!$F$30*Hipótesis!$F$20+(1-Hipótesis!$F$30)*Hipótesis!$F$21)</f>
        <v>0</v>
      </c>
      <c r="F35" s="100" t="n">
        <f aca="false">F23*(Hipótesis!$F$30*Hipótesis!$F$20+(1-Hipótesis!$F$30)*Hipótesis!$F$21)</f>
        <v>0</v>
      </c>
      <c r="G35" s="100" t="n">
        <f aca="false">G23*(Hipótesis!$F$30*Hipótesis!$F$20+(1-Hipótesis!$F$30)*Hipótesis!$F$21)</f>
        <v>0</v>
      </c>
      <c r="H35" s="100" t="n">
        <f aca="false">H23*(Hipótesis!$F$30*Hipótesis!$F$20+(1-Hipótesis!$F$30)*Hipótesis!$F$21)</f>
        <v>0</v>
      </c>
      <c r="I35" s="100" t="n">
        <f aca="false">I23*(Hipótesis!$F$30*Hipótesis!$F$20+(1-Hipótesis!$F$30)*Hipótesis!$F$21)</f>
        <v>1954.05122036757</v>
      </c>
      <c r="J35" s="100" t="n">
        <f aca="false">J23*(Hipótesis!$F$30*Hipótesis!$F$20+(1-Hipótesis!$F$30)*Hipótesis!$F$21)</f>
        <v>3908.10244073514</v>
      </c>
      <c r="K35" s="100" t="n">
        <f aca="false">K23*(Hipótesis!$F$30*Hipótesis!$F$20+(1-Hipótesis!$F$30)*Hipótesis!$F$21)</f>
        <v>5862.1536611027</v>
      </c>
      <c r="L35" s="100" t="n">
        <f aca="false">L23*(Hipótesis!$F$30*Hipótesis!$F$20+(1-Hipótesis!$F$30)*Hipótesis!$F$21)</f>
        <v>7816.20488147027</v>
      </c>
      <c r="M35" s="100" t="n">
        <f aca="false">M23*(Hipótesis!$F$30*Hipótesis!$F$20+(1-Hipótesis!$F$30)*Hipótesis!$F$21)</f>
        <v>9770.25610183784</v>
      </c>
      <c r="N35" s="100" t="n">
        <f aca="false">N23*(Hipótesis!$F$30*Hipótesis!$F$20+(1-Hipótesis!$F$30)*Hipótesis!$F$21)</f>
        <v>11724.3073222054</v>
      </c>
      <c r="O35" s="100" t="n">
        <f aca="false">O23*(Hipótesis!$F$30*Hipótesis!$F$20+(1-Hipótesis!$F$30)*Hipótesis!$F$21)</f>
        <v>13678.358542573</v>
      </c>
      <c r="P35" s="100" t="n">
        <f aca="false">P23*(Hipótesis!$F$30*Hipótesis!$F$20+(1-Hipótesis!$F$30)*Hipótesis!$F$21)</f>
        <v>15632.4097629405</v>
      </c>
      <c r="Q35" s="100" t="n">
        <f aca="false">Q23*(Hipótesis!$F$30*Hipótesis!$F$20+(1-Hipótesis!$F$30)*Hipótesis!$F$21)</f>
        <v>17586.4609833081</v>
      </c>
      <c r="R35" s="100" t="n">
        <f aca="false">R23*(Hipótesis!$F$30*Hipótesis!$F$20+(1-Hipótesis!$F$30)*Hipótesis!$F$21)</f>
        <v>19540.5122036757</v>
      </c>
      <c r="S35" s="100" t="n">
        <f aca="false">S23*(Hipótesis!$F$30*Hipótesis!$F$20+(1-Hipótesis!$F$30)*Hipótesis!$F$21)</f>
        <v>21494.5634240433</v>
      </c>
      <c r="T35" s="100" t="n">
        <f aca="false">T23*(Hipótesis!$F$30*Hipótesis!$F$20+(1-Hipótesis!$F$30)*Hipótesis!$F$21)</f>
        <v>23448.6146444108</v>
      </c>
      <c r="U35" s="100" t="n">
        <f aca="false">U23*(Hipótesis!$F$30*Hipótesis!$F$20+(1-Hipótesis!$F$30)*Hipótesis!$F$21)</f>
        <v>25402.6658647784</v>
      </c>
      <c r="V35" s="100" t="n">
        <f aca="false">V23*(Hipótesis!$F$30*Hipótesis!$F$20+(1-Hipótesis!$F$30)*Hipótesis!$F$21)</f>
        <v>27356.717085146</v>
      </c>
      <c r="W35" s="100" t="n">
        <f aca="false">W23*(Hipótesis!$F$30*Hipótesis!$F$20+(1-Hipótesis!$F$30)*Hipótesis!$F$21)</f>
        <v>29310.7683055135</v>
      </c>
      <c r="X35" s="100" t="n">
        <f aca="false">X23*(Hipótesis!$F$30*Hipótesis!$F$20+(1-Hipótesis!$F$30)*Hipótesis!$F$21)</f>
        <v>31264.8195258811</v>
      </c>
      <c r="Y35" s="100" t="n">
        <f aca="false">Y23*(Hipótesis!$F$30*Hipótesis!$F$20+(1-Hipótesis!$F$30)*Hipótesis!$F$21)</f>
        <v>33218.8707462487</v>
      </c>
      <c r="Z35" s="100" t="n">
        <f aca="false">Z23*(Hipótesis!$F$30*Hipótesis!$F$20+(1-Hipótesis!$F$30)*Hipótesis!$F$21)</f>
        <v>35172.9219666162</v>
      </c>
      <c r="AA35" s="100" t="n">
        <f aca="false">AA23*(Hipótesis!$F$30*Hipótesis!$F$20+(1-Hipótesis!$F$30)*Hipótesis!$F$21)</f>
        <v>37126.9731869838</v>
      </c>
      <c r="AB35" s="100" t="n">
        <f aca="false">AB23*(Hipótesis!$F$30*Hipótesis!$F$20+(1-Hipótesis!$F$30)*Hipótesis!$F$21)</f>
        <v>39081.0244073514</v>
      </c>
      <c r="AC35" s="100" t="n">
        <f aca="false">AC23*(Hipótesis!$F$30*Hipótesis!$F$20+(1-Hipótesis!$F$30)*Hipótesis!$F$21)</f>
        <v>41035.0756277189</v>
      </c>
      <c r="AD35" s="100" t="n">
        <f aca="false">AD23*(Hipótesis!$F$30*Hipótesis!$F$20+(1-Hipótesis!$F$30)*Hipótesis!$F$21)</f>
        <v>42989.1268480865</v>
      </c>
      <c r="AE35" s="100" t="n">
        <f aca="false">AE23*(Hipótesis!$F$30*Hipótesis!$F$20+(1-Hipótesis!$F$30)*Hipótesis!$F$21)</f>
        <v>44943.1780684541</v>
      </c>
      <c r="AF35" s="100" t="n">
        <f aca="false">AF23*(Hipótesis!$F$30*Hipótesis!$F$20+(1-Hipótesis!$F$30)*Hipótesis!$F$21)</f>
        <v>46897.2292888216</v>
      </c>
      <c r="AG35" s="100" t="n">
        <f aca="false">AG23*(Hipótesis!$F$30*Hipótesis!$F$20+(1-Hipótesis!$F$30)*Hipótesis!$F$21)</f>
        <v>48851.2805091892</v>
      </c>
      <c r="AH35" s="100" t="n">
        <f aca="false">AH23*(Hipótesis!$F$30*Hipótesis!$F$20+(1-Hipótesis!$F$30)*Hipótesis!$F$21)</f>
        <v>50805.3317295568</v>
      </c>
      <c r="AI35" s="100" t="n">
        <f aca="false">AI23*(Hipótesis!$F$30*Hipótesis!$F$20+(1-Hipótesis!$F$30)*Hipótesis!$F$21)</f>
        <v>52759.3829499243</v>
      </c>
      <c r="AJ35" s="100" t="n">
        <f aca="false">AJ23*(Hipótesis!$F$30*Hipótesis!$F$20+(1-Hipótesis!$F$30)*Hipótesis!$F$21)</f>
        <v>54713.4341702919</v>
      </c>
      <c r="AK35" s="100" t="n">
        <f aca="false">AK23*(Hipótesis!$F$30*Hipótesis!$F$20+(1-Hipótesis!$F$30)*Hipótesis!$F$21)</f>
        <v>56667.4853906595</v>
      </c>
      <c r="AL35" s="100" t="n">
        <f aca="false">AL23*(Hipótesis!$F$30*Hipótesis!$F$20+(1-Hipótesis!$F$30)*Hipótesis!$F$21)</f>
        <v>58621.536611027</v>
      </c>
      <c r="AM35" s="100" t="n">
        <f aca="false">AM23*(Hipótesis!$F$30*Hipótesis!$F$20+(1-Hipótesis!$F$30)*Hipótesis!$F$21)</f>
        <v>60575.5878313946</v>
      </c>
      <c r="AN35" s="100" t="n">
        <f aca="false">AN23*(Hipótesis!$F$30*Hipótesis!$F$20+(1-Hipótesis!$F$30)*Hipótesis!$F$21)</f>
        <v>62529.6390517622</v>
      </c>
      <c r="AO35" s="100" t="n">
        <f aca="false">AO23*(Hipótesis!$F$30*Hipótesis!$F$20+(1-Hipótesis!$F$30)*Hipótesis!$F$21)</f>
        <v>64483.6902721298</v>
      </c>
      <c r="AP35" s="100" t="n">
        <f aca="false">AP23*(Hipótesis!$F$30*Hipótesis!$F$20+(1-Hipótesis!$F$30)*Hipótesis!$F$21)</f>
        <v>66437.7414924973</v>
      </c>
      <c r="AQ35" s="100" t="n">
        <f aca="false">AQ23*(Hipótesis!$F$30*Hipótesis!$F$20+(1-Hipótesis!$F$30)*Hipótesis!$F$21)</f>
        <v>68391.7927128649</v>
      </c>
      <c r="AR35" s="100" t="n">
        <f aca="false">AR23*(Hipótesis!$F$30*Hipótesis!$F$20+(1-Hipótesis!$F$30)*Hipótesis!$F$21)</f>
        <v>70345.8439332325</v>
      </c>
      <c r="AS35" s="100" t="n">
        <f aca="false">AS23*(Hipótesis!$F$30*Hipótesis!$F$20+(1-Hipótesis!$F$30)*Hipótesis!$F$21)</f>
        <v>70345.8439332325</v>
      </c>
      <c r="AT35" s="100" t="n">
        <f aca="false">AT23*(Hipótesis!$F$30*Hipótesis!$F$20+(1-Hipótesis!$F$30)*Hipótesis!$F$21)</f>
        <v>70345.8439332325</v>
      </c>
      <c r="AU35" s="100" t="n">
        <f aca="false">AU23*(Hipótesis!$F$30*Hipótesis!$F$20+(1-Hipótesis!$F$30)*Hipótesis!$F$21)</f>
        <v>70345.8439332325</v>
      </c>
      <c r="AV35" s="100" t="n">
        <f aca="false">AV23*(Hipótesis!$F$30*Hipótesis!$F$20+(1-Hipótesis!$F$30)*Hipótesis!$F$21)</f>
        <v>70345.8439332325</v>
      </c>
      <c r="AW35" s="100" t="n">
        <f aca="false">AW23*(Hipótesis!$F$30*Hipótesis!$F$20+(1-Hipótesis!$F$30)*Hipótesis!$F$21)</f>
        <v>70345.8439332325</v>
      </c>
      <c r="AX35" s="100" t="n">
        <f aca="false">AX23*(Hipótesis!$F$30*Hipótesis!$F$20+(1-Hipótesis!$F$30)*Hipótesis!$F$21)</f>
        <v>70345.8439332325</v>
      </c>
      <c r="AY35" s="100" t="n">
        <f aca="false">AY23*(Hipótesis!$F$30*Hipótesis!$F$20+(1-Hipótesis!$F$30)*Hipótesis!$F$21)</f>
        <v>70345.8439332325</v>
      </c>
      <c r="AZ35" s="100" t="n">
        <f aca="false">AZ23*(Hipótesis!$F$30*Hipótesis!$F$20+(1-Hipótesis!$F$30)*Hipótesis!$F$21)</f>
        <v>70345.8439332325</v>
      </c>
      <c r="BA35" s="100" t="n">
        <f aca="false">BA23*(Hipótesis!$F$30*Hipótesis!$F$20+(1-Hipótesis!$F$30)*Hipótesis!$F$21)</f>
        <v>70345.8439332325</v>
      </c>
      <c r="BB35" s="100" t="n">
        <f aca="false">BB23*(Hipótesis!$F$30*Hipótesis!$F$20+(1-Hipótesis!$F$30)*Hipótesis!$F$21)</f>
        <v>70345.8439332325</v>
      </c>
      <c r="BC35" s="100" t="n">
        <f aca="false">BC23*(Hipótesis!$F$30*Hipótesis!$F$20+(1-Hipótesis!$F$30)*Hipótesis!$F$21)</f>
        <v>70345.8439332325</v>
      </c>
      <c r="BD35" s="100" t="n">
        <f aca="false">BD23*(Hipótesis!$F$30*Hipótesis!$F$20+(1-Hipótesis!$F$30)*Hipótesis!$F$21)</f>
        <v>70345.8439332325</v>
      </c>
      <c r="BE35" s="100" t="n">
        <f aca="false">BE23*(Hipótesis!$F$30*Hipótesis!$F$20+(1-Hipótesis!$F$30)*Hipótesis!$F$21)</f>
        <v>70345.8439332325</v>
      </c>
      <c r="BF35" s="100" t="n">
        <f aca="false">BF23*(Hipótesis!$F$30*Hipótesis!$F$20+(1-Hipótesis!$F$30)*Hipótesis!$F$21)</f>
        <v>70345.8439332325</v>
      </c>
      <c r="BG35" s="100" t="n">
        <f aca="false">BG23*(Hipótesis!$F$30*Hipótesis!$F$20+(1-Hipótesis!$F$30)*Hipótesis!$F$21)</f>
        <v>70345.8439332325</v>
      </c>
      <c r="BH35" s="100" t="n">
        <f aca="false">BH23*(Hipótesis!$F$30*Hipótesis!$F$20+(1-Hipótesis!$F$30)*Hipótesis!$F$21)</f>
        <v>70345.8439332325</v>
      </c>
      <c r="BI35" s="100" t="n">
        <f aca="false">BI23*(Hipótesis!$F$30*Hipótesis!$F$20+(1-Hipótesis!$F$30)*Hipótesis!$F$21)</f>
        <v>70345.8439332325</v>
      </c>
      <c r="BJ35" s="100" t="n">
        <f aca="false">BJ23*(Hipótesis!$F$30*Hipótesis!$F$20+(1-Hipótesis!$F$30)*Hipótesis!$F$21)</f>
        <v>70345.8439332325</v>
      </c>
      <c r="BK35" s="100" t="n">
        <f aca="false">BK23*(Hipótesis!$F$30*Hipótesis!$F$20+(1-Hipótesis!$F$30)*Hipótesis!$F$21)</f>
        <v>70345.8439332325</v>
      </c>
      <c r="BL35" s="100" t="n">
        <f aca="false">BL23*(Hipótesis!$F$30*Hipótesis!$F$20+(1-Hipótesis!$F$30)*Hipótesis!$F$21)</f>
        <v>70345.8439332325</v>
      </c>
      <c r="BM35" s="100" t="n">
        <f aca="false">BM23*(Hipótesis!$F$30*Hipótesis!$F$20+(1-Hipótesis!$F$30)*Hipótesis!$F$21)</f>
        <v>70345.8439332325</v>
      </c>
      <c r="BN35" s="100" t="n">
        <f aca="false">BN23*(Hipótesis!$F$30*Hipótesis!$F$20+(1-Hipótesis!$F$30)*Hipótesis!$F$21)</f>
        <v>70345.8439332325</v>
      </c>
      <c r="BO35" s="100" t="n">
        <f aca="false">BO23*(Hipótesis!$F$30*Hipótesis!$F$20+(1-Hipótesis!$F$30)*Hipótesis!$F$21)</f>
        <v>70345.8439332325</v>
      </c>
      <c r="BP35" s="100" t="n">
        <f aca="false">BP23*(Hipótesis!$F$30*Hipótesis!$F$20+(1-Hipótesis!$F$30)*Hipótesis!$F$21)</f>
        <v>70345.8439332325</v>
      </c>
      <c r="BQ35" s="100" t="n">
        <f aca="false">BQ23*(Hipótesis!$F$30*Hipótesis!$F$20+(1-Hipótesis!$F$30)*Hipótesis!$F$21)</f>
        <v>70345.8439332325</v>
      </c>
      <c r="BR35" s="100" t="n">
        <f aca="false">BR23*(Hipótesis!$F$30*Hipótesis!$F$20+(1-Hipótesis!$F$30)*Hipótesis!$F$21)</f>
        <v>70345.8439332325</v>
      </c>
      <c r="BS35" s="100" t="n">
        <f aca="false">BS23*(Hipótesis!$F$30*Hipótesis!$F$20+(1-Hipótesis!$F$30)*Hipótesis!$F$21)</f>
        <v>70345.8439332325</v>
      </c>
      <c r="BT35" s="100" t="n">
        <f aca="false">BT23*(Hipótesis!$F$30*Hipótesis!$F$20+(1-Hipótesis!$F$30)*Hipótesis!$F$21)</f>
        <v>70345.8439332325</v>
      </c>
      <c r="BU35" s="100" t="n">
        <f aca="false">BU23*(Hipótesis!$F$30*Hipótesis!$F$20+(1-Hipótesis!$F$30)*Hipótesis!$F$21)</f>
        <v>70345.8439332325</v>
      </c>
      <c r="BV35" s="100" t="n">
        <f aca="false">BV23*(Hipótesis!$F$30*Hipótesis!$F$20+(1-Hipótesis!$F$30)*Hipótesis!$F$21)</f>
        <v>70345.8439332325</v>
      </c>
      <c r="BW35" s="100" t="n">
        <f aca="false">BW23*(Hipótesis!$F$30*Hipótesis!$F$20+(1-Hipótesis!$F$30)*Hipótesis!$F$21)</f>
        <v>70345.8439332325</v>
      </c>
      <c r="BX35" s="100" t="n">
        <f aca="false">BX23*(Hipótesis!$F$30*Hipótesis!$F$20+(1-Hipótesis!$F$30)*Hipótesis!$F$21)</f>
        <v>70345.8439332325</v>
      </c>
      <c r="BY35" s="100" t="n">
        <f aca="false">BY23*(Hipótesis!$F$30*Hipótesis!$F$20+(1-Hipótesis!$F$30)*Hipótesis!$F$21)</f>
        <v>70345.8439332325</v>
      </c>
      <c r="BZ35" s="100" t="n">
        <f aca="false">BZ23*(Hipótesis!$F$30*Hipótesis!$F$20+(1-Hipótesis!$F$30)*Hipótesis!$F$21)</f>
        <v>70345.8439332325</v>
      </c>
      <c r="CA35" s="100" t="n">
        <f aca="false">CA23*(Hipótesis!$F$30*Hipótesis!$F$20+(1-Hipótesis!$F$30)*Hipótesis!$F$21)</f>
        <v>70345.8439332325</v>
      </c>
      <c r="CB35" s="100" t="n">
        <f aca="false">CB23*(Hipótesis!$F$30*Hipótesis!$F$20+(1-Hipótesis!$F$30)*Hipótesis!$F$21)</f>
        <v>70345.8439332325</v>
      </c>
      <c r="CC35" s="100" t="n">
        <f aca="false">CC23*(Hipótesis!$F$30*Hipótesis!$F$20+(1-Hipótesis!$F$30)*Hipótesis!$F$21)</f>
        <v>70345.8439332325</v>
      </c>
      <c r="CD35" s="100" t="n">
        <f aca="false">CD23*(Hipótesis!$F$30*Hipótesis!$F$20+(1-Hipótesis!$F$30)*Hipótesis!$F$21)</f>
        <v>70345.8439332325</v>
      </c>
      <c r="CE35" s="100" t="n">
        <f aca="false">CE23*(Hipótesis!$F$30*Hipótesis!$F$20+(1-Hipótesis!$F$30)*Hipótesis!$F$21)</f>
        <v>70345.8439332325</v>
      </c>
      <c r="CF35" s="100" t="n">
        <f aca="false">CF23*(Hipótesis!$F$30*Hipótesis!$F$20+(1-Hipótesis!$F$30)*Hipótesis!$F$21)</f>
        <v>70345.8439332325</v>
      </c>
      <c r="CG35" s="100" t="n">
        <f aca="false">CG23*(Hipótesis!$F$30*Hipótesis!$F$20+(1-Hipótesis!$F$30)*Hipótesis!$F$21)</f>
        <v>70345.8439332325</v>
      </c>
      <c r="CH35" s="100" t="n">
        <f aca="false">CH23*(Hipótesis!$F$30*Hipótesis!$F$20+(1-Hipótesis!$F$30)*Hipótesis!$F$21)</f>
        <v>70345.8439332325</v>
      </c>
    </row>
    <row r="36" customFormat="false" ht="13.5" hidden="false" customHeight="true" outlineLevel="0" collapsed="false">
      <c r="A36" s="22" t="s">
        <v>513</v>
      </c>
      <c r="C36" s="100" t="n">
        <f aca="false">C34+C35</f>
        <v>1206.69</v>
      </c>
      <c r="D36" s="100" t="n">
        <f aca="false">D34+D35</f>
        <v>2507.34</v>
      </c>
      <c r="E36" s="100" t="n">
        <f aca="false">E34+E35</f>
        <v>5222.28375</v>
      </c>
      <c r="F36" s="100" t="n">
        <f aca="false">F34+F35</f>
        <v>6730.5375</v>
      </c>
      <c r="G36" s="100" t="n">
        <f aca="false">G34+G35</f>
        <v>8144.83125</v>
      </c>
      <c r="H36" s="100" t="n">
        <f aca="false">H34+H35</f>
        <v>10420.425</v>
      </c>
      <c r="I36" s="100" t="n">
        <f aca="false">I34+I35</f>
        <v>14650.0699703676</v>
      </c>
      <c r="J36" s="100" t="n">
        <f aca="false">J34+J35</f>
        <v>18879.7149407351</v>
      </c>
      <c r="K36" s="100" t="n">
        <f aca="false">K34+K35</f>
        <v>23109.3599111027</v>
      </c>
      <c r="L36" s="100" t="n">
        <f aca="false">L34+L35</f>
        <v>27339.0048814703</v>
      </c>
      <c r="M36" s="100" t="n">
        <f aca="false">M34+M35</f>
        <v>30154.3561018378</v>
      </c>
      <c r="N36" s="100" t="n">
        <f aca="false">N34+N35</f>
        <v>34144.2073222054</v>
      </c>
      <c r="O36" s="100" t="n">
        <f aca="false">O34+O35</f>
        <v>38134.058542573</v>
      </c>
      <c r="P36" s="100" t="n">
        <f aca="false">P34+P35</f>
        <v>41701.0897629405</v>
      </c>
      <c r="Q36" s="100" t="n">
        <f aca="false">Q34+Q35</f>
        <v>45268.1209833081</v>
      </c>
      <c r="R36" s="100" t="n">
        <f aca="false">R34+R35</f>
        <v>48835.1522036757</v>
      </c>
      <c r="S36" s="100" t="n">
        <f aca="false">S34+S35</f>
        <v>52402.1834240432</v>
      </c>
      <c r="T36" s="100" t="n">
        <f aca="false">T34+T35</f>
        <v>55969.2146444108</v>
      </c>
      <c r="U36" s="100" t="n">
        <f aca="false">U34+U35</f>
        <v>59536.2458647784</v>
      </c>
      <c r="V36" s="100" t="n">
        <f aca="false">V34+V35</f>
        <v>63103.277085146</v>
      </c>
      <c r="W36" s="100" t="n">
        <f aca="false">W34+W35</f>
        <v>66670.3083055135</v>
      </c>
      <c r="X36" s="100" t="n">
        <f aca="false">X34+X35</f>
        <v>69062.8395258811</v>
      </c>
      <c r="Y36" s="100" t="n">
        <f aca="false">Y34+Y35</f>
        <v>71455.3707462487</v>
      </c>
      <c r="Z36" s="100" t="n">
        <f aca="false">Z34+Z35</f>
        <v>73409.4219666162</v>
      </c>
      <c r="AA36" s="100" t="n">
        <f aca="false">AA34+AA35</f>
        <v>75363.4731869838</v>
      </c>
      <c r="AB36" s="100" t="n">
        <f aca="false">AB34+AB35</f>
        <v>77317.5244073514</v>
      </c>
      <c r="AC36" s="100" t="n">
        <f aca="false">AC34+AC35</f>
        <v>79271.5756277189</v>
      </c>
      <c r="AD36" s="100" t="n">
        <f aca="false">AD34+AD35</f>
        <v>81225.6268480865</v>
      </c>
      <c r="AE36" s="100" t="n">
        <f aca="false">AE34+AE35</f>
        <v>83179.6780684541</v>
      </c>
      <c r="AF36" s="100" t="n">
        <f aca="false">AF34+AF35</f>
        <v>85133.7292888216</v>
      </c>
      <c r="AG36" s="100" t="n">
        <f aca="false">AG34+AG35</f>
        <v>87087.7805091892</v>
      </c>
      <c r="AH36" s="100" t="n">
        <f aca="false">AH34+AH35</f>
        <v>89041.8317295568</v>
      </c>
      <c r="AI36" s="100" t="n">
        <f aca="false">AI34+AI35</f>
        <v>90995.8829499243</v>
      </c>
      <c r="AJ36" s="100" t="n">
        <f aca="false">AJ34+AJ35</f>
        <v>92949.9341702919</v>
      </c>
      <c r="AK36" s="100" t="n">
        <f aca="false">AK34+AK35</f>
        <v>94903.9853906595</v>
      </c>
      <c r="AL36" s="100" t="n">
        <f aca="false">AL34+AL35</f>
        <v>96858.036611027</v>
      </c>
      <c r="AM36" s="100" t="n">
        <f aca="false">AM34+AM35</f>
        <v>98812.0878313946</v>
      </c>
      <c r="AN36" s="100" t="n">
        <f aca="false">AN34+AN35</f>
        <v>100766.139051762</v>
      </c>
      <c r="AO36" s="100" t="n">
        <f aca="false">AO34+AO35</f>
        <v>102720.19027213</v>
      </c>
      <c r="AP36" s="100" t="n">
        <f aca="false">AP34+AP35</f>
        <v>104674.241492497</v>
      </c>
      <c r="AQ36" s="100" t="n">
        <f aca="false">AQ34+AQ35</f>
        <v>106628.292712865</v>
      </c>
      <c r="AR36" s="100" t="n">
        <f aca="false">AR34+AR35</f>
        <v>108582.343933232</v>
      </c>
      <c r="AS36" s="100" t="n">
        <f aca="false">AS34+AS35</f>
        <v>108582.343933232</v>
      </c>
      <c r="AT36" s="100" t="n">
        <f aca="false">AT34+AT35</f>
        <v>108582.343933232</v>
      </c>
      <c r="AU36" s="100" t="n">
        <f aca="false">AU34+AU35</f>
        <v>108582.343933232</v>
      </c>
      <c r="AV36" s="100" t="n">
        <f aca="false">AV34+AV35</f>
        <v>108582.343933232</v>
      </c>
      <c r="AW36" s="100" t="n">
        <f aca="false">AW34+AW35</f>
        <v>108582.343933232</v>
      </c>
      <c r="AX36" s="100" t="n">
        <f aca="false">AX34+AX35</f>
        <v>108582.343933232</v>
      </c>
      <c r="AY36" s="100" t="n">
        <f aca="false">AY34+AY35</f>
        <v>108582.343933232</v>
      </c>
      <c r="AZ36" s="100" t="n">
        <f aca="false">AZ34+AZ35</f>
        <v>108582.343933232</v>
      </c>
      <c r="BA36" s="100" t="n">
        <f aca="false">BA34+BA35</f>
        <v>108582.343933232</v>
      </c>
      <c r="BB36" s="100" t="n">
        <f aca="false">BB34+BB35</f>
        <v>108582.343933232</v>
      </c>
      <c r="BC36" s="100" t="n">
        <f aca="false">BC34+BC35</f>
        <v>108582.343933232</v>
      </c>
      <c r="BD36" s="100" t="n">
        <f aca="false">BD34+BD35</f>
        <v>108582.343933232</v>
      </c>
      <c r="BE36" s="100" t="n">
        <f aca="false">BE34+BE35</f>
        <v>108582.343933232</v>
      </c>
      <c r="BF36" s="100" t="n">
        <f aca="false">BF34+BF35</f>
        <v>108582.343933232</v>
      </c>
      <c r="BG36" s="100" t="n">
        <f aca="false">BG34+BG35</f>
        <v>108582.343933232</v>
      </c>
      <c r="BH36" s="100" t="n">
        <f aca="false">BH34+BH35</f>
        <v>108582.343933232</v>
      </c>
      <c r="BI36" s="100" t="n">
        <f aca="false">BI34+BI35</f>
        <v>108582.343933232</v>
      </c>
      <c r="BJ36" s="100" t="n">
        <f aca="false">BJ34+BJ35</f>
        <v>108582.343933232</v>
      </c>
      <c r="BK36" s="100" t="n">
        <f aca="false">BK34+BK35</f>
        <v>108582.343933232</v>
      </c>
      <c r="BL36" s="100" t="n">
        <f aca="false">BL34+BL35</f>
        <v>108582.343933232</v>
      </c>
      <c r="BM36" s="100" t="n">
        <f aca="false">BM34+BM35</f>
        <v>108582.343933232</v>
      </c>
      <c r="BN36" s="100" t="n">
        <f aca="false">BN34+BN35</f>
        <v>108582.343933232</v>
      </c>
      <c r="BO36" s="100" t="n">
        <f aca="false">BO34+BO35</f>
        <v>108582.343933232</v>
      </c>
      <c r="BP36" s="100" t="n">
        <f aca="false">BP34+BP35</f>
        <v>108582.343933232</v>
      </c>
      <c r="BQ36" s="100" t="n">
        <f aca="false">BQ34+BQ35</f>
        <v>108582.343933232</v>
      </c>
      <c r="BR36" s="100" t="n">
        <f aca="false">BR34+BR35</f>
        <v>108582.343933232</v>
      </c>
      <c r="BS36" s="100" t="n">
        <f aca="false">BS34+BS35</f>
        <v>108582.343933232</v>
      </c>
      <c r="BT36" s="100" t="n">
        <f aca="false">BT34+BT35</f>
        <v>108582.343933232</v>
      </c>
      <c r="BU36" s="100" t="n">
        <f aca="false">BU34+BU35</f>
        <v>108582.343933232</v>
      </c>
      <c r="BV36" s="100" t="n">
        <f aca="false">BV34+BV35</f>
        <v>108582.343933232</v>
      </c>
      <c r="BW36" s="100" t="n">
        <f aca="false">BW34+BW35</f>
        <v>108582.343933232</v>
      </c>
      <c r="BX36" s="100" t="n">
        <f aca="false">BX34+BX35</f>
        <v>108582.343933232</v>
      </c>
      <c r="BY36" s="100" t="n">
        <f aca="false">BY34+BY35</f>
        <v>108582.343933232</v>
      </c>
      <c r="BZ36" s="100" t="n">
        <f aca="false">BZ34+BZ35</f>
        <v>108582.343933232</v>
      </c>
      <c r="CA36" s="100" t="n">
        <f aca="false">CA34+CA35</f>
        <v>108582.343933232</v>
      </c>
      <c r="CB36" s="100" t="n">
        <f aca="false">CB34+CB35</f>
        <v>108582.343933232</v>
      </c>
      <c r="CC36" s="100" t="n">
        <f aca="false">CC34+CC35</f>
        <v>108582.343933232</v>
      </c>
      <c r="CD36" s="100" t="n">
        <f aca="false">CD34+CD35</f>
        <v>108582.343933232</v>
      </c>
      <c r="CE36" s="100" t="n">
        <f aca="false">CE34+CE35</f>
        <v>108582.343933232</v>
      </c>
      <c r="CF36" s="100" t="n">
        <f aca="false">CF34+CF35</f>
        <v>108582.343933232</v>
      </c>
      <c r="CG36" s="100" t="n">
        <f aca="false">CG34+CG35</f>
        <v>108582.343933232</v>
      </c>
      <c r="CH36" s="100" t="n">
        <f aca="false">CH34+CH35</f>
        <v>108582.343933232</v>
      </c>
    </row>
    <row r="37" customFormat="false" ht="13.5" hidden="false" customHeight="true" outlineLevel="0" collapsed="false">
      <c r="A37" s="6" t="s">
        <v>514</v>
      </c>
      <c r="C37" s="100" t="n">
        <f aca="false">-C36*Hipótesis!$F$34</f>
        <v>-120.669</v>
      </c>
      <c r="D37" s="100" t="n">
        <f aca="false">-D36*Hipótesis!$F$34</f>
        <v>-250.734</v>
      </c>
      <c r="E37" s="100" t="n">
        <f aca="false">-E36*Hipótesis!$F$34</f>
        <v>-522.228375</v>
      </c>
      <c r="F37" s="100" t="n">
        <f aca="false">-F36*Hipótesis!$F$34</f>
        <v>-673.05375</v>
      </c>
      <c r="G37" s="100" t="n">
        <f aca="false">-G36*Hipótesis!$F$34</f>
        <v>-814.483125</v>
      </c>
      <c r="H37" s="100" t="n">
        <f aca="false">-H36*Hipótesis!$F$34</f>
        <v>-1042.0425</v>
      </c>
      <c r="I37" s="100" t="n">
        <f aca="false">-I36*Hipótesis!$F$34</f>
        <v>-1465.00699703676</v>
      </c>
      <c r="J37" s="100" t="n">
        <f aca="false">-J36*Hipótesis!$F$34</f>
        <v>-1887.97149407351</v>
      </c>
      <c r="K37" s="100" t="n">
        <f aca="false">-K36*Hipótesis!$F$34</f>
        <v>-2310.93599111027</v>
      </c>
      <c r="L37" s="100" t="n">
        <f aca="false">-L36*Hipótesis!$F$34</f>
        <v>-2733.90048814703</v>
      </c>
      <c r="M37" s="100" t="n">
        <f aca="false">-M36*Hipótesis!$F$34</f>
        <v>-3015.43561018378</v>
      </c>
      <c r="N37" s="100" t="n">
        <f aca="false">-N36*Hipótesis!$F$34</f>
        <v>-3414.42073222054</v>
      </c>
      <c r="O37" s="100" t="n">
        <f aca="false">-O36*Hipótesis!$F$34</f>
        <v>-3813.4058542573</v>
      </c>
      <c r="P37" s="100" t="n">
        <f aca="false">-P36*Hipótesis!$F$34</f>
        <v>-4170.10897629406</v>
      </c>
      <c r="Q37" s="100" t="n">
        <f aca="false">-Q36*Hipótesis!$F$34</f>
        <v>-4526.81209833081</v>
      </c>
      <c r="R37" s="100" t="n">
        <f aca="false">-R36*Hipótesis!$F$34</f>
        <v>-4883.51522036757</v>
      </c>
      <c r="S37" s="100" t="n">
        <f aca="false">-S36*Hipótesis!$F$34</f>
        <v>-5240.21834240433</v>
      </c>
      <c r="T37" s="100" t="n">
        <f aca="false">-T36*Hipótesis!$F$34</f>
        <v>-5596.92146444108</v>
      </c>
      <c r="U37" s="100" t="n">
        <f aca="false">-U36*Hipótesis!$F$34</f>
        <v>-5953.62458647784</v>
      </c>
      <c r="V37" s="100" t="n">
        <f aca="false">-V36*Hipótesis!$F$34</f>
        <v>-6310.3277085146</v>
      </c>
      <c r="W37" s="100" t="n">
        <f aca="false">-W36*Hipótesis!$F$34</f>
        <v>-6667.03083055135</v>
      </c>
      <c r="X37" s="100" t="n">
        <f aca="false">-X36*Hipótesis!$F$34</f>
        <v>-6906.28395258811</v>
      </c>
      <c r="Y37" s="100" t="n">
        <f aca="false">-Y36*Hipótesis!$F$34</f>
        <v>-7145.53707462487</v>
      </c>
      <c r="Z37" s="100" t="n">
        <f aca="false">-Z36*Hipótesis!$F$34</f>
        <v>-7340.94219666162</v>
      </c>
      <c r="AA37" s="100" t="n">
        <f aca="false">-AA36*Hipótesis!$F$34</f>
        <v>-7536.34731869838</v>
      </c>
      <c r="AB37" s="100" t="n">
        <f aca="false">-AB36*Hipótesis!$F$34</f>
        <v>-7731.75244073514</v>
      </c>
      <c r="AC37" s="100" t="n">
        <f aca="false">-AC36*Hipótesis!$F$34</f>
        <v>-7927.15756277189</v>
      </c>
      <c r="AD37" s="100" t="n">
        <f aca="false">-AD36*Hipótesis!$F$34</f>
        <v>-8122.56268480865</v>
      </c>
      <c r="AE37" s="100" t="n">
        <f aca="false">-AE36*Hipótesis!$F$34</f>
        <v>-8317.96780684541</v>
      </c>
      <c r="AF37" s="100" t="n">
        <f aca="false">-AF36*Hipótesis!$F$34</f>
        <v>-8513.37292888216</v>
      </c>
      <c r="AG37" s="100" t="n">
        <f aca="false">-AG36*Hipótesis!$F$34</f>
        <v>-8708.77805091892</v>
      </c>
      <c r="AH37" s="100" t="n">
        <f aca="false">-AH36*Hipótesis!$F$34</f>
        <v>-8904.18317295568</v>
      </c>
      <c r="AI37" s="100" t="n">
        <f aca="false">-AI36*Hipótesis!$F$34</f>
        <v>-9099.58829499243</v>
      </c>
      <c r="AJ37" s="100" t="n">
        <f aca="false">-AJ36*Hipótesis!$F$34</f>
        <v>-9294.99341702919</v>
      </c>
      <c r="AK37" s="100" t="n">
        <f aca="false">-AK36*Hipótesis!$F$34</f>
        <v>-9490.39853906595</v>
      </c>
      <c r="AL37" s="100" t="n">
        <f aca="false">-AL36*Hipótesis!$F$34</f>
        <v>-9685.8036611027</v>
      </c>
      <c r="AM37" s="100" t="n">
        <f aca="false">-AM36*Hipótesis!$F$34</f>
        <v>-9881.20878313946</v>
      </c>
      <c r="AN37" s="100" t="n">
        <f aca="false">-AN36*Hipótesis!$F$34</f>
        <v>-10076.6139051762</v>
      </c>
      <c r="AO37" s="100" t="n">
        <f aca="false">-AO36*Hipótesis!$F$34</f>
        <v>-10272.019027213</v>
      </c>
      <c r="AP37" s="100" t="n">
        <f aca="false">-AP36*Hipótesis!$F$34</f>
        <v>-10467.4241492497</v>
      </c>
      <c r="AQ37" s="100" t="n">
        <f aca="false">-AQ36*Hipótesis!$F$34</f>
        <v>-10662.8292712865</v>
      </c>
      <c r="AR37" s="100" t="n">
        <f aca="false">-AR36*Hipótesis!$F$34</f>
        <v>-10858.2343933232</v>
      </c>
      <c r="AS37" s="100" t="n">
        <f aca="false">-AS36*Hipótesis!$F$34</f>
        <v>-10858.2343933232</v>
      </c>
      <c r="AT37" s="100" t="n">
        <f aca="false">-AT36*Hipótesis!$F$34</f>
        <v>-10858.2343933232</v>
      </c>
      <c r="AU37" s="100" t="n">
        <f aca="false">-AU36*Hipótesis!$F$34</f>
        <v>-10858.2343933232</v>
      </c>
      <c r="AV37" s="100" t="n">
        <f aca="false">-AV36*Hipótesis!$F$34</f>
        <v>-10858.2343933232</v>
      </c>
      <c r="AW37" s="100" t="n">
        <f aca="false">-AW36*Hipótesis!$F$34</f>
        <v>-10858.2343933232</v>
      </c>
      <c r="AX37" s="100" t="n">
        <f aca="false">-AX36*Hipótesis!$F$34</f>
        <v>-10858.2343933232</v>
      </c>
      <c r="AY37" s="100" t="n">
        <f aca="false">-AY36*Hipótesis!$F$34</f>
        <v>-10858.2343933232</v>
      </c>
      <c r="AZ37" s="100" t="n">
        <f aca="false">-AZ36*Hipótesis!$F$34</f>
        <v>-10858.2343933232</v>
      </c>
      <c r="BA37" s="100" t="n">
        <f aca="false">-BA36*Hipótesis!$F$34</f>
        <v>-10858.2343933232</v>
      </c>
      <c r="BB37" s="100" t="n">
        <f aca="false">-BB36*Hipótesis!$F$34</f>
        <v>-10858.2343933232</v>
      </c>
      <c r="BC37" s="100" t="n">
        <f aca="false">-BC36*Hipótesis!$F$34</f>
        <v>-10858.2343933232</v>
      </c>
      <c r="BD37" s="100" t="n">
        <f aca="false">-BD36*Hipótesis!$F$34</f>
        <v>-10858.2343933232</v>
      </c>
      <c r="BE37" s="100" t="n">
        <f aca="false">-BE36*Hipótesis!$F$34</f>
        <v>-10858.2343933232</v>
      </c>
      <c r="BF37" s="100" t="n">
        <f aca="false">-BF36*Hipótesis!$F$34</f>
        <v>-10858.2343933232</v>
      </c>
      <c r="BG37" s="100" t="n">
        <f aca="false">-BG36*Hipótesis!$F$34</f>
        <v>-10858.2343933232</v>
      </c>
      <c r="BH37" s="100" t="n">
        <f aca="false">-BH36*Hipótesis!$F$34</f>
        <v>-10858.2343933232</v>
      </c>
      <c r="BI37" s="100" t="n">
        <f aca="false">-BI36*Hipótesis!$F$34</f>
        <v>-10858.2343933232</v>
      </c>
      <c r="BJ37" s="100" t="n">
        <f aca="false">-BJ36*Hipótesis!$F$34</f>
        <v>-10858.2343933232</v>
      </c>
      <c r="BK37" s="100" t="n">
        <f aca="false">-BK36*Hipótesis!$F$34</f>
        <v>-10858.2343933232</v>
      </c>
      <c r="BL37" s="100" t="n">
        <f aca="false">-BL36*Hipótesis!$F$34</f>
        <v>-10858.2343933232</v>
      </c>
      <c r="BM37" s="100" t="n">
        <f aca="false">-BM36*Hipótesis!$F$34</f>
        <v>-10858.2343933232</v>
      </c>
      <c r="BN37" s="100" t="n">
        <f aca="false">-BN36*Hipótesis!$F$34</f>
        <v>-10858.2343933232</v>
      </c>
      <c r="BO37" s="100" t="n">
        <f aca="false">-BO36*Hipótesis!$F$34</f>
        <v>-10858.2343933232</v>
      </c>
      <c r="BP37" s="100" t="n">
        <f aca="false">-BP36*Hipótesis!$F$34</f>
        <v>-10858.2343933232</v>
      </c>
      <c r="BQ37" s="100" t="n">
        <f aca="false">-BQ36*Hipótesis!$F$34</f>
        <v>-10858.2343933232</v>
      </c>
      <c r="BR37" s="100" t="n">
        <f aca="false">-BR36*Hipótesis!$F$34</f>
        <v>-10858.2343933232</v>
      </c>
      <c r="BS37" s="100" t="n">
        <f aca="false">-BS36*Hipótesis!$F$34</f>
        <v>-10858.2343933232</v>
      </c>
      <c r="BT37" s="100" t="n">
        <f aca="false">-BT36*Hipótesis!$F$34</f>
        <v>-10858.2343933232</v>
      </c>
      <c r="BU37" s="100" t="n">
        <f aca="false">-BU36*Hipótesis!$F$34</f>
        <v>-10858.2343933232</v>
      </c>
      <c r="BV37" s="100" t="n">
        <f aca="false">-BV36*Hipótesis!$F$34</f>
        <v>-10858.2343933232</v>
      </c>
      <c r="BW37" s="100" t="n">
        <f aca="false">-BW36*Hipótesis!$F$34</f>
        <v>-10858.2343933232</v>
      </c>
      <c r="BX37" s="100" t="n">
        <f aca="false">-BX36*Hipótesis!$F$34</f>
        <v>-10858.2343933232</v>
      </c>
      <c r="BY37" s="100" t="n">
        <f aca="false">-BY36*Hipótesis!$F$34</f>
        <v>-10858.2343933232</v>
      </c>
      <c r="BZ37" s="100" t="n">
        <f aca="false">-BZ36*Hipótesis!$F$34</f>
        <v>-10858.2343933232</v>
      </c>
      <c r="CA37" s="100" t="n">
        <f aca="false">-CA36*Hipótesis!$F$34</f>
        <v>-10858.2343933232</v>
      </c>
      <c r="CB37" s="100" t="n">
        <f aca="false">-CB36*Hipótesis!$F$34</f>
        <v>-10858.2343933232</v>
      </c>
      <c r="CC37" s="100" t="n">
        <f aca="false">-CC36*Hipótesis!$F$34</f>
        <v>-10858.2343933232</v>
      </c>
      <c r="CD37" s="100" t="n">
        <f aca="false">-CD36*Hipótesis!$F$34</f>
        <v>-10858.2343933232</v>
      </c>
      <c r="CE37" s="100" t="n">
        <f aca="false">-CE36*Hipótesis!$F$34</f>
        <v>-10858.2343933232</v>
      </c>
      <c r="CF37" s="100" t="n">
        <f aca="false">-CF36*Hipótesis!$F$34</f>
        <v>-10858.2343933232</v>
      </c>
      <c r="CG37" s="100" t="n">
        <f aca="false">-CG36*Hipótesis!$F$34</f>
        <v>-10858.2343933232</v>
      </c>
      <c r="CH37" s="100" t="n">
        <f aca="false">-CH36*Hipótesis!$F$34</f>
        <v>-10858.2343933232</v>
      </c>
    </row>
    <row r="38" customFormat="false" ht="13.5" hidden="false" customHeight="true" outlineLevel="0" collapsed="false">
      <c r="A38" s="22" t="s">
        <v>515</v>
      </c>
      <c r="C38" s="100" t="n">
        <f aca="false">C36+C37</f>
        <v>1086.021</v>
      </c>
      <c r="D38" s="100" t="n">
        <f aca="false">D36+D37</f>
        <v>2256.606</v>
      </c>
      <c r="E38" s="100" t="n">
        <f aca="false">E36+E37</f>
        <v>4700.055375</v>
      </c>
      <c r="F38" s="100" t="n">
        <f aca="false">F36+F37</f>
        <v>6057.48375</v>
      </c>
      <c r="G38" s="100" t="n">
        <f aca="false">G36+G37</f>
        <v>7330.348125</v>
      </c>
      <c r="H38" s="100" t="n">
        <f aca="false">H36+H37</f>
        <v>9378.3825</v>
      </c>
      <c r="I38" s="100" t="n">
        <f aca="false">I36+I37</f>
        <v>13185.0629733308</v>
      </c>
      <c r="J38" s="100" t="n">
        <f aca="false">J36+J37</f>
        <v>16991.7434466616</v>
      </c>
      <c r="K38" s="100" t="n">
        <f aca="false">K36+K37</f>
        <v>20798.4239199924</v>
      </c>
      <c r="L38" s="100" t="n">
        <f aca="false">L36+L37</f>
        <v>24605.1043933232</v>
      </c>
      <c r="M38" s="100" t="n">
        <f aca="false">M36+M37</f>
        <v>27138.9204916541</v>
      </c>
      <c r="N38" s="100" t="n">
        <f aca="false">N36+N37</f>
        <v>30729.7865899849</v>
      </c>
      <c r="O38" s="100" t="n">
        <f aca="false">O36+O37</f>
        <v>34320.6526883157</v>
      </c>
      <c r="P38" s="100" t="n">
        <f aca="false">P36+P37</f>
        <v>37530.9807866465</v>
      </c>
      <c r="Q38" s="100" t="n">
        <f aca="false">Q36+Q37</f>
        <v>40741.3088849773</v>
      </c>
      <c r="R38" s="100" t="n">
        <f aca="false">R36+R37</f>
        <v>43951.6369833081</v>
      </c>
      <c r="S38" s="100" t="n">
        <f aca="false">S36+S37</f>
        <v>47161.9650816389</v>
      </c>
      <c r="T38" s="100" t="n">
        <f aca="false">T36+T37</f>
        <v>50372.2931799697</v>
      </c>
      <c r="U38" s="100" t="n">
        <f aca="false">U36+U37</f>
        <v>53582.6212783005</v>
      </c>
      <c r="V38" s="100" t="n">
        <f aca="false">V36+V37</f>
        <v>56792.9493766314</v>
      </c>
      <c r="W38" s="100" t="n">
        <f aca="false">W36+W37</f>
        <v>60003.2774749622</v>
      </c>
      <c r="X38" s="100" t="n">
        <f aca="false">X36+X37</f>
        <v>62156.555573293</v>
      </c>
      <c r="Y38" s="100" t="n">
        <f aca="false">Y36+Y37</f>
        <v>64309.8336716238</v>
      </c>
      <c r="Z38" s="100" t="n">
        <f aca="false">Z36+Z37</f>
        <v>66068.4797699546</v>
      </c>
      <c r="AA38" s="100" t="n">
        <f aca="false">AA36+AA37</f>
        <v>67827.1258682854</v>
      </c>
      <c r="AB38" s="100" t="n">
        <f aca="false">AB36+AB37</f>
        <v>69585.7719666162</v>
      </c>
      <c r="AC38" s="100" t="n">
        <f aca="false">AC36+AC37</f>
        <v>71344.418064947</v>
      </c>
      <c r="AD38" s="100" t="n">
        <f aca="false">AD36+AD37</f>
        <v>73103.0641632778</v>
      </c>
      <c r="AE38" s="100" t="n">
        <f aca="false">AE36+AE37</f>
        <v>74861.7102616087</v>
      </c>
      <c r="AF38" s="100" t="n">
        <f aca="false">AF36+AF37</f>
        <v>76620.3563599395</v>
      </c>
      <c r="AG38" s="100" t="n">
        <f aca="false">AG36+AG37</f>
        <v>78379.0024582703</v>
      </c>
      <c r="AH38" s="100" t="n">
        <f aca="false">AH36+AH37</f>
        <v>80137.6485566011</v>
      </c>
      <c r="AI38" s="100" t="n">
        <f aca="false">AI36+AI37</f>
        <v>81896.2946549319</v>
      </c>
      <c r="AJ38" s="100" t="n">
        <f aca="false">AJ36+AJ37</f>
        <v>83654.9407532627</v>
      </c>
      <c r="AK38" s="100" t="n">
        <f aca="false">AK36+AK37</f>
        <v>85413.5868515935</v>
      </c>
      <c r="AL38" s="100" t="n">
        <f aca="false">AL36+AL37</f>
        <v>87172.2329499243</v>
      </c>
      <c r="AM38" s="100" t="n">
        <f aca="false">AM36+AM37</f>
        <v>88930.8790482551</v>
      </c>
      <c r="AN38" s="100" t="n">
        <f aca="false">AN36+AN37</f>
        <v>90689.525146586</v>
      </c>
      <c r="AO38" s="100" t="n">
        <f aca="false">AO36+AO37</f>
        <v>92448.1712449168</v>
      </c>
      <c r="AP38" s="100" t="n">
        <f aca="false">AP36+AP37</f>
        <v>94206.8173432476</v>
      </c>
      <c r="AQ38" s="100" t="n">
        <f aca="false">AQ36+AQ37</f>
        <v>95965.4634415784</v>
      </c>
      <c r="AR38" s="100" t="n">
        <f aca="false">AR36+AR37</f>
        <v>97724.1095399092</v>
      </c>
      <c r="AS38" s="100" t="n">
        <f aca="false">AS36+AS37</f>
        <v>97724.1095399092</v>
      </c>
      <c r="AT38" s="100" t="n">
        <f aca="false">AT36+AT37</f>
        <v>97724.1095399092</v>
      </c>
      <c r="AU38" s="100" t="n">
        <f aca="false">AU36+AU37</f>
        <v>97724.1095399092</v>
      </c>
      <c r="AV38" s="100" t="n">
        <f aca="false">AV36+AV37</f>
        <v>97724.1095399092</v>
      </c>
      <c r="AW38" s="100" t="n">
        <f aca="false">AW36+AW37</f>
        <v>97724.1095399092</v>
      </c>
      <c r="AX38" s="100" t="n">
        <f aca="false">AX36+AX37</f>
        <v>97724.1095399092</v>
      </c>
      <c r="AY38" s="100" t="n">
        <f aca="false">AY36+AY37</f>
        <v>97724.1095399092</v>
      </c>
      <c r="AZ38" s="100" t="n">
        <f aca="false">AZ36+AZ37</f>
        <v>97724.1095399092</v>
      </c>
      <c r="BA38" s="100" t="n">
        <f aca="false">BA36+BA37</f>
        <v>97724.1095399092</v>
      </c>
      <c r="BB38" s="100" t="n">
        <f aca="false">BB36+BB37</f>
        <v>97724.1095399092</v>
      </c>
      <c r="BC38" s="100" t="n">
        <f aca="false">BC36+BC37</f>
        <v>97724.1095399092</v>
      </c>
      <c r="BD38" s="100" t="n">
        <f aca="false">BD36+BD37</f>
        <v>97724.1095399092</v>
      </c>
      <c r="BE38" s="100" t="n">
        <f aca="false">BE36+BE37</f>
        <v>97724.1095399092</v>
      </c>
      <c r="BF38" s="100" t="n">
        <f aca="false">BF36+BF37</f>
        <v>97724.1095399092</v>
      </c>
      <c r="BG38" s="100" t="n">
        <f aca="false">BG36+BG37</f>
        <v>97724.1095399092</v>
      </c>
      <c r="BH38" s="100" t="n">
        <f aca="false">BH36+BH37</f>
        <v>97724.1095399092</v>
      </c>
      <c r="BI38" s="100" t="n">
        <f aca="false">BI36+BI37</f>
        <v>97724.1095399092</v>
      </c>
      <c r="BJ38" s="100" t="n">
        <f aca="false">BJ36+BJ37</f>
        <v>97724.1095399092</v>
      </c>
      <c r="BK38" s="100" t="n">
        <f aca="false">BK36+BK37</f>
        <v>97724.1095399092</v>
      </c>
      <c r="BL38" s="100" t="n">
        <f aca="false">BL36+BL37</f>
        <v>97724.1095399092</v>
      </c>
      <c r="BM38" s="100" t="n">
        <f aca="false">BM36+BM37</f>
        <v>97724.1095399092</v>
      </c>
      <c r="BN38" s="100" t="n">
        <f aca="false">BN36+BN37</f>
        <v>97724.1095399092</v>
      </c>
      <c r="BO38" s="100" t="n">
        <f aca="false">BO36+BO37</f>
        <v>97724.1095399092</v>
      </c>
      <c r="BP38" s="100" t="n">
        <f aca="false">BP36+BP37</f>
        <v>97724.1095399092</v>
      </c>
      <c r="BQ38" s="100" t="n">
        <f aca="false">BQ36+BQ37</f>
        <v>97724.1095399092</v>
      </c>
      <c r="BR38" s="100" t="n">
        <f aca="false">BR36+BR37</f>
        <v>97724.1095399092</v>
      </c>
      <c r="BS38" s="100" t="n">
        <f aca="false">BS36+BS37</f>
        <v>97724.1095399092</v>
      </c>
      <c r="BT38" s="100" t="n">
        <f aca="false">BT36+BT37</f>
        <v>97724.1095399092</v>
      </c>
      <c r="BU38" s="100" t="n">
        <f aca="false">BU36+BU37</f>
        <v>97724.1095399092</v>
      </c>
      <c r="BV38" s="100" t="n">
        <f aca="false">BV36+BV37</f>
        <v>97724.1095399092</v>
      </c>
      <c r="BW38" s="100" t="n">
        <f aca="false">BW36+BW37</f>
        <v>97724.1095399092</v>
      </c>
      <c r="BX38" s="100" t="n">
        <f aca="false">BX36+BX37</f>
        <v>97724.1095399092</v>
      </c>
      <c r="BY38" s="100" t="n">
        <f aca="false">BY36+BY37</f>
        <v>97724.1095399092</v>
      </c>
      <c r="BZ38" s="100" t="n">
        <f aca="false">BZ36+BZ37</f>
        <v>97724.1095399092</v>
      </c>
      <c r="CA38" s="100" t="n">
        <f aca="false">CA36+CA37</f>
        <v>97724.1095399092</v>
      </c>
      <c r="CB38" s="100" t="n">
        <f aca="false">CB36+CB37</f>
        <v>97724.1095399092</v>
      </c>
      <c r="CC38" s="100" t="n">
        <f aca="false">CC36+CC37</f>
        <v>97724.1095399092</v>
      </c>
      <c r="CD38" s="100" t="n">
        <f aca="false">CD36+CD37</f>
        <v>97724.1095399092</v>
      </c>
      <c r="CE38" s="100" t="n">
        <f aca="false">CE36+CE37</f>
        <v>97724.1095399092</v>
      </c>
      <c r="CF38" s="100" t="n">
        <f aca="false">CF36+CF37</f>
        <v>97724.1095399092</v>
      </c>
      <c r="CG38" s="100" t="n">
        <f aca="false">CG36+CG37</f>
        <v>97724.1095399092</v>
      </c>
      <c r="CH38" s="100" t="n">
        <f aca="false">CH36+CH37</f>
        <v>97724.1095399092</v>
      </c>
    </row>
    <row r="39" customFormat="false" ht="13.5" hidden="false" customHeight="true" outlineLevel="0" collapsed="false">
      <c r="A39" s="6" t="s">
        <v>516</v>
      </c>
      <c r="C39" s="100" t="n">
        <f aca="false">-(C19*C21*Hipótesis!$F$18+C23*Hipótesis!$F$22)</f>
        <v>-92.7333</v>
      </c>
      <c r="D39" s="100" t="n">
        <f aca="false">-(D19*D21*Hipótesis!$F$18+D23*Hipótesis!$F$22)</f>
        <v>-199.4301</v>
      </c>
      <c r="E39" s="100" t="n">
        <f aca="false">-(E19*E21*Hipótesis!$F$18+E23*Hipótesis!$F$22)</f>
        <v>-492.310220758928</v>
      </c>
      <c r="F39" s="100" t="n">
        <f aca="false">-(F19*F21*Hipótesis!$F$18+F23*Hipótesis!$F$22)</f>
        <v>-692.457041517857</v>
      </c>
      <c r="G39" s="100" t="n">
        <f aca="false">-(G19*G21*Hipótesis!$F$18+G23*Hipótesis!$F$22)</f>
        <v>-878.640362276786</v>
      </c>
      <c r="H39" s="100" t="n">
        <f aca="false">-(H19*H21*Hipótesis!$F$18+H23*Hipótesis!$F$22)</f>
        <v>-1224.82212053571</v>
      </c>
      <c r="I39" s="100" t="n">
        <f aca="false">-(I19*I21*Hipótesis!$F$18+I23*Hipótesis!$F$22)</f>
        <v>-1857.98786611626</v>
      </c>
      <c r="J39" s="100" t="n">
        <f aca="false">-(J19*J21*Hipótesis!$F$18+J23*Hipótesis!$F$22)</f>
        <v>-2491.15361169682</v>
      </c>
      <c r="K39" s="100" t="n">
        <f aca="false">-(K19*K21*Hipótesis!$F$18+K23*Hipótesis!$F$22)</f>
        <v>-3124.31935727737</v>
      </c>
      <c r="L39" s="100" t="n">
        <f aca="false">-(L19*L21*Hipótesis!$F$18+L23*Hipótesis!$F$22)</f>
        <v>-3757.48510285792</v>
      </c>
      <c r="M39" s="100" t="n">
        <f aca="false">-(M19*M21*Hipótesis!$F$18+M23*Hipótesis!$F$22)</f>
        <v>-4204.46752767954</v>
      </c>
      <c r="N39" s="100" t="n">
        <f aca="false">-(N19*N21*Hipótesis!$F$18+N23*Hipótesis!$F$22)</f>
        <v>-4884.17495250116</v>
      </c>
      <c r="O39" s="100" t="n">
        <f aca="false">-(O19*O21*Hipótesis!$F$18+O23*Hipótesis!$F$22)</f>
        <v>-5563.88237732278</v>
      </c>
      <c r="P39" s="100" t="n">
        <f aca="false">-(P19*P21*Hipótesis!$F$18+P23*Hipótesis!$F$22)</f>
        <v>-6176.6813646444</v>
      </c>
      <c r="Q39" s="100" t="n">
        <f aca="false">-(Q19*Q21*Hipótesis!$F$18+Q23*Hipótesis!$F$22)</f>
        <v>-6789.48035196602</v>
      </c>
      <c r="R39" s="100" t="n">
        <f aca="false">-(R19*R21*Hipótesis!$F$18+R23*Hipótesis!$F$22)</f>
        <v>-7402.27933928765</v>
      </c>
      <c r="S39" s="100" t="n">
        <f aca="false">-(S19*S21*Hipótesis!$F$18+S23*Hipótesis!$F$22)</f>
        <v>-8015.07832660927</v>
      </c>
      <c r="T39" s="100" t="n">
        <f aca="false">-(T19*T21*Hipótesis!$F$18+T23*Hipótesis!$F$22)</f>
        <v>-8627.87731393089</v>
      </c>
      <c r="U39" s="100" t="n">
        <f aca="false">-(U19*U21*Hipótesis!$F$18+U23*Hipótesis!$F$22)</f>
        <v>-9240.67630125251</v>
      </c>
      <c r="V39" s="100" t="n">
        <f aca="false">-(V19*V21*Hipótesis!$F$18+V23*Hipótesis!$F$22)</f>
        <v>-9853.47528857413</v>
      </c>
      <c r="W39" s="100" t="n">
        <f aca="false">-(W19*W21*Hipótesis!$F$18+W23*Hipótesis!$F$22)</f>
        <v>-10466.2742758958</v>
      </c>
      <c r="X39" s="100" t="n">
        <f aca="false">-(X19*X21*Hipótesis!$F$18+X23*Hipótesis!$F$22)</f>
        <v>-10846.3482632174</v>
      </c>
      <c r="Y39" s="100" t="n">
        <f aca="false">-(Y19*Y21*Hipótesis!$F$18+Y23*Hipótesis!$F$22)</f>
        <v>-11226.422250539</v>
      </c>
      <c r="Z39" s="100" t="n">
        <f aca="false">-(Z19*Z21*Hipótesis!$F$18+Z23*Hipótesis!$F$22)</f>
        <v>-11513.4062378606</v>
      </c>
      <c r="AA39" s="100" t="n">
        <f aca="false">-(AA19*AA21*Hipótesis!$F$18+AA23*Hipótesis!$F$22)</f>
        <v>-11800.3902251822</v>
      </c>
      <c r="AB39" s="100" t="n">
        <f aca="false">-(AB19*AB21*Hipótesis!$F$18+AB23*Hipótesis!$F$22)</f>
        <v>-12087.3742125039</v>
      </c>
      <c r="AC39" s="100" t="n">
        <f aca="false">-(AC19*AC21*Hipótesis!$F$18+AC23*Hipótesis!$F$22)</f>
        <v>-12374.3581998255</v>
      </c>
      <c r="AD39" s="100" t="n">
        <f aca="false">-(AD19*AD21*Hipótesis!$F$18+AD23*Hipótesis!$F$22)</f>
        <v>-12661.3421871471</v>
      </c>
      <c r="AE39" s="100" t="n">
        <f aca="false">-(AE19*AE21*Hipótesis!$F$18+AE23*Hipótesis!$F$22)</f>
        <v>-12948.3261744687</v>
      </c>
      <c r="AF39" s="100" t="n">
        <f aca="false">-(AF19*AF21*Hipótesis!$F$18+AF23*Hipótesis!$F$22)</f>
        <v>-13235.3101617903</v>
      </c>
      <c r="AG39" s="100" t="n">
        <f aca="false">-(AG19*AG21*Hipótesis!$F$18+AG23*Hipótesis!$F$22)</f>
        <v>-13522.294149112</v>
      </c>
      <c r="AH39" s="100" t="n">
        <f aca="false">-(AH19*AH21*Hipótesis!$F$18+AH23*Hipótesis!$F$22)</f>
        <v>-13809.2781364336</v>
      </c>
      <c r="AI39" s="100" t="n">
        <f aca="false">-(AI19*AI21*Hipótesis!$F$18+AI23*Hipótesis!$F$22)</f>
        <v>-14096.2621237552</v>
      </c>
      <c r="AJ39" s="100" t="n">
        <f aca="false">-(AJ19*AJ21*Hipótesis!$F$18+AJ23*Hipótesis!$F$22)</f>
        <v>-14383.2461110768</v>
      </c>
      <c r="AK39" s="100" t="n">
        <f aca="false">-(AK19*AK21*Hipótesis!$F$18+AK23*Hipótesis!$F$22)</f>
        <v>-14670.2300983985</v>
      </c>
      <c r="AL39" s="100" t="n">
        <f aca="false">-(AL19*AL21*Hipótesis!$F$18+AL23*Hipótesis!$F$22)</f>
        <v>-14957.2140857201</v>
      </c>
      <c r="AM39" s="100" t="n">
        <f aca="false">-(AM19*AM21*Hipótesis!$F$18+AM23*Hipótesis!$F$22)</f>
        <v>-15244.1980730417</v>
      </c>
      <c r="AN39" s="100" t="n">
        <f aca="false">-(AN19*AN21*Hipótesis!$F$18+AN23*Hipótesis!$F$22)</f>
        <v>-15531.1820603633</v>
      </c>
      <c r="AO39" s="100" t="n">
        <f aca="false">-(AO19*AO21*Hipótesis!$F$18+AO23*Hipótesis!$F$22)</f>
        <v>-15818.1660476849</v>
      </c>
      <c r="AP39" s="100" t="n">
        <f aca="false">-(AP19*AP21*Hipótesis!$F$18+AP23*Hipótesis!$F$22)</f>
        <v>-16105.1500350066</v>
      </c>
      <c r="AQ39" s="100" t="n">
        <f aca="false">-(AQ19*AQ21*Hipótesis!$F$18+AQ23*Hipótesis!$F$22)</f>
        <v>-16392.1340223282</v>
      </c>
      <c r="AR39" s="100" t="n">
        <f aca="false">-(AR19*AR21*Hipótesis!$F$18+AR23*Hipótesis!$F$22)</f>
        <v>-16679.1180096498</v>
      </c>
      <c r="AS39" s="100" t="n">
        <f aca="false">-(AS19*AS21*Hipótesis!$F$18+AS23*Hipótesis!$F$22)</f>
        <v>-16679.1180096498</v>
      </c>
      <c r="AT39" s="100" t="n">
        <f aca="false">-(AT19*AT21*Hipótesis!$F$18+AT23*Hipótesis!$F$22)</f>
        <v>-16679.1180096498</v>
      </c>
      <c r="AU39" s="100" t="n">
        <f aca="false">-(AU19*AU21*Hipótesis!$F$18+AU23*Hipótesis!$F$22)</f>
        <v>-16679.1180096498</v>
      </c>
      <c r="AV39" s="100" t="n">
        <f aca="false">-(AV19*AV21*Hipótesis!$F$18+AV23*Hipótesis!$F$22)</f>
        <v>-16679.1180096498</v>
      </c>
      <c r="AW39" s="100" t="n">
        <f aca="false">-(AW19*AW21*Hipótesis!$F$18+AW23*Hipótesis!$F$22)</f>
        <v>-16679.1180096498</v>
      </c>
      <c r="AX39" s="100" t="n">
        <f aca="false">-(AX19*AX21*Hipótesis!$F$18+AX23*Hipótesis!$F$22)</f>
        <v>-16679.1180096498</v>
      </c>
      <c r="AY39" s="100" t="n">
        <f aca="false">-(AY19*AY21*Hipótesis!$F$18+AY23*Hipótesis!$F$22)</f>
        <v>-16679.1180096498</v>
      </c>
      <c r="AZ39" s="100" t="n">
        <f aca="false">-(AZ19*AZ21*Hipótesis!$F$18+AZ23*Hipótesis!$F$22)</f>
        <v>-16679.1180096498</v>
      </c>
      <c r="BA39" s="100" t="n">
        <f aca="false">-(BA19*BA21*Hipótesis!$F$18+BA23*Hipótesis!$F$22)</f>
        <v>-16679.1180096498</v>
      </c>
      <c r="BB39" s="100" t="n">
        <f aca="false">-(BB19*BB21*Hipótesis!$F$18+BB23*Hipótesis!$F$22)</f>
        <v>-16679.1180096498</v>
      </c>
      <c r="BC39" s="100" t="n">
        <f aca="false">-(BC19*BC21*Hipótesis!$F$18+BC23*Hipótesis!$F$22)</f>
        <v>-16679.1180096498</v>
      </c>
      <c r="BD39" s="100" t="n">
        <f aca="false">-(BD19*BD21*Hipótesis!$F$18+BD23*Hipótesis!$F$22)</f>
        <v>-16679.1180096498</v>
      </c>
      <c r="BE39" s="100" t="n">
        <f aca="false">-(BE19*BE21*Hipótesis!$F$18+BE23*Hipótesis!$F$22)</f>
        <v>-16679.1180096498</v>
      </c>
      <c r="BF39" s="100" t="n">
        <f aca="false">-(BF19*BF21*Hipótesis!$F$18+BF23*Hipótesis!$F$22)</f>
        <v>-16679.1180096498</v>
      </c>
      <c r="BG39" s="100" t="n">
        <f aca="false">-(BG19*BG21*Hipótesis!$F$18+BG23*Hipótesis!$F$22)</f>
        <v>-16679.1180096498</v>
      </c>
      <c r="BH39" s="100" t="n">
        <f aca="false">-(BH19*BH21*Hipótesis!$F$18+BH23*Hipótesis!$F$22)</f>
        <v>-16679.1180096498</v>
      </c>
      <c r="BI39" s="100" t="n">
        <f aca="false">-(BI19*BI21*Hipótesis!$F$18+BI23*Hipótesis!$F$22)</f>
        <v>-16679.1180096498</v>
      </c>
      <c r="BJ39" s="100" t="n">
        <f aca="false">-(BJ19*BJ21*Hipótesis!$F$18+BJ23*Hipótesis!$F$22)</f>
        <v>-16679.1180096498</v>
      </c>
      <c r="BK39" s="100" t="n">
        <f aca="false">-(BK19*BK21*Hipótesis!$F$18+BK23*Hipótesis!$F$22)</f>
        <v>-16679.1180096498</v>
      </c>
      <c r="BL39" s="100" t="n">
        <f aca="false">-(BL19*BL21*Hipótesis!$F$18+BL23*Hipótesis!$F$22)</f>
        <v>-16679.1180096498</v>
      </c>
      <c r="BM39" s="100" t="n">
        <f aca="false">-(BM19*BM21*Hipótesis!$F$18+BM23*Hipótesis!$F$22)</f>
        <v>-16679.1180096498</v>
      </c>
      <c r="BN39" s="100" t="n">
        <f aca="false">-(BN19*BN21*Hipótesis!$F$18+BN23*Hipótesis!$F$22)</f>
        <v>-16679.1180096498</v>
      </c>
      <c r="BO39" s="100" t="n">
        <f aca="false">-(BO19*BO21*Hipótesis!$F$18+BO23*Hipótesis!$F$22)</f>
        <v>-16679.1180096498</v>
      </c>
      <c r="BP39" s="100" t="n">
        <f aca="false">-(BP19*BP21*Hipótesis!$F$18+BP23*Hipótesis!$F$22)</f>
        <v>-16679.1180096498</v>
      </c>
      <c r="BQ39" s="100" t="n">
        <f aca="false">-(BQ19*BQ21*Hipótesis!$F$18+BQ23*Hipótesis!$F$22)</f>
        <v>-16679.1180096498</v>
      </c>
      <c r="BR39" s="100" t="n">
        <f aca="false">-(BR19*BR21*Hipótesis!$F$18+BR23*Hipótesis!$F$22)</f>
        <v>-16679.1180096498</v>
      </c>
      <c r="BS39" s="100" t="n">
        <f aca="false">-(BS19*BS21*Hipótesis!$F$18+BS23*Hipótesis!$F$22)</f>
        <v>-16679.1180096498</v>
      </c>
      <c r="BT39" s="100" t="n">
        <f aca="false">-(BT19*BT21*Hipótesis!$F$18+BT23*Hipótesis!$F$22)</f>
        <v>-16679.1180096498</v>
      </c>
      <c r="BU39" s="100" t="n">
        <f aca="false">-(BU19*BU21*Hipótesis!$F$18+BU23*Hipótesis!$F$22)</f>
        <v>-16679.1180096498</v>
      </c>
      <c r="BV39" s="100" t="n">
        <f aca="false">-(BV19*BV21*Hipótesis!$F$18+BV23*Hipótesis!$F$22)</f>
        <v>-16679.1180096498</v>
      </c>
      <c r="BW39" s="100" t="n">
        <f aca="false">-(BW19*BW21*Hipótesis!$F$18+BW23*Hipótesis!$F$22)</f>
        <v>-16679.1180096498</v>
      </c>
      <c r="BX39" s="100" t="n">
        <f aca="false">-(BX19*BX21*Hipótesis!$F$18+BX23*Hipótesis!$F$22)</f>
        <v>-16679.1180096498</v>
      </c>
      <c r="BY39" s="100" t="n">
        <f aca="false">-(BY19*BY21*Hipótesis!$F$18+BY23*Hipótesis!$F$22)</f>
        <v>-16679.1180096498</v>
      </c>
      <c r="BZ39" s="100" t="n">
        <f aca="false">-(BZ19*BZ21*Hipótesis!$F$18+BZ23*Hipótesis!$F$22)</f>
        <v>-16679.1180096498</v>
      </c>
      <c r="CA39" s="100" t="n">
        <f aca="false">-(CA19*CA21*Hipótesis!$F$18+CA23*Hipótesis!$F$22)</f>
        <v>-16679.1180096498</v>
      </c>
      <c r="CB39" s="100" t="n">
        <f aca="false">-(CB19*CB21*Hipótesis!$F$18+CB23*Hipótesis!$F$22)</f>
        <v>-16679.1180096498</v>
      </c>
      <c r="CC39" s="100" t="n">
        <f aca="false">-(CC19*CC21*Hipótesis!$F$18+CC23*Hipótesis!$F$22)</f>
        <v>-16679.1180096498</v>
      </c>
      <c r="CD39" s="100" t="n">
        <f aca="false">-(CD19*CD21*Hipótesis!$F$18+CD23*Hipótesis!$F$22)</f>
        <v>-16679.1180096498</v>
      </c>
      <c r="CE39" s="100" t="n">
        <f aca="false">-(CE19*CE21*Hipótesis!$F$18+CE23*Hipótesis!$F$22)</f>
        <v>-16679.1180096498</v>
      </c>
      <c r="CF39" s="100" t="n">
        <f aca="false">-(CF19*CF21*Hipótesis!$F$18+CF23*Hipótesis!$F$22)</f>
        <v>-16679.1180096498</v>
      </c>
      <c r="CG39" s="100" t="n">
        <f aca="false">-(CG19*CG21*Hipótesis!$F$18+CG23*Hipótesis!$F$22)</f>
        <v>-16679.1180096498</v>
      </c>
      <c r="CH39" s="100" t="n">
        <f aca="false">-(CH19*CH21*Hipótesis!$F$18+CH23*Hipótesis!$F$22)</f>
        <v>-16679.1180096498</v>
      </c>
    </row>
    <row r="40" customFormat="false" ht="13.5" hidden="false" customHeight="true" outlineLevel="0" collapsed="false">
      <c r="A40" s="46" t="s">
        <v>517</v>
      </c>
      <c r="C40" s="63" t="n">
        <f aca="false">C38+C39</f>
        <v>993.2877</v>
      </c>
      <c r="D40" s="63" t="n">
        <f aca="false">D38+D39</f>
        <v>2057.1759</v>
      </c>
      <c r="E40" s="63" t="n">
        <f aca="false">E38+E39</f>
        <v>4207.74515424107</v>
      </c>
      <c r="F40" s="63" t="n">
        <f aca="false">F38+F39</f>
        <v>5365.02670848214</v>
      </c>
      <c r="G40" s="63" t="n">
        <f aca="false">G38+G39</f>
        <v>6451.70776272321</v>
      </c>
      <c r="H40" s="63" t="n">
        <f aca="false">H38+H39</f>
        <v>8153.56037946429</v>
      </c>
      <c r="I40" s="63" t="n">
        <f aca="false">I38+I39</f>
        <v>11327.0751072145</v>
      </c>
      <c r="J40" s="63" t="n">
        <f aca="false">J38+J39</f>
        <v>14500.5898349648</v>
      </c>
      <c r="K40" s="63" t="n">
        <f aca="false">K38+K39</f>
        <v>17674.1045627151</v>
      </c>
      <c r="L40" s="63" t="n">
        <f aca="false">L38+L39</f>
        <v>20847.6192904653</v>
      </c>
      <c r="M40" s="63" t="n">
        <f aca="false">M38+M39</f>
        <v>22934.4529639745</v>
      </c>
      <c r="N40" s="63" t="n">
        <f aca="false">N38+N39</f>
        <v>25845.6116374837</v>
      </c>
      <c r="O40" s="63" t="n">
        <f aca="false">O38+O39</f>
        <v>28756.7703109929</v>
      </c>
      <c r="P40" s="63" t="n">
        <f aca="false">P38+P39</f>
        <v>31354.2994220021</v>
      </c>
      <c r="Q40" s="63" t="n">
        <f aca="false">Q38+Q39</f>
        <v>33951.8285330113</v>
      </c>
      <c r="R40" s="63" t="n">
        <f aca="false">R38+R39</f>
        <v>36549.3576440205</v>
      </c>
      <c r="S40" s="63" t="n">
        <f aca="false">S38+S39</f>
        <v>39146.8867550297</v>
      </c>
      <c r="T40" s="63" t="n">
        <f aca="false">T38+T39</f>
        <v>41744.4158660388</v>
      </c>
      <c r="U40" s="63" t="n">
        <f aca="false">U38+U39</f>
        <v>44341.944977048</v>
      </c>
      <c r="V40" s="63" t="n">
        <f aca="false">V38+V39</f>
        <v>46939.4740880572</v>
      </c>
      <c r="W40" s="63" t="n">
        <f aca="false">W38+W39</f>
        <v>49537.0031990664</v>
      </c>
      <c r="X40" s="63" t="n">
        <f aca="false">X38+X39</f>
        <v>51310.2073100756</v>
      </c>
      <c r="Y40" s="63" t="n">
        <f aca="false">Y38+Y39</f>
        <v>53083.4114210848</v>
      </c>
      <c r="Z40" s="63" t="n">
        <f aca="false">Z38+Z39</f>
        <v>54555.073532094</v>
      </c>
      <c r="AA40" s="63" t="n">
        <f aca="false">AA38+AA39</f>
        <v>56026.7356431032</v>
      </c>
      <c r="AB40" s="63" t="n">
        <f aca="false">AB38+AB39</f>
        <v>57498.3977541124</v>
      </c>
      <c r="AC40" s="63" t="n">
        <f aca="false">AC38+AC39</f>
        <v>58970.0598651216</v>
      </c>
      <c r="AD40" s="63" t="n">
        <f aca="false">AD38+AD39</f>
        <v>60441.7219761307</v>
      </c>
      <c r="AE40" s="63" t="n">
        <f aca="false">AE38+AE39</f>
        <v>61913.3840871399</v>
      </c>
      <c r="AF40" s="63" t="n">
        <f aca="false">AF38+AF39</f>
        <v>63385.0461981491</v>
      </c>
      <c r="AG40" s="63" t="n">
        <f aca="false">AG38+AG39</f>
        <v>64856.7083091583</v>
      </c>
      <c r="AH40" s="63" t="n">
        <f aca="false">AH38+AH39</f>
        <v>66328.3704201675</v>
      </c>
      <c r="AI40" s="63" t="n">
        <f aca="false">AI38+AI39</f>
        <v>67800.0325311767</v>
      </c>
      <c r="AJ40" s="63" t="n">
        <f aca="false">AJ38+AJ39</f>
        <v>69271.6946421859</v>
      </c>
      <c r="AK40" s="63" t="n">
        <f aca="false">AK38+AK39</f>
        <v>70743.3567531951</v>
      </c>
      <c r="AL40" s="63" t="n">
        <f aca="false">AL38+AL39</f>
        <v>72215.0188642043</v>
      </c>
      <c r="AM40" s="63" t="n">
        <f aca="false">AM38+AM39</f>
        <v>73686.6809752134</v>
      </c>
      <c r="AN40" s="63" t="n">
        <f aca="false">AN38+AN39</f>
        <v>75158.3430862226</v>
      </c>
      <c r="AO40" s="63" t="n">
        <f aca="false">AO38+AO39</f>
        <v>76630.0051972318</v>
      </c>
      <c r="AP40" s="63" t="n">
        <f aca="false">AP38+AP39</f>
        <v>78101.667308241</v>
      </c>
      <c r="AQ40" s="63" t="n">
        <f aca="false">AQ38+AQ39</f>
        <v>79573.3294192502</v>
      </c>
      <c r="AR40" s="63" t="n">
        <f aca="false">AR38+AR39</f>
        <v>81044.9915302594</v>
      </c>
      <c r="AS40" s="63" t="n">
        <f aca="false">AS38+AS39</f>
        <v>81044.9915302594</v>
      </c>
      <c r="AT40" s="63" t="n">
        <f aca="false">AT38+AT39</f>
        <v>81044.9915302594</v>
      </c>
      <c r="AU40" s="63" t="n">
        <f aca="false">AU38+AU39</f>
        <v>81044.9915302594</v>
      </c>
      <c r="AV40" s="63" t="n">
        <f aca="false">AV38+AV39</f>
        <v>81044.9915302594</v>
      </c>
      <c r="AW40" s="63" t="n">
        <f aca="false">AW38+AW39</f>
        <v>81044.9915302594</v>
      </c>
      <c r="AX40" s="63" t="n">
        <f aca="false">AX38+AX39</f>
        <v>81044.9915302594</v>
      </c>
      <c r="AY40" s="63" t="n">
        <f aca="false">AY38+AY39</f>
        <v>81044.9915302594</v>
      </c>
      <c r="AZ40" s="63" t="n">
        <f aca="false">AZ38+AZ39</f>
        <v>81044.9915302594</v>
      </c>
      <c r="BA40" s="63" t="n">
        <f aca="false">BA38+BA39</f>
        <v>81044.9915302594</v>
      </c>
      <c r="BB40" s="63" t="n">
        <f aca="false">BB38+BB39</f>
        <v>81044.9915302594</v>
      </c>
      <c r="BC40" s="63" t="n">
        <f aca="false">BC38+BC39</f>
        <v>81044.9915302594</v>
      </c>
      <c r="BD40" s="63" t="n">
        <f aca="false">BD38+BD39</f>
        <v>81044.9915302594</v>
      </c>
      <c r="BE40" s="63" t="n">
        <f aca="false">BE38+BE39</f>
        <v>81044.9915302594</v>
      </c>
      <c r="BF40" s="63" t="n">
        <f aca="false">BF38+BF39</f>
        <v>81044.9915302594</v>
      </c>
      <c r="BG40" s="63" t="n">
        <f aca="false">BG38+BG39</f>
        <v>81044.9915302594</v>
      </c>
      <c r="BH40" s="63" t="n">
        <f aca="false">BH38+BH39</f>
        <v>81044.9915302594</v>
      </c>
      <c r="BI40" s="63" t="n">
        <f aca="false">BI38+BI39</f>
        <v>81044.9915302594</v>
      </c>
      <c r="BJ40" s="63" t="n">
        <f aca="false">BJ38+BJ39</f>
        <v>81044.9915302594</v>
      </c>
      <c r="BK40" s="63" t="n">
        <f aca="false">BK38+BK39</f>
        <v>81044.9915302594</v>
      </c>
      <c r="BL40" s="63" t="n">
        <f aca="false">BL38+BL39</f>
        <v>81044.9915302594</v>
      </c>
      <c r="BM40" s="63" t="n">
        <f aca="false">BM38+BM39</f>
        <v>81044.9915302594</v>
      </c>
      <c r="BN40" s="63" t="n">
        <f aca="false">BN38+BN39</f>
        <v>81044.9915302594</v>
      </c>
      <c r="BO40" s="63" t="n">
        <f aca="false">BO38+BO39</f>
        <v>81044.9915302594</v>
      </c>
      <c r="BP40" s="63" t="n">
        <f aca="false">BP38+BP39</f>
        <v>81044.9915302594</v>
      </c>
      <c r="BQ40" s="63" t="n">
        <f aca="false">BQ38+BQ39</f>
        <v>81044.9915302594</v>
      </c>
      <c r="BR40" s="63" t="n">
        <f aca="false">BR38+BR39</f>
        <v>81044.9915302594</v>
      </c>
      <c r="BS40" s="63" t="n">
        <f aca="false">BS38+BS39</f>
        <v>81044.9915302594</v>
      </c>
      <c r="BT40" s="63" t="n">
        <f aca="false">BT38+BT39</f>
        <v>81044.9915302594</v>
      </c>
      <c r="BU40" s="63" t="n">
        <f aca="false">BU38+BU39</f>
        <v>81044.9915302594</v>
      </c>
      <c r="BV40" s="63" t="n">
        <f aca="false">BV38+BV39</f>
        <v>81044.9915302594</v>
      </c>
      <c r="BW40" s="63" t="n">
        <f aca="false">BW38+BW39</f>
        <v>81044.9915302594</v>
      </c>
      <c r="BX40" s="63" t="n">
        <f aca="false">BX38+BX39</f>
        <v>81044.9915302594</v>
      </c>
      <c r="BY40" s="63" t="n">
        <f aca="false">BY38+BY39</f>
        <v>81044.9915302594</v>
      </c>
      <c r="BZ40" s="63" t="n">
        <f aca="false">BZ38+BZ39</f>
        <v>81044.9915302594</v>
      </c>
      <c r="CA40" s="63" t="n">
        <f aca="false">CA38+CA39</f>
        <v>81044.9915302594</v>
      </c>
      <c r="CB40" s="63" t="n">
        <f aca="false">CB38+CB39</f>
        <v>81044.9915302594</v>
      </c>
      <c r="CC40" s="63" t="n">
        <f aca="false">CC38+CC39</f>
        <v>81044.9915302594</v>
      </c>
      <c r="CD40" s="63" t="n">
        <f aca="false">CD38+CD39</f>
        <v>81044.9915302594</v>
      </c>
      <c r="CE40" s="63" t="n">
        <f aca="false">CE38+CE39</f>
        <v>81044.9915302594</v>
      </c>
      <c r="CF40" s="63" t="n">
        <f aca="false">CF38+CF39</f>
        <v>81044.9915302594</v>
      </c>
      <c r="CG40" s="63" t="n">
        <f aca="false">CG38+CG39</f>
        <v>81044.9915302594</v>
      </c>
      <c r="CH40" s="63" t="n">
        <f aca="false">CH38+CH39</f>
        <v>81044.9915302594</v>
      </c>
    </row>
    <row r="41" customFormat="false" ht="13.5" hidden="false" customHeight="true" outlineLevel="0" collapsed="false">
      <c r="A41" s="6" t="s">
        <v>518</v>
      </c>
      <c r="C41" s="110" t="n">
        <f aca="false">IFERROR(C40/C38,0)</f>
        <v>0.914611872146119</v>
      </c>
      <c r="D41" s="110" t="n">
        <f aca="false">IFERROR(D40/D38,0)</f>
        <v>0.911623872310895</v>
      </c>
      <c r="E41" s="110" t="n">
        <f aca="false">IFERROR(E40/E38,0)</f>
        <v>0.895254378623374</v>
      </c>
      <c r="F41" s="110" t="n">
        <f aca="false">IFERROR(F40/F38,0)</f>
        <v>0.885685695563301</v>
      </c>
      <c r="G41" s="110" t="n">
        <f aca="false">IFERROR(G40/G38,0)</f>
        <v>0.880136611891569</v>
      </c>
      <c r="H41" s="110" t="n">
        <f aca="false">IFERROR(H40/H38,0)</f>
        <v>0.869399427829296</v>
      </c>
      <c r="I41" s="110" t="n">
        <f aca="false">IFERROR(I40/I38,0)</f>
        <v>0.859083883795293</v>
      </c>
      <c r="J41" s="110" t="n">
        <f aca="false">IFERROR(J40/J38,0)</f>
        <v>0.853390346934278</v>
      </c>
      <c r="K41" s="110" t="n">
        <f aca="false">IFERROR(K40/K38,0)</f>
        <v>0.849780956033206</v>
      </c>
      <c r="L41" s="110" t="n">
        <f aca="false">IFERROR(L40/L38,0)</f>
        <v>0.847288390132678</v>
      </c>
      <c r="M41" s="110" t="n">
        <f aca="false">IFERROR(M40/M38,0)</f>
        <v>0.845076095455878</v>
      </c>
      <c r="N41" s="110" t="n">
        <f aca="false">IFERROR(N40/N38,0)</f>
        <v>0.841060563886475</v>
      </c>
      <c r="O41" s="110" t="n">
        <f aca="false">IFERROR(O40/O38,0)</f>
        <v>0.837885298165761</v>
      </c>
      <c r="P41" s="110" t="n">
        <f aca="false">IFERROR(P40/P38,0)</f>
        <v>0.83542446173317</v>
      </c>
      <c r="Q41" s="110" t="n">
        <f aca="false">IFERROR(Q40/Q38,0)</f>
        <v>0.833351442607443</v>
      </c>
      <c r="R41" s="110" t="n">
        <f aca="false">IFERROR(R40/R38,0)</f>
        <v>0.831581259599071</v>
      </c>
      <c r="S41" s="110" t="n">
        <f aca="false">IFERROR(S40/S38,0)</f>
        <v>0.830052070291496</v>
      </c>
      <c r="T41" s="110" t="n">
        <f aca="false">IFERROR(T40/T38,0)</f>
        <v>0.82871779763718</v>
      </c>
      <c r="U41" s="110" t="n">
        <f aca="false">IFERROR(U40/U38,0)</f>
        <v>0.827543407157001</v>
      </c>
      <c r="V41" s="110" t="n">
        <f aca="false">IFERROR(V40/V38,0)</f>
        <v>0.826501785930693</v>
      </c>
      <c r="W41" s="110" t="n">
        <f aca="false">IFERROR(W40/W38,0)</f>
        <v>0.825571623479017</v>
      </c>
      <c r="X41" s="110" t="n">
        <f aca="false">IFERROR(X40/X38,0)</f>
        <v>0.825499528357428</v>
      </c>
      <c r="Y41" s="110" t="n">
        <f aca="false">IFERROR(Y40/Y38,0)</f>
        <v>0.825432261139674</v>
      </c>
      <c r="Z41" s="110" t="n">
        <f aca="false">IFERROR(Z40/Z38,0)</f>
        <v>0.825735263200403</v>
      </c>
      <c r="AA41" s="110" t="n">
        <f aca="false">IFERROR(AA40/AA38,0)</f>
        <v>0.826022552568458</v>
      </c>
      <c r="AB41" s="110" t="n">
        <f aca="false">IFERROR(AB40/AB38,0)</f>
        <v>0.826295320567791</v>
      </c>
      <c r="AC41" s="110" t="n">
        <f aca="false">IFERROR(AC40/AC38,0)</f>
        <v>0.826554641057402</v>
      </c>
      <c r="AD41" s="110" t="n">
        <f aca="false">IFERROR(AD40/AD38,0)</f>
        <v>0.826801484560652</v>
      </c>
      <c r="AE41" s="110" t="n">
        <f aca="false">IFERROR(AE40/AE38,0)</f>
        <v>0.827036730403032</v>
      </c>
      <c r="AF41" s="110" t="n">
        <f aca="false">IFERROR(AF40/AF38,0)</f>
        <v>0.827261177178362</v>
      </c>
      <c r="AG41" s="110" t="n">
        <f aca="false">IFERROR(AG40/AG38,0)</f>
        <v>0.827475551805965</v>
      </c>
      <c r="AH41" s="110" t="n">
        <f aca="false">IFERROR(AH40/AH38,0)</f>
        <v>0.827680517395265</v>
      </c>
      <c r="AI41" s="110" t="n">
        <f aca="false">IFERROR(AI40/AI38,0)</f>
        <v>0.827876680097073</v>
      </c>
      <c r="AJ41" s="110" t="n">
        <f aca="false">IFERROR(AJ40/AJ38,0)</f>
        <v>0.828064595090687</v>
      </c>
      <c r="AK41" s="110" t="n">
        <f aca="false">IFERROR(AK40/AK38,0)</f>
        <v>0.828244771831348</v>
      </c>
      <c r="AL41" s="110" t="n">
        <f aca="false">IFERROR(AL40/AL38,0)</f>
        <v>0.828417678662514</v>
      </c>
      <c r="AM41" s="110" t="n">
        <f aca="false">IFERROR(AM40/AM38,0)</f>
        <v>0.828583746880878</v>
      </c>
      <c r="AN41" s="110" t="n">
        <f aca="false">IFERROR(AN40/AN38,0)</f>
        <v>0.828743374328408</v>
      </c>
      <c r="AO41" s="110" t="n">
        <f aca="false">IFERROR(AO40/AO38,0)</f>
        <v>0.828896928574402</v>
      </c>
      <c r="AP41" s="110" t="n">
        <f aca="false">IFERROR(AP40/AP38,0)</f>
        <v>0.82904474974113</v>
      </c>
      <c r="AQ41" s="110" t="n">
        <f aca="false">IFERROR(AQ40/AQ38,0)</f>
        <v>0.82918715301878</v>
      </c>
      <c r="AR41" s="110" t="n">
        <f aca="false">IFERROR(AR40/AR38,0)</f>
        <v>0.829324430908851</v>
      </c>
      <c r="AS41" s="110" t="n">
        <f aca="false">IFERROR(AS40/AS38,0)</f>
        <v>0.829324430908851</v>
      </c>
      <c r="AT41" s="110" t="n">
        <f aca="false">IFERROR(AT40/AT38,0)</f>
        <v>0.829324430908851</v>
      </c>
      <c r="AU41" s="110" t="n">
        <f aca="false">IFERROR(AU40/AU38,0)</f>
        <v>0.829324430908851</v>
      </c>
      <c r="AV41" s="110" t="n">
        <f aca="false">IFERROR(AV40/AV38,0)</f>
        <v>0.829324430908851</v>
      </c>
      <c r="AW41" s="110" t="n">
        <f aca="false">IFERROR(AW40/AW38,0)</f>
        <v>0.829324430908851</v>
      </c>
      <c r="AX41" s="110" t="n">
        <f aca="false">IFERROR(AX40/AX38,0)</f>
        <v>0.829324430908851</v>
      </c>
      <c r="AY41" s="110" t="n">
        <f aca="false">IFERROR(AY40/AY38,0)</f>
        <v>0.829324430908851</v>
      </c>
      <c r="AZ41" s="110" t="n">
        <f aca="false">IFERROR(AZ40/AZ38,0)</f>
        <v>0.829324430908851</v>
      </c>
      <c r="BA41" s="110" t="n">
        <f aca="false">IFERROR(BA40/BA38,0)</f>
        <v>0.829324430908851</v>
      </c>
      <c r="BB41" s="110" t="n">
        <f aca="false">IFERROR(BB40/BB38,0)</f>
        <v>0.829324430908851</v>
      </c>
      <c r="BC41" s="110" t="n">
        <f aca="false">IFERROR(BC40/BC38,0)</f>
        <v>0.829324430908851</v>
      </c>
      <c r="BD41" s="110" t="n">
        <f aca="false">IFERROR(BD40/BD38,0)</f>
        <v>0.829324430908851</v>
      </c>
      <c r="BE41" s="110" t="n">
        <f aca="false">IFERROR(BE40/BE38,0)</f>
        <v>0.829324430908851</v>
      </c>
      <c r="BF41" s="110" t="n">
        <f aca="false">IFERROR(BF40/BF38,0)</f>
        <v>0.829324430908851</v>
      </c>
      <c r="BG41" s="110" t="n">
        <f aca="false">IFERROR(BG40/BG38,0)</f>
        <v>0.829324430908851</v>
      </c>
      <c r="BH41" s="110" t="n">
        <f aca="false">IFERROR(BH40/BH38,0)</f>
        <v>0.829324430908851</v>
      </c>
      <c r="BI41" s="110" t="n">
        <f aca="false">IFERROR(BI40/BI38,0)</f>
        <v>0.829324430908851</v>
      </c>
      <c r="BJ41" s="110" t="n">
        <f aca="false">IFERROR(BJ40/BJ38,0)</f>
        <v>0.829324430908851</v>
      </c>
      <c r="BK41" s="110" t="n">
        <f aca="false">IFERROR(BK40/BK38,0)</f>
        <v>0.829324430908851</v>
      </c>
      <c r="BL41" s="110" t="n">
        <f aca="false">IFERROR(BL40/BL38,0)</f>
        <v>0.829324430908851</v>
      </c>
      <c r="BM41" s="110" t="n">
        <f aca="false">IFERROR(BM40/BM38,0)</f>
        <v>0.829324430908851</v>
      </c>
      <c r="BN41" s="110" t="n">
        <f aca="false">IFERROR(BN40/BN38,0)</f>
        <v>0.829324430908851</v>
      </c>
      <c r="BO41" s="110" t="n">
        <f aca="false">IFERROR(BO40/BO38,0)</f>
        <v>0.829324430908851</v>
      </c>
      <c r="BP41" s="110" t="n">
        <f aca="false">IFERROR(BP40/BP38,0)</f>
        <v>0.829324430908851</v>
      </c>
      <c r="BQ41" s="110" t="n">
        <f aca="false">IFERROR(BQ40/BQ38,0)</f>
        <v>0.829324430908851</v>
      </c>
      <c r="BR41" s="110" t="n">
        <f aca="false">IFERROR(BR40/BR38,0)</f>
        <v>0.829324430908851</v>
      </c>
      <c r="BS41" s="110" t="n">
        <f aca="false">IFERROR(BS40/BS38,0)</f>
        <v>0.829324430908851</v>
      </c>
      <c r="BT41" s="110" t="n">
        <f aca="false">IFERROR(BT40/BT38,0)</f>
        <v>0.829324430908851</v>
      </c>
      <c r="BU41" s="110" t="n">
        <f aca="false">IFERROR(BU40/BU38,0)</f>
        <v>0.829324430908851</v>
      </c>
      <c r="BV41" s="110" t="n">
        <f aca="false">IFERROR(BV40/BV38,0)</f>
        <v>0.829324430908851</v>
      </c>
      <c r="BW41" s="110" t="n">
        <f aca="false">IFERROR(BW40/BW38,0)</f>
        <v>0.829324430908851</v>
      </c>
      <c r="BX41" s="110" t="n">
        <f aca="false">IFERROR(BX40/BX38,0)</f>
        <v>0.829324430908851</v>
      </c>
      <c r="BY41" s="110" t="n">
        <f aca="false">IFERROR(BY40/BY38,0)</f>
        <v>0.829324430908851</v>
      </c>
      <c r="BZ41" s="110" t="n">
        <f aca="false">IFERROR(BZ40/BZ38,0)</f>
        <v>0.829324430908851</v>
      </c>
      <c r="CA41" s="110" t="n">
        <f aca="false">IFERROR(CA40/CA38,0)</f>
        <v>0.829324430908851</v>
      </c>
      <c r="CB41" s="110" t="n">
        <f aca="false">IFERROR(CB40/CB38,0)</f>
        <v>0.829324430908851</v>
      </c>
      <c r="CC41" s="110" t="n">
        <f aca="false">IFERROR(CC40/CC38,0)</f>
        <v>0.829324430908851</v>
      </c>
      <c r="CD41" s="110" t="n">
        <f aca="false">IFERROR(CD40/CD38,0)</f>
        <v>0.829324430908851</v>
      </c>
      <c r="CE41" s="110" t="n">
        <f aca="false">IFERROR(CE40/CE38,0)</f>
        <v>0.829324430908851</v>
      </c>
      <c r="CF41" s="110" t="n">
        <f aca="false">IFERROR(CF40/CF38,0)</f>
        <v>0.829324430908851</v>
      </c>
      <c r="CG41" s="110" t="n">
        <f aca="false">IFERROR(CG40/CG38,0)</f>
        <v>0.829324430908851</v>
      </c>
      <c r="CH41" s="110" t="n">
        <f aca="false">IFERROR(CH40/CH38,0)</f>
        <v>0.829324430908851</v>
      </c>
    </row>
    <row r="42" customFormat="false" ht="13.5" hidden="false" customHeight="true" outlineLevel="0" collapsed="false">
      <c r="A42" s="6" t="s">
        <v>519</v>
      </c>
      <c r="C42" s="100" t="n">
        <f aca="false">-Hipótesis!$F$36</f>
        <v>-2000</v>
      </c>
      <c r="D42" s="100" t="n">
        <f aca="false">-Hipótesis!$F$36</f>
        <v>-2000</v>
      </c>
      <c r="E42" s="100" t="n">
        <f aca="false">-Hipótesis!$F$36</f>
        <v>-2000</v>
      </c>
      <c r="F42" s="100" t="n">
        <f aca="false">-Hipótesis!$F$36</f>
        <v>-2000</v>
      </c>
      <c r="G42" s="100" t="n">
        <f aca="false">-Hipótesis!$F$36</f>
        <v>-2000</v>
      </c>
      <c r="H42" s="100" t="n">
        <f aca="false">-Hipótesis!$F$36</f>
        <v>-2000</v>
      </c>
      <c r="I42" s="100" t="n">
        <f aca="false">-Hipótesis!$F$36</f>
        <v>-2000</v>
      </c>
      <c r="J42" s="100" t="n">
        <f aca="false">-Hipótesis!$F$36</f>
        <v>-2000</v>
      </c>
      <c r="K42" s="100" t="n">
        <f aca="false">-Hipótesis!$F$36</f>
        <v>-2000</v>
      </c>
      <c r="L42" s="100" t="n">
        <f aca="false">-Hipótesis!$F$36</f>
        <v>-2000</v>
      </c>
      <c r="M42" s="100" t="n">
        <f aca="false">-Hipótesis!$F$36</f>
        <v>-2000</v>
      </c>
      <c r="N42" s="100" t="n">
        <f aca="false">-Hipótesis!$F$36</f>
        <v>-2000</v>
      </c>
      <c r="O42" s="100" t="n">
        <f aca="false">-Hipótesis!$F$36</f>
        <v>-2000</v>
      </c>
      <c r="P42" s="100" t="n">
        <f aca="false">-Hipótesis!$F$36</f>
        <v>-2000</v>
      </c>
      <c r="Q42" s="100" t="n">
        <f aca="false">-Hipótesis!$F$36</f>
        <v>-2000</v>
      </c>
      <c r="R42" s="100" t="n">
        <f aca="false">-Hipótesis!$F$36</f>
        <v>-2000</v>
      </c>
      <c r="S42" s="100" t="n">
        <f aca="false">-Hipótesis!$F$36</f>
        <v>-2000</v>
      </c>
      <c r="T42" s="100" t="n">
        <f aca="false">-Hipótesis!$F$36</f>
        <v>-2000</v>
      </c>
      <c r="U42" s="100" t="n">
        <f aca="false">-Hipótesis!$F$36</f>
        <v>-2000</v>
      </c>
      <c r="V42" s="100" t="n">
        <f aca="false">-Hipótesis!$F$36</f>
        <v>-2000</v>
      </c>
      <c r="W42" s="100" t="n">
        <f aca="false">-Hipótesis!$F$36</f>
        <v>-2000</v>
      </c>
      <c r="X42" s="100" t="n">
        <f aca="false">-Hipótesis!$F$36</f>
        <v>-2000</v>
      </c>
      <c r="Y42" s="100" t="n">
        <f aca="false">-Hipótesis!$F$36</f>
        <v>-2000</v>
      </c>
      <c r="Z42" s="100" t="n">
        <f aca="false">-Hipótesis!$F$36</f>
        <v>-2000</v>
      </c>
      <c r="AA42" s="100" t="n">
        <f aca="false">-Hipótesis!$F$36</f>
        <v>-2000</v>
      </c>
      <c r="AB42" s="100" t="n">
        <f aca="false">-Hipótesis!$F$36</f>
        <v>-2000</v>
      </c>
      <c r="AC42" s="100" t="n">
        <f aca="false">-Hipótesis!$F$36</f>
        <v>-2000</v>
      </c>
      <c r="AD42" s="100" t="n">
        <f aca="false">-Hipótesis!$F$36</f>
        <v>-2000</v>
      </c>
      <c r="AE42" s="100" t="n">
        <f aca="false">-Hipótesis!$F$36</f>
        <v>-2000</v>
      </c>
      <c r="AF42" s="100" t="n">
        <f aca="false">-Hipótesis!$F$36</f>
        <v>-2000</v>
      </c>
      <c r="AG42" s="100" t="n">
        <f aca="false">-Hipótesis!$F$36</f>
        <v>-2000</v>
      </c>
      <c r="AH42" s="100" t="n">
        <f aca="false">-Hipótesis!$F$36</f>
        <v>-2000</v>
      </c>
      <c r="AI42" s="100" t="n">
        <f aca="false">-Hipótesis!$F$36</f>
        <v>-2000</v>
      </c>
      <c r="AJ42" s="100" t="n">
        <f aca="false">-Hipótesis!$F$36</f>
        <v>-2000</v>
      </c>
      <c r="AK42" s="100" t="n">
        <f aca="false">-Hipótesis!$F$36</f>
        <v>-2000</v>
      </c>
      <c r="AL42" s="100" t="n">
        <f aca="false">-Hipótesis!$F$36</f>
        <v>-2000</v>
      </c>
      <c r="AM42" s="100" t="n">
        <f aca="false">-Hipótesis!$F$36</f>
        <v>-2000</v>
      </c>
      <c r="AN42" s="100" t="n">
        <f aca="false">-Hipótesis!$F$36</f>
        <v>-2000</v>
      </c>
      <c r="AO42" s="100" t="n">
        <f aca="false">-Hipótesis!$F$36</f>
        <v>-2000</v>
      </c>
      <c r="AP42" s="100" t="n">
        <f aca="false">-Hipótesis!$F$36</f>
        <v>-2000</v>
      </c>
      <c r="AQ42" s="100" t="n">
        <f aca="false">-Hipótesis!$F$36</f>
        <v>-2000</v>
      </c>
      <c r="AR42" s="100" t="n">
        <f aca="false">-Hipótesis!$F$36</f>
        <v>-2000</v>
      </c>
      <c r="AS42" s="100" t="n">
        <f aca="false">-Hipótesis!$F$36</f>
        <v>-2000</v>
      </c>
      <c r="AT42" s="100" t="n">
        <f aca="false">-Hipótesis!$F$36</f>
        <v>-2000</v>
      </c>
      <c r="AU42" s="100" t="n">
        <f aca="false">-Hipótesis!$F$36</f>
        <v>-2000</v>
      </c>
      <c r="AV42" s="100" t="n">
        <f aca="false">-Hipótesis!$F$36</f>
        <v>-2000</v>
      </c>
      <c r="AW42" s="100" t="n">
        <f aca="false">-Hipótesis!$F$36</f>
        <v>-2000</v>
      </c>
      <c r="AX42" s="100" t="n">
        <f aca="false">-Hipótesis!$F$36</f>
        <v>-2000</v>
      </c>
      <c r="AY42" s="100" t="n">
        <f aca="false">-Hipótesis!$F$36</f>
        <v>-2000</v>
      </c>
      <c r="AZ42" s="100" t="n">
        <f aca="false">-Hipótesis!$F$36</f>
        <v>-2000</v>
      </c>
      <c r="BA42" s="100" t="n">
        <f aca="false">-Hipótesis!$F$36</f>
        <v>-2000</v>
      </c>
      <c r="BB42" s="100" t="n">
        <f aca="false">-Hipótesis!$F$36</f>
        <v>-2000</v>
      </c>
      <c r="BC42" s="100" t="n">
        <f aca="false">-Hipótesis!$F$36</f>
        <v>-2000</v>
      </c>
      <c r="BD42" s="100" t="n">
        <f aca="false">-Hipótesis!$F$36</f>
        <v>-2000</v>
      </c>
      <c r="BE42" s="100" t="n">
        <f aca="false">-Hipótesis!$F$36</f>
        <v>-2000</v>
      </c>
      <c r="BF42" s="100" t="n">
        <f aca="false">-Hipótesis!$F$36</f>
        <v>-2000</v>
      </c>
      <c r="BG42" s="100" t="n">
        <f aca="false">-Hipótesis!$F$36</f>
        <v>-2000</v>
      </c>
      <c r="BH42" s="100" t="n">
        <f aca="false">-Hipótesis!$F$36</f>
        <v>-2000</v>
      </c>
      <c r="BI42" s="100" t="n">
        <f aca="false">-Hipótesis!$F$36</f>
        <v>-2000</v>
      </c>
      <c r="BJ42" s="100" t="n">
        <f aca="false">-Hipótesis!$F$36</f>
        <v>-2000</v>
      </c>
      <c r="BK42" s="100" t="n">
        <f aca="false">-Hipótesis!$F$36</f>
        <v>-2000</v>
      </c>
      <c r="BL42" s="100" t="n">
        <f aca="false">-Hipótesis!$F$36</f>
        <v>-2000</v>
      </c>
      <c r="BM42" s="100" t="n">
        <f aca="false">-Hipótesis!$F$36</f>
        <v>-2000</v>
      </c>
      <c r="BN42" s="100" t="n">
        <f aca="false">-Hipótesis!$F$36</f>
        <v>-2000</v>
      </c>
      <c r="BO42" s="100" t="n">
        <f aca="false">-Hipótesis!$F$36</f>
        <v>-2000</v>
      </c>
      <c r="BP42" s="100" t="n">
        <f aca="false">-Hipótesis!$F$36</f>
        <v>-2000</v>
      </c>
      <c r="BQ42" s="100" t="n">
        <f aca="false">-Hipótesis!$F$36</f>
        <v>-2000</v>
      </c>
      <c r="BR42" s="100" t="n">
        <f aca="false">-Hipótesis!$F$36</f>
        <v>-2000</v>
      </c>
      <c r="BS42" s="100" t="n">
        <f aca="false">-Hipótesis!$F$36</f>
        <v>-2000</v>
      </c>
      <c r="BT42" s="100" t="n">
        <f aca="false">-Hipótesis!$F$36</f>
        <v>-2000</v>
      </c>
      <c r="BU42" s="100" t="n">
        <f aca="false">-Hipótesis!$F$36</f>
        <v>-2000</v>
      </c>
      <c r="BV42" s="100" t="n">
        <f aca="false">-Hipótesis!$F$36</f>
        <v>-2000</v>
      </c>
      <c r="BW42" s="100" t="n">
        <f aca="false">-Hipótesis!$F$36</f>
        <v>-2000</v>
      </c>
      <c r="BX42" s="100" t="n">
        <f aca="false">-Hipótesis!$F$36</f>
        <v>-2000</v>
      </c>
      <c r="BY42" s="100" t="n">
        <f aca="false">-Hipótesis!$F$36</f>
        <v>-2000</v>
      </c>
      <c r="BZ42" s="100" t="n">
        <f aca="false">-Hipótesis!$F$36</f>
        <v>-2000</v>
      </c>
      <c r="CA42" s="100" t="n">
        <f aca="false">-Hipótesis!$F$36</f>
        <v>-2000</v>
      </c>
      <c r="CB42" s="100" t="n">
        <f aca="false">-Hipótesis!$F$36</f>
        <v>-2000</v>
      </c>
      <c r="CC42" s="100" t="n">
        <f aca="false">-Hipótesis!$F$36</f>
        <v>-2000</v>
      </c>
      <c r="CD42" s="100" t="n">
        <f aca="false">-Hipótesis!$F$36</f>
        <v>-2000</v>
      </c>
      <c r="CE42" s="100" t="n">
        <f aca="false">-Hipótesis!$F$36</f>
        <v>-2000</v>
      </c>
      <c r="CF42" s="100" t="n">
        <f aca="false">-Hipótesis!$F$36</f>
        <v>-2000</v>
      </c>
      <c r="CG42" s="100" t="n">
        <f aca="false">-Hipótesis!$F$36</f>
        <v>-2000</v>
      </c>
      <c r="CH42" s="100" t="n">
        <f aca="false">-Hipótesis!$F$36</f>
        <v>-2000</v>
      </c>
    </row>
    <row r="43" customFormat="false" ht="13.5" hidden="false" customHeight="true" outlineLevel="0" collapsed="false">
      <c r="A43" s="6" t="s">
        <v>520</v>
      </c>
      <c r="C43" s="100" t="n">
        <f aca="false">-(Hipótesis!$F$37+C24*Hipótesis!$F$38)</f>
        <v>-1023.41116042078</v>
      </c>
      <c r="D43" s="100" t="n">
        <f aca="false">-(Hipótesis!$F$37+D24*Hipótesis!$F$38)</f>
        <v>-1047.84938314576</v>
      </c>
      <c r="E43" s="100" t="n">
        <f aca="false">-(Hipótesis!$F$37+E24*Hipótesis!$F$38)</f>
        <v>-1089.61670055411</v>
      </c>
      <c r="F43" s="100" t="n">
        <f aca="false">-(Hipótesis!$F$37+F24*Hipótesis!$F$38)</f>
        <v>-1107.97285754169</v>
      </c>
      <c r="G43" s="100" t="n">
        <f aca="false">-(Hipótesis!$F$37+G24*Hipótesis!$F$38)</f>
        <v>-1125.30195222505</v>
      </c>
      <c r="H43" s="100" t="n">
        <f aca="false">-(Hipótesis!$F$37+H24*Hipótesis!$F$38)</f>
        <v>-1154.39946914417</v>
      </c>
      <c r="I43" s="100" t="n">
        <f aca="false">-(Hipótesis!$F$37+I24*Hipótesis!$F$38)</f>
        <v>-1207.69698606329</v>
      </c>
      <c r="J43" s="100" t="n">
        <f aca="false">-(Hipótesis!$F$37+J24*Hipótesis!$F$38)</f>
        <v>-1260.99450298241</v>
      </c>
      <c r="K43" s="100" t="n">
        <f aca="false">-(Hipótesis!$F$37+K24*Hipótesis!$F$38)</f>
        <v>-1314.29201990153</v>
      </c>
      <c r="L43" s="100" t="n">
        <f aca="false">-(Hipótesis!$F$37+L24*Hipótesis!$F$38)</f>
        <v>-1367.58953682065</v>
      </c>
      <c r="M43" s="100" t="n">
        <f aca="false">-(Hipótesis!$F$37+M24*Hipótesis!$F$38)</f>
        <v>-1403.5579590564</v>
      </c>
      <c r="N43" s="100" t="n">
        <f aca="false">-(Hipótesis!$F$37+N24*Hipótesis!$F$38)</f>
        <v>-1456.64408636236</v>
      </c>
      <c r="O43" s="100" t="n">
        <f aca="false">-(Hipótesis!$F$37+O24*Hipótesis!$F$38)</f>
        <v>-1509.73021366831</v>
      </c>
      <c r="P43" s="100" t="n">
        <f aca="false">-(Hipótesis!$F$37+P24*Hipótesis!$F$38)</f>
        <v>-1557.89500076658</v>
      </c>
      <c r="Q43" s="100" t="n">
        <f aca="false">-(Hipótesis!$F$37+Q24*Hipótesis!$F$38)</f>
        <v>-1606.05978786485</v>
      </c>
      <c r="R43" s="100" t="n">
        <f aca="false">-(Hipótesis!$F$37+R24*Hipótesis!$F$38)</f>
        <v>-1654.22457496312</v>
      </c>
      <c r="S43" s="100" t="n">
        <f aca="false">-(Hipótesis!$F$37+S24*Hipótesis!$F$38)</f>
        <v>-1702.38936206139</v>
      </c>
      <c r="T43" s="100" t="n">
        <f aca="false">-(Hipótesis!$F$37+T24*Hipótesis!$F$38)</f>
        <v>-1750.55414915966</v>
      </c>
      <c r="U43" s="100" t="n">
        <f aca="false">-(Hipótesis!$F$37+U24*Hipótesis!$F$38)</f>
        <v>-1798.71893625794</v>
      </c>
      <c r="V43" s="100" t="n">
        <f aca="false">-(Hipótesis!$F$37+V24*Hipótesis!$F$38)</f>
        <v>-1846.88372335621</v>
      </c>
      <c r="W43" s="100" t="n">
        <f aca="false">-(Hipótesis!$F$37+W24*Hipótesis!$F$38)</f>
        <v>-1895.04851045448</v>
      </c>
      <c r="X43" s="100" t="n">
        <f aca="false">-(Hipótesis!$F$37+X24*Hipótesis!$F$38)</f>
        <v>-1926.09559248256</v>
      </c>
      <c r="Y43" s="100" t="n">
        <f aca="false">-(Hipótesis!$F$37+Y24*Hipótesis!$F$38)</f>
        <v>-1957.14267451063</v>
      </c>
      <c r="Z43" s="100" t="n">
        <f aca="false">-(Hipótesis!$F$37+Z24*Hipótesis!$F$38)</f>
        <v>-1981.34267451063</v>
      </c>
      <c r="AA43" s="100" t="n">
        <f aca="false">-(Hipótesis!$F$37+AA24*Hipótesis!$F$38)</f>
        <v>-2005.54267451063</v>
      </c>
      <c r="AB43" s="100" t="n">
        <f aca="false">-(Hipótesis!$F$37+AB24*Hipótesis!$F$38)</f>
        <v>-2029.74267451063</v>
      </c>
      <c r="AC43" s="100" t="n">
        <f aca="false">-(Hipótesis!$F$37+AC24*Hipótesis!$F$38)</f>
        <v>-2053.94267451063</v>
      </c>
      <c r="AD43" s="100" t="n">
        <f aca="false">-(Hipótesis!$F$37+AD24*Hipótesis!$F$38)</f>
        <v>-2078.14267451063</v>
      </c>
      <c r="AE43" s="100" t="n">
        <f aca="false">-(Hipótesis!$F$37+AE24*Hipótesis!$F$38)</f>
        <v>-2102.34267451063</v>
      </c>
      <c r="AF43" s="100" t="n">
        <f aca="false">-(Hipótesis!$F$37+AF24*Hipótesis!$F$38)</f>
        <v>-2126.54267451063</v>
      </c>
      <c r="AG43" s="100" t="n">
        <f aca="false">-(Hipótesis!$F$37+AG24*Hipótesis!$F$38)</f>
        <v>-2150.74267451063</v>
      </c>
      <c r="AH43" s="100" t="n">
        <f aca="false">-(Hipótesis!$F$37+AH24*Hipótesis!$F$38)</f>
        <v>-2174.94267451063</v>
      </c>
      <c r="AI43" s="100" t="n">
        <f aca="false">-(Hipótesis!$F$37+AI24*Hipótesis!$F$38)</f>
        <v>-2199.14267451063</v>
      </c>
      <c r="AJ43" s="100" t="n">
        <f aca="false">-(Hipótesis!$F$37+AJ24*Hipótesis!$F$38)</f>
        <v>-2223.34267451063</v>
      </c>
      <c r="AK43" s="100" t="n">
        <f aca="false">-(Hipótesis!$F$37+AK24*Hipótesis!$F$38)</f>
        <v>-2247.54267451063</v>
      </c>
      <c r="AL43" s="100" t="n">
        <f aca="false">-(Hipótesis!$F$37+AL24*Hipótesis!$F$38)</f>
        <v>-2271.74267451063</v>
      </c>
      <c r="AM43" s="100" t="n">
        <f aca="false">-(Hipótesis!$F$37+AM24*Hipótesis!$F$38)</f>
        <v>-2295.94267451063</v>
      </c>
      <c r="AN43" s="100" t="n">
        <f aca="false">-(Hipótesis!$F$37+AN24*Hipótesis!$F$38)</f>
        <v>-2320.14267451063</v>
      </c>
      <c r="AO43" s="100" t="n">
        <f aca="false">-(Hipótesis!$F$37+AO24*Hipótesis!$F$38)</f>
        <v>-2344.34267451063</v>
      </c>
      <c r="AP43" s="100" t="n">
        <f aca="false">-(Hipótesis!$F$37+AP24*Hipótesis!$F$38)</f>
        <v>-2368.54267451063</v>
      </c>
      <c r="AQ43" s="100" t="n">
        <f aca="false">-(Hipótesis!$F$37+AQ24*Hipótesis!$F$38)</f>
        <v>-2392.74267451063</v>
      </c>
      <c r="AR43" s="100" t="n">
        <f aca="false">-(Hipótesis!$F$37+AR24*Hipótesis!$F$38)</f>
        <v>-2416.94267451063</v>
      </c>
      <c r="AS43" s="100" t="n">
        <f aca="false">-(Hipótesis!$F$37+AS24*Hipótesis!$F$38)</f>
        <v>-2416.94267451063</v>
      </c>
      <c r="AT43" s="100" t="n">
        <f aca="false">-(Hipótesis!$F$37+AT24*Hipótesis!$F$38)</f>
        <v>-2416.94267451063</v>
      </c>
      <c r="AU43" s="100" t="n">
        <f aca="false">-(Hipótesis!$F$37+AU24*Hipótesis!$F$38)</f>
        <v>-2416.94267451063</v>
      </c>
      <c r="AV43" s="100" t="n">
        <f aca="false">-(Hipótesis!$F$37+AV24*Hipótesis!$F$38)</f>
        <v>-2416.94267451063</v>
      </c>
      <c r="AW43" s="100" t="n">
        <f aca="false">-(Hipótesis!$F$37+AW24*Hipótesis!$F$38)</f>
        <v>-2416.94267451063</v>
      </c>
      <c r="AX43" s="100" t="n">
        <f aca="false">-(Hipótesis!$F$37+AX24*Hipótesis!$F$38)</f>
        <v>-2416.94267451063</v>
      </c>
      <c r="AY43" s="100" t="n">
        <f aca="false">-(Hipótesis!$F$37+AY24*Hipótesis!$F$38)</f>
        <v>-2416.94267451063</v>
      </c>
      <c r="AZ43" s="100" t="n">
        <f aca="false">-(Hipótesis!$F$37+AZ24*Hipótesis!$F$38)</f>
        <v>-2416.94267451063</v>
      </c>
      <c r="BA43" s="100" t="n">
        <f aca="false">-(Hipótesis!$F$37+BA24*Hipótesis!$F$38)</f>
        <v>-2416.94267451063</v>
      </c>
      <c r="BB43" s="100" t="n">
        <f aca="false">-(Hipótesis!$F$37+BB24*Hipótesis!$F$38)</f>
        <v>-2416.94267451063</v>
      </c>
      <c r="BC43" s="100" t="n">
        <f aca="false">-(Hipótesis!$F$37+BC24*Hipótesis!$F$38)</f>
        <v>-2416.94267451063</v>
      </c>
      <c r="BD43" s="100" t="n">
        <f aca="false">-(Hipótesis!$F$37+BD24*Hipótesis!$F$38)</f>
        <v>-2416.94267451063</v>
      </c>
      <c r="BE43" s="100" t="n">
        <f aca="false">-(Hipótesis!$F$37+BE24*Hipótesis!$F$38)</f>
        <v>-2416.94267451063</v>
      </c>
      <c r="BF43" s="100" t="n">
        <f aca="false">-(Hipótesis!$F$37+BF24*Hipótesis!$F$38)</f>
        <v>-2416.94267451063</v>
      </c>
      <c r="BG43" s="100" t="n">
        <f aca="false">-(Hipótesis!$F$37+BG24*Hipótesis!$F$38)</f>
        <v>-2416.94267451063</v>
      </c>
      <c r="BH43" s="100" t="n">
        <f aca="false">-(Hipótesis!$F$37+BH24*Hipótesis!$F$38)</f>
        <v>-2416.94267451063</v>
      </c>
      <c r="BI43" s="100" t="n">
        <f aca="false">-(Hipótesis!$F$37+BI24*Hipótesis!$F$38)</f>
        <v>-2416.94267451063</v>
      </c>
      <c r="BJ43" s="100" t="n">
        <f aca="false">-(Hipótesis!$F$37+BJ24*Hipótesis!$F$38)</f>
        <v>-2416.94267451063</v>
      </c>
      <c r="BK43" s="100" t="n">
        <f aca="false">-(Hipótesis!$F$37+BK24*Hipótesis!$F$38)</f>
        <v>-2416.94267451063</v>
      </c>
      <c r="BL43" s="100" t="n">
        <f aca="false">-(Hipótesis!$F$37+BL24*Hipótesis!$F$38)</f>
        <v>-2416.94267451063</v>
      </c>
      <c r="BM43" s="100" t="n">
        <f aca="false">-(Hipótesis!$F$37+BM24*Hipótesis!$F$38)</f>
        <v>-2416.94267451063</v>
      </c>
      <c r="BN43" s="100" t="n">
        <f aca="false">-(Hipótesis!$F$37+BN24*Hipótesis!$F$38)</f>
        <v>-2416.94267451063</v>
      </c>
      <c r="BO43" s="100" t="n">
        <f aca="false">-(Hipótesis!$F$37+BO24*Hipótesis!$F$38)</f>
        <v>-2416.94267451063</v>
      </c>
      <c r="BP43" s="100" t="n">
        <f aca="false">-(Hipótesis!$F$37+BP24*Hipótesis!$F$38)</f>
        <v>-2416.94267451063</v>
      </c>
      <c r="BQ43" s="100" t="n">
        <f aca="false">-(Hipótesis!$F$37+BQ24*Hipótesis!$F$38)</f>
        <v>-2416.94267451063</v>
      </c>
      <c r="BR43" s="100" t="n">
        <f aca="false">-(Hipótesis!$F$37+BR24*Hipótesis!$F$38)</f>
        <v>-2416.94267451063</v>
      </c>
      <c r="BS43" s="100" t="n">
        <f aca="false">-(Hipótesis!$F$37+BS24*Hipótesis!$F$38)</f>
        <v>-2416.94267451063</v>
      </c>
      <c r="BT43" s="100" t="n">
        <f aca="false">-(Hipótesis!$F$37+BT24*Hipótesis!$F$38)</f>
        <v>-2416.94267451063</v>
      </c>
      <c r="BU43" s="100" t="n">
        <f aca="false">-(Hipótesis!$F$37+BU24*Hipótesis!$F$38)</f>
        <v>-2416.94267451063</v>
      </c>
      <c r="BV43" s="100" t="n">
        <f aca="false">-(Hipótesis!$F$37+BV24*Hipótesis!$F$38)</f>
        <v>-2416.94267451063</v>
      </c>
      <c r="BW43" s="100" t="n">
        <f aca="false">-(Hipótesis!$F$37+BW24*Hipótesis!$F$38)</f>
        <v>-2416.94267451063</v>
      </c>
      <c r="BX43" s="100" t="n">
        <f aca="false">-(Hipótesis!$F$37+BX24*Hipótesis!$F$38)</f>
        <v>-2416.94267451063</v>
      </c>
      <c r="BY43" s="100" t="n">
        <f aca="false">-(Hipótesis!$F$37+BY24*Hipótesis!$F$38)</f>
        <v>-2416.94267451063</v>
      </c>
      <c r="BZ43" s="100" t="n">
        <f aca="false">-(Hipótesis!$F$37+BZ24*Hipótesis!$F$38)</f>
        <v>-2416.94267451063</v>
      </c>
      <c r="CA43" s="100" t="n">
        <f aca="false">-(Hipótesis!$F$37+CA24*Hipótesis!$F$38)</f>
        <v>-2416.94267451063</v>
      </c>
      <c r="CB43" s="100" t="n">
        <f aca="false">-(Hipótesis!$F$37+CB24*Hipótesis!$F$38)</f>
        <v>-2416.94267451063</v>
      </c>
      <c r="CC43" s="100" t="n">
        <f aca="false">-(Hipótesis!$F$37+CC24*Hipótesis!$F$38)</f>
        <v>-2416.94267451063</v>
      </c>
      <c r="CD43" s="100" t="n">
        <f aca="false">-(Hipótesis!$F$37+CD24*Hipótesis!$F$38)</f>
        <v>-2416.94267451063</v>
      </c>
      <c r="CE43" s="100" t="n">
        <f aca="false">-(Hipótesis!$F$37+CE24*Hipótesis!$F$38)</f>
        <v>-2416.94267451063</v>
      </c>
      <c r="CF43" s="100" t="n">
        <f aca="false">-(Hipótesis!$F$37+CF24*Hipótesis!$F$38)</f>
        <v>-2416.94267451063</v>
      </c>
      <c r="CG43" s="100" t="n">
        <f aca="false">-(Hipótesis!$F$37+CG24*Hipótesis!$F$38)</f>
        <v>-2416.94267451063</v>
      </c>
      <c r="CH43" s="100" t="n">
        <f aca="false">-(Hipótesis!$F$37+CH24*Hipótesis!$F$38)</f>
        <v>-2416.94267451063</v>
      </c>
    </row>
    <row r="44" customFormat="false" ht="13.5" hidden="false" customHeight="true" outlineLevel="0" collapsed="false">
      <c r="A44" s="6" t="s">
        <v>521</v>
      </c>
      <c r="C44" s="100" t="n">
        <f aca="false">-IF(AND(1&gt;=Hipótesis!$D$48,Hipótesis!$B$48=1),IF(Hipótesis!$G$48=1,Hipótesis!$C$44,Hipótesis!$C$48*(1+Hipótesis!$D$45)^0)*(1+Hipótesis!$D$42),0)</f>
        <v>-2904</v>
      </c>
      <c r="D44" s="100" t="n">
        <f aca="false">-IF(AND(2&gt;=Hipótesis!$D$48,Hipótesis!$B$48=1),IF(Hipótesis!$G$48=1,Hipótesis!$C$44,Hipótesis!$C$48*(1+Hipótesis!$D$45)^0)*(1+Hipótesis!$D$42),0)</f>
        <v>-2904</v>
      </c>
      <c r="E44" s="100" t="n">
        <f aca="false">-IF(AND(3&gt;=Hipótesis!$D$48,Hipótesis!$B$48=1),IF(Hipótesis!$G$48=1,Hipótesis!$C$44,Hipótesis!$C$48*(1+Hipótesis!$D$45)^0)*(1+Hipótesis!$D$42),0)</f>
        <v>-2904</v>
      </c>
      <c r="F44" s="100" t="n">
        <f aca="false">-IF(AND(4&gt;=Hipótesis!$D$48,Hipótesis!$B$48=1),IF(Hipótesis!$G$48=1,Hipótesis!$C$44,Hipótesis!$C$48*(1+Hipótesis!$D$45)^0)*(1+Hipótesis!$D$42),0)</f>
        <v>-2904</v>
      </c>
      <c r="G44" s="100" t="n">
        <f aca="false">-IF(AND(5&gt;=Hipótesis!$D$48,Hipótesis!$B$48=1),IF(Hipótesis!$G$48=1,Hipótesis!$C$44,Hipótesis!$C$48*(1+Hipótesis!$D$45)^0)*(1+Hipótesis!$D$42),0)</f>
        <v>-2904</v>
      </c>
      <c r="H44" s="100" t="n">
        <f aca="false">-IF(AND(6&gt;=Hipótesis!$D$48,Hipótesis!$B$48=1),IF(Hipótesis!$G$48=1,Hipótesis!$C$44,Hipótesis!$C$48*(1+Hipótesis!$D$45)^0)*(1+Hipótesis!$D$42),0)</f>
        <v>-2904</v>
      </c>
      <c r="I44" s="100" t="n">
        <f aca="false">-IF(AND(7&gt;=Hipótesis!$D$48,Hipótesis!$B$48=1),IF(Hipótesis!$G$48=1,Hipótesis!$C$44,Hipótesis!$C$48*(1+Hipótesis!$D$45)^0)*(1+Hipótesis!$D$42),0)</f>
        <v>-2904</v>
      </c>
      <c r="J44" s="100" t="n">
        <f aca="false">-IF(AND(8&gt;=Hipótesis!$D$48,Hipótesis!$B$48=1),IF(Hipótesis!$G$48=1,Hipótesis!$C$44,Hipótesis!$C$48*(1+Hipótesis!$D$45)^0)*(1+Hipótesis!$D$42),0)</f>
        <v>-2904</v>
      </c>
      <c r="K44" s="100" t="n">
        <f aca="false">-IF(AND(9&gt;=Hipótesis!$D$48,Hipótesis!$B$48=1),IF(Hipótesis!$G$48=1,Hipótesis!$C$44,Hipótesis!$C$48*(1+Hipótesis!$D$45)^0)*(1+Hipótesis!$D$42),0)</f>
        <v>-2904</v>
      </c>
      <c r="L44" s="100" t="n">
        <f aca="false">-IF(AND(10&gt;=Hipótesis!$D$48,Hipótesis!$B$48=1),IF(Hipótesis!$G$48=1,Hipótesis!$C$44,Hipótesis!$C$48*(1+Hipótesis!$D$45)^0)*(1+Hipótesis!$D$42),0)</f>
        <v>-2904</v>
      </c>
      <c r="M44" s="100" t="n">
        <f aca="false">-IF(AND(11&gt;=Hipótesis!$D$48,Hipótesis!$B$48=1),IF(Hipótesis!$G$48=1,Hipótesis!$C$44,Hipótesis!$C$48*(1+Hipótesis!$D$45)^0)*(1+Hipótesis!$D$42),0)</f>
        <v>-2904</v>
      </c>
      <c r="N44" s="100" t="n">
        <f aca="false">-IF(AND(12&gt;=Hipótesis!$D$48,Hipótesis!$B$48=1),IF(Hipótesis!$G$48=1,Hipótesis!$C$44,Hipótesis!$C$48*(1+Hipótesis!$D$45)^0)*(1+Hipótesis!$D$42),0)</f>
        <v>-2904</v>
      </c>
      <c r="O44" s="100" t="n">
        <f aca="false">-IF(AND(13&gt;=Hipótesis!$D$48,Hipótesis!$B$48=1),IF(Hipótesis!$G$48=1,Hipótesis!$D$44,Hipótesis!$C$48*(1+Hipótesis!$D$45)^1)*(1+Hipótesis!$D$42),0)</f>
        <v>-4620</v>
      </c>
      <c r="P44" s="100" t="n">
        <f aca="false">-IF(AND(14&gt;=Hipótesis!$D$48,Hipótesis!$B$48=1),IF(Hipótesis!$G$48=1,Hipótesis!$D$44,Hipótesis!$C$48*(1+Hipótesis!$D$45)^1)*(1+Hipótesis!$D$42),0)</f>
        <v>-4620</v>
      </c>
      <c r="Q44" s="100" t="n">
        <f aca="false">-IF(AND(15&gt;=Hipótesis!$D$48,Hipótesis!$B$48=1),IF(Hipótesis!$G$48=1,Hipótesis!$D$44,Hipótesis!$C$48*(1+Hipótesis!$D$45)^1)*(1+Hipótesis!$D$42),0)</f>
        <v>-4620</v>
      </c>
      <c r="R44" s="100" t="n">
        <f aca="false">-IF(AND(16&gt;=Hipótesis!$D$48,Hipótesis!$B$48=1),IF(Hipótesis!$G$48=1,Hipótesis!$D$44,Hipótesis!$C$48*(1+Hipótesis!$D$45)^1)*(1+Hipótesis!$D$42),0)</f>
        <v>-4620</v>
      </c>
      <c r="S44" s="100" t="n">
        <f aca="false">-IF(AND(17&gt;=Hipótesis!$D$48,Hipótesis!$B$48=1),IF(Hipótesis!$G$48=1,Hipótesis!$D$44,Hipótesis!$C$48*(1+Hipótesis!$D$45)^1)*(1+Hipótesis!$D$42),0)</f>
        <v>-4620</v>
      </c>
      <c r="T44" s="100" t="n">
        <f aca="false">-IF(AND(18&gt;=Hipótesis!$D$48,Hipótesis!$B$48=1),IF(Hipótesis!$G$48=1,Hipótesis!$D$44,Hipótesis!$C$48*(1+Hipótesis!$D$45)^1)*(1+Hipótesis!$D$42),0)</f>
        <v>-4620</v>
      </c>
      <c r="U44" s="100" t="n">
        <f aca="false">-IF(AND(19&gt;=Hipótesis!$D$48,Hipótesis!$B$48=1),IF(Hipótesis!$G$48=1,Hipótesis!$D$44,Hipótesis!$C$48*(1+Hipótesis!$D$45)^1)*(1+Hipótesis!$D$42),0)</f>
        <v>-4620</v>
      </c>
      <c r="V44" s="100" t="n">
        <f aca="false">-IF(AND(20&gt;=Hipótesis!$D$48,Hipótesis!$B$48=1),IF(Hipótesis!$G$48=1,Hipótesis!$D$44,Hipótesis!$C$48*(1+Hipótesis!$D$45)^1)*(1+Hipótesis!$D$42),0)</f>
        <v>-4620</v>
      </c>
      <c r="W44" s="100" t="n">
        <f aca="false">-IF(AND(21&gt;=Hipótesis!$D$48,Hipótesis!$B$48=1),IF(Hipótesis!$G$48=1,Hipótesis!$D$44,Hipótesis!$C$48*(1+Hipótesis!$D$45)^1)*(1+Hipótesis!$D$42),0)</f>
        <v>-4620</v>
      </c>
      <c r="X44" s="100" t="n">
        <f aca="false">-IF(AND(22&gt;=Hipótesis!$D$48,Hipótesis!$B$48=1),IF(Hipótesis!$G$48=1,Hipótesis!$D$44,Hipótesis!$C$48*(1+Hipótesis!$D$45)^1)*(1+Hipótesis!$D$42),0)</f>
        <v>-4620</v>
      </c>
      <c r="Y44" s="100" t="n">
        <f aca="false">-IF(AND(23&gt;=Hipótesis!$D$48,Hipótesis!$B$48=1),IF(Hipótesis!$G$48=1,Hipótesis!$D$44,Hipótesis!$C$48*(1+Hipótesis!$D$45)^1)*(1+Hipótesis!$D$42),0)</f>
        <v>-4620</v>
      </c>
      <c r="Z44" s="100" t="n">
        <f aca="false">-IF(AND(24&gt;=Hipótesis!$D$48,Hipótesis!$B$48=1),IF(Hipótesis!$G$48=1,Hipótesis!$D$44,Hipótesis!$C$48*(1+Hipótesis!$D$45)^1)*(1+Hipótesis!$D$42),0)</f>
        <v>-4620</v>
      </c>
      <c r="AA44" s="100" t="n">
        <f aca="false">-IF(AND(25&gt;=Hipótesis!$D$48,Hipótesis!$B$48=1),IF(Hipótesis!$G$48=1,Hipótesis!$E$44,Hipótesis!$C$48*(1+Hipótesis!$D$45)^2)*(1+Hipótesis!$D$42),0)</f>
        <v>-5280</v>
      </c>
      <c r="AB44" s="100" t="n">
        <f aca="false">-IF(AND(26&gt;=Hipótesis!$D$48,Hipótesis!$B$48=1),IF(Hipótesis!$G$48=1,Hipótesis!$E$44,Hipótesis!$C$48*(1+Hipótesis!$D$45)^2)*(1+Hipótesis!$D$42),0)</f>
        <v>-5280</v>
      </c>
      <c r="AC44" s="100" t="n">
        <f aca="false">-IF(AND(27&gt;=Hipótesis!$D$48,Hipótesis!$B$48=1),IF(Hipótesis!$G$48=1,Hipótesis!$E$44,Hipótesis!$C$48*(1+Hipótesis!$D$45)^2)*(1+Hipótesis!$D$42),0)</f>
        <v>-5280</v>
      </c>
      <c r="AD44" s="100" t="n">
        <f aca="false">-IF(AND(28&gt;=Hipótesis!$D$48,Hipótesis!$B$48=1),IF(Hipótesis!$G$48=1,Hipótesis!$E$44,Hipótesis!$C$48*(1+Hipótesis!$D$45)^2)*(1+Hipótesis!$D$42),0)</f>
        <v>-5280</v>
      </c>
      <c r="AE44" s="100" t="n">
        <f aca="false">-IF(AND(29&gt;=Hipótesis!$D$48,Hipótesis!$B$48=1),IF(Hipótesis!$G$48=1,Hipótesis!$E$44,Hipótesis!$C$48*(1+Hipótesis!$D$45)^2)*(1+Hipótesis!$D$42),0)</f>
        <v>-5280</v>
      </c>
      <c r="AF44" s="100" t="n">
        <f aca="false">-IF(AND(30&gt;=Hipótesis!$D$48,Hipótesis!$B$48=1),IF(Hipótesis!$G$48=1,Hipótesis!$E$44,Hipótesis!$C$48*(1+Hipótesis!$D$45)^2)*(1+Hipótesis!$D$42),0)</f>
        <v>-5280</v>
      </c>
      <c r="AG44" s="100" t="n">
        <f aca="false">-IF(AND(31&gt;=Hipótesis!$D$48,Hipótesis!$B$48=1),IF(Hipótesis!$G$48=1,Hipótesis!$E$44,Hipótesis!$C$48*(1+Hipótesis!$D$45)^2)*(1+Hipótesis!$D$42),0)</f>
        <v>-5280</v>
      </c>
      <c r="AH44" s="100" t="n">
        <f aca="false">-IF(AND(32&gt;=Hipótesis!$D$48,Hipótesis!$B$48=1),IF(Hipótesis!$G$48=1,Hipótesis!$E$44,Hipótesis!$C$48*(1+Hipótesis!$D$45)^2)*(1+Hipótesis!$D$42),0)</f>
        <v>-5280</v>
      </c>
      <c r="AI44" s="100" t="n">
        <f aca="false">-IF(AND(33&gt;=Hipótesis!$D$48,Hipótesis!$B$48=1),IF(Hipótesis!$G$48=1,Hipótesis!$E$44,Hipótesis!$C$48*(1+Hipótesis!$D$45)^2)*(1+Hipótesis!$D$42),0)</f>
        <v>-5280</v>
      </c>
      <c r="AJ44" s="100" t="n">
        <f aca="false">-IF(AND(34&gt;=Hipótesis!$D$48,Hipótesis!$B$48=1),IF(Hipótesis!$G$48=1,Hipótesis!$E$44,Hipótesis!$C$48*(1+Hipótesis!$D$45)^2)*(1+Hipótesis!$D$42),0)</f>
        <v>-5280</v>
      </c>
      <c r="AK44" s="100" t="n">
        <f aca="false">-IF(AND(35&gt;=Hipótesis!$D$48,Hipótesis!$B$48=1),IF(Hipótesis!$G$48=1,Hipótesis!$E$44,Hipótesis!$C$48*(1+Hipótesis!$D$45)^2)*(1+Hipótesis!$D$42),0)</f>
        <v>-5280</v>
      </c>
      <c r="AL44" s="100" t="n">
        <f aca="false">-IF(AND(36&gt;=Hipótesis!$D$48,Hipótesis!$B$48=1),IF(Hipótesis!$G$48=1,Hipótesis!$E$44,Hipótesis!$C$48*(1+Hipótesis!$D$45)^2)*(1+Hipótesis!$D$42),0)</f>
        <v>-5280</v>
      </c>
      <c r="AM44" s="100" t="n">
        <f aca="false">-IF(AND(37&gt;=Hipótesis!$D$48,Hipótesis!$B$48=1),IF(Hipótesis!$G$48=1,Hipótesis!$F$44,Hipótesis!$C$48*(1+Hipótesis!$D$45)^3)*(1+Hipótesis!$D$42),0)</f>
        <v>-5940</v>
      </c>
      <c r="AN44" s="100" t="n">
        <f aca="false">-IF(AND(38&gt;=Hipótesis!$D$48,Hipótesis!$B$48=1),IF(Hipótesis!$G$48=1,Hipótesis!$F$44,Hipótesis!$C$48*(1+Hipótesis!$D$45)^3)*(1+Hipótesis!$D$42),0)</f>
        <v>-5940</v>
      </c>
      <c r="AO44" s="100" t="n">
        <f aca="false">-IF(AND(39&gt;=Hipótesis!$D$48,Hipótesis!$B$48=1),IF(Hipótesis!$G$48=1,Hipótesis!$F$44,Hipótesis!$C$48*(1+Hipótesis!$D$45)^3)*(1+Hipótesis!$D$42),0)</f>
        <v>-5940</v>
      </c>
      <c r="AP44" s="100" t="n">
        <f aca="false">-IF(AND(40&gt;=Hipótesis!$D$48,Hipótesis!$B$48=1),IF(Hipótesis!$G$48=1,Hipótesis!$F$44,Hipótesis!$C$48*(1+Hipótesis!$D$45)^3)*(1+Hipótesis!$D$42),0)</f>
        <v>-5940</v>
      </c>
      <c r="AQ44" s="100" t="n">
        <f aca="false">-IF(AND(41&gt;=Hipótesis!$D$48,Hipótesis!$B$48=1),IF(Hipótesis!$G$48=1,Hipótesis!$F$44,Hipótesis!$C$48*(1+Hipótesis!$D$45)^3)*(1+Hipótesis!$D$42),0)</f>
        <v>-5940</v>
      </c>
      <c r="AR44" s="100" t="n">
        <f aca="false">-IF(AND(42&gt;=Hipótesis!$D$48,Hipótesis!$B$48=1),IF(Hipótesis!$G$48=1,Hipótesis!$F$44,Hipótesis!$C$48*(1+Hipótesis!$D$45)^3)*(1+Hipótesis!$D$42),0)</f>
        <v>-5940</v>
      </c>
      <c r="AS44" s="100" t="n">
        <f aca="false">-IF(AND(43&gt;=Hipótesis!$D$48,Hipótesis!$B$48=1),IF(Hipótesis!$G$48=1,Hipótesis!$F$44,Hipótesis!$C$48*(1+Hipótesis!$D$45)^3)*(1+Hipótesis!$D$42),0)</f>
        <v>-5940</v>
      </c>
      <c r="AT44" s="100" t="n">
        <f aca="false">-IF(AND(44&gt;=Hipótesis!$D$48,Hipótesis!$B$48=1),IF(Hipótesis!$G$48=1,Hipótesis!$F$44,Hipótesis!$C$48*(1+Hipótesis!$D$45)^3)*(1+Hipótesis!$D$42),0)</f>
        <v>-5940</v>
      </c>
      <c r="AU44" s="100" t="n">
        <f aca="false">-IF(AND(45&gt;=Hipótesis!$D$48,Hipótesis!$B$48=1),IF(Hipótesis!$G$48=1,Hipótesis!$F$44,Hipótesis!$C$48*(1+Hipótesis!$D$45)^3)*(1+Hipótesis!$D$42),0)</f>
        <v>-5940</v>
      </c>
      <c r="AV44" s="100" t="n">
        <f aca="false">-IF(AND(46&gt;=Hipótesis!$D$48,Hipótesis!$B$48=1),IF(Hipótesis!$G$48=1,Hipótesis!$F$44,Hipótesis!$C$48*(1+Hipótesis!$D$45)^3)*(1+Hipótesis!$D$42),0)</f>
        <v>-5940</v>
      </c>
      <c r="AW44" s="100" t="n">
        <f aca="false">-IF(AND(47&gt;=Hipótesis!$D$48,Hipótesis!$B$48=1),IF(Hipótesis!$G$48=1,Hipótesis!$F$44,Hipótesis!$C$48*(1+Hipótesis!$D$45)^3)*(1+Hipótesis!$D$42),0)</f>
        <v>-5940</v>
      </c>
      <c r="AX44" s="100" t="n">
        <f aca="false">-IF(AND(48&gt;=Hipótesis!$D$48,Hipótesis!$B$48=1),IF(Hipótesis!$G$48=1,Hipótesis!$F$44,Hipótesis!$C$48*(1+Hipótesis!$D$45)^3)*(1+Hipótesis!$D$42),0)</f>
        <v>-5940</v>
      </c>
      <c r="AY44" s="100" t="n">
        <f aca="false">-IF(AND(49&gt;=Hipótesis!$D$48,Hipótesis!$B$48=1),IF(Hipótesis!$G$48=1,Hipótesis!$G$44,Hipótesis!$C$48*(1+Hipótesis!$D$45)^4)*(1+Hipótesis!$D$42),0)</f>
        <v>-6600</v>
      </c>
      <c r="AZ44" s="100" t="n">
        <f aca="false">-IF(AND(50&gt;=Hipótesis!$D$48,Hipótesis!$B$48=1),IF(Hipótesis!$G$48=1,Hipótesis!$G$44,Hipótesis!$C$48*(1+Hipótesis!$D$45)^4)*(1+Hipótesis!$D$42),0)</f>
        <v>-6600</v>
      </c>
      <c r="BA44" s="100" t="n">
        <f aca="false">-IF(AND(51&gt;=Hipótesis!$D$48,Hipótesis!$B$48=1),IF(Hipótesis!$G$48=1,Hipótesis!$G$44,Hipótesis!$C$48*(1+Hipótesis!$D$45)^4)*(1+Hipótesis!$D$42),0)</f>
        <v>-6600</v>
      </c>
      <c r="BB44" s="100" t="n">
        <f aca="false">-IF(AND(52&gt;=Hipótesis!$D$48,Hipótesis!$B$48=1),IF(Hipótesis!$G$48=1,Hipótesis!$G$44,Hipótesis!$C$48*(1+Hipótesis!$D$45)^4)*(1+Hipótesis!$D$42),0)</f>
        <v>-6600</v>
      </c>
      <c r="BC44" s="100" t="n">
        <f aca="false">-IF(AND(53&gt;=Hipótesis!$D$48,Hipótesis!$B$48=1),IF(Hipótesis!$G$48=1,Hipótesis!$G$44,Hipótesis!$C$48*(1+Hipótesis!$D$45)^4)*(1+Hipótesis!$D$42),0)</f>
        <v>-6600</v>
      </c>
      <c r="BD44" s="100" t="n">
        <f aca="false">-IF(AND(54&gt;=Hipótesis!$D$48,Hipótesis!$B$48=1),IF(Hipótesis!$G$48=1,Hipótesis!$G$44,Hipótesis!$C$48*(1+Hipótesis!$D$45)^4)*(1+Hipótesis!$D$42),0)</f>
        <v>-6600</v>
      </c>
      <c r="BE44" s="100" t="n">
        <f aca="false">-IF(AND(55&gt;=Hipótesis!$D$48,Hipótesis!$B$48=1),IF(Hipótesis!$G$48=1,Hipótesis!$G$44,Hipótesis!$C$48*(1+Hipótesis!$D$45)^4)*(1+Hipótesis!$D$42),0)</f>
        <v>-6600</v>
      </c>
      <c r="BF44" s="100" t="n">
        <f aca="false">-IF(AND(56&gt;=Hipótesis!$D$48,Hipótesis!$B$48=1),IF(Hipótesis!$G$48=1,Hipótesis!$G$44,Hipótesis!$C$48*(1+Hipótesis!$D$45)^4)*(1+Hipótesis!$D$42),0)</f>
        <v>-6600</v>
      </c>
      <c r="BG44" s="100" t="n">
        <f aca="false">-IF(AND(57&gt;=Hipótesis!$D$48,Hipótesis!$B$48=1),IF(Hipótesis!$G$48=1,Hipótesis!$G$44,Hipótesis!$C$48*(1+Hipótesis!$D$45)^4)*(1+Hipótesis!$D$42),0)</f>
        <v>-6600</v>
      </c>
      <c r="BH44" s="100" t="n">
        <f aca="false">-IF(AND(58&gt;=Hipótesis!$D$48,Hipótesis!$B$48=1),IF(Hipótesis!$G$48=1,Hipótesis!$G$44,Hipótesis!$C$48*(1+Hipótesis!$D$45)^4)*(1+Hipótesis!$D$42),0)</f>
        <v>-6600</v>
      </c>
      <c r="BI44" s="100" t="n">
        <f aca="false">-IF(AND(59&gt;=Hipótesis!$D$48,Hipótesis!$B$48=1),IF(Hipótesis!$G$48=1,Hipótesis!$G$44,Hipótesis!$C$48*(1+Hipótesis!$D$45)^4)*(1+Hipótesis!$D$42),0)</f>
        <v>-6600</v>
      </c>
      <c r="BJ44" s="100" t="n">
        <f aca="false">-IF(AND(60&gt;=Hipótesis!$D$48,Hipótesis!$B$48=1),IF(Hipótesis!$G$48=1,Hipótesis!$G$44,Hipótesis!$C$48*(1+Hipótesis!$D$45)^4)*(1+Hipótesis!$D$42),0)</f>
        <v>-6600</v>
      </c>
      <c r="BK44" s="100" t="n">
        <f aca="false">-IF(AND(61&gt;=Hipótesis!$D$48,Hipótesis!$B$48=1),IF(Hipótesis!$G$48=1,Hipótesis!$H$44,Hipótesis!$C$48*(1+Hipótesis!$D$45)^5)*(1+Hipótesis!$D$42),0)</f>
        <v>-7260</v>
      </c>
      <c r="BL44" s="100" t="n">
        <f aca="false">-IF(AND(62&gt;=Hipótesis!$D$48,Hipótesis!$B$48=1),IF(Hipótesis!$G$48=1,Hipótesis!$H$44,Hipótesis!$C$48*(1+Hipótesis!$D$45)^5)*(1+Hipótesis!$D$42),0)</f>
        <v>-7260</v>
      </c>
      <c r="BM44" s="100" t="n">
        <f aca="false">-IF(AND(63&gt;=Hipótesis!$D$48,Hipótesis!$B$48=1),IF(Hipótesis!$G$48=1,Hipótesis!$H$44,Hipótesis!$C$48*(1+Hipótesis!$D$45)^5)*(1+Hipótesis!$D$42),0)</f>
        <v>-7260</v>
      </c>
      <c r="BN44" s="100" t="n">
        <f aca="false">-IF(AND(64&gt;=Hipótesis!$D$48,Hipótesis!$B$48=1),IF(Hipótesis!$G$48=1,Hipótesis!$H$44,Hipótesis!$C$48*(1+Hipótesis!$D$45)^5)*(1+Hipótesis!$D$42),0)</f>
        <v>-7260</v>
      </c>
      <c r="BO44" s="100" t="n">
        <f aca="false">-IF(AND(65&gt;=Hipótesis!$D$48,Hipótesis!$B$48=1),IF(Hipótesis!$G$48=1,Hipótesis!$H$44,Hipótesis!$C$48*(1+Hipótesis!$D$45)^5)*(1+Hipótesis!$D$42),0)</f>
        <v>-7260</v>
      </c>
      <c r="BP44" s="100" t="n">
        <f aca="false">-IF(AND(66&gt;=Hipótesis!$D$48,Hipótesis!$B$48=1),IF(Hipótesis!$G$48=1,Hipótesis!$H$44,Hipótesis!$C$48*(1+Hipótesis!$D$45)^5)*(1+Hipótesis!$D$42),0)</f>
        <v>-7260</v>
      </c>
      <c r="BQ44" s="100" t="n">
        <f aca="false">-IF(AND(67&gt;=Hipótesis!$D$48,Hipótesis!$B$48=1),IF(Hipótesis!$G$48=1,Hipótesis!$H$44,Hipótesis!$C$48*(1+Hipótesis!$D$45)^5)*(1+Hipótesis!$D$42),0)</f>
        <v>-7260</v>
      </c>
      <c r="BR44" s="100" t="n">
        <f aca="false">-IF(AND(68&gt;=Hipótesis!$D$48,Hipótesis!$B$48=1),IF(Hipótesis!$G$48=1,Hipótesis!$H$44,Hipótesis!$C$48*(1+Hipótesis!$D$45)^5)*(1+Hipótesis!$D$42),0)</f>
        <v>-7260</v>
      </c>
      <c r="BS44" s="100" t="n">
        <f aca="false">-IF(AND(69&gt;=Hipótesis!$D$48,Hipótesis!$B$48=1),IF(Hipótesis!$G$48=1,Hipótesis!$H$44,Hipótesis!$C$48*(1+Hipótesis!$D$45)^5)*(1+Hipótesis!$D$42),0)</f>
        <v>-7260</v>
      </c>
      <c r="BT44" s="100" t="n">
        <f aca="false">-IF(AND(70&gt;=Hipótesis!$D$48,Hipótesis!$B$48=1),IF(Hipótesis!$G$48=1,Hipótesis!$H$44,Hipótesis!$C$48*(1+Hipótesis!$D$45)^5)*(1+Hipótesis!$D$42),0)</f>
        <v>-7260</v>
      </c>
      <c r="BU44" s="100" t="n">
        <f aca="false">-IF(AND(71&gt;=Hipótesis!$D$48,Hipótesis!$B$48=1),IF(Hipótesis!$G$48=1,Hipótesis!$H$44,Hipótesis!$C$48*(1+Hipótesis!$D$45)^5)*(1+Hipótesis!$D$42),0)</f>
        <v>-7260</v>
      </c>
      <c r="BV44" s="100" t="n">
        <f aca="false">-IF(AND(72&gt;=Hipótesis!$D$48,Hipótesis!$B$48=1),IF(Hipótesis!$G$48=1,Hipótesis!$H$44,Hipótesis!$C$48*(1+Hipótesis!$D$45)^5)*(1+Hipótesis!$D$42),0)</f>
        <v>-7260</v>
      </c>
      <c r="BW44" s="100" t="n">
        <f aca="false">-IF(AND(73&gt;=Hipótesis!$D$48,Hipótesis!$B$48=1),IF(Hipótesis!$G$48=1,Hipótesis!$I$44,Hipótesis!$C$48*(1+Hipótesis!$D$45)^6)*(1+Hipótesis!$D$42),0)</f>
        <v>-7920</v>
      </c>
      <c r="BX44" s="100" t="n">
        <f aca="false">-IF(AND(74&gt;=Hipótesis!$D$48,Hipótesis!$B$48=1),IF(Hipótesis!$G$48=1,Hipótesis!$I$44,Hipótesis!$C$48*(1+Hipótesis!$D$45)^6)*(1+Hipótesis!$D$42),0)</f>
        <v>-7920</v>
      </c>
      <c r="BY44" s="100" t="n">
        <f aca="false">-IF(AND(75&gt;=Hipótesis!$D$48,Hipótesis!$B$48=1),IF(Hipótesis!$G$48=1,Hipótesis!$I$44,Hipótesis!$C$48*(1+Hipótesis!$D$45)^6)*(1+Hipótesis!$D$42),0)</f>
        <v>-7920</v>
      </c>
      <c r="BZ44" s="100" t="n">
        <f aca="false">-IF(AND(76&gt;=Hipótesis!$D$48,Hipótesis!$B$48=1),IF(Hipótesis!$G$48=1,Hipótesis!$I$44,Hipótesis!$C$48*(1+Hipótesis!$D$45)^6)*(1+Hipótesis!$D$42),0)</f>
        <v>-7920</v>
      </c>
      <c r="CA44" s="100" t="n">
        <f aca="false">-IF(AND(77&gt;=Hipótesis!$D$48,Hipótesis!$B$48=1),IF(Hipótesis!$G$48=1,Hipótesis!$I$44,Hipótesis!$C$48*(1+Hipótesis!$D$45)^6)*(1+Hipótesis!$D$42),0)</f>
        <v>-7920</v>
      </c>
      <c r="CB44" s="100" t="n">
        <f aca="false">-IF(AND(78&gt;=Hipótesis!$D$48,Hipótesis!$B$48=1),IF(Hipótesis!$G$48=1,Hipótesis!$I$44,Hipótesis!$C$48*(1+Hipótesis!$D$45)^6)*(1+Hipótesis!$D$42),0)</f>
        <v>-7920</v>
      </c>
      <c r="CC44" s="100" t="n">
        <f aca="false">-IF(AND(79&gt;=Hipótesis!$D$48,Hipótesis!$B$48=1),IF(Hipótesis!$G$48=1,Hipótesis!$I$44,Hipótesis!$C$48*(1+Hipótesis!$D$45)^6)*(1+Hipótesis!$D$42),0)</f>
        <v>-7920</v>
      </c>
      <c r="CD44" s="100" t="n">
        <f aca="false">-IF(AND(80&gt;=Hipótesis!$D$48,Hipótesis!$B$48=1),IF(Hipótesis!$G$48=1,Hipótesis!$I$44,Hipótesis!$C$48*(1+Hipótesis!$D$45)^6)*(1+Hipótesis!$D$42),0)</f>
        <v>-7920</v>
      </c>
      <c r="CE44" s="100" t="n">
        <f aca="false">-IF(AND(81&gt;=Hipótesis!$D$48,Hipótesis!$B$48=1),IF(Hipótesis!$G$48=1,Hipótesis!$I$44,Hipótesis!$C$48*(1+Hipótesis!$D$45)^6)*(1+Hipótesis!$D$42),0)</f>
        <v>-7920</v>
      </c>
      <c r="CF44" s="100" t="n">
        <f aca="false">-IF(AND(82&gt;=Hipótesis!$D$48,Hipótesis!$B$48=1),IF(Hipótesis!$G$48=1,Hipótesis!$I$44,Hipótesis!$C$48*(1+Hipótesis!$D$45)^6)*(1+Hipótesis!$D$42),0)</f>
        <v>-7920</v>
      </c>
      <c r="CG44" s="100" t="n">
        <f aca="false">-IF(AND(83&gt;=Hipótesis!$D$48,Hipótesis!$B$48=1),IF(Hipótesis!$G$48=1,Hipótesis!$I$44,Hipótesis!$C$48*(1+Hipótesis!$D$45)^6)*(1+Hipótesis!$D$42),0)</f>
        <v>-7920</v>
      </c>
      <c r="CH44" s="100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6" t="s">
        <v>522</v>
      </c>
      <c r="C45" s="100" t="n">
        <f aca="false">-IF(AND(1&gt;=Hipótesis!$D$49,Hipótesis!$B$49=1),IF(Hipótesis!$G$49=1,Hipótesis!$C$44,Hipótesis!$C$49*(1+Hipótesis!$D$45)^0)*(1+Hipótesis!$D$42),0)</f>
        <v>-2904</v>
      </c>
      <c r="D45" s="100" t="n">
        <f aca="false">-IF(AND(2&gt;=Hipótesis!$D$49,Hipótesis!$B$49=1),IF(Hipótesis!$G$49=1,Hipótesis!$C$44,Hipótesis!$C$49*(1+Hipótesis!$D$45)^0)*(1+Hipótesis!$D$42),0)</f>
        <v>-2904</v>
      </c>
      <c r="E45" s="100" t="n">
        <f aca="false">-IF(AND(3&gt;=Hipótesis!$D$49,Hipótesis!$B$49=1),IF(Hipótesis!$G$49=1,Hipótesis!$C$44,Hipótesis!$C$49*(1+Hipótesis!$D$45)^0)*(1+Hipótesis!$D$42),0)</f>
        <v>-2904</v>
      </c>
      <c r="F45" s="100" t="n">
        <f aca="false">-IF(AND(4&gt;=Hipótesis!$D$49,Hipótesis!$B$49=1),IF(Hipótesis!$G$49=1,Hipótesis!$C$44,Hipótesis!$C$49*(1+Hipótesis!$D$45)^0)*(1+Hipótesis!$D$42),0)</f>
        <v>-2904</v>
      </c>
      <c r="G45" s="100" t="n">
        <f aca="false">-IF(AND(5&gt;=Hipótesis!$D$49,Hipótesis!$B$49=1),IF(Hipótesis!$G$49=1,Hipótesis!$C$44,Hipótesis!$C$49*(1+Hipótesis!$D$45)^0)*(1+Hipótesis!$D$42),0)</f>
        <v>-2904</v>
      </c>
      <c r="H45" s="100" t="n">
        <f aca="false">-IF(AND(6&gt;=Hipótesis!$D$49,Hipótesis!$B$49=1),IF(Hipótesis!$G$49=1,Hipótesis!$C$44,Hipótesis!$C$49*(1+Hipótesis!$D$45)^0)*(1+Hipótesis!$D$42),0)</f>
        <v>-2904</v>
      </c>
      <c r="I45" s="100" t="n">
        <f aca="false">-IF(AND(7&gt;=Hipótesis!$D$49,Hipótesis!$B$49=1),IF(Hipótesis!$G$49=1,Hipótesis!$C$44,Hipótesis!$C$49*(1+Hipótesis!$D$45)^0)*(1+Hipótesis!$D$42),0)</f>
        <v>-2904</v>
      </c>
      <c r="J45" s="100" t="n">
        <f aca="false">-IF(AND(8&gt;=Hipótesis!$D$49,Hipótesis!$B$49=1),IF(Hipótesis!$G$49=1,Hipótesis!$C$44,Hipótesis!$C$49*(1+Hipótesis!$D$45)^0)*(1+Hipótesis!$D$42),0)</f>
        <v>-2904</v>
      </c>
      <c r="K45" s="100" t="n">
        <f aca="false">-IF(AND(9&gt;=Hipótesis!$D$49,Hipótesis!$B$49=1),IF(Hipótesis!$G$49=1,Hipótesis!$C$44,Hipótesis!$C$49*(1+Hipótesis!$D$45)^0)*(1+Hipótesis!$D$42),0)</f>
        <v>-2904</v>
      </c>
      <c r="L45" s="100" t="n">
        <f aca="false">-IF(AND(10&gt;=Hipótesis!$D$49,Hipótesis!$B$49=1),IF(Hipótesis!$G$49=1,Hipótesis!$C$44,Hipótesis!$C$49*(1+Hipótesis!$D$45)^0)*(1+Hipótesis!$D$42),0)</f>
        <v>-2904</v>
      </c>
      <c r="M45" s="100" t="n">
        <f aca="false">-IF(AND(11&gt;=Hipótesis!$D$49,Hipótesis!$B$49=1),IF(Hipótesis!$G$49=1,Hipótesis!$C$44,Hipótesis!$C$49*(1+Hipótesis!$D$45)^0)*(1+Hipótesis!$D$42),0)</f>
        <v>-2904</v>
      </c>
      <c r="N45" s="100" t="n">
        <f aca="false">-IF(AND(12&gt;=Hipótesis!$D$49,Hipótesis!$B$49=1),IF(Hipótesis!$G$49=1,Hipótesis!$C$44,Hipótesis!$C$49*(1+Hipótesis!$D$45)^0)*(1+Hipótesis!$D$42),0)</f>
        <v>-2904</v>
      </c>
      <c r="O45" s="100" t="n">
        <f aca="false">-IF(AND(13&gt;=Hipótesis!$D$49,Hipótesis!$B$49=1),IF(Hipótesis!$G$49=1,Hipótesis!$D$44,Hipótesis!$C$49*(1+Hipótesis!$D$45)^1)*(1+Hipótesis!$D$42),0)</f>
        <v>-4620</v>
      </c>
      <c r="P45" s="100" t="n">
        <f aca="false">-IF(AND(14&gt;=Hipótesis!$D$49,Hipótesis!$B$49=1),IF(Hipótesis!$G$49=1,Hipótesis!$D$44,Hipótesis!$C$49*(1+Hipótesis!$D$45)^1)*(1+Hipótesis!$D$42),0)</f>
        <v>-4620</v>
      </c>
      <c r="Q45" s="100" t="n">
        <f aca="false">-IF(AND(15&gt;=Hipótesis!$D$49,Hipótesis!$B$49=1),IF(Hipótesis!$G$49=1,Hipótesis!$D$44,Hipótesis!$C$49*(1+Hipótesis!$D$45)^1)*(1+Hipótesis!$D$42),0)</f>
        <v>-4620</v>
      </c>
      <c r="R45" s="100" t="n">
        <f aca="false">-IF(AND(16&gt;=Hipótesis!$D$49,Hipótesis!$B$49=1),IF(Hipótesis!$G$49=1,Hipótesis!$D$44,Hipótesis!$C$49*(1+Hipótesis!$D$45)^1)*(1+Hipótesis!$D$42),0)</f>
        <v>-4620</v>
      </c>
      <c r="S45" s="100" t="n">
        <f aca="false">-IF(AND(17&gt;=Hipótesis!$D$49,Hipótesis!$B$49=1),IF(Hipótesis!$G$49=1,Hipótesis!$D$44,Hipótesis!$C$49*(1+Hipótesis!$D$45)^1)*(1+Hipótesis!$D$42),0)</f>
        <v>-4620</v>
      </c>
      <c r="T45" s="100" t="n">
        <f aca="false">-IF(AND(18&gt;=Hipótesis!$D$49,Hipótesis!$B$49=1),IF(Hipótesis!$G$49=1,Hipótesis!$D$44,Hipótesis!$C$49*(1+Hipótesis!$D$45)^1)*(1+Hipótesis!$D$42),0)</f>
        <v>-4620</v>
      </c>
      <c r="U45" s="100" t="n">
        <f aca="false">-IF(AND(19&gt;=Hipótesis!$D$49,Hipótesis!$B$49=1),IF(Hipótesis!$G$49=1,Hipótesis!$D$44,Hipótesis!$C$49*(1+Hipótesis!$D$45)^1)*(1+Hipótesis!$D$42),0)</f>
        <v>-4620</v>
      </c>
      <c r="V45" s="100" t="n">
        <f aca="false">-IF(AND(20&gt;=Hipótesis!$D$49,Hipótesis!$B$49=1),IF(Hipótesis!$G$49=1,Hipótesis!$D$44,Hipótesis!$C$49*(1+Hipótesis!$D$45)^1)*(1+Hipótesis!$D$42),0)</f>
        <v>-4620</v>
      </c>
      <c r="W45" s="100" t="n">
        <f aca="false">-IF(AND(21&gt;=Hipótesis!$D$49,Hipótesis!$B$49=1),IF(Hipótesis!$G$49=1,Hipótesis!$D$44,Hipótesis!$C$49*(1+Hipótesis!$D$45)^1)*(1+Hipótesis!$D$42),0)</f>
        <v>-4620</v>
      </c>
      <c r="X45" s="100" t="n">
        <f aca="false">-IF(AND(22&gt;=Hipótesis!$D$49,Hipótesis!$B$49=1),IF(Hipótesis!$G$49=1,Hipótesis!$D$44,Hipótesis!$C$49*(1+Hipótesis!$D$45)^1)*(1+Hipótesis!$D$42),0)</f>
        <v>-4620</v>
      </c>
      <c r="Y45" s="100" t="n">
        <f aca="false">-IF(AND(23&gt;=Hipótesis!$D$49,Hipótesis!$B$49=1),IF(Hipótesis!$G$49=1,Hipótesis!$D$44,Hipótesis!$C$49*(1+Hipótesis!$D$45)^1)*(1+Hipótesis!$D$42),0)</f>
        <v>-4620</v>
      </c>
      <c r="Z45" s="100" t="n">
        <f aca="false">-IF(AND(24&gt;=Hipótesis!$D$49,Hipótesis!$B$49=1),IF(Hipótesis!$G$49=1,Hipótesis!$D$44,Hipótesis!$C$49*(1+Hipótesis!$D$45)^1)*(1+Hipótesis!$D$42),0)</f>
        <v>-4620</v>
      </c>
      <c r="AA45" s="100" t="n">
        <f aca="false">-IF(AND(25&gt;=Hipótesis!$D$49,Hipótesis!$B$49=1),IF(Hipótesis!$G$49=1,Hipótesis!$E$44,Hipótesis!$C$49*(1+Hipótesis!$D$45)^2)*(1+Hipótesis!$D$42),0)</f>
        <v>-5280</v>
      </c>
      <c r="AB45" s="100" t="n">
        <f aca="false">-IF(AND(26&gt;=Hipótesis!$D$49,Hipótesis!$B$49=1),IF(Hipótesis!$G$49=1,Hipótesis!$E$44,Hipótesis!$C$49*(1+Hipótesis!$D$45)^2)*(1+Hipótesis!$D$42),0)</f>
        <v>-5280</v>
      </c>
      <c r="AC45" s="100" t="n">
        <f aca="false">-IF(AND(27&gt;=Hipótesis!$D$49,Hipótesis!$B$49=1),IF(Hipótesis!$G$49=1,Hipótesis!$E$44,Hipótesis!$C$49*(1+Hipótesis!$D$45)^2)*(1+Hipótesis!$D$42),0)</f>
        <v>-5280</v>
      </c>
      <c r="AD45" s="100" t="n">
        <f aca="false">-IF(AND(28&gt;=Hipótesis!$D$49,Hipótesis!$B$49=1),IF(Hipótesis!$G$49=1,Hipótesis!$E$44,Hipótesis!$C$49*(1+Hipótesis!$D$45)^2)*(1+Hipótesis!$D$42),0)</f>
        <v>-5280</v>
      </c>
      <c r="AE45" s="100" t="n">
        <f aca="false">-IF(AND(29&gt;=Hipótesis!$D$49,Hipótesis!$B$49=1),IF(Hipótesis!$G$49=1,Hipótesis!$E$44,Hipótesis!$C$49*(1+Hipótesis!$D$45)^2)*(1+Hipótesis!$D$42),0)</f>
        <v>-5280</v>
      </c>
      <c r="AF45" s="100" t="n">
        <f aca="false">-IF(AND(30&gt;=Hipótesis!$D$49,Hipótesis!$B$49=1),IF(Hipótesis!$G$49=1,Hipótesis!$E$44,Hipótesis!$C$49*(1+Hipótesis!$D$45)^2)*(1+Hipótesis!$D$42),0)</f>
        <v>-5280</v>
      </c>
      <c r="AG45" s="100" t="n">
        <f aca="false">-IF(AND(31&gt;=Hipótesis!$D$49,Hipótesis!$B$49=1),IF(Hipótesis!$G$49=1,Hipótesis!$E$44,Hipótesis!$C$49*(1+Hipótesis!$D$45)^2)*(1+Hipótesis!$D$42),0)</f>
        <v>-5280</v>
      </c>
      <c r="AH45" s="100" t="n">
        <f aca="false">-IF(AND(32&gt;=Hipótesis!$D$49,Hipótesis!$B$49=1),IF(Hipótesis!$G$49=1,Hipótesis!$E$44,Hipótesis!$C$49*(1+Hipótesis!$D$45)^2)*(1+Hipótesis!$D$42),0)</f>
        <v>-5280</v>
      </c>
      <c r="AI45" s="100" t="n">
        <f aca="false">-IF(AND(33&gt;=Hipótesis!$D$49,Hipótesis!$B$49=1),IF(Hipótesis!$G$49=1,Hipótesis!$E$44,Hipótesis!$C$49*(1+Hipótesis!$D$45)^2)*(1+Hipótesis!$D$42),0)</f>
        <v>-5280</v>
      </c>
      <c r="AJ45" s="100" t="n">
        <f aca="false">-IF(AND(34&gt;=Hipótesis!$D$49,Hipótesis!$B$49=1),IF(Hipótesis!$G$49=1,Hipótesis!$E$44,Hipótesis!$C$49*(1+Hipótesis!$D$45)^2)*(1+Hipótesis!$D$42),0)</f>
        <v>-5280</v>
      </c>
      <c r="AK45" s="100" t="n">
        <f aca="false">-IF(AND(35&gt;=Hipótesis!$D$49,Hipótesis!$B$49=1),IF(Hipótesis!$G$49=1,Hipótesis!$E$44,Hipótesis!$C$49*(1+Hipótesis!$D$45)^2)*(1+Hipótesis!$D$42),0)</f>
        <v>-5280</v>
      </c>
      <c r="AL45" s="100" t="n">
        <f aca="false">-IF(AND(36&gt;=Hipótesis!$D$49,Hipótesis!$B$49=1),IF(Hipótesis!$G$49=1,Hipótesis!$E$44,Hipótesis!$C$49*(1+Hipótesis!$D$45)^2)*(1+Hipótesis!$D$42),0)</f>
        <v>-5280</v>
      </c>
      <c r="AM45" s="100" t="n">
        <f aca="false">-IF(AND(37&gt;=Hipótesis!$D$49,Hipótesis!$B$49=1),IF(Hipótesis!$G$49=1,Hipótesis!$F$44,Hipótesis!$C$49*(1+Hipótesis!$D$45)^3)*(1+Hipótesis!$D$42),0)</f>
        <v>-5940</v>
      </c>
      <c r="AN45" s="100" t="n">
        <f aca="false">-IF(AND(38&gt;=Hipótesis!$D$49,Hipótesis!$B$49=1),IF(Hipótesis!$G$49=1,Hipótesis!$F$44,Hipótesis!$C$49*(1+Hipótesis!$D$45)^3)*(1+Hipótesis!$D$42),0)</f>
        <v>-5940</v>
      </c>
      <c r="AO45" s="100" t="n">
        <f aca="false">-IF(AND(39&gt;=Hipótesis!$D$49,Hipótesis!$B$49=1),IF(Hipótesis!$G$49=1,Hipótesis!$F$44,Hipótesis!$C$49*(1+Hipótesis!$D$45)^3)*(1+Hipótesis!$D$42),0)</f>
        <v>-5940</v>
      </c>
      <c r="AP45" s="100" t="n">
        <f aca="false">-IF(AND(40&gt;=Hipótesis!$D$49,Hipótesis!$B$49=1),IF(Hipótesis!$G$49=1,Hipótesis!$F$44,Hipótesis!$C$49*(1+Hipótesis!$D$45)^3)*(1+Hipótesis!$D$42),0)</f>
        <v>-5940</v>
      </c>
      <c r="AQ45" s="100" t="n">
        <f aca="false">-IF(AND(41&gt;=Hipótesis!$D$49,Hipótesis!$B$49=1),IF(Hipótesis!$G$49=1,Hipótesis!$F$44,Hipótesis!$C$49*(1+Hipótesis!$D$45)^3)*(1+Hipótesis!$D$42),0)</f>
        <v>-5940</v>
      </c>
      <c r="AR45" s="100" t="n">
        <f aca="false">-IF(AND(42&gt;=Hipótesis!$D$49,Hipótesis!$B$49=1),IF(Hipótesis!$G$49=1,Hipótesis!$F$44,Hipótesis!$C$49*(1+Hipótesis!$D$45)^3)*(1+Hipótesis!$D$42),0)</f>
        <v>-5940</v>
      </c>
      <c r="AS45" s="100" t="n">
        <f aca="false">-IF(AND(43&gt;=Hipótesis!$D$49,Hipótesis!$B$49=1),IF(Hipótesis!$G$49=1,Hipótesis!$F$44,Hipótesis!$C$49*(1+Hipótesis!$D$45)^3)*(1+Hipótesis!$D$42),0)</f>
        <v>-5940</v>
      </c>
      <c r="AT45" s="100" t="n">
        <f aca="false">-IF(AND(44&gt;=Hipótesis!$D$49,Hipótesis!$B$49=1),IF(Hipótesis!$G$49=1,Hipótesis!$F$44,Hipótesis!$C$49*(1+Hipótesis!$D$45)^3)*(1+Hipótesis!$D$42),0)</f>
        <v>-5940</v>
      </c>
      <c r="AU45" s="100" t="n">
        <f aca="false">-IF(AND(45&gt;=Hipótesis!$D$49,Hipótesis!$B$49=1),IF(Hipótesis!$G$49=1,Hipótesis!$F$44,Hipótesis!$C$49*(1+Hipótesis!$D$45)^3)*(1+Hipótesis!$D$42),0)</f>
        <v>-5940</v>
      </c>
      <c r="AV45" s="100" t="n">
        <f aca="false">-IF(AND(46&gt;=Hipótesis!$D$49,Hipótesis!$B$49=1),IF(Hipótesis!$G$49=1,Hipótesis!$F$44,Hipótesis!$C$49*(1+Hipótesis!$D$45)^3)*(1+Hipótesis!$D$42),0)</f>
        <v>-5940</v>
      </c>
      <c r="AW45" s="100" t="n">
        <f aca="false">-IF(AND(47&gt;=Hipótesis!$D$49,Hipótesis!$B$49=1),IF(Hipótesis!$G$49=1,Hipótesis!$F$44,Hipótesis!$C$49*(1+Hipótesis!$D$45)^3)*(1+Hipótesis!$D$42),0)</f>
        <v>-5940</v>
      </c>
      <c r="AX45" s="100" t="n">
        <f aca="false">-IF(AND(48&gt;=Hipótesis!$D$49,Hipótesis!$B$49=1),IF(Hipótesis!$G$49=1,Hipótesis!$F$44,Hipótesis!$C$49*(1+Hipótesis!$D$45)^3)*(1+Hipótesis!$D$42),0)</f>
        <v>-5940</v>
      </c>
      <c r="AY45" s="100" t="n">
        <f aca="false">-IF(AND(49&gt;=Hipótesis!$D$49,Hipótesis!$B$49=1),IF(Hipótesis!$G$49=1,Hipótesis!$G$44,Hipótesis!$C$49*(1+Hipótesis!$D$45)^4)*(1+Hipótesis!$D$42),0)</f>
        <v>-6600</v>
      </c>
      <c r="AZ45" s="100" t="n">
        <f aca="false">-IF(AND(50&gt;=Hipótesis!$D$49,Hipótesis!$B$49=1),IF(Hipótesis!$G$49=1,Hipótesis!$G$44,Hipótesis!$C$49*(1+Hipótesis!$D$45)^4)*(1+Hipótesis!$D$42),0)</f>
        <v>-6600</v>
      </c>
      <c r="BA45" s="100" t="n">
        <f aca="false">-IF(AND(51&gt;=Hipótesis!$D$49,Hipótesis!$B$49=1),IF(Hipótesis!$G$49=1,Hipótesis!$G$44,Hipótesis!$C$49*(1+Hipótesis!$D$45)^4)*(1+Hipótesis!$D$42),0)</f>
        <v>-6600</v>
      </c>
      <c r="BB45" s="100" t="n">
        <f aca="false">-IF(AND(52&gt;=Hipótesis!$D$49,Hipótesis!$B$49=1),IF(Hipótesis!$G$49=1,Hipótesis!$G$44,Hipótesis!$C$49*(1+Hipótesis!$D$45)^4)*(1+Hipótesis!$D$42),0)</f>
        <v>-6600</v>
      </c>
      <c r="BC45" s="100" t="n">
        <f aca="false">-IF(AND(53&gt;=Hipótesis!$D$49,Hipótesis!$B$49=1),IF(Hipótesis!$G$49=1,Hipótesis!$G$44,Hipótesis!$C$49*(1+Hipótesis!$D$45)^4)*(1+Hipótesis!$D$42),0)</f>
        <v>-6600</v>
      </c>
      <c r="BD45" s="100" t="n">
        <f aca="false">-IF(AND(54&gt;=Hipótesis!$D$49,Hipótesis!$B$49=1),IF(Hipótesis!$G$49=1,Hipótesis!$G$44,Hipótesis!$C$49*(1+Hipótesis!$D$45)^4)*(1+Hipótesis!$D$42),0)</f>
        <v>-6600</v>
      </c>
      <c r="BE45" s="100" t="n">
        <f aca="false">-IF(AND(55&gt;=Hipótesis!$D$49,Hipótesis!$B$49=1),IF(Hipótesis!$G$49=1,Hipótesis!$G$44,Hipótesis!$C$49*(1+Hipótesis!$D$45)^4)*(1+Hipótesis!$D$42),0)</f>
        <v>-6600</v>
      </c>
      <c r="BF45" s="100" t="n">
        <f aca="false">-IF(AND(56&gt;=Hipótesis!$D$49,Hipótesis!$B$49=1),IF(Hipótesis!$G$49=1,Hipótesis!$G$44,Hipótesis!$C$49*(1+Hipótesis!$D$45)^4)*(1+Hipótesis!$D$42),0)</f>
        <v>-6600</v>
      </c>
      <c r="BG45" s="100" t="n">
        <f aca="false">-IF(AND(57&gt;=Hipótesis!$D$49,Hipótesis!$B$49=1),IF(Hipótesis!$G$49=1,Hipótesis!$G$44,Hipótesis!$C$49*(1+Hipótesis!$D$45)^4)*(1+Hipótesis!$D$42),0)</f>
        <v>-6600</v>
      </c>
      <c r="BH45" s="100" t="n">
        <f aca="false">-IF(AND(58&gt;=Hipótesis!$D$49,Hipótesis!$B$49=1),IF(Hipótesis!$G$49=1,Hipótesis!$G$44,Hipótesis!$C$49*(1+Hipótesis!$D$45)^4)*(1+Hipótesis!$D$42),0)</f>
        <v>-6600</v>
      </c>
      <c r="BI45" s="100" t="n">
        <f aca="false">-IF(AND(59&gt;=Hipótesis!$D$49,Hipótesis!$B$49=1),IF(Hipótesis!$G$49=1,Hipótesis!$G$44,Hipótesis!$C$49*(1+Hipótesis!$D$45)^4)*(1+Hipótesis!$D$42),0)</f>
        <v>-6600</v>
      </c>
      <c r="BJ45" s="100" t="n">
        <f aca="false">-IF(AND(60&gt;=Hipótesis!$D$49,Hipótesis!$B$49=1),IF(Hipótesis!$G$49=1,Hipótesis!$G$44,Hipótesis!$C$49*(1+Hipótesis!$D$45)^4)*(1+Hipótesis!$D$42),0)</f>
        <v>-6600</v>
      </c>
      <c r="BK45" s="100" t="n">
        <f aca="false">-IF(AND(61&gt;=Hipótesis!$D$49,Hipótesis!$B$49=1),IF(Hipótesis!$G$49=1,Hipótesis!$H$44,Hipótesis!$C$49*(1+Hipótesis!$D$45)^5)*(1+Hipótesis!$D$42),0)</f>
        <v>-7260</v>
      </c>
      <c r="BL45" s="100" t="n">
        <f aca="false">-IF(AND(62&gt;=Hipótesis!$D$49,Hipótesis!$B$49=1),IF(Hipótesis!$G$49=1,Hipótesis!$H$44,Hipótesis!$C$49*(1+Hipótesis!$D$45)^5)*(1+Hipótesis!$D$42),0)</f>
        <v>-7260</v>
      </c>
      <c r="BM45" s="100" t="n">
        <f aca="false">-IF(AND(63&gt;=Hipótesis!$D$49,Hipótesis!$B$49=1),IF(Hipótesis!$G$49=1,Hipótesis!$H$44,Hipótesis!$C$49*(1+Hipótesis!$D$45)^5)*(1+Hipótesis!$D$42),0)</f>
        <v>-7260</v>
      </c>
      <c r="BN45" s="100" t="n">
        <f aca="false">-IF(AND(64&gt;=Hipótesis!$D$49,Hipótesis!$B$49=1),IF(Hipótesis!$G$49=1,Hipótesis!$H$44,Hipótesis!$C$49*(1+Hipótesis!$D$45)^5)*(1+Hipótesis!$D$42),0)</f>
        <v>-7260</v>
      </c>
      <c r="BO45" s="100" t="n">
        <f aca="false">-IF(AND(65&gt;=Hipótesis!$D$49,Hipótesis!$B$49=1),IF(Hipótesis!$G$49=1,Hipótesis!$H$44,Hipótesis!$C$49*(1+Hipótesis!$D$45)^5)*(1+Hipótesis!$D$42),0)</f>
        <v>-7260</v>
      </c>
      <c r="BP45" s="100" t="n">
        <f aca="false">-IF(AND(66&gt;=Hipótesis!$D$49,Hipótesis!$B$49=1),IF(Hipótesis!$G$49=1,Hipótesis!$H$44,Hipótesis!$C$49*(1+Hipótesis!$D$45)^5)*(1+Hipótesis!$D$42),0)</f>
        <v>-7260</v>
      </c>
      <c r="BQ45" s="100" t="n">
        <f aca="false">-IF(AND(67&gt;=Hipótesis!$D$49,Hipótesis!$B$49=1),IF(Hipótesis!$G$49=1,Hipótesis!$H$44,Hipótesis!$C$49*(1+Hipótesis!$D$45)^5)*(1+Hipótesis!$D$42),0)</f>
        <v>-7260</v>
      </c>
      <c r="BR45" s="100" t="n">
        <f aca="false">-IF(AND(68&gt;=Hipótesis!$D$49,Hipótesis!$B$49=1),IF(Hipótesis!$G$49=1,Hipótesis!$H$44,Hipótesis!$C$49*(1+Hipótesis!$D$45)^5)*(1+Hipótesis!$D$42),0)</f>
        <v>-7260</v>
      </c>
      <c r="BS45" s="100" t="n">
        <f aca="false">-IF(AND(69&gt;=Hipótesis!$D$49,Hipótesis!$B$49=1),IF(Hipótesis!$G$49=1,Hipótesis!$H$44,Hipótesis!$C$49*(1+Hipótesis!$D$45)^5)*(1+Hipótesis!$D$42),0)</f>
        <v>-7260</v>
      </c>
      <c r="BT45" s="100" t="n">
        <f aca="false">-IF(AND(70&gt;=Hipótesis!$D$49,Hipótesis!$B$49=1),IF(Hipótesis!$G$49=1,Hipótesis!$H$44,Hipótesis!$C$49*(1+Hipótesis!$D$45)^5)*(1+Hipótesis!$D$42),0)</f>
        <v>-7260</v>
      </c>
      <c r="BU45" s="100" t="n">
        <f aca="false">-IF(AND(71&gt;=Hipótesis!$D$49,Hipótesis!$B$49=1),IF(Hipótesis!$G$49=1,Hipótesis!$H$44,Hipótesis!$C$49*(1+Hipótesis!$D$45)^5)*(1+Hipótesis!$D$42),0)</f>
        <v>-7260</v>
      </c>
      <c r="BV45" s="100" t="n">
        <f aca="false">-IF(AND(72&gt;=Hipótesis!$D$49,Hipótesis!$B$49=1),IF(Hipótesis!$G$49=1,Hipótesis!$H$44,Hipótesis!$C$49*(1+Hipótesis!$D$45)^5)*(1+Hipótesis!$D$42),0)</f>
        <v>-7260</v>
      </c>
      <c r="BW45" s="100" t="n">
        <f aca="false">-IF(AND(73&gt;=Hipótesis!$D$49,Hipótesis!$B$49=1),IF(Hipótesis!$G$49=1,Hipótesis!$I$44,Hipótesis!$C$49*(1+Hipótesis!$D$45)^6)*(1+Hipótesis!$D$42),0)</f>
        <v>-7920</v>
      </c>
      <c r="BX45" s="100" t="n">
        <f aca="false">-IF(AND(74&gt;=Hipótesis!$D$49,Hipótesis!$B$49=1),IF(Hipótesis!$G$49=1,Hipótesis!$I$44,Hipótesis!$C$49*(1+Hipótesis!$D$45)^6)*(1+Hipótesis!$D$42),0)</f>
        <v>-7920</v>
      </c>
      <c r="BY45" s="100" t="n">
        <f aca="false">-IF(AND(75&gt;=Hipótesis!$D$49,Hipótesis!$B$49=1),IF(Hipótesis!$G$49=1,Hipótesis!$I$44,Hipótesis!$C$49*(1+Hipótesis!$D$45)^6)*(1+Hipótesis!$D$42),0)</f>
        <v>-7920</v>
      </c>
      <c r="BZ45" s="100" t="n">
        <f aca="false">-IF(AND(76&gt;=Hipótesis!$D$49,Hipótesis!$B$49=1),IF(Hipótesis!$G$49=1,Hipótesis!$I$44,Hipótesis!$C$49*(1+Hipótesis!$D$45)^6)*(1+Hipótesis!$D$42),0)</f>
        <v>-7920</v>
      </c>
      <c r="CA45" s="100" t="n">
        <f aca="false">-IF(AND(77&gt;=Hipótesis!$D$49,Hipótesis!$B$49=1),IF(Hipótesis!$G$49=1,Hipótesis!$I$44,Hipótesis!$C$49*(1+Hipótesis!$D$45)^6)*(1+Hipótesis!$D$42),0)</f>
        <v>-7920</v>
      </c>
      <c r="CB45" s="100" t="n">
        <f aca="false">-IF(AND(78&gt;=Hipótesis!$D$49,Hipótesis!$B$49=1),IF(Hipótesis!$G$49=1,Hipótesis!$I$44,Hipótesis!$C$49*(1+Hipótesis!$D$45)^6)*(1+Hipótesis!$D$42),0)</f>
        <v>-7920</v>
      </c>
      <c r="CC45" s="100" t="n">
        <f aca="false">-IF(AND(79&gt;=Hipótesis!$D$49,Hipótesis!$B$49=1),IF(Hipótesis!$G$49=1,Hipótesis!$I$44,Hipótesis!$C$49*(1+Hipótesis!$D$45)^6)*(1+Hipótesis!$D$42),0)</f>
        <v>-7920</v>
      </c>
      <c r="CD45" s="100" t="n">
        <f aca="false">-IF(AND(80&gt;=Hipótesis!$D$49,Hipótesis!$B$49=1),IF(Hipótesis!$G$49=1,Hipótesis!$I$44,Hipótesis!$C$49*(1+Hipótesis!$D$45)^6)*(1+Hipótesis!$D$42),0)</f>
        <v>-7920</v>
      </c>
      <c r="CE45" s="100" t="n">
        <f aca="false">-IF(AND(81&gt;=Hipótesis!$D$49,Hipótesis!$B$49=1),IF(Hipótesis!$G$49=1,Hipótesis!$I$44,Hipótesis!$C$49*(1+Hipótesis!$D$45)^6)*(1+Hipótesis!$D$42),0)</f>
        <v>-7920</v>
      </c>
      <c r="CF45" s="100" t="n">
        <f aca="false">-IF(AND(82&gt;=Hipótesis!$D$49,Hipótesis!$B$49=1),IF(Hipótesis!$G$49=1,Hipótesis!$I$44,Hipótesis!$C$49*(1+Hipótesis!$D$45)^6)*(1+Hipótesis!$D$42),0)</f>
        <v>-7920</v>
      </c>
      <c r="CG45" s="100" t="n">
        <f aca="false">-IF(AND(83&gt;=Hipótesis!$D$49,Hipótesis!$B$49=1),IF(Hipótesis!$G$49=1,Hipótesis!$I$44,Hipótesis!$C$49*(1+Hipótesis!$D$45)^6)*(1+Hipótesis!$D$42),0)</f>
        <v>-7920</v>
      </c>
      <c r="CH45" s="100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6" t="s">
        <v>523</v>
      </c>
      <c r="C46" s="100" t="n">
        <f aca="false">-IF(AND(1&gt;=Hipótesis!$D$50,Hipótesis!$B$50=1),IF(Hipótesis!$G$50=1,Hipótesis!$C$44,Hipótesis!$C$50*(1+Hipótesis!$D$45)^0)*(1+Hipótesis!$D$42),0)</f>
        <v>-2904</v>
      </c>
      <c r="D46" s="100" t="n">
        <f aca="false">-IF(AND(2&gt;=Hipótesis!$D$50,Hipótesis!$B$50=1),IF(Hipótesis!$G$50=1,Hipótesis!$C$44,Hipótesis!$C$50*(1+Hipótesis!$D$45)^0)*(1+Hipótesis!$D$42),0)</f>
        <v>-2904</v>
      </c>
      <c r="E46" s="100" t="n">
        <f aca="false">-IF(AND(3&gt;=Hipótesis!$D$50,Hipótesis!$B$50=1),IF(Hipótesis!$G$50=1,Hipótesis!$C$44,Hipótesis!$C$50*(1+Hipótesis!$D$45)^0)*(1+Hipótesis!$D$42),0)</f>
        <v>-2904</v>
      </c>
      <c r="F46" s="100" t="n">
        <f aca="false">-IF(AND(4&gt;=Hipótesis!$D$50,Hipótesis!$B$50=1),IF(Hipótesis!$G$50=1,Hipótesis!$C$44,Hipótesis!$C$50*(1+Hipótesis!$D$45)^0)*(1+Hipótesis!$D$42),0)</f>
        <v>-2904</v>
      </c>
      <c r="G46" s="100" t="n">
        <f aca="false">-IF(AND(5&gt;=Hipótesis!$D$50,Hipótesis!$B$50=1),IF(Hipótesis!$G$50=1,Hipótesis!$C$44,Hipótesis!$C$50*(1+Hipótesis!$D$45)^0)*(1+Hipótesis!$D$42),0)</f>
        <v>-2904</v>
      </c>
      <c r="H46" s="100" t="n">
        <f aca="false">-IF(AND(6&gt;=Hipótesis!$D$50,Hipótesis!$B$50=1),IF(Hipótesis!$G$50=1,Hipótesis!$C$44,Hipótesis!$C$50*(1+Hipótesis!$D$45)^0)*(1+Hipótesis!$D$42),0)</f>
        <v>-2904</v>
      </c>
      <c r="I46" s="100" t="n">
        <f aca="false">-IF(AND(7&gt;=Hipótesis!$D$50,Hipótesis!$B$50=1),IF(Hipótesis!$G$50=1,Hipótesis!$C$44,Hipótesis!$C$50*(1+Hipótesis!$D$45)^0)*(1+Hipótesis!$D$42),0)</f>
        <v>-2904</v>
      </c>
      <c r="J46" s="100" t="n">
        <f aca="false">-IF(AND(8&gt;=Hipótesis!$D$50,Hipótesis!$B$50=1),IF(Hipótesis!$G$50=1,Hipótesis!$C$44,Hipótesis!$C$50*(1+Hipótesis!$D$45)^0)*(1+Hipótesis!$D$42),0)</f>
        <v>-2904</v>
      </c>
      <c r="K46" s="100" t="n">
        <f aca="false">-IF(AND(9&gt;=Hipótesis!$D$50,Hipótesis!$B$50=1),IF(Hipótesis!$G$50=1,Hipótesis!$C$44,Hipótesis!$C$50*(1+Hipótesis!$D$45)^0)*(1+Hipótesis!$D$42),0)</f>
        <v>-2904</v>
      </c>
      <c r="L46" s="100" t="n">
        <f aca="false">-IF(AND(10&gt;=Hipótesis!$D$50,Hipótesis!$B$50=1),IF(Hipótesis!$G$50=1,Hipótesis!$C$44,Hipótesis!$C$50*(1+Hipótesis!$D$45)^0)*(1+Hipótesis!$D$42),0)</f>
        <v>-2904</v>
      </c>
      <c r="M46" s="100" t="n">
        <f aca="false">-IF(AND(11&gt;=Hipótesis!$D$50,Hipótesis!$B$50=1),IF(Hipótesis!$G$50=1,Hipótesis!$C$44,Hipótesis!$C$50*(1+Hipótesis!$D$45)^0)*(1+Hipótesis!$D$42),0)</f>
        <v>-2904</v>
      </c>
      <c r="N46" s="100" t="n">
        <f aca="false">-IF(AND(12&gt;=Hipótesis!$D$50,Hipótesis!$B$50=1),IF(Hipótesis!$G$50=1,Hipótesis!$C$44,Hipótesis!$C$50*(1+Hipótesis!$D$45)^0)*(1+Hipótesis!$D$42),0)</f>
        <v>-2904</v>
      </c>
      <c r="O46" s="100" t="n">
        <f aca="false">-IF(AND(13&gt;=Hipótesis!$D$50,Hipótesis!$B$50=1),IF(Hipótesis!$G$50=1,Hipótesis!$D$44,Hipótesis!$C$50*(1+Hipótesis!$D$45)^1)*(1+Hipótesis!$D$42),0)</f>
        <v>-4620</v>
      </c>
      <c r="P46" s="100" t="n">
        <f aca="false">-IF(AND(14&gt;=Hipótesis!$D$50,Hipótesis!$B$50=1),IF(Hipótesis!$G$50=1,Hipótesis!$D$44,Hipótesis!$C$50*(1+Hipótesis!$D$45)^1)*(1+Hipótesis!$D$42),0)</f>
        <v>-4620</v>
      </c>
      <c r="Q46" s="100" t="n">
        <f aca="false">-IF(AND(15&gt;=Hipótesis!$D$50,Hipótesis!$B$50=1),IF(Hipótesis!$G$50=1,Hipótesis!$D$44,Hipótesis!$C$50*(1+Hipótesis!$D$45)^1)*(1+Hipótesis!$D$42),0)</f>
        <v>-4620</v>
      </c>
      <c r="R46" s="100" t="n">
        <f aca="false">-IF(AND(16&gt;=Hipótesis!$D$50,Hipótesis!$B$50=1),IF(Hipótesis!$G$50=1,Hipótesis!$D$44,Hipótesis!$C$50*(1+Hipótesis!$D$45)^1)*(1+Hipótesis!$D$42),0)</f>
        <v>-4620</v>
      </c>
      <c r="S46" s="100" t="n">
        <f aca="false">-IF(AND(17&gt;=Hipótesis!$D$50,Hipótesis!$B$50=1),IF(Hipótesis!$G$50=1,Hipótesis!$D$44,Hipótesis!$C$50*(1+Hipótesis!$D$45)^1)*(1+Hipótesis!$D$42),0)</f>
        <v>-4620</v>
      </c>
      <c r="T46" s="100" t="n">
        <f aca="false">-IF(AND(18&gt;=Hipótesis!$D$50,Hipótesis!$B$50=1),IF(Hipótesis!$G$50=1,Hipótesis!$D$44,Hipótesis!$C$50*(1+Hipótesis!$D$45)^1)*(1+Hipótesis!$D$42),0)</f>
        <v>-4620</v>
      </c>
      <c r="U46" s="100" t="n">
        <f aca="false">-IF(AND(19&gt;=Hipótesis!$D$50,Hipótesis!$B$50=1),IF(Hipótesis!$G$50=1,Hipótesis!$D$44,Hipótesis!$C$50*(1+Hipótesis!$D$45)^1)*(1+Hipótesis!$D$42),0)</f>
        <v>-4620</v>
      </c>
      <c r="V46" s="100" t="n">
        <f aca="false">-IF(AND(20&gt;=Hipótesis!$D$50,Hipótesis!$B$50=1),IF(Hipótesis!$G$50=1,Hipótesis!$D$44,Hipótesis!$C$50*(1+Hipótesis!$D$45)^1)*(1+Hipótesis!$D$42),0)</f>
        <v>-4620</v>
      </c>
      <c r="W46" s="100" t="n">
        <f aca="false">-IF(AND(21&gt;=Hipótesis!$D$50,Hipótesis!$B$50=1),IF(Hipótesis!$G$50=1,Hipótesis!$D$44,Hipótesis!$C$50*(1+Hipótesis!$D$45)^1)*(1+Hipótesis!$D$42),0)</f>
        <v>-4620</v>
      </c>
      <c r="X46" s="100" t="n">
        <f aca="false">-IF(AND(22&gt;=Hipótesis!$D$50,Hipótesis!$B$50=1),IF(Hipótesis!$G$50=1,Hipótesis!$D$44,Hipótesis!$C$50*(1+Hipótesis!$D$45)^1)*(1+Hipótesis!$D$42),0)</f>
        <v>-4620</v>
      </c>
      <c r="Y46" s="100" t="n">
        <f aca="false">-IF(AND(23&gt;=Hipótesis!$D$50,Hipótesis!$B$50=1),IF(Hipótesis!$G$50=1,Hipótesis!$D$44,Hipótesis!$C$50*(1+Hipótesis!$D$45)^1)*(1+Hipótesis!$D$42),0)</f>
        <v>-4620</v>
      </c>
      <c r="Z46" s="100" t="n">
        <f aca="false">-IF(AND(24&gt;=Hipótesis!$D$50,Hipótesis!$B$50=1),IF(Hipótesis!$G$50=1,Hipótesis!$D$44,Hipótesis!$C$50*(1+Hipótesis!$D$45)^1)*(1+Hipótesis!$D$42),0)</f>
        <v>-4620</v>
      </c>
      <c r="AA46" s="100" t="n">
        <f aca="false">-IF(AND(25&gt;=Hipótesis!$D$50,Hipótesis!$B$50=1),IF(Hipótesis!$G$50=1,Hipótesis!$E$44,Hipótesis!$C$50*(1+Hipótesis!$D$45)^2)*(1+Hipótesis!$D$42),0)</f>
        <v>-5280</v>
      </c>
      <c r="AB46" s="100" t="n">
        <f aca="false">-IF(AND(26&gt;=Hipótesis!$D$50,Hipótesis!$B$50=1),IF(Hipótesis!$G$50=1,Hipótesis!$E$44,Hipótesis!$C$50*(1+Hipótesis!$D$45)^2)*(1+Hipótesis!$D$42),0)</f>
        <v>-5280</v>
      </c>
      <c r="AC46" s="100" t="n">
        <f aca="false">-IF(AND(27&gt;=Hipótesis!$D$50,Hipótesis!$B$50=1),IF(Hipótesis!$G$50=1,Hipótesis!$E$44,Hipótesis!$C$50*(1+Hipótesis!$D$45)^2)*(1+Hipótesis!$D$42),0)</f>
        <v>-5280</v>
      </c>
      <c r="AD46" s="100" t="n">
        <f aca="false">-IF(AND(28&gt;=Hipótesis!$D$50,Hipótesis!$B$50=1),IF(Hipótesis!$G$50=1,Hipótesis!$E$44,Hipótesis!$C$50*(1+Hipótesis!$D$45)^2)*(1+Hipótesis!$D$42),0)</f>
        <v>-5280</v>
      </c>
      <c r="AE46" s="100" t="n">
        <f aca="false">-IF(AND(29&gt;=Hipótesis!$D$50,Hipótesis!$B$50=1),IF(Hipótesis!$G$50=1,Hipótesis!$E$44,Hipótesis!$C$50*(1+Hipótesis!$D$45)^2)*(1+Hipótesis!$D$42),0)</f>
        <v>-5280</v>
      </c>
      <c r="AF46" s="100" t="n">
        <f aca="false">-IF(AND(30&gt;=Hipótesis!$D$50,Hipótesis!$B$50=1),IF(Hipótesis!$G$50=1,Hipótesis!$E$44,Hipótesis!$C$50*(1+Hipótesis!$D$45)^2)*(1+Hipótesis!$D$42),0)</f>
        <v>-5280</v>
      </c>
      <c r="AG46" s="100" t="n">
        <f aca="false">-IF(AND(31&gt;=Hipótesis!$D$50,Hipótesis!$B$50=1),IF(Hipótesis!$G$50=1,Hipótesis!$E$44,Hipótesis!$C$50*(1+Hipótesis!$D$45)^2)*(1+Hipótesis!$D$42),0)</f>
        <v>-5280</v>
      </c>
      <c r="AH46" s="100" t="n">
        <f aca="false">-IF(AND(32&gt;=Hipótesis!$D$50,Hipótesis!$B$50=1),IF(Hipótesis!$G$50=1,Hipótesis!$E$44,Hipótesis!$C$50*(1+Hipótesis!$D$45)^2)*(1+Hipótesis!$D$42),0)</f>
        <v>-5280</v>
      </c>
      <c r="AI46" s="100" t="n">
        <f aca="false">-IF(AND(33&gt;=Hipótesis!$D$50,Hipótesis!$B$50=1),IF(Hipótesis!$G$50=1,Hipótesis!$E$44,Hipótesis!$C$50*(1+Hipótesis!$D$45)^2)*(1+Hipótesis!$D$42),0)</f>
        <v>-5280</v>
      </c>
      <c r="AJ46" s="100" t="n">
        <f aca="false">-IF(AND(34&gt;=Hipótesis!$D$50,Hipótesis!$B$50=1),IF(Hipótesis!$G$50=1,Hipótesis!$E$44,Hipótesis!$C$50*(1+Hipótesis!$D$45)^2)*(1+Hipótesis!$D$42),0)</f>
        <v>-5280</v>
      </c>
      <c r="AK46" s="100" t="n">
        <f aca="false">-IF(AND(35&gt;=Hipótesis!$D$50,Hipótesis!$B$50=1),IF(Hipótesis!$G$50=1,Hipótesis!$E$44,Hipótesis!$C$50*(1+Hipótesis!$D$45)^2)*(1+Hipótesis!$D$42),0)</f>
        <v>-5280</v>
      </c>
      <c r="AL46" s="100" t="n">
        <f aca="false">-IF(AND(36&gt;=Hipótesis!$D$50,Hipótesis!$B$50=1),IF(Hipótesis!$G$50=1,Hipótesis!$E$44,Hipótesis!$C$50*(1+Hipótesis!$D$45)^2)*(1+Hipótesis!$D$42),0)</f>
        <v>-5280</v>
      </c>
      <c r="AM46" s="100" t="n">
        <f aca="false">-IF(AND(37&gt;=Hipótesis!$D$50,Hipótesis!$B$50=1),IF(Hipótesis!$G$50=1,Hipótesis!$F$44,Hipótesis!$C$50*(1+Hipótesis!$D$45)^3)*(1+Hipótesis!$D$42),0)</f>
        <v>-5940</v>
      </c>
      <c r="AN46" s="100" t="n">
        <f aca="false">-IF(AND(38&gt;=Hipótesis!$D$50,Hipótesis!$B$50=1),IF(Hipótesis!$G$50=1,Hipótesis!$F$44,Hipótesis!$C$50*(1+Hipótesis!$D$45)^3)*(1+Hipótesis!$D$42),0)</f>
        <v>-5940</v>
      </c>
      <c r="AO46" s="100" t="n">
        <f aca="false">-IF(AND(39&gt;=Hipótesis!$D$50,Hipótesis!$B$50=1),IF(Hipótesis!$G$50=1,Hipótesis!$F$44,Hipótesis!$C$50*(1+Hipótesis!$D$45)^3)*(1+Hipótesis!$D$42),0)</f>
        <v>-5940</v>
      </c>
      <c r="AP46" s="100" t="n">
        <f aca="false">-IF(AND(40&gt;=Hipótesis!$D$50,Hipótesis!$B$50=1),IF(Hipótesis!$G$50=1,Hipótesis!$F$44,Hipótesis!$C$50*(1+Hipótesis!$D$45)^3)*(1+Hipótesis!$D$42),0)</f>
        <v>-5940</v>
      </c>
      <c r="AQ46" s="100" t="n">
        <f aca="false">-IF(AND(41&gt;=Hipótesis!$D$50,Hipótesis!$B$50=1),IF(Hipótesis!$G$50=1,Hipótesis!$F$44,Hipótesis!$C$50*(1+Hipótesis!$D$45)^3)*(1+Hipótesis!$D$42),0)</f>
        <v>-5940</v>
      </c>
      <c r="AR46" s="100" t="n">
        <f aca="false">-IF(AND(42&gt;=Hipótesis!$D$50,Hipótesis!$B$50=1),IF(Hipótesis!$G$50=1,Hipótesis!$F$44,Hipótesis!$C$50*(1+Hipótesis!$D$45)^3)*(1+Hipótesis!$D$42),0)</f>
        <v>-5940</v>
      </c>
      <c r="AS46" s="100" t="n">
        <f aca="false">-IF(AND(43&gt;=Hipótesis!$D$50,Hipótesis!$B$50=1),IF(Hipótesis!$G$50=1,Hipótesis!$F$44,Hipótesis!$C$50*(1+Hipótesis!$D$45)^3)*(1+Hipótesis!$D$42),0)</f>
        <v>-5940</v>
      </c>
      <c r="AT46" s="100" t="n">
        <f aca="false">-IF(AND(44&gt;=Hipótesis!$D$50,Hipótesis!$B$50=1),IF(Hipótesis!$G$50=1,Hipótesis!$F$44,Hipótesis!$C$50*(1+Hipótesis!$D$45)^3)*(1+Hipótesis!$D$42),0)</f>
        <v>-5940</v>
      </c>
      <c r="AU46" s="100" t="n">
        <f aca="false">-IF(AND(45&gt;=Hipótesis!$D$50,Hipótesis!$B$50=1),IF(Hipótesis!$G$50=1,Hipótesis!$F$44,Hipótesis!$C$50*(1+Hipótesis!$D$45)^3)*(1+Hipótesis!$D$42),0)</f>
        <v>-5940</v>
      </c>
      <c r="AV46" s="100" t="n">
        <f aca="false">-IF(AND(46&gt;=Hipótesis!$D$50,Hipótesis!$B$50=1),IF(Hipótesis!$G$50=1,Hipótesis!$F$44,Hipótesis!$C$50*(1+Hipótesis!$D$45)^3)*(1+Hipótesis!$D$42),0)</f>
        <v>-5940</v>
      </c>
      <c r="AW46" s="100" t="n">
        <f aca="false">-IF(AND(47&gt;=Hipótesis!$D$50,Hipótesis!$B$50=1),IF(Hipótesis!$G$50=1,Hipótesis!$F$44,Hipótesis!$C$50*(1+Hipótesis!$D$45)^3)*(1+Hipótesis!$D$42),0)</f>
        <v>-5940</v>
      </c>
      <c r="AX46" s="100" t="n">
        <f aca="false">-IF(AND(48&gt;=Hipótesis!$D$50,Hipótesis!$B$50=1),IF(Hipótesis!$G$50=1,Hipótesis!$F$44,Hipótesis!$C$50*(1+Hipótesis!$D$45)^3)*(1+Hipótesis!$D$42),0)</f>
        <v>-5940</v>
      </c>
      <c r="AY46" s="100" t="n">
        <f aca="false">-IF(AND(49&gt;=Hipótesis!$D$50,Hipótesis!$B$50=1),IF(Hipótesis!$G$50=1,Hipótesis!$G$44,Hipótesis!$C$50*(1+Hipótesis!$D$45)^4)*(1+Hipótesis!$D$42),0)</f>
        <v>-6600</v>
      </c>
      <c r="AZ46" s="100" t="n">
        <f aca="false">-IF(AND(50&gt;=Hipótesis!$D$50,Hipótesis!$B$50=1),IF(Hipótesis!$G$50=1,Hipótesis!$G$44,Hipótesis!$C$50*(1+Hipótesis!$D$45)^4)*(1+Hipótesis!$D$42),0)</f>
        <v>-6600</v>
      </c>
      <c r="BA46" s="100" t="n">
        <f aca="false">-IF(AND(51&gt;=Hipótesis!$D$50,Hipótesis!$B$50=1),IF(Hipótesis!$G$50=1,Hipótesis!$G$44,Hipótesis!$C$50*(1+Hipótesis!$D$45)^4)*(1+Hipótesis!$D$42),0)</f>
        <v>-6600</v>
      </c>
      <c r="BB46" s="100" t="n">
        <f aca="false">-IF(AND(52&gt;=Hipótesis!$D$50,Hipótesis!$B$50=1),IF(Hipótesis!$G$50=1,Hipótesis!$G$44,Hipótesis!$C$50*(1+Hipótesis!$D$45)^4)*(1+Hipótesis!$D$42),0)</f>
        <v>-6600</v>
      </c>
      <c r="BC46" s="100" t="n">
        <f aca="false">-IF(AND(53&gt;=Hipótesis!$D$50,Hipótesis!$B$50=1),IF(Hipótesis!$G$50=1,Hipótesis!$G$44,Hipótesis!$C$50*(1+Hipótesis!$D$45)^4)*(1+Hipótesis!$D$42),0)</f>
        <v>-6600</v>
      </c>
      <c r="BD46" s="100" t="n">
        <f aca="false">-IF(AND(54&gt;=Hipótesis!$D$50,Hipótesis!$B$50=1),IF(Hipótesis!$G$50=1,Hipótesis!$G$44,Hipótesis!$C$50*(1+Hipótesis!$D$45)^4)*(1+Hipótesis!$D$42),0)</f>
        <v>-6600</v>
      </c>
      <c r="BE46" s="100" t="n">
        <f aca="false">-IF(AND(55&gt;=Hipótesis!$D$50,Hipótesis!$B$50=1),IF(Hipótesis!$G$50=1,Hipótesis!$G$44,Hipótesis!$C$50*(1+Hipótesis!$D$45)^4)*(1+Hipótesis!$D$42),0)</f>
        <v>-6600</v>
      </c>
      <c r="BF46" s="100" t="n">
        <f aca="false">-IF(AND(56&gt;=Hipótesis!$D$50,Hipótesis!$B$50=1),IF(Hipótesis!$G$50=1,Hipótesis!$G$44,Hipótesis!$C$50*(1+Hipótesis!$D$45)^4)*(1+Hipótesis!$D$42),0)</f>
        <v>-6600</v>
      </c>
      <c r="BG46" s="100" t="n">
        <f aca="false">-IF(AND(57&gt;=Hipótesis!$D$50,Hipótesis!$B$50=1),IF(Hipótesis!$G$50=1,Hipótesis!$G$44,Hipótesis!$C$50*(1+Hipótesis!$D$45)^4)*(1+Hipótesis!$D$42),0)</f>
        <v>-6600</v>
      </c>
      <c r="BH46" s="100" t="n">
        <f aca="false">-IF(AND(58&gt;=Hipótesis!$D$50,Hipótesis!$B$50=1),IF(Hipótesis!$G$50=1,Hipótesis!$G$44,Hipótesis!$C$50*(1+Hipótesis!$D$45)^4)*(1+Hipótesis!$D$42),0)</f>
        <v>-6600</v>
      </c>
      <c r="BI46" s="100" t="n">
        <f aca="false">-IF(AND(59&gt;=Hipótesis!$D$50,Hipótesis!$B$50=1),IF(Hipótesis!$G$50=1,Hipótesis!$G$44,Hipótesis!$C$50*(1+Hipótesis!$D$45)^4)*(1+Hipótesis!$D$42),0)</f>
        <v>-6600</v>
      </c>
      <c r="BJ46" s="100" t="n">
        <f aca="false">-IF(AND(60&gt;=Hipótesis!$D$50,Hipótesis!$B$50=1),IF(Hipótesis!$G$50=1,Hipótesis!$G$44,Hipótesis!$C$50*(1+Hipótesis!$D$45)^4)*(1+Hipótesis!$D$42),0)</f>
        <v>-6600</v>
      </c>
      <c r="BK46" s="100" t="n">
        <f aca="false">-IF(AND(61&gt;=Hipótesis!$D$50,Hipótesis!$B$50=1),IF(Hipótesis!$G$50=1,Hipótesis!$H$44,Hipótesis!$C$50*(1+Hipótesis!$D$45)^5)*(1+Hipótesis!$D$42),0)</f>
        <v>-7260</v>
      </c>
      <c r="BL46" s="100" t="n">
        <f aca="false">-IF(AND(62&gt;=Hipótesis!$D$50,Hipótesis!$B$50=1),IF(Hipótesis!$G$50=1,Hipótesis!$H$44,Hipótesis!$C$50*(1+Hipótesis!$D$45)^5)*(1+Hipótesis!$D$42),0)</f>
        <v>-7260</v>
      </c>
      <c r="BM46" s="100" t="n">
        <f aca="false">-IF(AND(63&gt;=Hipótesis!$D$50,Hipótesis!$B$50=1),IF(Hipótesis!$G$50=1,Hipótesis!$H$44,Hipótesis!$C$50*(1+Hipótesis!$D$45)^5)*(1+Hipótesis!$D$42),0)</f>
        <v>-7260</v>
      </c>
      <c r="BN46" s="100" t="n">
        <f aca="false">-IF(AND(64&gt;=Hipótesis!$D$50,Hipótesis!$B$50=1),IF(Hipótesis!$G$50=1,Hipótesis!$H$44,Hipótesis!$C$50*(1+Hipótesis!$D$45)^5)*(1+Hipótesis!$D$42),0)</f>
        <v>-7260</v>
      </c>
      <c r="BO46" s="100" t="n">
        <f aca="false">-IF(AND(65&gt;=Hipótesis!$D$50,Hipótesis!$B$50=1),IF(Hipótesis!$G$50=1,Hipótesis!$H$44,Hipótesis!$C$50*(1+Hipótesis!$D$45)^5)*(1+Hipótesis!$D$42),0)</f>
        <v>-7260</v>
      </c>
      <c r="BP46" s="100" t="n">
        <f aca="false">-IF(AND(66&gt;=Hipótesis!$D$50,Hipótesis!$B$50=1),IF(Hipótesis!$G$50=1,Hipótesis!$H$44,Hipótesis!$C$50*(1+Hipótesis!$D$45)^5)*(1+Hipótesis!$D$42),0)</f>
        <v>-7260</v>
      </c>
      <c r="BQ46" s="100" t="n">
        <f aca="false">-IF(AND(67&gt;=Hipótesis!$D$50,Hipótesis!$B$50=1),IF(Hipótesis!$G$50=1,Hipótesis!$H$44,Hipótesis!$C$50*(1+Hipótesis!$D$45)^5)*(1+Hipótesis!$D$42),0)</f>
        <v>-7260</v>
      </c>
      <c r="BR46" s="100" t="n">
        <f aca="false">-IF(AND(68&gt;=Hipótesis!$D$50,Hipótesis!$B$50=1),IF(Hipótesis!$G$50=1,Hipótesis!$H$44,Hipótesis!$C$50*(1+Hipótesis!$D$45)^5)*(1+Hipótesis!$D$42),0)</f>
        <v>-7260</v>
      </c>
      <c r="BS46" s="100" t="n">
        <f aca="false">-IF(AND(69&gt;=Hipótesis!$D$50,Hipótesis!$B$50=1),IF(Hipótesis!$G$50=1,Hipótesis!$H$44,Hipótesis!$C$50*(1+Hipótesis!$D$45)^5)*(1+Hipótesis!$D$42),0)</f>
        <v>-7260</v>
      </c>
      <c r="BT46" s="100" t="n">
        <f aca="false">-IF(AND(70&gt;=Hipótesis!$D$50,Hipótesis!$B$50=1),IF(Hipótesis!$G$50=1,Hipótesis!$H$44,Hipótesis!$C$50*(1+Hipótesis!$D$45)^5)*(1+Hipótesis!$D$42),0)</f>
        <v>-7260</v>
      </c>
      <c r="BU46" s="100" t="n">
        <f aca="false">-IF(AND(71&gt;=Hipótesis!$D$50,Hipótesis!$B$50=1),IF(Hipótesis!$G$50=1,Hipótesis!$H$44,Hipótesis!$C$50*(1+Hipótesis!$D$45)^5)*(1+Hipótesis!$D$42),0)</f>
        <v>-7260</v>
      </c>
      <c r="BV46" s="100" t="n">
        <f aca="false">-IF(AND(72&gt;=Hipótesis!$D$50,Hipótesis!$B$50=1),IF(Hipótesis!$G$50=1,Hipótesis!$H$44,Hipótesis!$C$50*(1+Hipótesis!$D$45)^5)*(1+Hipótesis!$D$42),0)</f>
        <v>-7260</v>
      </c>
      <c r="BW46" s="100" t="n">
        <f aca="false">-IF(AND(73&gt;=Hipótesis!$D$50,Hipótesis!$B$50=1),IF(Hipótesis!$G$50=1,Hipótesis!$I$44,Hipótesis!$C$50*(1+Hipótesis!$D$45)^6)*(1+Hipótesis!$D$42),0)</f>
        <v>-7920</v>
      </c>
      <c r="BX46" s="100" t="n">
        <f aca="false">-IF(AND(74&gt;=Hipótesis!$D$50,Hipótesis!$B$50=1),IF(Hipótesis!$G$50=1,Hipótesis!$I$44,Hipótesis!$C$50*(1+Hipótesis!$D$45)^6)*(1+Hipótesis!$D$42),0)</f>
        <v>-7920</v>
      </c>
      <c r="BY46" s="100" t="n">
        <f aca="false">-IF(AND(75&gt;=Hipótesis!$D$50,Hipótesis!$B$50=1),IF(Hipótesis!$G$50=1,Hipótesis!$I$44,Hipótesis!$C$50*(1+Hipótesis!$D$45)^6)*(1+Hipótesis!$D$42),0)</f>
        <v>-7920</v>
      </c>
      <c r="BZ46" s="100" t="n">
        <f aca="false">-IF(AND(76&gt;=Hipótesis!$D$50,Hipótesis!$B$50=1),IF(Hipótesis!$G$50=1,Hipótesis!$I$44,Hipótesis!$C$50*(1+Hipótesis!$D$45)^6)*(1+Hipótesis!$D$42),0)</f>
        <v>-7920</v>
      </c>
      <c r="CA46" s="100" t="n">
        <f aca="false">-IF(AND(77&gt;=Hipótesis!$D$50,Hipótesis!$B$50=1),IF(Hipótesis!$G$50=1,Hipótesis!$I$44,Hipótesis!$C$50*(1+Hipótesis!$D$45)^6)*(1+Hipótesis!$D$42),0)</f>
        <v>-7920</v>
      </c>
      <c r="CB46" s="100" t="n">
        <f aca="false">-IF(AND(78&gt;=Hipótesis!$D$50,Hipótesis!$B$50=1),IF(Hipótesis!$G$50=1,Hipótesis!$I$44,Hipótesis!$C$50*(1+Hipótesis!$D$45)^6)*(1+Hipótesis!$D$42),0)</f>
        <v>-7920</v>
      </c>
      <c r="CC46" s="100" t="n">
        <f aca="false">-IF(AND(79&gt;=Hipótesis!$D$50,Hipótesis!$B$50=1),IF(Hipótesis!$G$50=1,Hipótesis!$I$44,Hipótesis!$C$50*(1+Hipótesis!$D$45)^6)*(1+Hipótesis!$D$42),0)</f>
        <v>-7920</v>
      </c>
      <c r="CD46" s="100" t="n">
        <f aca="false">-IF(AND(80&gt;=Hipótesis!$D$50,Hipótesis!$B$50=1),IF(Hipótesis!$G$50=1,Hipótesis!$I$44,Hipótesis!$C$50*(1+Hipótesis!$D$45)^6)*(1+Hipótesis!$D$42),0)</f>
        <v>-7920</v>
      </c>
      <c r="CE46" s="100" t="n">
        <f aca="false">-IF(AND(81&gt;=Hipótesis!$D$50,Hipótesis!$B$50=1),IF(Hipótesis!$G$50=1,Hipótesis!$I$44,Hipótesis!$C$50*(1+Hipótesis!$D$45)^6)*(1+Hipótesis!$D$42),0)</f>
        <v>-7920</v>
      </c>
      <c r="CF46" s="100" t="n">
        <f aca="false">-IF(AND(82&gt;=Hipótesis!$D$50,Hipótesis!$B$50=1),IF(Hipótesis!$G$50=1,Hipótesis!$I$44,Hipótesis!$C$50*(1+Hipótesis!$D$45)^6)*(1+Hipótesis!$D$42),0)</f>
        <v>-7920</v>
      </c>
      <c r="CG46" s="100" t="n">
        <f aca="false">-IF(AND(83&gt;=Hipótesis!$D$50,Hipótesis!$B$50=1),IF(Hipótesis!$G$50=1,Hipótesis!$I$44,Hipótesis!$C$50*(1+Hipótesis!$D$45)^6)*(1+Hipótesis!$D$42),0)</f>
        <v>-7920</v>
      </c>
      <c r="CH46" s="100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6" t="s">
        <v>524</v>
      </c>
      <c r="C47" s="100" t="n">
        <f aca="false">-IF(AND(1&gt;=Hipótesis!$D$51,Hipótesis!$B$51=1),IF(Hipótesis!$G$51=1,Hipótesis!$C$44,Hipótesis!$C$51*(1+Hipótesis!$D$45)^0)*(1+Hipótesis!$D$42),0)</f>
        <v>-2640</v>
      </c>
      <c r="D47" s="100" t="n">
        <f aca="false">-IF(AND(2&gt;=Hipótesis!$D$51,Hipótesis!$B$51=1),IF(Hipótesis!$G$51=1,Hipótesis!$C$44,Hipótesis!$C$51*(1+Hipótesis!$D$45)^0)*(1+Hipótesis!$D$42),0)</f>
        <v>-2640</v>
      </c>
      <c r="E47" s="100" t="n">
        <f aca="false">-IF(AND(3&gt;=Hipótesis!$D$51,Hipótesis!$B$51=1),IF(Hipótesis!$G$51=1,Hipótesis!$C$44,Hipótesis!$C$51*(1+Hipótesis!$D$45)^0)*(1+Hipótesis!$D$42),0)</f>
        <v>-2640</v>
      </c>
      <c r="F47" s="100" t="n">
        <f aca="false">-IF(AND(4&gt;=Hipótesis!$D$51,Hipótesis!$B$51=1),IF(Hipótesis!$G$51=1,Hipótesis!$C$44,Hipótesis!$C$51*(1+Hipótesis!$D$45)^0)*(1+Hipótesis!$D$42),0)</f>
        <v>-2640</v>
      </c>
      <c r="G47" s="100" t="n">
        <f aca="false">-IF(AND(5&gt;=Hipótesis!$D$51,Hipótesis!$B$51=1),IF(Hipótesis!$G$51=1,Hipótesis!$C$44,Hipótesis!$C$51*(1+Hipótesis!$D$45)^0)*(1+Hipótesis!$D$42),0)</f>
        <v>-2640</v>
      </c>
      <c r="H47" s="100" t="n">
        <f aca="false">-IF(AND(6&gt;=Hipótesis!$D$51,Hipótesis!$B$51=1),IF(Hipótesis!$G$51=1,Hipótesis!$C$44,Hipótesis!$C$51*(1+Hipótesis!$D$45)^0)*(1+Hipótesis!$D$42),0)</f>
        <v>-2640</v>
      </c>
      <c r="I47" s="100" t="n">
        <f aca="false">-IF(AND(7&gt;=Hipótesis!$D$51,Hipótesis!$B$51=1),IF(Hipótesis!$G$51=1,Hipótesis!$C$44,Hipótesis!$C$51*(1+Hipótesis!$D$45)^0)*(1+Hipótesis!$D$42),0)</f>
        <v>-2640</v>
      </c>
      <c r="J47" s="100" t="n">
        <f aca="false">-IF(AND(8&gt;=Hipótesis!$D$51,Hipótesis!$B$51=1),IF(Hipótesis!$G$51=1,Hipótesis!$C$44,Hipótesis!$C$51*(1+Hipótesis!$D$45)^0)*(1+Hipótesis!$D$42),0)</f>
        <v>-2640</v>
      </c>
      <c r="K47" s="100" t="n">
        <f aca="false">-IF(AND(9&gt;=Hipótesis!$D$51,Hipótesis!$B$51=1),IF(Hipótesis!$G$51=1,Hipótesis!$C$44,Hipótesis!$C$51*(1+Hipótesis!$D$45)^0)*(1+Hipótesis!$D$42),0)</f>
        <v>-2640</v>
      </c>
      <c r="L47" s="100" t="n">
        <f aca="false">-IF(AND(10&gt;=Hipótesis!$D$51,Hipótesis!$B$51=1),IF(Hipótesis!$G$51=1,Hipótesis!$C$44,Hipótesis!$C$51*(1+Hipótesis!$D$45)^0)*(1+Hipótesis!$D$42),0)</f>
        <v>-2640</v>
      </c>
      <c r="M47" s="100" t="n">
        <f aca="false">-IF(AND(11&gt;=Hipótesis!$D$51,Hipótesis!$B$51=1),IF(Hipótesis!$G$51=1,Hipótesis!$C$44,Hipótesis!$C$51*(1+Hipótesis!$D$45)^0)*(1+Hipótesis!$D$42),0)</f>
        <v>-2640</v>
      </c>
      <c r="N47" s="100" t="n">
        <f aca="false">-IF(AND(12&gt;=Hipótesis!$D$51,Hipótesis!$B$51=1),IF(Hipótesis!$G$51=1,Hipótesis!$C$44,Hipótesis!$C$51*(1+Hipótesis!$D$45)^0)*(1+Hipótesis!$D$42),0)</f>
        <v>-2640</v>
      </c>
      <c r="O47" s="100" t="n">
        <f aca="false">-IF(AND(13&gt;=Hipótesis!$D$51,Hipótesis!$B$51=1),IF(Hipótesis!$G$51=1,Hipótesis!$D$44,Hipótesis!$C$51*(1+Hipótesis!$D$45)^1)*(1+Hipótesis!$D$42),0)</f>
        <v>-2719.2</v>
      </c>
      <c r="P47" s="100" t="n">
        <f aca="false">-IF(AND(14&gt;=Hipótesis!$D$51,Hipótesis!$B$51=1),IF(Hipótesis!$G$51=1,Hipótesis!$D$44,Hipótesis!$C$51*(1+Hipótesis!$D$45)^1)*(1+Hipótesis!$D$42),0)</f>
        <v>-2719.2</v>
      </c>
      <c r="Q47" s="100" t="n">
        <f aca="false">-IF(AND(15&gt;=Hipótesis!$D$51,Hipótesis!$B$51=1),IF(Hipótesis!$G$51=1,Hipótesis!$D$44,Hipótesis!$C$51*(1+Hipótesis!$D$45)^1)*(1+Hipótesis!$D$42),0)</f>
        <v>-2719.2</v>
      </c>
      <c r="R47" s="100" t="n">
        <f aca="false">-IF(AND(16&gt;=Hipótesis!$D$51,Hipótesis!$B$51=1),IF(Hipótesis!$G$51=1,Hipótesis!$D$44,Hipótesis!$C$51*(1+Hipótesis!$D$45)^1)*(1+Hipótesis!$D$42),0)</f>
        <v>-2719.2</v>
      </c>
      <c r="S47" s="100" t="n">
        <f aca="false">-IF(AND(17&gt;=Hipótesis!$D$51,Hipótesis!$B$51=1),IF(Hipótesis!$G$51=1,Hipótesis!$D$44,Hipótesis!$C$51*(1+Hipótesis!$D$45)^1)*(1+Hipótesis!$D$42),0)</f>
        <v>-2719.2</v>
      </c>
      <c r="T47" s="100" t="n">
        <f aca="false">-IF(AND(18&gt;=Hipótesis!$D$51,Hipótesis!$B$51=1),IF(Hipótesis!$G$51=1,Hipótesis!$D$44,Hipótesis!$C$51*(1+Hipótesis!$D$45)^1)*(1+Hipótesis!$D$42),0)</f>
        <v>-2719.2</v>
      </c>
      <c r="U47" s="100" t="n">
        <f aca="false">-IF(AND(19&gt;=Hipótesis!$D$51,Hipótesis!$B$51=1),IF(Hipótesis!$G$51=1,Hipótesis!$D$44,Hipótesis!$C$51*(1+Hipótesis!$D$45)^1)*(1+Hipótesis!$D$42),0)</f>
        <v>-2719.2</v>
      </c>
      <c r="V47" s="100" t="n">
        <f aca="false">-IF(AND(20&gt;=Hipótesis!$D$51,Hipótesis!$B$51=1),IF(Hipótesis!$G$51=1,Hipótesis!$D$44,Hipótesis!$C$51*(1+Hipótesis!$D$45)^1)*(1+Hipótesis!$D$42),0)</f>
        <v>-2719.2</v>
      </c>
      <c r="W47" s="100" t="n">
        <f aca="false">-IF(AND(21&gt;=Hipótesis!$D$51,Hipótesis!$B$51=1),IF(Hipótesis!$G$51=1,Hipótesis!$D$44,Hipótesis!$C$51*(1+Hipótesis!$D$45)^1)*(1+Hipótesis!$D$42),0)</f>
        <v>-2719.2</v>
      </c>
      <c r="X47" s="100" t="n">
        <f aca="false">-IF(AND(22&gt;=Hipótesis!$D$51,Hipótesis!$B$51=1),IF(Hipótesis!$G$51=1,Hipótesis!$D$44,Hipótesis!$C$51*(1+Hipótesis!$D$45)^1)*(1+Hipótesis!$D$42),0)</f>
        <v>-2719.2</v>
      </c>
      <c r="Y47" s="100" t="n">
        <f aca="false">-IF(AND(23&gt;=Hipótesis!$D$51,Hipótesis!$B$51=1),IF(Hipótesis!$G$51=1,Hipótesis!$D$44,Hipótesis!$C$51*(1+Hipótesis!$D$45)^1)*(1+Hipótesis!$D$42),0)</f>
        <v>-2719.2</v>
      </c>
      <c r="Z47" s="100" t="n">
        <f aca="false">-IF(AND(24&gt;=Hipótesis!$D$51,Hipótesis!$B$51=1),IF(Hipótesis!$G$51=1,Hipótesis!$D$44,Hipótesis!$C$51*(1+Hipótesis!$D$45)^1)*(1+Hipótesis!$D$42),0)</f>
        <v>-2719.2</v>
      </c>
      <c r="AA47" s="100" t="n">
        <f aca="false">-IF(AND(25&gt;=Hipótesis!$D$51,Hipótesis!$B$51=1),IF(Hipótesis!$G$51=1,Hipótesis!$E$44,Hipótesis!$C$51*(1+Hipótesis!$D$45)^2)*(1+Hipótesis!$D$42),0)</f>
        <v>-2800.776</v>
      </c>
      <c r="AB47" s="100" t="n">
        <f aca="false">-IF(AND(26&gt;=Hipótesis!$D$51,Hipótesis!$B$51=1),IF(Hipótesis!$G$51=1,Hipótesis!$E$44,Hipótesis!$C$51*(1+Hipótesis!$D$45)^2)*(1+Hipótesis!$D$42),0)</f>
        <v>-2800.776</v>
      </c>
      <c r="AC47" s="100" t="n">
        <f aca="false">-IF(AND(27&gt;=Hipótesis!$D$51,Hipótesis!$B$51=1),IF(Hipótesis!$G$51=1,Hipótesis!$E$44,Hipótesis!$C$51*(1+Hipótesis!$D$45)^2)*(1+Hipótesis!$D$42),0)</f>
        <v>-2800.776</v>
      </c>
      <c r="AD47" s="100" t="n">
        <f aca="false">-IF(AND(28&gt;=Hipótesis!$D$51,Hipótesis!$B$51=1),IF(Hipótesis!$G$51=1,Hipótesis!$E$44,Hipótesis!$C$51*(1+Hipótesis!$D$45)^2)*(1+Hipótesis!$D$42),0)</f>
        <v>-2800.776</v>
      </c>
      <c r="AE47" s="100" t="n">
        <f aca="false">-IF(AND(29&gt;=Hipótesis!$D$51,Hipótesis!$B$51=1),IF(Hipótesis!$G$51=1,Hipótesis!$E$44,Hipótesis!$C$51*(1+Hipótesis!$D$45)^2)*(1+Hipótesis!$D$42),0)</f>
        <v>-2800.776</v>
      </c>
      <c r="AF47" s="100" t="n">
        <f aca="false">-IF(AND(30&gt;=Hipótesis!$D$51,Hipótesis!$B$51=1),IF(Hipótesis!$G$51=1,Hipótesis!$E$44,Hipótesis!$C$51*(1+Hipótesis!$D$45)^2)*(1+Hipótesis!$D$42),0)</f>
        <v>-2800.776</v>
      </c>
      <c r="AG47" s="100" t="n">
        <f aca="false">-IF(AND(31&gt;=Hipótesis!$D$51,Hipótesis!$B$51=1),IF(Hipótesis!$G$51=1,Hipótesis!$E$44,Hipótesis!$C$51*(1+Hipótesis!$D$45)^2)*(1+Hipótesis!$D$42),0)</f>
        <v>-2800.776</v>
      </c>
      <c r="AH47" s="100" t="n">
        <f aca="false">-IF(AND(32&gt;=Hipótesis!$D$51,Hipótesis!$B$51=1),IF(Hipótesis!$G$51=1,Hipótesis!$E$44,Hipótesis!$C$51*(1+Hipótesis!$D$45)^2)*(1+Hipótesis!$D$42),0)</f>
        <v>-2800.776</v>
      </c>
      <c r="AI47" s="100" t="n">
        <f aca="false">-IF(AND(33&gt;=Hipótesis!$D$51,Hipótesis!$B$51=1),IF(Hipótesis!$G$51=1,Hipótesis!$E$44,Hipótesis!$C$51*(1+Hipótesis!$D$45)^2)*(1+Hipótesis!$D$42),0)</f>
        <v>-2800.776</v>
      </c>
      <c r="AJ47" s="100" t="n">
        <f aca="false">-IF(AND(34&gt;=Hipótesis!$D$51,Hipótesis!$B$51=1),IF(Hipótesis!$G$51=1,Hipótesis!$E$44,Hipótesis!$C$51*(1+Hipótesis!$D$45)^2)*(1+Hipótesis!$D$42),0)</f>
        <v>-2800.776</v>
      </c>
      <c r="AK47" s="100" t="n">
        <f aca="false">-IF(AND(35&gt;=Hipótesis!$D$51,Hipótesis!$B$51=1),IF(Hipótesis!$G$51=1,Hipótesis!$E$44,Hipótesis!$C$51*(1+Hipótesis!$D$45)^2)*(1+Hipótesis!$D$42),0)</f>
        <v>-2800.776</v>
      </c>
      <c r="AL47" s="100" t="n">
        <f aca="false">-IF(AND(36&gt;=Hipótesis!$D$51,Hipótesis!$B$51=1),IF(Hipótesis!$G$51=1,Hipótesis!$E$44,Hipótesis!$C$51*(1+Hipótesis!$D$45)^2)*(1+Hipótesis!$D$42),0)</f>
        <v>-2800.776</v>
      </c>
      <c r="AM47" s="100" t="n">
        <f aca="false">-IF(AND(37&gt;=Hipótesis!$D$51,Hipótesis!$B$51=1),IF(Hipótesis!$G$51=1,Hipótesis!$F$44,Hipótesis!$C$51*(1+Hipótesis!$D$45)^3)*(1+Hipótesis!$D$42),0)</f>
        <v>-2884.79928</v>
      </c>
      <c r="AN47" s="100" t="n">
        <f aca="false">-IF(AND(38&gt;=Hipótesis!$D$51,Hipótesis!$B$51=1),IF(Hipótesis!$G$51=1,Hipótesis!$F$44,Hipótesis!$C$51*(1+Hipótesis!$D$45)^3)*(1+Hipótesis!$D$42),0)</f>
        <v>-2884.79928</v>
      </c>
      <c r="AO47" s="100" t="n">
        <f aca="false">-IF(AND(39&gt;=Hipótesis!$D$51,Hipótesis!$B$51=1),IF(Hipótesis!$G$51=1,Hipótesis!$F$44,Hipótesis!$C$51*(1+Hipótesis!$D$45)^3)*(1+Hipótesis!$D$42),0)</f>
        <v>-2884.79928</v>
      </c>
      <c r="AP47" s="100" t="n">
        <f aca="false">-IF(AND(40&gt;=Hipótesis!$D$51,Hipótesis!$B$51=1),IF(Hipótesis!$G$51=1,Hipótesis!$F$44,Hipótesis!$C$51*(1+Hipótesis!$D$45)^3)*(1+Hipótesis!$D$42),0)</f>
        <v>-2884.79928</v>
      </c>
      <c r="AQ47" s="100" t="n">
        <f aca="false">-IF(AND(41&gt;=Hipótesis!$D$51,Hipótesis!$B$51=1),IF(Hipótesis!$G$51=1,Hipótesis!$F$44,Hipótesis!$C$51*(1+Hipótesis!$D$45)^3)*(1+Hipótesis!$D$42),0)</f>
        <v>-2884.79928</v>
      </c>
      <c r="AR47" s="100" t="n">
        <f aca="false">-IF(AND(42&gt;=Hipótesis!$D$51,Hipótesis!$B$51=1),IF(Hipótesis!$G$51=1,Hipótesis!$F$44,Hipótesis!$C$51*(1+Hipótesis!$D$45)^3)*(1+Hipótesis!$D$42),0)</f>
        <v>-2884.79928</v>
      </c>
      <c r="AS47" s="100" t="n">
        <f aca="false">-IF(AND(43&gt;=Hipótesis!$D$51,Hipótesis!$B$51=1),IF(Hipótesis!$G$51=1,Hipótesis!$F$44,Hipótesis!$C$51*(1+Hipótesis!$D$45)^3)*(1+Hipótesis!$D$42),0)</f>
        <v>-2884.79928</v>
      </c>
      <c r="AT47" s="100" t="n">
        <f aca="false">-IF(AND(44&gt;=Hipótesis!$D$51,Hipótesis!$B$51=1),IF(Hipótesis!$G$51=1,Hipótesis!$F$44,Hipótesis!$C$51*(1+Hipótesis!$D$45)^3)*(1+Hipótesis!$D$42),0)</f>
        <v>-2884.79928</v>
      </c>
      <c r="AU47" s="100" t="n">
        <f aca="false">-IF(AND(45&gt;=Hipótesis!$D$51,Hipótesis!$B$51=1),IF(Hipótesis!$G$51=1,Hipótesis!$F$44,Hipótesis!$C$51*(1+Hipótesis!$D$45)^3)*(1+Hipótesis!$D$42),0)</f>
        <v>-2884.79928</v>
      </c>
      <c r="AV47" s="100" t="n">
        <f aca="false">-IF(AND(46&gt;=Hipótesis!$D$51,Hipótesis!$B$51=1),IF(Hipótesis!$G$51=1,Hipótesis!$F$44,Hipótesis!$C$51*(1+Hipótesis!$D$45)^3)*(1+Hipótesis!$D$42),0)</f>
        <v>-2884.79928</v>
      </c>
      <c r="AW47" s="100" t="n">
        <f aca="false">-IF(AND(47&gt;=Hipótesis!$D$51,Hipótesis!$B$51=1),IF(Hipótesis!$G$51=1,Hipótesis!$F$44,Hipótesis!$C$51*(1+Hipótesis!$D$45)^3)*(1+Hipótesis!$D$42),0)</f>
        <v>-2884.79928</v>
      </c>
      <c r="AX47" s="100" t="n">
        <f aca="false">-IF(AND(48&gt;=Hipótesis!$D$51,Hipótesis!$B$51=1),IF(Hipótesis!$G$51=1,Hipótesis!$F$44,Hipótesis!$C$51*(1+Hipótesis!$D$45)^3)*(1+Hipótesis!$D$42),0)</f>
        <v>-2884.79928</v>
      </c>
      <c r="AY47" s="100" t="n">
        <f aca="false">-IF(AND(49&gt;=Hipótesis!$D$51,Hipótesis!$B$51=1),IF(Hipótesis!$G$51=1,Hipótesis!$G$44,Hipótesis!$C$51*(1+Hipótesis!$D$45)^4)*(1+Hipótesis!$D$42),0)</f>
        <v>-2971.3432584</v>
      </c>
      <c r="AZ47" s="100" t="n">
        <f aca="false">-IF(AND(50&gt;=Hipótesis!$D$51,Hipótesis!$B$51=1),IF(Hipótesis!$G$51=1,Hipótesis!$G$44,Hipótesis!$C$51*(1+Hipótesis!$D$45)^4)*(1+Hipótesis!$D$42),0)</f>
        <v>-2971.3432584</v>
      </c>
      <c r="BA47" s="100" t="n">
        <f aca="false">-IF(AND(51&gt;=Hipótesis!$D$51,Hipótesis!$B$51=1),IF(Hipótesis!$G$51=1,Hipótesis!$G$44,Hipótesis!$C$51*(1+Hipótesis!$D$45)^4)*(1+Hipótesis!$D$42),0)</f>
        <v>-2971.3432584</v>
      </c>
      <c r="BB47" s="100" t="n">
        <f aca="false">-IF(AND(52&gt;=Hipótesis!$D$51,Hipótesis!$B$51=1),IF(Hipótesis!$G$51=1,Hipótesis!$G$44,Hipótesis!$C$51*(1+Hipótesis!$D$45)^4)*(1+Hipótesis!$D$42),0)</f>
        <v>-2971.3432584</v>
      </c>
      <c r="BC47" s="100" t="n">
        <f aca="false">-IF(AND(53&gt;=Hipótesis!$D$51,Hipótesis!$B$51=1),IF(Hipótesis!$G$51=1,Hipótesis!$G$44,Hipótesis!$C$51*(1+Hipótesis!$D$45)^4)*(1+Hipótesis!$D$42),0)</f>
        <v>-2971.3432584</v>
      </c>
      <c r="BD47" s="100" t="n">
        <f aca="false">-IF(AND(54&gt;=Hipótesis!$D$51,Hipótesis!$B$51=1),IF(Hipótesis!$G$51=1,Hipótesis!$G$44,Hipótesis!$C$51*(1+Hipótesis!$D$45)^4)*(1+Hipótesis!$D$42),0)</f>
        <v>-2971.3432584</v>
      </c>
      <c r="BE47" s="100" t="n">
        <f aca="false">-IF(AND(55&gt;=Hipótesis!$D$51,Hipótesis!$B$51=1),IF(Hipótesis!$G$51=1,Hipótesis!$G$44,Hipótesis!$C$51*(1+Hipótesis!$D$45)^4)*(1+Hipótesis!$D$42),0)</f>
        <v>-2971.3432584</v>
      </c>
      <c r="BF47" s="100" t="n">
        <f aca="false">-IF(AND(56&gt;=Hipótesis!$D$51,Hipótesis!$B$51=1),IF(Hipótesis!$G$51=1,Hipótesis!$G$44,Hipótesis!$C$51*(1+Hipótesis!$D$45)^4)*(1+Hipótesis!$D$42),0)</f>
        <v>-2971.3432584</v>
      </c>
      <c r="BG47" s="100" t="n">
        <f aca="false">-IF(AND(57&gt;=Hipótesis!$D$51,Hipótesis!$B$51=1),IF(Hipótesis!$G$51=1,Hipótesis!$G$44,Hipótesis!$C$51*(1+Hipótesis!$D$45)^4)*(1+Hipótesis!$D$42),0)</f>
        <v>-2971.3432584</v>
      </c>
      <c r="BH47" s="100" t="n">
        <f aca="false">-IF(AND(58&gt;=Hipótesis!$D$51,Hipótesis!$B$51=1),IF(Hipótesis!$G$51=1,Hipótesis!$G$44,Hipótesis!$C$51*(1+Hipótesis!$D$45)^4)*(1+Hipótesis!$D$42),0)</f>
        <v>-2971.3432584</v>
      </c>
      <c r="BI47" s="100" t="n">
        <f aca="false">-IF(AND(59&gt;=Hipótesis!$D$51,Hipótesis!$B$51=1),IF(Hipótesis!$G$51=1,Hipótesis!$G$44,Hipótesis!$C$51*(1+Hipótesis!$D$45)^4)*(1+Hipótesis!$D$42),0)</f>
        <v>-2971.3432584</v>
      </c>
      <c r="BJ47" s="100" t="n">
        <f aca="false">-IF(AND(60&gt;=Hipótesis!$D$51,Hipótesis!$B$51=1),IF(Hipótesis!$G$51=1,Hipótesis!$G$44,Hipótesis!$C$51*(1+Hipótesis!$D$45)^4)*(1+Hipótesis!$D$42),0)</f>
        <v>-2971.3432584</v>
      </c>
      <c r="BK47" s="100" t="n">
        <f aca="false">-IF(AND(61&gt;=Hipótesis!$D$51,Hipótesis!$B$51=1),IF(Hipótesis!$G$51=1,Hipótesis!$H$44,Hipótesis!$C$51*(1+Hipótesis!$D$45)^5)*(1+Hipótesis!$D$42),0)</f>
        <v>-3060.483556152</v>
      </c>
      <c r="BL47" s="100" t="n">
        <f aca="false">-IF(AND(62&gt;=Hipótesis!$D$51,Hipótesis!$B$51=1),IF(Hipótesis!$G$51=1,Hipótesis!$H$44,Hipótesis!$C$51*(1+Hipótesis!$D$45)^5)*(1+Hipótesis!$D$42),0)</f>
        <v>-3060.483556152</v>
      </c>
      <c r="BM47" s="100" t="n">
        <f aca="false">-IF(AND(63&gt;=Hipótesis!$D$51,Hipótesis!$B$51=1),IF(Hipótesis!$G$51=1,Hipótesis!$H$44,Hipótesis!$C$51*(1+Hipótesis!$D$45)^5)*(1+Hipótesis!$D$42),0)</f>
        <v>-3060.483556152</v>
      </c>
      <c r="BN47" s="100" t="n">
        <f aca="false">-IF(AND(64&gt;=Hipótesis!$D$51,Hipótesis!$B$51=1),IF(Hipótesis!$G$51=1,Hipótesis!$H$44,Hipótesis!$C$51*(1+Hipótesis!$D$45)^5)*(1+Hipótesis!$D$42),0)</f>
        <v>-3060.483556152</v>
      </c>
      <c r="BO47" s="100" t="n">
        <f aca="false">-IF(AND(65&gt;=Hipótesis!$D$51,Hipótesis!$B$51=1),IF(Hipótesis!$G$51=1,Hipótesis!$H$44,Hipótesis!$C$51*(1+Hipótesis!$D$45)^5)*(1+Hipótesis!$D$42),0)</f>
        <v>-3060.483556152</v>
      </c>
      <c r="BP47" s="100" t="n">
        <f aca="false">-IF(AND(66&gt;=Hipótesis!$D$51,Hipótesis!$B$51=1),IF(Hipótesis!$G$51=1,Hipótesis!$H$44,Hipótesis!$C$51*(1+Hipótesis!$D$45)^5)*(1+Hipótesis!$D$42),0)</f>
        <v>-3060.483556152</v>
      </c>
      <c r="BQ47" s="100" t="n">
        <f aca="false">-IF(AND(67&gt;=Hipótesis!$D$51,Hipótesis!$B$51=1),IF(Hipótesis!$G$51=1,Hipótesis!$H$44,Hipótesis!$C$51*(1+Hipótesis!$D$45)^5)*(1+Hipótesis!$D$42),0)</f>
        <v>-3060.483556152</v>
      </c>
      <c r="BR47" s="100" t="n">
        <f aca="false">-IF(AND(68&gt;=Hipótesis!$D$51,Hipótesis!$B$51=1),IF(Hipótesis!$G$51=1,Hipótesis!$H$44,Hipótesis!$C$51*(1+Hipótesis!$D$45)^5)*(1+Hipótesis!$D$42),0)</f>
        <v>-3060.483556152</v>
      </c>
      <c r="BS47" s="100" t="n">
        <f aca="false">-IF(AND(69&gt;=Hipótesis!$D$51,Hipótesis!$B$51=1),IF(Hipótesis!$G$51=1,Hipótesis!$H$44,Hipótesis!$C$51*(1+Hipótesis!$D$45)^5)*(1+Hipótesis!$D$42),0)</f>
        <v>-3060.483556152</v>
      </c>
      <c r="BT47" s="100" t="n">
        <f aca="false">-IF(AND(70&gt;=Hipótesis!$D$51,Hipótesis!$B$51=1),IF(Hipótesis!$G$51=1,Hipótesis!$H$44,Hipótesis!$C$51*(1+Hipótesis!$D$45)^5)*(1+Hipótesis!$D$42),0)</f>
        <v>-3060.483556152</v>
      </c>
      <c r="BU47" s="100" t="n">
        <f aca="false">-IF(AND(71&gt;=Hipótesis!$D$51,Hipótesis!$B$51=1),IF(Hipótesis!$G$51=1,Hipótesis!$H$44,Hipótesis!$C$51*(1+Hipótesis!$D$45)^5)*(1+Hipótesis!$D$42),0)</f>
        <v>-3060.483556152</v>
      </c>
      <c r="BV47" s="100" t="n">
        <f aca="false">-IF(AND(72&gt;=Hipótesis!$D$51,Hipótesis!$B$51=1),IF(Hipótesis!$G$51=1,Hipótesis!$H$44,Hipótesis!$C$51*(1+Hipótesis!$D$45)^5)*(1+Hipótesis!$D$42),0)</f>
        <v>-3060.483556152</v>
      </c>
      <c r="BW47" s="100" t="n">
        <f aca="false">-IF(AND(73&gt;=Hipótesis!$D$51,Hipótesis!$B$51=1),IF(Hipótesis!$G$51=1,Hipótesis!$I$44,Hipótesis!$C$51*(1+Hipótesis!$D$45)^6)*(1+Hipótesis!$D$42),0)</f>
        <v>-3152.29806283656</v>
      </c>
      <c r="BX47" s="100" t="n">
        <f aca="false">-IF(AND(74&gt;=Hipótesis!$D$51,Hipótesis!$B$51=1),IF(Hipótesis!$G$51=1,Hipótesis!$I$44,Hipótesis!$C$51*(1+Hipótesis!$D$45)^6)*(1+Hipótesis!$D$42),0)</f>
        <v>-3152.29806283656</v>
      </c>
      <c r="BY47" s="100" t="n">
        <f aca="false">-IF(AND(75&gt;=Hipótesis!$D$51,Hipótesis!$B$51=1),IF(Hipótesis!$G$51=1,Hipótesis!$I$44,Hipótesis!$C$51*(1+Hipótesis!$D$45)^6)*(1+Hipótesis!$D$42),0)</f>
        <v>-3152.29806283656</v>
      </c>
      <c r="BZ47" s="100" t="n">
        <f aca="false">-IF(AND(76&gt;=Hipótesis!$D$51,Hipótesis!$B$51=1),IF(Hipótesis!$G$51=1,Hipótesis!$I$44,Hipótesis!$C$51*(1+Hipótesis!$D$45)^6)*(1+Hipótesis!$D$42),0)</f>
        <v>-3152.29806283656</v>
      </c>
      <c r="CA47" s="100" t="n">
        <f aca="false">-IF(AND(77&gt;=Hipótesis!$D$51,Hipótesis!$B$51=1),IF(Hipótesis!$G$51=1,Hipótesis!$I$44,Hipótesis!$C$51*(1+Hipótesis!$D$45)^6)*(1+Hipótesis!$D$42),0)</f>
        <v>-3152.29806283656</v>
      </c>
      <c r="CB47" s="100" t="n">
        <f aca="false">-IF(AND(78&gt;=Hipótesis!$D$51,Hipótesis!$B$51=1),IF(Hipótesis!$G$51=1,Hipótesis!$I$44,Hipótesis!$C$51*(1+Hipótesis!$D$45)^6)*(1+Hipótesis!$D$42),0)</f>
        <v>-3152.29806283656</v>
      </c>
      <c r="CC47" s="100" t="n">
        <f aca="false">-IF(AND(79&gt;=Hipótesis!$D$51,Hipótesis!$B$51=1),IF(Hipótesis!$G$51=1,Hipótesis!$I$44,Hipótesis!$C$51*(1+Hipótesis!$D$45)^6)*(1+Hipótesis!$D$42),0)</f>
        <v>-3152.29806283656</v>
      </c>
      <c r="CD47" s="100" t="n">
        <f aca="false">-IF(AND(80&gt;=Hipótesis!$D$51,Hipótesis!$B$51=1),IF(Hipótesis!$G$51=1,Hipótesis!$I$44,Hipótesis!$C$51*(1+Hipótesis!$D$45)^6)*(1+Hipótesis!$D$42),0)</f>
        <v>-3152.29806283656</v>
      </c>
      <c r="CE47" s="100" t="n">
        <f aca="false">-IF(AND(81&gt;=Hipótesis!$D$51,Hipótesis!$B$51=1),IF(Hipótesis!$G$51=1,Hipótesis!$I$44,Hipótesis!$C$51*(1+Hipótesis!$D$45)^6)*(1+Hipótesis!$D$42),0)</f>
        <v>-3152.29806283656</v>
      </c>
      <c r="CF47" s="100" t="n">
        <f aca="false">-IF(AND(82&gt;=Hipótesis!$D$51,Hipótesis!$B$51=1),IF(Hipótesis!$G$51=1,Hipótesis!$I$44,Hipótesis!$C$51*(1+Hipótesis!$D$45)^6)*(1+Hipótesis!$D$42),0)</f>
        <v>-3152.29806283656</v>
      </c>
      <c r="CG47" s="100" t="n">
        <f aca="false">-IF(AND(83&gt;=Hipótesis!$D$51,Hipótesis!$B$51=1),IF(Hipótesis!$G$51=1,Hipótesis!$I$44,Hipótesis!$C$51*(1+Hipótesis!$D$45)^6)*(1+Hipótesis!$D$42),0)</f>
        <v>-3152.29806283656</v>
      </c>
      <c r="CH47" s="100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6" t="s">
        <v>525</v>
      </c>
      <c r="C48" s="100" t="n">
        <f aca="false">-IF(AND(1&gt;=Hipótesis!$D$52,Hipótesis!$B$52=1),IF(Hipótesis!$G$52=1,Hipótesis!$C$44,Hipótesis!$C$52*(1+Hipótesis!$D$45)^0)*(1+Hipótesis!$D$42),0)</f>
        <v>-0</v>
      </c>
      <c r="D48" s="100" t="n">
        <f aca="false">-IF(AND(2&gt;=Hipótesis!$D$52,Hipótesis!$B$52=1),IF(Hipótesis!$G$52=1,Hipótesis!$C$44,Hipótesis!$C$52*(1+Hipótesis!$D$45)^0)*(1+Hipótesis!$D$42),0)</f>
        <v>-0</v>
      </c>
      <c r="E48" s="100" t="n">
        <f aca="false">-IF(AND(3&gt;=Hipótesis!$D$52,Hipótesis!$B$52=1),IF(Hipótesis!$G$52=1,Hipótesis!$C$44,Hipótesis!$C$52*(1+Hipótesis!$D$45)^0)*(1+Hipótesis!$D$42),0)</f>
        <v>-0</v>
      </c>
      <c r="F48" s="100" t="n">
        <f aca="false">-IF(AND(4&gt;=Hipótesis!$D$52,Hipótesis!$B$52=1),IF(Hipótesis!$G$52=1,Hipótesis!$C$44,Hipótesis!$C$52*(1+Hipótesis!$D$45)^0)*(1+Hipótesis!$D$42),0)</f>
        <v>-0</v>
      </c>
      <c r="G48" s="100" t="n">
        <f aca="false">-IF(AND(5&gt;=Hipótesis!$D$52,Hipótesis!$B$52=1),IF(Hipótesis!$G$52=1,Hipótesis!$C$44,Hipótesis!$C$52*(1+Hipótesis!$D$45)^0)*(1+Hipótesis!$D$42),0)</f>
        <v>-0</v>
      </c>
      <c r="H48" s="100" t="n">
        <f aca="false">-IF(AND(6&gt;=Hipótesis!$D$52,Hipótesis!$B$52=1),IF(Hipótesis!$G$52=1,Hipótesis!$C$44,Hipótesis!$C$52*(1+Hipótesis!$D$45)^0)*(1+Hipótesis!$D$42),0)</f>
        <v>-0</v>
      </c>
      <c r="I48" s="100" t="n">
        <f aca="false">-IF(AND(7&gt;=Hipótesis!$D$52,Hipótesis!$B$52=1),IF(Hipótesis!$G$52=1,Hipótesis!$C$44,Hipótesis!$C$52*(1+Hipótesis!$D$45)^0)*(1+Hipótesis!$D$42),0)</f>
        <v>-0</v>
      </c>
      <c r="J48" s="100" t="n">
        <f aca="false">-IF(AND(8&gt;=Hipótesis!$D$52,Hipótesis!$B$52=1),IF(Hipótesis!$G$52=1,Hipótesis!$C$44,Hipótesis!$C$52*(1+Hipótesis!$D$45)^0)*(1+Hipótesis!$D$42),0)</f>
        <v>-0</v>
      </c>
      <c r="K48" s="100" t="n">
        <f aca="false">-IF(AND(9&gt;=Hipótesis!$D$52,Hipótesis!$B$52=1),IF(Hipótesis!$G$52=1,Hipótesis!$C$44,Hipótesis!$C$52*(1+Hipótesis!$D$45)^0)*(1+Hipótesis!$D$42),0)</f>
        <v>-0</v>
      </c>
      <c r="L48" s="100" t="n">
        <f aca="false">-IF(AND(10&gt;=Hipótesis!$D$52,Hipótesis!$B$52=1),IF(Hipótesis!$G$52=1,Hipótesis!$C$44,Hipótesis!$C$52*(1+Hipótesis!$D$45)^0)*(1+Hipótesis!$D$42),0)</f>
        <v>-0</v>
      </c>
      <c r="M48" s="100" t="n">
        <f aca="false">-IF(AND(11&gt;=Hipótesis!$D$52,Hipótesis!$B$52=1),IF(Hipótesis!$G$52=1,Hipótesis!$C$44,Hipótesis!$C$52*(1+Hipótesis!$D$45)^0)*(1+Hipótesis!$D$42),0)</f>
        <v>-0</v>
      </c>
      <c r="N48" s="100" t="n">
        <f aca="false">-IF(AND(12&gt;=Hipótesis!$D$52,Hipótesis!$B$52=1),IF(Hipótesis!$G$52=1,Hipótesis!$C$44,Hipótesis!$C$52*(1+Hipótesis!$D$45)^0)*(1+Hipótesis!$D$42),0)</f>
        <v>-0</v>
      </c>
      <c r="O48" s="100" t="n">
        <f aca="false">-IF(AND(13&gt;=Hipótesis!$D$52,Hipótesis!$B$52=1),IF(Hipótesis!$G$52=1,Hipótesis!$D$44,Hipótesis!$C$52*(1+Hipótesis!$D$45)^1)*(1+Hipótesis!$D$42),0)</f>
        <v>-0</v>
      </c>
      <c r="P48" s="100" t="n">
        <f aca="false">-IF(AND(14&gt;=Hipótesis!$D$52,Hipótesis!$B$52=1),IF(Hipótesis!$G$52=1,Hipótesis!$D$44,Hipótesis!$C$52*(1+Hipótesis!$D$45)^1)*(1+Hipótesis!$D$42),0)</f>
        <v>-0</v>
      </c>
      <c r="Q48" s="100" t="n">
        <f aca="false">-IF(AND(15&gt;=Hipótesis!$D$52,Hipótesis!$B$52=1),IF(Hipótesis!$G$52=1,Hipótesis!$D$44,Hipótesis!$C$52*(1+Hipótesis!$D$45)^1)*(1+Hipótesis!$D$42),0)</f>
        <v>-0</v>
      </c>
      <c r="R48" s="100" t="n">
        <f aca="false">-IF(AND(16&gt;=Hipótesis!$D$52,Hipótesis!$B$52=1),IF(Hipótesis!$G$52=1,Hipótesis!$D$44,Hipótesis!$C$52*(1+Hipótesis!$D$45)^1)*(1+Hipótesis!$D$42),0)</f>
        <v>-0</v>
      </c>
      <c r="S48" s="100" t="n">
        <f aca="false">-IF(AND(17&gt;=Hipótesis!$D$52,Hipótesis!$B$52=1),IF(Hipótesis!$G$52=1,Hipótesis!$D$44,Hipótesis!$C$52*(1+Hipótesis!$D$45)^1)*(1+Hipótesis!$D$42),0)</f>
        <v>-0</v>
      </c>
      <c r="T48" s="100" t="n">
        <f aca="false">-IF(AND(18&gt;=Hipótesis!$D$52,Hipótesis!$B$52=1),IF(Hipótesis!$G$52=1,Hipótesis!$D$44,Hipótesis!$C$52*(1+Hipótesis!$D$45)^1)*(1+Hipótesis!$D$42),0)</f>
        <v>-0</v>
      </c>
      <c r="U48" s="100" t="n">
        <f aca="false">-IF(AND(19&gt;=Hipótesis!$D$52,Hipótesis!$B$52=1),IF(Hipótesis!$G$52=1,Hipótesis!$D$44,Hipótesis!$C$52*(1+Hipótesis!$D$45)^1)*(1+Hipótesis!$D$42),0)</f>
        <v>-0</v>
      </c>
      <c r="V48" s="100" t="n">
        <f aca="false">-IF(AND(20&gt;=Hipótesis!$D$52,Hipótesis!$B$52=1),IF(Hipótesis!$G$52=1,Hipótesis!$D$44,Hipótesis!$C$52*(1+Hipótesis!$D$45)^1)*(1+Hipótesis!$D$42),0)</f>
        <v>-2719.2</v>
      </c>
      <c r="W48" s="100" t="n">
        <f aca="false">-IF(AND(21&gt;=Hipótesis!$D$52,Hipótesis!$B$52=1),IF(Hipótesis!$G$52=1,Hipótesis!$D$44,Hipótesis!$C$52*(1+Hipótesis!$D$45)^1)*(1+Hipótesis!$D$42),0)</f>
        <v>-2719.2</v>
      </c>
      <c r="X48" s="100" t="n">
        <f aca="false">-IF(AND(22&gt;=Hipótesis!$D$52,Hipótesis!$B$52=1),IF(Hipótesis!$G$52=1,Hipótesis!$D$44,Hipótesis!$C$52*(1+Hipótesis!$D$45)^1)*(1+Hipótesis!$D$42),0)</f>
        <v>-2719.2</v>
      </c>
      <c r="Y48" s="100" t="n">
        <f aca="false">-IF(AND(23&gt;=Hipótesis!$D$52,Hipótesis!$B$52=1),IF(Hipótesis!$G$52=1,Hipótesis!$D$44,Hipótesis!$C$52*(1+Hipótesis!$D$45)^1)*(1+Hipótesis!$D$42),0)</f>
        <v>-2719.2</v>
      </c>
      <c r="Z48" s="100" t="n">
        <f aca="false">-IF(AND(24&gt;=Hipótesis!$D$52,Hipótesis!$B$52=1),IF(Hipótesis!$G$52=1,Hipótesis!$D$44,Hipótesis!$C$52*(1+Hipótesis!$D$45)^1)*(1+Hipótesis!$D$42),0)</f>
        <v>-2719.2</v>
      </c>
      <c r="AA48" s="100" t="n">
        <f aca="false">-IF(AND(25&gt;=Hipótesis!$D$52,Hipótesis!$B$52=1),IF(Hipótesis!$G$52=1,Hipótesis!$E$44,Hipótesis!$C$52*(1+Hipótesis!$D$45)^2)*(1+Hipótesis!$D$42),0)</f>
        <v>-2800.776</v>
      </c>
      <c r="AB48" s="100" t="n">
        <f aca="false">-IF(AND(26&gt;=Hipótesis!$D$52,Hipótesis!$B$52=1),IF(Hipótesis!$G$52=1,Hipótesis!$E$44,Hipótesis!$C$52*(1+Hipótesis!$D$45)^2)*(1+Hipótesis!$D$42),0)</f>
        <v>-2800.776</v>
      </c>
      <c r="AC48" s="100" t="n">
        <f aca="false">-IF(AND(27&gt;=Hipótesis!$D$52,Hipótesis!$B$52=1),IF(Hipótesis!$G$52=1,Hipótesis!$E$44,Hipótesis!$C$52*(1+Hipótesis!$D$45)^2)*(1+Hipótesis!$D$42),0)</f>
        <v>-2800.776</v>
      </c>
      <c r="AD48" s="100" t="n">
        <f aca="false">-IF(AND(28&gt;=Hipótesis!$D$52,Hipótesis!$B$52=1),IF(Hipótesis!$G$52=1,Hipótesis!$E$44,Hipótesis!$C$52*(1+Hipótesis!$D$45)^2)*(1+Hipótesis!$D$42),0)</f>
        <v>-2800.776</v>
      </c>
      <c r="AE48" s="100" t="n">
        <f aca="false">-IF(AND(29&gt;=Hipótesis!$D$52,Hipótesis!$B$52=1),IF(Hipótesis!$G$52=1,Hipótesis!$E$44,Hipótesis!$C$52*(1+Hipótesis!$D$45)^2)*(1+Hipótesis!$D$42),0)</f>
        <v>-2800.776</v>
      </c>
      <c r="AF48" s="100" t="n">
        <f aca="false">-IF(AND(30&gt;=Hipótesis!$D$52,Hipótesis!$B$52=1),IF(Hipótesis!$G$52=1,Hipótesis!$E$44,Hipótesis!$C$52*(1+Hipótesis!$D$45)^2)*(1+Hipótesis!$D$42),0)</f>
        <v>-2800.776</v>
      </c>
      <c r="AG48" s="100" t="n">
        <f aca="false">-IF(AND(31&gt;=Hipótesis!$D$52,Hipótesis!$B$52=1),IF(Hipótesis!$G$52=1,Hipótesis!$E$44,Hipótesis!$C$52*(1+Hipótesis!$D$45)^2)*(1+Hipótesis!$D$42),0)</f>
        <v>-2800.776</v>
      </c>
      <c r="AH48" s="100" t="n">
        <f aca="false">-IF(AND(32&gt;=Hipótesis!$D$52,Hipótesis!$B$52=1),IF(Hipótesis!$G$52=1,Hipótesis!$E$44,Hipótesis!$C$52*(1+Hipótesis!$D$45)^2)*(1+Hipótesis!$D$42),0)</f>
        <v>-2800.776</v>
      </c>
      <c r="AI48" s="100" t="n">
        <f aca="false">-IF(AND(33&gt;=Hipótesis!$D$52,Hipótesis!$B$52=1),IF(Hipótesis!$G$52=1,Hipótesis!$E$44,Hipótesis!$C$52*(1+Hipótesis!$D$45)^2)*(1+Hipótesis!$D$42),0)</f>
        <v>-2800.776</v>
      </c>
      <c r="AJ48" s="100" t="n">
        <f aca="false">-IF(AND(34&gt;=Hipótesis!$D$52,Hipótesis!$B$52=1),IF(Hipótesis!$G$52=1,Hipótesis!$E$44,Hipótesis!$C$52*(1+Hipótesis!$D$45)^2)*(1+Hipótesis!$D$42),0)</f>
        <v>-2800.776</v>
      </c>
      <c r="AK48" s="100" t="n">
        <f aca="false">-IF(AND(35&gt;=Hipótesis!$D$52,Hipótesis!$B$52=1),IF(Hipótesis!$G$52=1,Hipótesis!$E$44,Hipótesis!$C$52*(1+Hipótesis!$D$45)^2)*(1+Hipótesis!$D$42),0)</f>
        <v>-2800.776</v>
      </c>
      <c r="AL48" s="100" t="n">
        <f aca="false">-IF(AND(36&gt;=Hipótesis!$D$52,Hipótesis!$B$52=1),IF(Hipótesis!$G$52=1,Hipótesis!$E$44,Hipótesis!$C$52*(1+Hipótesis!$D$45)^2)*(1+Hipótesis!$D$42),0)</f>
        <v>-2800.776</v>
      </c>
      <c r="AM48" s="100" t="n">
        <f aca="false">-IF(AND(37&gt;=Hipótesis!$D$52,Hipótesis!$B$52=1),IF(Hipótesis!$G$52=1,Hipótesis!$F$44,Hipótesis!$C$52*(1+Hipótesis!$D$45)^3)*(1+Hipótesis!$D$42),0)</f>
        <v>-2884.79928</v>
      </c>
      <c r="AN48" s="100" t="n">
        <f aca="false">-IF(AND(38&gt;=Hipótesis!$D$52,Hipótesis!$B$52=1),IF(Hipótesis!$G$52=1,Hipótesis!$F$44,Hipótesis!$C$52*(1+Hipótesis!$D$45)^3)*(1+Hipótesis!$D$42),0)</f>
        <v>-2884.79928</v>
      </c>
      <c r="AO48" s="100" t="n">
        <f aca="false">-IF(AND(39&gt;=Hipótesis!$D$52,Hipótesis!$B$52=1),IF(Hipótesis!$G$52=1,Hipótesis!$F$44,Hipótesis!$C$52*(1+Hipótesis!$D$45)^3)*(1+Hipótesis!$D$42),0)</f>
        <v>-2884.79928</v>
      </c>
      <c r="AP48" s="100" t="n">
        <f aca="false">-IF(AND(40&gt;=Hipótesis!$D$52,Hipótesis!$B$52=1),IF(Hipótesis!$G$52=1,Hipótesis!$F$44,Hipótesis!$C$52*(1+Hipótesis!$D$45)^3)*(1+Hipótesis!$D$42),0)</f>
        <v>-2884.79928</v>
      </c>
      <c r="AQ48" s="100" t="n">
        <f aca="false">-IF(AND(41&gt;=Hipótesis!$D$52,Hipótesis!$B$52=1),IF(Hipótesis!$G$52=1,Hipótesis!$F$44,Hipótesis!$C$52*(1+Hipótesis!$D$45)^3)*(1+Hipótesis!$D$42),0)</f>
        <v>-2884.79928</v>
      </c>
      <c r="AR48" s="100" t="n">
        <f aca="false">-IF(AND(42&gt;=Hipótesis!$D$52,Hipótesis!$B$52=1),IF(Hipótesis!$G$52=1,Hipótesis!$F$44,Hipótesis!$C$52*(1+Hipótesis!$D$45)^3)*(1+Hipótesis!$D$42),0)</f>
        <v>-2884.79928</v>
      </c>
      <c r="AS48" s="100" t="n">
        <f aca="false">-IF(AND(43&gt;=Hipótesis!$D$52,Hipótesis!$B$52=1),IF(Hipótesis!$G$52=1,Hipótesis!$F$44,Hipótesis!$C$52*(1+Hipótesis!$D$45)^3)*(1+Hipótesis!$D$42),0)</f>
        <v>-2884.79928</v>
      </c>
      <c r="AT48" s="100" t="n">
        <f aca="false">-IF(AND(44&gt;=Hipótesis!$D$52,Hipótesis!$B$52=1),IF(Hipótesis!$G$52=1,Hipótesis!$F$44,Hipótesis!$C$52*(1+Hipótesis!$D$45)^3)*(1+Hipótesis!$D$42),0)</f>
        <v>-2884.79928</v>
      </c>
      <c r="AU48" s="100" t="n">
        <f aca="false">-IF(AND(45&gt;=Hipótesis!$D$52,Hipótesis!$B$52=1),IF(Hipótesis!$G$52=1,Hipótesis!$F$44,Hipótesis!$C$52*(1+Hipótesis!$D$45)^3)*(1+Hipótesis!$D$42),0)</f>
        <v>-2884.79928</v>
      </c>
      <c r="AV48" s="100" t="n">
        <f aca="false">-IF(AND(46&gt;=Hipótesis!$D$52,Hipótesis!$B$52=1),IF(Hipótesis!$G$52=1,Hipótesis!$F$44,Hipótesis!$C$52*(1+Hipótesis!$D$45)^3)*(1+Hipótesis!$D$42),0)</f>
        <v>-2884.79928</v>
      </c>
      <c r="AW48" s="100" t="n">
        <f aca="false">-IF(AND(47&gt;=Hipótesis!$D$52,Hipótesis!$B$52=1),IF(Hipótesis!$G$52=1,Hipótesis!$F$44,Hipótesis!$C$52*(1+Hipótesis!$D$45)^3)*(1+Hipótesis!$D$42),0)</f>
        <v>-2884.79928</v>
      </c>
      <c r="AX48" s="100" t="n">
        <f aca="false">-IF(AND(48&gt;=Hipótesis!$D$52,Hipótesis!$B$52=1),IF(Hipótesis!$G$52=1,Hipótesis!$F$44,Hipótesis!$C$52*(1+Hipótesis!$D$45)^3)*(1+Hipótesis!$D$42),0)</f>
        <v>-2884.79928</v>
      </c>
      <c r="AY48" s="100" t="n">
        <f aca="false">-IF(AND(49&gt;=Hipótesis!$D$52,Hipótesis!$B$52=1),IF(Hipótesis!$G$52=1,Hipótesis!$G$44,Hipótesis!$C$52*(1+Hipótesis!$D$45)^4)*(1+Hipótesis!$D$42),0)</f>
        <v>-2971.3432584</v>
      </c>
      <c r="AZ48" s="100" t="n">
        <f aca="false">-IF(AND(50&gt;=Hipótesis!$D$52,Hipótesis!$B$52=1),IF(Hipótesis!$G$52=1,Hipótesis!$G$44,Hipótesis!$C$52*(1+Hipótesis!$D$45)^4)*(1+Hipótesis!$D$42),0)</f>
        <v>-2971.3432584</v>
      </c>
      <c r="BA48" s="100" t="n">
        <f aca="false">-IF(AND(51&gt;=Hipótesis!$D$52,Hipótesis!$B$52=1),IF(Hipótesis!$G$52=1,Hipótesis!$G$44,Hipótesis!$C$52*(1+Hipótesis!$D$45)^4)*(1+Hipótesis!$D$42),0)</f>
        <v>-2971.3432584</v>
      </c>
      <c r="BB48" s="100" t="n">
        <f aca="false">-IF(AND(52&gt;=Hipótesis!$D$52,Hipótesis!$B$52=1),IF(Hipótesis!$G$52=1,Hipótesis!$G$44,Hipótesis!$C$52*(1+Hipótesis!$D$45)^4)*(1+Hipótesis!$D$42),0)</f>
        <v>-2971.3432584</v>
      </c>
      <c r="BC48" s="100" t="n">
        <f aca="false">-IF(AND(53&gt;=Hipótesis!$D$52,Hipótesis!$B$52=1),IF(Hipótesis!$G$52=1,Hipótesis!$G$44,Hipótesis!$C$52*(1+Hipótesis!$D$45)^4)*(1+Hipótesis!$D$42),0)</f>
        <v>-2971.3432584</v>
      </c>
      <c r="BD48" s="100" t="n">
        <f aca="false">-IF(AND(54&gt;=Hipótesis!$D$52,Hipótesis!$B$52=1),IF(Hipótesis!$G$52=1,Hipótesis!$G$44,Hipótesis!$C$52*(1+Hipótesis!$D$45)^4)*(1+Hipótesis!$D$42),0)</f>
        <v>-2971.3432584</v>
      </c>
      <c r="BE48" s="100" t="n">
        <f aca="false">-IF(AND(55&gt;=Hipótesis!$D$52,Hipótesis!$B$52=1),IF(Hipótesis!$G$52=1,Hipótesis!$G$44,Hipótesis!$C$52*(1+Hipótesis!$D$45)^4)*(1+Hipótesis!$D$42),0)</f>
        <v>-2971.3432584</v>
      </c>
      <c r="BF48" s="100" t="n">
        <f aca="false">-IF(AND(56&gt;=Hipótesis!$D$52,Hipótesis!$B$52=1),IF(Hipótesis!$G$52=1,Hipótesis!$G$44,Hipótesis!$C$52*(1+Hipótesis!$D$45)^4)*(1+Hipótesis!$D$42),0)</f>
        <v>-2971.3432584</v>
      </c>
      <c r="BG48" s="100" t="n">
        <f aca="false">-IF(AND(57&gt;=Hipótesis!$D$52,Hipótesis!$B$52=1),IF(Hipótesis!$G$52=1,Hipótesis!$G$44,Hipótesis!$C$52*(1+Hipótesis!$D$45)^4)*(1+Hipótesis!$D$42),0)</f>
        <v>-2971.3432584</v>
      </c>
      <c r="BH48" s="100" t="n">
        <f aca="false">-IF(AND(58&gt;=Hipótesis!$D$52,Hipótesis!$B$52=1),IF(Hipótesis!$G$52=1,Hipótesis!$G$44,Hipótesis!$C$52*(1+Hipótesis!$D$45)^4)*(1+Hipótesis!$D$42),0)</f>
        <v>-2971.3432584</v>
      </c>
      <c r="BI48" s="100" t="n">
        <f aca="false">-IF(AND(59&gt;=Hipótesis!$D$52,Hipótesis!$B$52=1),IF(Hipótesis!$G$52=1,Hipótesis!$G$44,Hipótesis!$C$52*(1+Hipótesis!$D$45)^4)*(1+Hipótesis!$D$42),0)</f>
        <v>-2971.3432584</v>
      </c>
      <c r="BJ48" s="100" t="n">
        <f aca="false">-IF(AND(60&gt;=Hipótesis!$D$52,Hipótesis!$B$52=1),IF(Hipótesis!$G$52=1,Hipótesis!$G$44,Hipótesis!$C$52*(1+Hipótesis!$D$45)^4)*(1+Hipótesis!$D$42),0)</f>
        <v>-2971.3432584</v>
      </c>
      <c r="BK48" s="100" t="n">
        <f aca="false">-IF(AND(61&gt;=Hipótesis!$D$52,Hipótesis!$B$52=1),IF(Hipótesis!$G$52=1,Hipótesis!$H$44,Hipótesis!$C$52*(1+Hipótesis!$D$45)^5)*(1+Hipótesis!$D$42),0)</f>
        <v>-3060.483556152</v>
      </c>
      <c r="BL48" s="100" t="n">
        <f aca="false">-IF(AND(62&gt;=Hipótesis!$D$52,Hipótesis!$B$52=1),IF(Hipótesis!$G$52=1,Hipótesis!$H$44,Hipótesis!$C$52*(1+Hipótesis!$D$45)^5)*(1+Hipótesis!$D$42),0)</f>
        <v>-3060.483556152</v>
      </c>
      <c r="BM48" s="100" t="n">
        <f aca="false">-IF(AND(63&gt;=Hipótesis!$D$52,Hipótesis!$B$52=1),IF(Hipótesis!$G$52=1,Hipótesis!$H$44,Hipótesis!$C$52*(1+Hipótesis!$D$45)^5)*(1+Hipótesis!$D$42),0)</f>
        <v>-3060.483556152</v>
      </c>
      <c r="BN48" s="100" t="n">
        <f aca="false">-IF(AND(64&gt;=Hipótesis!$D$52,Hipótesis!$B$52=1),IF(Hipótesis!$G$52=1,Hipótesis!$H$44,Hipótesis!$C$52*(1+Hipótesis!$D$45)^5)*(1+Hipótesis!$D$42),0)</f>
        <v>-3060.483556152</v>
      </c>
      <c r="BO48" s="100" t="n">
        <f aca="false">-IF(AND(65&gt;=Hipótesis!$D$52,Hipótesis!$B$52=1),IF(Hipótesis!$G$52=1,Hipótesis!$H$44,Hipótesis!$C$52*(1+Hipótesis!$D$45)^5)*(1+Hipótesis!$D$42),0)</f>
        <v>-3060.483556152</v>
      </c>
      <c r="BP48" s="100" t="n">
        <f aca="false">-IF(AND(66&gt;=Hipótesis!$D$52,Hipótesis!$B$52=1),IF(Hipótesis!$G$52=1,Hipótesis!$H$44,Hipótesis!$C$52*(1+Hipótesis!$D$45)^5)*(1+Hipótesis!$D$42),0)</f>
        <v>-3060.483556152</v>
      </c>
      <c r="BQ48" s="100" t="n">
        <f aca="false">-IF(AND(67&gt;=Hipótesis!$D$52,Hipótesis!$B$52=1),IF(Hipótesis!$G$52=1,Hipótesis!$H$44,Hipótesis!$C$52*(1+Hipótesis!$D$45)^5)*(1+Hipótesis!$D$42),0)</f>
        <v>-3060.483556152</v>
      </c>
      <c r="BR48" s="100" t="n">
        <f aca="false">-IF(AND(68&gt;=Hipótesis!$D$52,Hipótesis!$B$52=1),IF(Hipótesis!$G$52=1,Hipótesis!$H$44,Hipótesis!$C$52*(1+Hipótesis!$D$45)^5)*(1+Hipótesis!$D$42),0)</f>
        <v>-3060.483556152</v>
      </c>
      <c r="BS48" s="100" t="n">
        <f aca="false">-IF(AND(69&gt;=Hipótesis!$D$52,Hipótesis!$B$52=1),IF(Hipótesis!$G$52=1,Hipótesis!$H$44,Hipótesis!$C$52*(1+Hipótesis!$D$45)^5)*(1+Hipótesis!$D$42),0)</f>
        <v>-3060.483556152</v>
      </c>
      <c r="BT48" s="100" t="n">
        <f aca="false">-IF(AND(70&gt;=Hipótesis!$D$52,Hipótesis!$B$52=1),IF(Hipótesis!$G$52=1,Hipótesis!$H$44,Hipótesis!$C$52*(1+Hipótesis!$D$45)^5)*(1+Hipótesis!$D$42),0)</f>
        <v>-3060.483556152</v>
      </c>
      <c r="BU48" s="100" t="n">
        <f aca="false">-IF(AND(71&gt;=Hipótesis!$D$52,Hipótesis!$B$52=1),IF(Hipótesis!$G$52=1,Hipótesis!$H$44,Hipótesis!$C$52*(1+Hipótesis!$D$45)^5)*(1+Hipótesis!$D$42),0)</f>
        <v>-3060.483556152</v>
      </c>
      <c r="BV48" s="100" t="n">
        <f aca="false">-IF(AND(72&gt;=Hipótesis!$D$52,Hipótesis!$B$52=1),IF(Hipótesis!$G$52=1,Hipótesis!$H$44,Hipótesis!$C$52*(1+Hipótesis!$D$45)^5)*(1+Hipótesis!$D$42),0)</f>
        <v>-3060.483556152</v>
      </c>
      <c r="BW48" s="100" t="n">
        <f aca="false">-IF(AND(73&gt;=Hipótesis!$D$52,Hipótesis!$B$52=1),IF(Hipótesis!$G$52=1,Hipótesis!$I$44,Hipótesis!$C$52*(1+Hipótesis!$D$45)^6)*(1+Hipótesis!$D$42),0)</f>
        <v>-3152.29806283656</v>
      </c>
      <c r="BX48" s="100" t="n">
        <f aca="false">-IF(AND(74&gt;=Hipótesis!$D$52,Hipótesis!$B$52=1),IF(Hipótesis!$G$52=1,Hipótesis!$I$44,Hipótesis!$C$52*(1+Hipótesis!$D$45)^6)*(1+Hipótesis!$D$42),0)</f>
        <v>-3152.29806283656</v>
      </c>
      <c r="BY48" s="100" t="n">
        <f aca="false">-IF(AND(75&gt;=Hipótesis!$D$52,Hipótesis!$B$52=1),IF(Hipótesis!$G$52=1,Hipótesis!$I$44,Hipótesis!$C$52*(1+Hipótesis!$D$45)^6)*(1+Hipótesis!$D$42),0)</f>
        <v>-3152.29806283656</v>
      </c>
      <c r="BZ48" s="100" t="n">
        <f aca="false">-IF(AND(76&gt;=Hipótesis!$D$52,Hipótesis!$B$52=1),IF(Hipótesis!$G$52=1,Hipótesis!$I$44,Hipótesis!$C$52*(1+Hipótesis!$D$45)^6)*(1+Hipótesis!$D$42),0)</f>
        <v>-3152.29806283656</v>
      </c>
      <c r="CA48" s="100" t="n">
        <f aca="false">-IF(AND(77&gt;=Hipótesis!$D$52,Hipótesis!$B$52=1),IF(Hipótesis!$G$52=1,Hipótesis!$I$44,Hipótesis!$C$52*(1+Hipótesis!$D$45)^6)*(1+Hipótesis!$D$42),0)</f>
        <v>-3152.29806283656</v>
      </c>
      <c r="CB48" s="100" t="n">
        <f aca="false">-IF(AND(78&gt;=Hipótesis!$D$52,Hipótesis!$B$52=1),IF(Hipótesis!$G$52=1,Hipótesis!$I$44,Hipótesis!$C$52*(1+Hipótesis!$D$45)^6)*(1+Hipótesis!$D$42),0)</f>
        <v>-3152.29806283656</v>
      </c>
      <c r="CC48" s="100" t="n">
        <f aca="false">-IF(AND(79&gt;=Hipótesis!$D$52,Hipótesis!$B$52=1),IF(Hipótesis!$G$52=1,Hipótesis!$I$44,Hipótesis!$C$52*(1+Hipótesis!$D$45)^6)*(1+Hipótesis!$D$42),0)</f>
        <v>-3152.29806283656</v>
      </c>
      <c r="CD48" s="100" t="n">
        <f aca="false">-IF(AND(80&gt;=Hipótesis!$D$52,Hipótesis!$B$52=1),IF(Hipótesis!$G$52=1,Hipótesis!$I$44,Hipótesis!$C$52*(1+Hipótesis!$D$45)^6)*(1+Hipótesis!$D$42),0)</f>
        <v>-3152.29806283656</v>
      </c>
      <c r="CE48" s="100" t="n">
        <f aca="false">-IF(AND(81&gt;=Hipótesis!$D$52,Hipótesis!$B$52=1),IF(Hipótesis!$G$52=1,Hipótesis!$I$44,Hipótesis!$C$52*(1+Hipótesis!$D$45)^6)*(1+Hipótesis!$D$42),0)</f>
        <v>-3152.29806283656</v>
      </c>
      <c r="CF48" s="100" t="n">
        <f aca="false">-IF(AND(82&gt;=Hipótesis!$D$52,Hipótesis!$B$52=1),IF(Hipótesis!$G$52=1,Hipótesis!$I$44,Hipótesis!$C$52*(1+Hipótesis!$D$45)^6)*(1+Hipótesis!$D$42),0)</f>
        <v>-3152.29806283656</v>
      </c>
      <c r="CG48" s="100" t="n">
        <f aca="false">-IF(AND(83&gt;=Hipótesis!$D$52,Hipótesis!$B$52=1),IF(Hipótesis!$G$52=1,Hipótesis!$I$44,Hipótesis!$C$52*(1+Hipótesis!$D$45)^6)*(1+Hipótesis!$D$42),0)</f>
        <v>-3152.29806283656</v>
      </c>
      <c r="CH48" s="100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6" t="s">
        <v>526</v>
      </c>
      <c r="C49" s="100" t="n">
        <f aca="false">-IF(AND(1&gt;=Hipótesis!$D$53,Hipótesis!$B$53=1),IF(Hipótesis!$G$53=1,Hipótesis!$C$44,Hipótesis!$C$53*(1+Hipótesis!$D$45)^0)*(1+Hipótesis!$D$42),0)</f>
        <v>-0</v>
      </c>
      <c r="D49" s="100" t="n">
        <f aca="false">-IF(AND(2&gt;=Hipótesis!$D$53,Hipótesis!$B$53=1),IF(Hipótesis!$G$53=1,Hipótesis!$C$44,Hipótesis!$C$53*(1+Hipótesis!$D$45)^0)*(1+Hipótesis!$D$42),0)</f>
        <v>-0</v>
      </c>
      <c r="E49" s="100" t="n">
        <f aca="false">-IF(AND(3&gt;=Hipótesis!$D$53,Hipótesis!$B$53=1),IF(Hipótesis!$G$53=1,Hipótesis!$C$44,Hipótesis!$C$53*(1+Hipótesis!$D$45)^0)*(1+Hipótesis!$D$42),0)</f>
        <v>-0</v>
      </c>
      <c r="F49" s="100" t="n">
        <f aca="false">-IF(AND(4&gt;=Hipótesis!$D$53,Hipótesis!$B$53=1),IF(Hipótesis!$G$53=1,Hipótesis!$C$44,Hipótesis!$C$53*(1+Hipótesis!$D$45)^0)*(1+Hipótesis!$D$42),0)</f>
        <v>-0</v>
      </c>
      <c r="G49" s="100" t="n">
        <f aca="false">-IF(AND(5&gt;=Hipótesis!$D$53,Hipótesis!$B$53=1),IF(Hipótesis!$G$53=1,Hipótesis!$C$44,Hipótesis!$C$53*(1+Hipótesis!$D$45)^0)*(1+Hipótesis!$D$42),0)</f>
        <v>-0</v>
      </c>
      <c r="H49" s="100" t="n">
        <f aca="false">-IF(AND(6&gt;=Hipótesis!$D$53,Hipótesis!$B$53=1),IF(Hipótesis!$G$53=1,Hipótesis!$C$44,Hipótesis!$C$53*(1+Hipótesis!$D$45)^0)*(1+Hipótesis!$D$42),0)</f>
        <v>-0</v>
      </c>
      <c r="I49" s="100" t="n">
        <f aca="false">-IF(AND(7&gt;=Hipótesis!$D$53,Hipótesis!$B$53=1),IF(Hipótesis!$G$53=1,Hipótesis!$C$44,Hipótesis!$C$53*(1+Hipótesis!$D$45)^0)*(1+Hipótesis!$D$42),0)</f>
        <v>-0</v>
      </c>
      <c r="J49" s="100" t="n">
        <f aca="false">-IF(AND(8&gt;=Hipótesis!$D$53,Hipótesis!$B$53=1),IF(Hipótesis!$G$53=1,Hipótesis!$C$44,Hipótesis!$C$53*(1+Hipótesis!$D$45)^0)*(1+Hipótesis!$D$42),0)</f>
        <v>-0</v>
      </c>
      <c r="K49" s="100" t="n">
        <f aca="false">-IF(AND(9&gt;=Hipótesis!$D$53,Hipótesis!$B$53=1),IF(Hipótesis!$G$53=1,Hipótesis!$C$44,Hipótesis!$C$53*(1+Hipótesis!$D$45)^0)*(1+Hipótesis!$D$42),0)</f>
        <v>-0</v>
      </c>
      <c r="L49" s="100" t="n">
        <f aca="false">-IF(AND(10&gt;=Hipótesis!$D$53,Hipótesis!$B$53=1),IF(Hipótesis!$G$53=1,Hipótesis!$C$44,Hipótesis!$C$53*(1+Hipótesis!$D$45)^0)*(1+Hipótesis!$D$42),0)</f>
        <v>-0</v>
      </c>
      <c r="M49" s="100" t="n">
        <f aca="false">-IF(AND(11&gt;=Hipótesis!$D$53,Hipótesis!$B$53=1),IF(Hipótesis!$G$53=1,Hipótesis!$C$44,Hipótesis!$C$53*(1+Hipótesis!$D$45)^0)*(1+Hipótesis!$D$42),0)</f>
        <v>-0</v>
      </c>
      <c r="N49" s="100" t="n">
        <f aca="false">-IF(AND(12&gt;=Hipótesis!$D$53,Hipótesis!$B$53=1),IF(Hipótesis!$G$53=1,Hipótesis!$C$44,Hipótesis!$C$53*(1+Hipótesis!$D$45)^0)*(1+Hipótesis!$D$42),0)</f>
        <v>-0</v>
      </c>
      <c r="O49" s="100" t="n">
        <f aca="false">-IF(AND(13&gt;=Hipótesis!$D$53,Hipótesis!$B$53=1),IF(Hipótesis!$G$53=1,Hipótesis!$D$44,Hipótesis!$C$53*(1+Hipótesis!$D$45)^1)*(1+Hipótesis!$D$42),0)</f>
        <v>-0</v>
      </c>
      <c r="P49" s="100" t="n">
        <f aca="false">-IF(AND(14&gt;=Hipótesis!$D$53,Hipótesis!$B$53=1),IF(Hipótesis!$G$53=1,Hipótesis!$D$44,Hipótesis!$C$53*(1+Hipótesis!$D$45)^1)*(1+Hipótesis!$D$42),0)</f>
        <v>-0</v>
      </c>
      <c r="Q49" s="100" t="n">
        <f aca="false">-IF(AND(15&gt;=Hipótesis!$D$53,Hipótesis!$B$53=1),IF(Hipótesis!$G$53=1,Hipótesis!$D$44,Hipótesis!$C$53*(1+Hipótesis!$D$45)^1)*(1+Hipótesis!$D$42),0)</f>
        <v>-0</v>
      </c>
      <c r="R49" s="100" t="n">
        <f aca="false">-IF(AND(16&gt;=Hipótesis!$D$53,Hipótesis!$B$53=1),IF(Hipótesis!$G$53=1,Hipótesis!$D$44,Hipótesis!$C$53*(1+Hipótesis!$D$45)^1)*(1+Hipótesis!$D$42),0)</f>
        <v>-0</v>
      </c>
      <c r="S49" s="100" t="n">
        <f aca="false">-IF(AND(17&gt;=Hipótesis!$D$53,Hipótesis!$B$53=1),IF(Hipótesis!$G$53=1,Hipótesis!$D$44,Hipótesis!$C$53*(1+Hipótesis!$D$45)^1)*(1+Hipótesis!$D$42),0)</f>
        <v>-0</v>
      </c>
      <c r="T49" s="100" t="n">
        <f aca="false">-IF(AND(18&gt;=Hipótesis!$D$53,Hipótesis!$B$53=1),IF(Hipótesis!$G$53=1,Hipótesis!$D$44,Hipótesis!$C$53*(1+Hipótesis!$D$45)^1)*(1+Hipótesis!$D$42),0)</f>
        <v>-0</v>
      </c>
      <c r="U49" s="100" t="n">
        <f aca="false">-IF(AND(19&gt;=Hipótesis!$D$53,Hipótesis!$B$53=1),IF(Hipótesis!$G$53=1,Hipótesis!$D$44,Hipótesis!$C$53*(1+Hipótesis!$D$45)^1)*(1+Hipótesis!$D$42),0)</f>
        <v>-0</v>
      </c>
      <c r="V49" s="100" t="n">
        <f aca="false">-IF(AND(20&gt;=Hipótesis!$D$53,Hipótesis!$B$53=1),IF(Hipótesis!$G$53=1,Hipótesis!$D$44,Hipótesis!$C$53*(1+Hipótesis!$D$45)^1)*(1+Hipótesis!$D$42),0)</f>
        <v>-0</v>
      </c>
      <c r="W49" s="100" t="n">
        <f aca="false">-IF(AND(21&gt;=Hipótesis!$D$53,Hipótesis!$B$53=1),IF(Hipótesis!$G$53=1,Hipótesis!$D$44,Hipótesis!$C$53*(1+Hipótesis!$D$45)^1)*(1+Hipótesis!$D$42),0)</f>
        <v>-0</v>
      </c>
      <c r="X49" s="100" t="n">
        <f aca="false">-IF(AND(22&gt;=Hipótesis!$D$53,Hipótesis!$B$53=1),IF(Hipótesis!$G$53=1,Hipótesis!$D$44,Hipótesis!$C$53*(1+Hipótesis!$D$45)^1)*(1+Hipótesis!$D$42),0)</f>
        <v>-0</v>
      </c>
      <c r="Y49" s="100" t="n">
        <f aca="false">-IF(AND(23&gt;=Hipótesis!$D$53,Hipótesis!$B$53=1),IF(Hipótesis!$G$53=1,Hipótesis!$D$44,Hipótesis!$C$53*(1+Hipótesis!$D$45)^1)*(1+Hipótesis!$D$42),0)</f>
        <v>-0</v>
      </c>
      <c r="Z49" s="100" t="n">
        <f aca="false">-IF(AND(24&gt;=Hipótesis!$D$53,Hipótesis!$B$53=1),IF(Hipótesis!$G$53=1,Hipótesis!$D$44,Hipótesis!$C$53*(1+Hipótesis!$D$45)^1)*(1+Hipótesis!$D$42),0)</f>
        <v>-0</v>
      </c>
      <c r="AA49" s="100" t="n">
        <f aca="false">-IF(AND(25&gt;=Hipótesis!$D$53,Hipótesis!$B$53=1),IF(Hipótesis!$G$53=1,Hipótesis!$E$44,Hipótesis!$C$53*(1+Hipótesis!$D$45)^2)*(1+Hipótesis!$D$42),0)</f>
        <v>-0</v>
      </c>
      <c r="AB49" s="100" t="n">
        <f aca="false">-IF(AND(26&gt;=Hipótesis!$D$53,Hipótesis!$B$53=1),IF(Hipótesis!$G$53=1,Hipótesis!$E$44,Hipótesis!$C$53*(1+Hipótesis!$D$45)^2)*(1+Hipótesis!$D$42),0)</f>
        <v>-0</v>
      </c>
      <c r="AC49" s="100" t="n">
        <f aca="false">-IF(AND(27&gt;=Hipótesis!$D$53,Hipótesis!$B$53=1),IF(Hipótesis!$G$53=1,Hipótesis!$E$44,Hipótesis!$C$53*(1+Hipótesis!$D$45)^2)*(1+Hipótesis!$D$42),0)</f>
        <v>-0</v>
      </c>
      <c r="AD49" s="100" t="n">
        <f aca="false">-IF(AND(28&gt;=Hipótesis!$D$53,Hipótesis!$B$53=1),IF(Hipótesis!$G$53=1,Hipótesis!$E$44,Hipótesis!$C$53*(1+Hipótesis!$D$45)^2)*(1+Hipótesis!$D$42),0)</f>
        <v>-0</v>
      </c>
      <c r="AE49" s="100" t="n">
        <f aca="false">-IF(AND(29&gt;=Hipótesis!$D$53,Hipótesis!$B$53=1),IF(Hipótesis!$G$53=1,Hipótesis!$E$44,Hipótesis!$C$53*(1+Hipótesis!$D$45)^2)*(1+Hipótesis!$D$42),0)</f>
        <v>-0</v>
      </c>
      <c r="AF49" s="100" t="n">
        <f aca="false">-IF(AND(30&gt;=Hipótesis!$D$53,Hipótesis!$B$53=1),IF(Hipótesis!$G$53=1,Hipótesis!$E$44,Hipótesis!$C$53*(1+Hipótesis!$D$45)^2)*(1+Hipótesis!$D$42),0)</f>
        <v>-0</v>
      </c>
      <c r="AG49" s="100" t="n">
        <f aca="false">-IF(AND(31&gt;=Hipótesis!$D$53,Hipótesis!$B$53=1),IF(Hipótesis!$G$53=1,Hipótesis!$E$44,Hipótesis!$C$53*(1+Hipótesis!$D$45)^2)*(1+Hipótesis!$D$42),0)</f>
        <v>-0</v>
      </c>
      <c r="AH49" s="100" t="n">
        <f aca="false">-IF(AND(32&gt;=Hipótesis!$D$53,Hipótesis!$B$53=1),IF(Hipótesis!$G$53=1,Hipótesis!$E$44,Hipótesis!$C$53*(1+Hipótesis!$D$45)^2)*(1+Hipótesis!$D$42),0)</f>
        <v>-0</v>
      </c>
      <c r="AI49" s="100" t="n">
        <f aca="false">-IF(AND(33&gt;=Hipótesis!$D$53,Hipótesis!$B$53=1),IF(Hipótesis!$G$53=1,Hipótesis!$E$44,Hipótesis!$C$53*(1+Hipótesis!$D$45)^2)*(1+Hipótesis!$D$42),0)</f>
        <v>-0</v>
      </c>
      <c r="AJ49" s="100" t="n">
        <f aca="false">-IF(AND(34&gt;=Hipótesis!$D$53,Hipótesis!$B$53=1),IF(Hipótesis!$G$53=1,Hipótesis!$E$44,Hipótesis!$C$53*(1+Hipótesis!$D$45)^2)*(1+Hipótesis!$D$42),0)</f>
        <v>-0</v>
      </c>
      <c r="AK49" s="100" t="n">
        <f aca="false">-IF(AND(35&gt;=Hipótesis!$D$53,Hipótesis!$B$53=1),IF(Hipótesis!$G$53=1,Hipótesis!$E$44,Hipótesis!$C$53*(1+Hipótesis!$D$45)^2)*(1+Hipótesis!$D$42),0)</f>
        <v>-0</v>
      </c>
      <c r="AL49" s="100" t="n">
        <f aca="false">-IF(AND(36&gt;=Hipótesis!$D$53,Hipótesis!$B$53=1),IF(Hipótesis!$G$53=1,Hipótesis!$E$44,Hipótesis!$C$53*(1+Hipótesis!$D$45)^2)*(1+Hipótesis!$D$42),0)</f>
        <v>-0</v>
      </c>
      <c r="AM49" s="100" t="n">
        <f aca="false">-IF(AND(37&gt;=Hipótesis!$D$53,Hipótesis!$B$53=1),IF(Hipótesis!$G$53=1,Hipótesis!$F$44,Hipótesis!$C$53*(1+Hipótesis!$D$45)^3)*(1+Hipótesis!$D$42),0)</f>
        <v>-0</v>
      </c>
      <c r="AN49" s="100" t="n">
        <f aca="false">-IF(AND(38&gt;=Hipótesis!$D$53,Hipótesis!$B$53=1),IF(Hipótesis!$G$53=1,Hipótesis!$F$44,Hipótesis!$C$53*(1+Hipótesis!$D$45)^3)*(1+Hipótesis!$D$42),0)</f>
        <v>-0</v>
      </c>
      <c r="AO49" s="100" t="n">
        <f aca="false">-IF(AND(39&gt;=Hipótesis!$D$53,Hipótesis!$B$53=1),IF(Hipótesis!$G$53=1,Hipótesis!$F$44,Hipótesis!$C$53*(1+Hipótesis!$D$45)^3)*(1+Hipótesis!$D$42),0)</f>
        <v>-0</v>
      </c>
      <c r="AP49" s="100" t="n">
        <f aca="false">-IF(AND(40&gt;=Hipótesis!$D$53,Hipótesis!$B$53=1),IF(Hipótesis!$G$53=1,Hipótesis!$F$44,Hipótesis!$C$53*(1+Hipótesis!$D$45)^3)*(1+Hipótesis!$D$42),0)</f>
        <v>-0</v>
      </c>
      <c r="AQ49" s="100" t="n">
        <f aca="false">-IF(AND(41&gt;=Hipótesis!$D$53,Hipótesis!$B$53=1),IF(Hipótesis!$G$53=1,Hipótesis!$F$44,Hipótesis!$C$53*(1+Hipótesis!$D$45)^3)*(1+Hipótesis!$D$42),0)</f>
        <v>-0</v>
      </c>
      <c r="AR49" s="100" t="n">
        <f aca="false">-IF(AND(42&gt;=Hipótesis!$D$53,Hipótesis!$B$53=1),IF(Hipótesis!$G$53=1,Hipótesis!$F$44,Hipótesis!$C$53*(1+Hipótesis!$D$45)^3)*(1+Hipótesis!$D$42),0)</f>
        <v>-0</v>
      </c>
      <c r="AS49" s="100" t="n">
        <f aca="false">-IF(AND(43&gt;=Hipótesis!$D$53,Hipótesis!$B$53=1),IF(Hipótesis!$G$53=1,Hipótesis!$F$44,Hipótesis!$C$53*(1+Hipótesis!$D$45)^3)*(1+Hipótesis!$D$42),0)</f>
        <v>-0</v>
      </c>
      <c r="AT49" s="100" t="n">
        <f aca="false">-IF(AND(44&gt;=Hipótesis!$D$53,Hipótesis!$B$53=1),IF(Hipótesis!$G$53=1,Hipótesis!$F$44,Hipótesis!$C$53*(1+Hipótesis!$D$45)^3)*(1+Hipótesis!$D$42),0)</f>
        <v>-0</v>
      </c>
      <c r="AU49" s="100" t="n">
        <f aca="false">-IF(AND(45&gt;=Hipótesis!$D$53,Hipótesis!$B$53=1),IF(Hipótesis!$G$53=1,Hipótesis!$F$44,Hipótesis!$C$53*(1+Hipótesis!$D$45)^3)*(1+Hipótesis!$D$42),0)</f>
        <v>-0</v>
      </c>
      <c r="AV49" s="100" t="n">
        <f aca="false">-IF(AND(46&gt;=Hipótesis!$D$53,Hipótesis!$B$53=1),IF(Hipótesis!$G$53=1,Hipótesis!$F$44,Hipótesis!$C$53*(1+Hipótesis!$D$45)^3)*(1+Hipótesis!$D$42),0)</f>
        <v>-0</v>
      </c>
      <c r="AW49" s="100" t="n">
        <f aca="false">-IF(AND(47&gt;=Hipótesis!$D$53,Hipótesis!$B$53=1),IF(Hipótesis!$G$53=1,Hipótesis!$F$44,Hipótesis!$C$53*(1+Hipótesis!$D$45)^3)*(1+Hipótesis!$D$42),0)</f>
        <v>-0</v>
      </c>
      <c r="AX49" s="100" t="n">
        <f aca="false">-IF(AND(48&gt;=Hipótesis!$D$53,Hipótesis!$B$53=1),IF(Hipótesis!$G$53=1,Hipótesis!$F$44,Hipótesis!$C$53*(1+Hipótesis!$D$45)^3)*(1+Hipótesis!$D$42),0)</f>
        <v>-0</v>
      </c>
      <c r="AY49" s="100" t="n">
        <f aca="false">-IF(AND(49&gt;=Hipótesis!$D$53,Hipótesis!$B$53=1),IF(Hipótesis!$G$53=1,Hipótesis!$G$44,Hipótesis!$C$53*(1+Hipótesis!$D$45)^4)*(1+Hipótesis!$D$42),0)</f>
        <v>-0</v>
      </c>
      <c r="AZ49" s="100" t="n">
        <f aca="false">-IF(AND(50&gt;=Hipótesis!$D$53,Hipótesis!$B$53=1),IF(Hipótesis!$G$53=1,Hipótesis!$G$44,Hipótesis!$C$53*(1+Hipótesis!$D$45)^4)*(1+Hipótesis!$D$42),0)</f>
        <v>-0</v>
      </c>
      <c r="BA49" s="100" t="n">
        <f aca="false">-IF(AND(51&gt;=Hipótesis!$D$53,Hipótesis!$B$53=1),IF(Hipótesis!$G$53=1,Hipótesis!$G$44,Hipótesis!$C$53*(1+Hipótesis!$D$45)^4)*(1+Hipótesis!$D$42),0)</f>
        <v>-0</v>
      </c>
      <c r="BB49" s="100" t="n">
        <f aca="false">-IF(AND(52&gt;=Hipótesis!$D$53,Hipótesis!$B$53=1),IF(Hipótesis!$G$53=1,Hipótesis!$G$44,Hipótesis!$C$53*(1+Hipótesis!$D$45)^4)*(1+Hipótesis!$D$42),0)</f>
        <v>-0</v>
      </c>
      <c r="BC49" s="100" t="n">
        <f aca="false">-IF(AND(53&gt;=Hipótesis!$D$53,Hipótesis!$B$53=1),IF(Hipótesis!$G$53=1,Hipótesis!$G$44,Hipótesis!$C$53*(1+Hipótesis!$D$45)^4)*(1+Hipótesis!$D$42),0)</f>
        <v>-0</v>
      </c>
      <c r="BD49" s="100" t="n">
        <f aca="false">-IF(AND(54&gt;=Hipótesis!$D$53,Hipótesis!$B$53=1),IF(Hipótesis!$G$53=1,Hipótesis!$G$44,Hipótesis!$C$53*(1+Hipótesis!$D$45)^4)*(1+Hipótesis!$D$42),0)</f>
        <v>-0</v>
      </c>
      <c r="BE49" s="100" t="n">
        <f aca="false">-IF(AND(55&gt;=Hipótesis!$D$53,Hipótesis!$B$53=1),IF(Hipótesis!$G$53=1,Hipótesis!$G$44,Hipótesis!$C$53*(1+Hipótesis!$D$45)^4)*(1+Hipótesis!$D$42),0)</f>
        <v>-0</v>
      </c>
      <c r="BF49" s="100" t="n">
        <f aca="false">-IF(AND(56&gt;=Hipótesis!$D$53,Hipótesis!$B$53=1),IF(Hipótesis!$G$53=1,Hipótesis!$G$44,Hipótesis!$C$53*(1+Hipótesis!$D$45)^4)*(1+Hipótesis!$D$42),0)</f>
        <v>-0</v>
      </c>
      <c r="BG49" s="100" t="n">
        <f aca="false">-IF(AND(57&gt;=Hipótesis!$D$53,Hipótesis!$B$53=1),IF(Hipótesis!$G$53=1,Hipótesis!$G$44,Hipótesis!$C$53*(1+Hipótesis!$D$45)^4)*(1+Hipótesis!$D$42),0)</f>
        <v>-0</v>
      </c>
      <c r="BH49" s="100" t="n">
        <f aca="false">-IF(AND(58&gt;=Hipótesis!$D$53,Hipótesis!$B$53=1),IF(Hipótesis!$G$53=1,Hipótesis!$G$44,Hipótesis!$C$53*(1+Hipótesis!$D$45)^4)*(1+Hipótesis!$D$42),0)</f>
        <v>-0</v>
      </c>
      <c r="BI49" s="100" t="n">
        <f aca="false">-IF(AND(59&gt;=Hipótesis!$D$53,Hipótesis!$B$53=1),IF(Hipótesis!$G$53=1,Hipótesis!$G$44,Hipótesis!$C$53*(1+Hipótesis!$D$45)^4)*(1+Hipótesis!$D$42),0)</f>
        <v>-0</v>
      </c>
      <c r="BJ49" s="100" t="n">
        <f aca="false">-IF(AND(60&gt;=Hipótesis!$D$53,Hipótesis!$B$53=1),IF(Hipótesis!$G$53=1,Hipótesis!$G$44,Hipótesis!$C$53*(1+Hipótesis!$D$45)^4)*(1+Hipótesis!$D$42),0)</f>
        <v>-0</v>
      </c>
      <c r="BK49" s="100" t="n">
        <f aca="false">-IF(AND(61&gt;=Hipótesis!$D$53,Hipótesis!$B$53=1),IF(Hipótesis!$G$53=1,Hipótesis!$H$44,Hipótesis!$C$53*(1+Hipótesis!$D$45)^5)*(1+Hipótesis!$D$42),0)</f>
        <v>-0</v>
      </c>
      <c r="BL49" s="100" t="n">
        <f aca="false">-IF(AND(62&gt;=Hipótesis!$D$53,Hipótesis!$B$53=1),IF(Hipótesis!$G$53=1,Hipótesis!$H$44,Hipótesis!$C$53*(1+Hipótesis!$D$45)^5)*(1+Hipótesis!$D$42),0)</f>
        <v>-0</v>
      </c>
      <c r="BM49" s="100" t="n">
        <f aca="false">-IF(AND(63&gt;=Hipótesis!$D$53,Hipótesis!$B$53=1),IF(Hipótesis!$G$53=1,Hipótesis!$H$44,Hipótesis!$C$53*(1+Hipótesis!$D$45)^5)*(1+Hipótesis!$D$42),0)</f>
        <v>-0</v>
      </c>
      <c r="BN49" s="100" t="n">
        <f aca="false">-IF(AND(64&gt;=Hipótesis!$D$53,Hipótesis!$B$53=1),IF(Hipótesis!$G$53=1,Hipótesis!$H$44,Hipótesis!$C$53*(1+Hipótesis!$D$45)^5)*(1+Hipótesis!$D$42),0)</f>
        <v>-0</v>
      </c>
      <c r="BO49" s="100" t="n">
        <f aca="false">-IF(AND(65&gt;=Hipótesis!$D$53,Hipótesis!$B$53=1),IF(Hipótesis!$G$53=1,Hipótesis!$H$44,Hipótesis!$C$53*(1+Hipótesis!$D$45)^5)*(1+Hipótesis!$D$42),0)</f>
        <v>-0</v>
      </c>
      <c r="BP49" s="100" t="n">
        <f aca="false">-IF(AND(66&gt;=Hipótesis!$D$53,Hipótesis!$B$53=1),IF(Hipótesis!$G$53=1,Hipótesis!$H$44,Hipótesis!$C$53*(1+Hipótesis!$D$45)^5)*(1+Hipótesis!$D$42),0)</f>
        <v>-0</v>
      </c>
      <c r="BQ49" s="100" t="n">
        <f aca="false">-IF(AND(67&gt;=Hipótesis!$D$53,Hipótesis!$B$53=1),IF(Hipótesis!$G$53=1,Hipótesis!$H$44,Hipótesis!$C$53*(1+Hipótesis!$D$45)^5)*(1+Hipótesis!$D$42),0)</f>
        <v>-0</v>
      </c>
      <c r="BR49" s="100" t="n">
        <f aca="false">-IF(AND(68&gt;=Hipótesis!$D$53,Hipótesis!$B$53=1),IF(Hipótesis!$G$53=1,Hipótesis!$H$44,Hipótesis!$C$53*(1+Hipótesis!$D$45)^5)*(1+Hipótesis!$D$42),0)</f>
        <v>-0</v>
      </c>
      <c r="BS49" s="100" t="n">
        <f aca="false">-IF(AND(69&gt;=Hipótesis!$D$53,Hipótesis!$B$53=1),IF(Hipótesis!$G$53=1,Hipótesis!$H$44,Hipótesis!$C$53*(1+Hipótesis!$D$45)^5)*(1+Hipótesis!$D$42),0)</f>
        <v>-0</v>
      </c>
      <c r="BT49" s="100" t="n">
        <f aca="false">-IF(AND(70&gt;=Hipótesis!$D$53,Hipótesis!$B$53=1),IF(Hipótesis!$G$53=1,Hipótesis!$H$44,Hipótesis!$C$53*(1+Hipótesis!$D$45)^5)*(1+Hipótesis!$D$42),0)</f>
        <v>-0</v>
      </c>
      <c r="BU49" s="100" t="n">
        <f aca="false">-IF(AND(71&gt;=Hipótesis!$D$53,Hipótesis!$B$53=1),IF(Hipótesis!$G$53=1,Hipótesis!$H$44,Hipótesis!$C$53*(1+Hipótesis!$D$45)^5)*(1+Hipótesis!$D$42),0)</f>
        <v>-0</v>
      </c>
      <c r="BV49" s="100" t="n">
        <f aca="false">-IF(AND(72&gt;=Hipótesis!$D$53,Hipótesis!$B$53=1),IF(Hipótesis!$G$53=1,Hipótesis!$H$44,Hipótesis!$C$53*(1+Hipótesis!$D$45)^5)*(1+Hipótesis!$D$42),0)</f>
        <v>-0</v>
      </c>
      <c r="BW49" s="100" t="n">
        <f aca="false">-IF(AND(73&gt;=Hipótesis!$D$53,Hipótesis!$B$53=1),IF(Hipótesis!$G$53=1,Hipótesis!$I$44,Hipótesis!$C$53*(1+Hipótesis!$D$45)^6)*(1+Hipótesis!$D$42),0)</f>
        <v>-0</v>
      </c>
      <c r="BX49" s="100" t="n">
        <f aca="false">-IF(AND(74&gt;=Hipótesis!$D$53,Hipótesis!$B$53=1),IF(Hipótesis!$G$53=1,Hipótesis!$I$44,Hipótesis!$C$53*(1+Hipótesis!$D$45)^6)*(1+Hipótesis!$D$42),0)</f>
        <v>-0</v>
      </c>
      <c r="BY49" s="100" t="n">
        <f aca="false">-IF(AND(75&gt;=Hipótesis!$D$53,Hipótesis!$B$53=1),IF(Hipótesis!$G$53=1,Hipótesis!$I$44,Hipótesis!$C$53*(1+Hipótesis!$D$45)^6)*(1+Hipótesis!$D$42),0)</f>
        <v>-0</v>
      </c>
      <c r="BZ49" s="100" t="n">
        <f aca="false">-IF(AND(76&gt;=Hipótesis!$D$53,Hipótesis!$B$53=1),IF(Hipótesis!$G$53=1,Hipótesis!$I$44,Hipótesis!$C$53*(1+Hipótesis!$D$45)^6)*(1+Hipótesis!$D$42),0)</f>
        <v>-0</v>
      </c>
      <c r="CA49" s="100" t="n">
        <f aca="false">-IF(AND(77&gt;=Hipótesis!$D$53,Hipótesis!$B$53=1),IF(Hipótesis!$G$53=1,Hipótesis!$I$44,Hipótesis!$C$53*(1+Hipótesis!$D$45)^6)*(1+Hipótesis!$D$42),0)</f>
        <v>-0</v>
      </c>
      <c r="CB49" s="100" t="n">
        <f aca="false">-IF(AND(78&gt;=Hipótesis!$D$53,Hipótesis!$B$53=1),IF(Hipótesis!$G$53=1,Hipótesis!$I$44,Hipótesis!$C$53*(1+Hipótesis!$D$45)^6)*(1+Hipótesis!$D$42),0)</f>
        <v>-0</v>
      </c>
      <c r="CC49" s="100" t="n">
        <f aca="false">-IF(AND(79&gt;=Hipótesis!$D$53,Hipótesis!$B$53=1),IF(Hipótesis!$G$53=1,Hipótesis!$I$44,Hipótesis!$C$53*(1+Hipótesis!$D$45)^6)*(1+Hipótesis!$D$42),0)</f>
        <v>-0</v>
      </c>
      <c r="CD49" s="100" t="n">
        <f aca="false">-IF(AND(80&gt;=Hipótesis!$D$53,Hipótesis!$B$53=1),IF(Hipótesis!$G$53=1,Hipótesis!$I$44,Hipótesis!$C$53*(1+Hipótesis!$D$45)^6)*(1+Hipótesis!$D$42),0)</f>
        <v>-0</v>
      </c>
      <c r="CE49" s="100" t="n">
        <f aca="false">-IF(AND(81&gt;=Hipótesis!$D$53,Hipótesis!$B$53=1),IF(Hipótesis!$G$53=1,Hipótesis!$I$44,Hipótesis!$C$53*(1+Hipótesis!$D$45)^6)*(1+Hipótesis!$D$42),0)</f>
        <v>-0</v>
      </c>
      <c r="CF49" s="100" t="n">
        <f aca="false">-IF(AND(82&gt;=Hipótesis!$D$53,Hipótesis!$B$53=1),IF(Hipótesis!$G$53=1,Hipótesis!$I$44,Hipótesis!$C$53*(1+Hipótesis!$D$45)^6)*(1+Hipótesis!$D$42),0)</f>
        <v>-0</v>
      </c>
      <c r="CG49" s="100" t="n">
        <f aca="false">-IF(AND(83&gt;=Hipótesis!$D$53,Hipótesis!$B$53=1),IF(Hipótesis!$G$53=1,Hipótesis!$I$44,Hipótesis!$C$53*(1+Hipótesis!$D$45)^6)*(1+Hipótesis!$D$42),0)</f>
        <v>-0</v>
      </c>
      <c r="CH49" s="100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22" t="s">
        <v>527</v>
      </c>
      <c r="C50" s="100" t="n">
        <f aca="false">-C30*Hipótesis!$D$61*(1+Hipótesis!$D$45)^0*(1+Hipótesis!$D$42)</f>
        <v>-0</v>
      </c>
      <c r="D50" s="100" t="n">
        <f aca="false">-D30*Hipótesis!$D$61*(1+Hipótesis!$D$45)^0*(1+Hipótesis!$D$42)</f>
        <v>-0</v>
      </c>
      <c r="E50" s="100" t="n">
        <f aca="false">-E30*Hipótesis!$D$61*(1+Hipótesis!$D$45)^0*(1+Hipótesis!$D$42)</f>
        <v>-0</v>
      </c>
      <c r="F50" s="100" t="n">
        <f aca="false">-F30*Hipótesis!$D$61*(1+Hipótesis!$D$45)^0*(1+Hipótesis!$D$42)</f>
        <v>-0</v>
      </c>
      <c r="G50" s="100" t="n">
        <f aca="false">-G30*Hipótesis!$D$61*(1+Hipótesis!$D$45)^0*(1+Hipótesis!$D$42)</f>
        <v>-0</v>
      </c>
      <c r="H50" s="100" t="n">
        <f aca="false">-H30*Hipótesis!$D$61*(1+Hipótesis!$D$45)^0*(1+Hipótesis!$D$42)</f>
        <v>-0</v>
      </c>
      <c r="I50" s="100" t="n">
        <f aca="false">-I30*Hipótesis!$D$61*(1+Hipótesis!$D$45)^0*(1+Hipótesis!$D$42)</f>
        <v>-0</v>
      </c>
      <c r="J50" s="100" t="n">
        <f aca="false">-J30*Hipótesis!$D$61*(1+Hipótesis!$D$45)^0*(1+Hipótesis!$D$42)</f>
        <v>-0</v>
      </c>
      <c r="K50" s="100" t="n">
        <f aca="false">-K30*Hipótesis!$D$61*(1+Hipótesis!$D$45)^0*(1+Hipótesis!$D$42)</f>
        <v>-0</v>
      </c>
      <c r="L50" s="100" t="n">
        <f aca="false">-L30*Hipótesis!$D$61*(1+Hipótesis!$D$45)^0*(1+Hipótesis!$D$42)</f>
        <v>-0</v>
      </c>
      <c r="M50" s="100" t="n">
        <f aca="false">-M30*Hipótesis!$D$61*(1+Hipótesis!$D$45)^0*(1+Hipótesis!$D$42)</f>
        <v>-0</v>
      </c>
      <c r="N50" s="100" t="n">
        <f aca="false">-N30*Hipótesis!$D$61*(1+Hipótesis!$D$45)^0*(1+Hipótesis!$D$42)</f>
        <v>-0</v>
      </c>
      <c r="O50" s="100" t="n">
        <f aca="false">-O30*Hipótesis!$D$61*(1+Hipótesis!$D$45)^1*(1+Hipótesis!$D$42)</f>
        <v>-0</v>
      </c>
      <c r="P50" s="100" t="n">
        <f aca="false">-P30*Hipótesis!$D$61*(1+Hipótesis!$D$45)^1*(1+Hipótesis!$D$42)</f>
        <v>-2311.32</v>
      </c>
      <c r="Q50" s="100" t="n">
        <f aca="false">-Q30*Hipótesis!$D$61*(1+Hipótesis!$D$45)^1*(1+Hipótesis!$D$42)</f>
        <v>-2311.32</v>
      </c>
      <c r="R50" s="100" t="n">
        <f aca="false">-R30*Hipótesis!$D$61*(1+Hipótesis!$D$45)^1*(1+Hipótesis!$D$42)</f>
        <v>-2311.32</v>
      </c>
      <c r="S50" s="100" t="n">
        <f aca="false">-S30*Hipótesis!$D$61*(1+Hipótesis!$D$45)^1*(1+Hipótesis!$D$42)</f>
        <v>-2311.32</v>
      </c>
      <c r="T50" s="100" t="n">
        <f aca="false">-T30*Hipótesis!$D$61*(1+Hipótesis!$D$45)^1*(1+Hipótesis!$D$42)</f>
        <v>-2311.32</v>
      </c>
      <c r="U50" s="100" t="n">
        <f aca="false">-U30*Hipótesis!$D$61*(1+Hipótesis!$D$45)^1*(1+Hipótesis!$D$42)</f>
        <v>-4622.64</v>
      </c>
      <c r="V50" s="100" t="n">
        <f aca="false">-V30*Hipótesis!$D$61*(1+Hipótesis!$D$45)^1*(1+Hipótesis!$D$42)</f>
        <v>-4622.64</v>
      </c>
      <c r="W50" s="100" t="n">
        <f aca="false">-W30*Hipótesis!$D$61*(1+Hipótesis!$D$45)^1*(1+Hipótesis!$D$42)</f>
        <v>-4622.64</v>
      </c>
      <c r="X50" s="100" t="n">
        <f aca="false">-X30*Hipótesis!$D$61*(1+Hipótesis!$D$45)^1*(1+Hipótesis!$D$42)</f>
        <v>-4622.64</v>
      </c>
      <c r="Y50" s="100" t="n">
        <f aca="false">-Y30*Hipótesis!$D$61*(1+Hipótesis!$D$45)^1*(1+Hipótesis!$D$42)</f>
        <v>-4622.64</v>
      </c>
      <c r="Z50" s="100" t="n">
        <f aca="false">-Z30*Hipótesis!$D$61*(1+Hipótesis!$D$45)^1*(1+Hipótesis!$D$42)</f>
        <v>-4622.64</v>
      </c>
      <c r="AA50" s="100" t="n">
        <f aca="false">-AA30*Hipótesis!$D$61*(1+Hipótesis!$D$45)^2*(1+Hipótesis!$D$42)</f>
        <v>-4761.3192</v>
      </c>
      <c r="AB50" s="100" t="n">
        <f aca="false">-AB30*Hipótesis!$D$61*(1+Hipótesis!$D$45)^2*(1+Hipótesis!$D$42)</f>
        <v>-7141.9788</v>
      </c>
      <c r="AC50" s="100" t="n">
        <f aca="false">-AC30*Hipótesis!$D$61*(1+Hipótesis!$D$45)^2*(1+Hipótesis!$D$42)</f>
        <v>-7141.9788</v>
      </c>
      <c r="AD50" s="100" t="n">
        <f aca="false">-AD30*Hipótesis!$D$61*(1+Hipótesis!$D$45)^2*(1+Hipótesis!$D$42)</f>
        <v>-7141.9788</v>
      </c>
      <c r="AE50" s="100" t="n">
        <f aca="false">-AE30*Hipótesis!$D$61*(1+Hipótesis!$D$45)^2*(1+Hipótesis!$D$42)</f>
        <v>-7141.9788</v>
      </c>
      <c r="AF50" s="100" t="n">
        <f aca="false">-AF30*Hipótesis!$D$61*(1+Hipótesis!$D$45)^2*(1+Hipótesis!$D$42)</f>
        <v>-7141.9788</v>
      </c>
      <c r="AG50" s="100" t="n">
        <f aca="false">-AG30*Hipótesis!$D$61*(1+Hipótesis!$D$45)^2*(1+Hipótesis!$D$42)</f>
        <v>-7141.9788</v>
      </c>
      <c r="AH50" s="100" t="n">
        <f aca="false">-AH30*Hipótesis!$D$61*(1+Hipótesis!$D$45)^2*(1+Hipótesis!$D$42)</f>
        <v>-7141.9788</v>
      </c>
      <c r="AI50" s="100" t="n">
        <f aca="false">-AI30*Hipótesis!$D$61*(1+Hipótesis!$D$45)^2*(1+Hipótesis!$D$42)</f>
        <v>-7141.9788</v>
      </c>
      <c r="AJ50" s="100" t="n">
        <f aca="false">-AJ30*Hipótesis!$D$61*(1+Hipótesis!$D$45)^2*(1+Hipótesis!$D$42)</f>
        <v>-7141.9788</v>
      </c>
      <c r="AK50" s="100" t="n">
        <f aca="false">-AK30*Hipótesis!$D$61*(1+Hipótesis!$D$45)^2*(1+Hipótesis!$D$42)</f>
        <v>-7141.9788</v>
      </c>
      <c r="AL50" s="100" t="n">
        <f aca="false">-AL30*Hipótesis!$D$61*(1+Hipótesis!$D$45)^2*(1+Hipótesis!$D$42)</f>
        <v>-9522.6384</v>
      </c>
      <c r="AM50" s="100" t="n">
        <f aca="false">-AM30*Hipótesis!$D$61*(1+Hipótesis!$D$45)^3*(1+Hipótesis!$D$42)</f>
        <v>-9808.317552</v>
      </c>
      <c r="AN50" s="100" t="n">
        <f aca="false">-AN30*Hipótesis!$D$61*(1+Hipótesis!$D$45)^3*(1+Hipótesis!$D$42)</f>
        <v>-9808.317552</v>
      </c>
      <c r="AO50" s="100" t="n">
        <f aca="false">-AO30*Hipótesis!$D$61*(1+Hipótesis!$D$45)^3*(1+Hipótesis!$D$42)</f>
        <v>-9808.317552</v>
      </c>
      <c r="AP50" s="100" t="n">
        <f aca="false">-AP30*Hipótesis!$D$61*(1+Hipótesis!$D$45)^3*(1+Hipótesis!$D$42)</f>
        <v>-9808.317552</v>
      </c>
      <c r="AQ50" s="100" t="n">
        <f aca="false">-AQ30*Hipótesis!$D$61*(1+Hipótesis!$D$45)^3*(1+Hipótesis!$D$42)</f>
        <v>-9808.317552</v>
      </c>
      <c r="AR50" s="100" t="n">
        <f aca="false">-AR30*Hipótesis!$D$61*(1+Hipótesis!$D$45)^3*(1+Hipótesis!$D$42)</f>
        <v>-9808.317552</v>
      </c>
      <c r="AS50" s="100" t="n">
        <f aca="false">-AS30*Hipótesis!$D$61*(1+Hipótesis!$D$45)^3*(1+Hipótesis!$D$42)</f>
        <v>-9808.317552</v>
      </c>
      <c r="AT50" s="100" t="n">
        <f aca="false">-AT30*Hipótesis!$D$61*(1+Hipótesis!$D$45)^3*(1+Hipótesis!$D$42)</f>
        <v>-9808.317552</v>
      </c>
      <c r="AU50" s="100" t="n">
        <f aca="false">-AU30*Hipótesis!$D$61*(1+Hipótesis!$D$45)^3*(1+Hipótesis!$D$42)</f>
        <v>-9808.317552</v>
      </c>
      <c r="AV50" s="100" t="n">
        <f aca="false">-AV30*Hipótesis!$D$61*(1+Hipótesis!$D$45)^3*(1+Hipótesis!$D$42)</f>
        <v>-9808.317552</v>
      </c>
      <c r="AW50" s="100" t="n">
        <f aca="false">-AW30*Hipótesis!$D$61*(1+Hipótesis!$D$45)^3*(1+Hipótesis!$D$42)</f>
        <v>-9808.317552</v>
      </c>
      <c r="AX50" s="100" t="n">
        <f aca="false">-AX30*Hipótesis!$D$61*(1+Hipótesis!$D$45)^3*(1+Hipótesis!$D$42)</f>
        <v>-9808.317552</v>
      </c>
      <c r="AY50" s="100" t="n">
        <f aca="false">-AY30*Hipótesis!$D$61*(1+Hipótesis!$D$45)^4*(1+Hipótesis!$D$42)</f>
        <v>-10102.56707856</v>
      </c>
      <c r="AZ50" s="100" t="n">
        <f aca="false">-AZ30*Hipótesis!$D$61*(1+Hipótesis!$D$45)^4*(1+Hipótesis!$D$42)</f>
        <v>-10102.56707856</v>
      </c>
      <c r="BA50" s="100" t="n">
        <f aca="false">-BA30*Hipótesis!$D$61*(1+Hipótesis!$D$45)^4*(1+Hipótesis!$D$42)</f>
        <v>-10102.56707856</v>
      </c>
      <c r="BB50" s="100" t="n">
        <f aca="false">-BB30*Hipótesis!$D$61*(1+Hipótesis!$D$45)^4*(1+Hipótesis!$D$42)</f>
        <v>-10102.56707856</v>
      </c>
      <c r="BC50" s="100" t="n">
        <f aca="false">-BC30*Hipótesis!$D$61*(1+Hipótesis!$D$45)^4*(1+Hipótesis!$D$42)</f>
        <v>-10102.56707856</v>
      </c>
      <c r="BD50" s="100" t="n">
        <f aca="false">-BD30*Hipótesis!$D$61*(1+Hipótesis!$D$45)^4*(1+Hipótesis!$D$42)</f>
        <v>-10102.56707856</v>
      </c>
      <c r="BE50" s="100" t="n">
        <f aca="false">-BE30*Hipótesis!$D$61*(1+Hipótesis!$D$45)^4*(1+Hipótesis!$D$42)</f>
        <v>-10102.56707856</v>
      </c>
      <c r="BF50" s="100" t="n">
        <f aca="false">-BF30*Hipótesis!$D$61*(1+Hipótesis!$D$45)^4*(1+Hipótesis!$D$42)</f>
        <v>-10102.56707856</v>
      </c>
      <c r="BG50" s="100" t="n">
        <f aca="false">-BG30*Hipótesis!$D$61*(1+Hipótesis!$D$45)^4*(1+Hipótesis!$D$42)</f>
        <v>-10102.56707856</v>
      </c>
      <c r="BH50" s="100" t="n">
        <f aca="false">-BH30*Hipótesis!$D$61*(1+Hipótesis!$D$45)^4*(1+Hipótesis!$D$42)</f>
        <v>-10102.56707856</v>
      </c>
      <c r="BI50" s="100" t="n">
        <f aca="false">-BI30*Hipótesis!$D$61*(1+Hipótesis!$D$45)^4*(1+Hipótesis!$D$42)</f>
        <v>-10102.56707856</v>
      </c>
      <c r="BJ50" s="100" t="n">
        <f aca="false">-BJ30*Hipótesis!$D$61*(1+Hipótesis!$D$45)^4*(1+Hipótesis!$D$42)</f>
        <v>-10102.56707856</v>
      </c>
      <c r="BK50" s="100" t="n">
        <f aca="false">-BK30*Hipótesis!$D$61*(1+Hipótesis!$D$45)^5*(1+Hipótesis!$D$42)</f>
        <v>-10405.6440909168</v>
      </c>
      <c r="BL50" s="100" t="n">
        <f aca="false">-BL30*Hipótesis!$D$61*(1+Hipótesis!$D$45)^5*(1+Hipótesis!$D$42)</f>
        <v>-10405.6440909168</v>
      </c>
      <c r="BM50" s="100" t="n">
        <f aca="false">-BM30*Hipótesis!$D$61*(1+Hipótesis!$D$45)^5*(1+Hipótesis!$D$42)</f>
        <v>-10405.6440909168</v>
      </c>
      <c r="BN50" s="100" t="n">
        <f aca="false">-BN30*Hipótesis!$D$61*(1+Hipótesis!$D$45)^5*(1+Hipótesis!$D$42)</f>
        <v>-10405.6440909168</v>
      </c>
      <c r="BO50" s="100" t="n">
        <f aca="false">-BO30*Hipótesis!$D$61*(1+Hipótesis!$D$45)^5*(1+Hipótesis!$D$42)</f>
        <v>-10405.6440909168</v>
      </c>
      <c r="BP50" s="100" t="n">
        <f aca="false">-BP30*Hipótesis!$D$61*(1+Hipótesis!$D$45)^5*(1+Hipótesis!$D$42)</f>
        <v>-10405.6440909168</v>
      </c>
      <c r="BQ50" s="100" t="n">
        <f aca="false">-BQ30*Hipótesis!$D$61*(1+Hipótesis!$D$45)^5*(1+Hipótesis!$D$42)</f>
        <v>-10405.6440909168</v>
      </c>
      <c r="BR50" s="100" t="n">
        <f aca="false">-BR30*Hipótesis!$D$61*(1+Hipótesis!$D$45)^5*(1+Hipótesis!$D$42)</f>
        <v>-10405.6440909168</v>
      </c>
      <c r="BS50" s="100" t="n">
        <f aca="false">-BS30*Hipótesis!$D$61*(1+Hipótesis!$D$45)^5*(1+Hipótesis!$D$42)</f>
        <v>-10405.6440909168</v>
      </c>
      <c r="BT50" s="100" t="n">
        <f aca="false">-BT30*Hipótesis!$D$61*(1+Hipótesis!$D$45)^5*(1+Hipótesis!$D$42)</f>
        <v>-10405.6440909168</v>
      </c>
      <c r="BU50" s="100" t="n">
        <f aca="false">-BU30*Hipótesis!$D$61*(1+Hipótesis!$D$45)^5*(1+Hipótesis!$D$42)</f>
        <v>-10405.6440909168</v>
      </c>
      <c r="BV50" s="100" t="n">
        <f aca="false">-BV30*Hipótesis!$D$61*(1+Hipótesis!$D$45)^5*(1+Hipótesis!$D$42)</f>
        <v>-10405.6440909168</v>
      </c>
      <c r="BW50" s="100" t="n">
        <f aca="false">-BW30*Hipótesis!$D$61*(1+Hipótesis!$D$45)^6*(1+Hipótesis!$D$42)</f>
        <v>-10717.8134136443</v>
      </c>
      <c r="BX50" s="100" t="n">
        <f aca="false">-BX30*Hipótesis!$D$61*(1+Hipótesis!$D$45)^6*(1+Hipótesis!$D$42)</f>
        <v>-10717.8134136443</v>
      </c>
      <c r="BY50" s="100" t="n">
        <f aca="false">-BY30*Hipótesis!$D$61*(1+Hipótesis!$D$45)^6*(1+Hipótesis!$D$42)</f>
        <v>-10717.8134136443</v>
      </c>
      <c r="BZ50" s="100" t="n">
        <f aca="false">-BZ30*Hipótesis!$D$61*(1+Hipótesis!$D$45)^6*(1+Hipótesis!$D$42)</f>
        <v>-10717.8134136443</v>
      </c>
      <c r="CA50" s="100" t="n">
        <f aca="false">-CA30*Hipótesis!$D$61*(1+Hipótesis!$D$45)^6*(1+Hipótesis!$D$42)</f>
        <v>-10717.8134136443</v>
      </c>
      <c r="CB50" s="100" t="n">
        <f aca="false">-CB30*Hipótesis!$D$61*(1+Hipótesis!$D$45)^6*(1+Hipótesis!$D$42)</f>
        <v>-10717.8134136443</v>
      </c>
      <c r="CC50" s="100" t="n">
        <f aca="false">-CC30*Hipótesis!$D$61*(1+Hipótesis!$D$45)^6*(1+Hipótesis!$D$42)</f>
        <v>-10717.8134136443</v>
      </c>
      <c r="CD50" s="100" t="n">
        <f aca="false">-CD30*Hipótesis!$D$61*(1+Hipótesis!$D$45)^6*(1+Hipótesis!$D$42)</f>
        <v>-10717.8134136443</v>
      </c>
      <c r="CE50" s="100" t="n">
        <f aca="false">-CE30*Hipótesis!$D$61*(1+Hipótesis!$D$45)^6*(1+Hipótesis!$D$42)</f>
        <v>-10717.8134136443</v>
      </c>
      <c r="CF50" s="100" t="n">
        <f aca="false">-CF30*Hipótesis!$D$61*(1+Hipótesis!$D$45)^6*(1+Hipótesis!$D$42)</f>
        <v>-10717.8134136443</v>
      </c>
      <c r="CG50" s="100" t="n">
        <f aca="false">-CG30*Hipótesis!$D$61*(1+Hipótesis!$D$45)^6*(1+Hipótesis!$D$42)</f>
        <v>-10717.8134136443</v>
      </c>
      <c r="CH50" s="100" t="n">
        <f aca="false">-CH30*Hipótesis!$D$61*(1+Hipótesis!$D$45)^6*(1+Hipótesis!$D$42)</f>
        <v>-10717.8134136443</v>
      </c>
    </row>
    <row r="51" customFormat="false" ht="13.5" hidden="false" customHeight="true" outlineLevel="0" collapsed="false">
      <c r="A51" s="22" t="s">
        <v>528</v>
      </c>
      <c r="C51" s="100" t="n">
        <f aca="false">SUM(C44:C49)+C50</f>
        <v>-11352</v>
      </c>
      <c r="D51" s="100" t="n">
        <f aca="false">SUM(D44:D49)+D50</f>
        <v>-11352</v>
      </c>
      <c r="E51" s="100" t="n">
        <f aca="false">SUM(E44:E49)+E50</f>
        <v>-11352</v>
      </c>
      <c r="F51" s="100" t="n">
        <f aca="false">SUM(F44:F49)+F50</f>
        <v>-11352</v>
      </c>
      <c r="G51" s="100" t="n">
        <f aca="false">SUM(G44:G49)+G50</f>
        <v>-11352</v>
      </c>
      <c r="H51" s="100" t="n">
        <f aca="false">SUM(H44:H49)+H50</f>
        <v>-11352</v>
      </c>
      <c r="I51" s="100" t="n">
        <f aca="false">SUM(I44:I49)+I50</f>
        <v>-11352</v>
      </c>
      <c r="J51" s="100" t="n">
        <f aca="false">SUM(J44:J49)+J50</f>
        <v>-11352</v>
      </c>
      <c r="K51" s="100" t="n">
        <f aca="false">SUM(K44:K49)+K50</f>
        <v>-11352</v>
      </c>
      <c r="L51" s="100" t="n">
        <f aca="false">SUM(L44:L49)+L50</f>
        <v>-11352</v>
      </c>
      <c r="M51" s="100" t="n">
        <f aca="false">SUM(M44:M49)+M50</f>
        <v>-11352</v>
      </c>
      <c r="N51" s="100" t="n">
        <f aca="false">SUM(N44:N49)+N50</f>
        <v>-11352</v>
      </c>
      <c r="O51" s="100" t="n">
        <f aca="false">SUM(O44:O49)+O50</f>
        <v>-16579.2</v>
      </c>
      <c r="P51" s="100" t="n">
        <f aca="false">SUM(P44:P49)+P50</f>
        <v>-18890.52</v>
      </c>
      <c r="Q51" s="100" t="n">
        <f aca="false">SUM(Q44:Q49)+Q50</f>
        <v>-18890.52</v>
      </c>
      <c r="R51" s="100" t="n">
        <f aca="false">SUM(R44:R49)+R50</f>
        <v>-18890.52</v>
      </c>
      <c r="S51" s="100" t="n">
        <f aca="false">SUM(S44:S49)+S50</f>
        <v>-18890.52</v>
      </c>
      <c r="T51" s="100" t="n">
        <f aca="false">SUM(T44:T49)+T50</f>
        <v>-18890.52</v>
      </c>
      <c r="U51" s="100" t="n">
        <f aca="false">SUM(U44:U49)+U50</f>
        <v>-21201.84</v>
      </c>
      <c r="V51" s="100" t="n">
        <f aca="false">SUM(V44:V49)+V50</f>
        <v>-23921.04</v>
      </c>
      <c r="W51" s="100" t="n">
        <f aca="false">SUM(W44:W49)+W50</f>
        <v>-23921.04</v>
      </c>
      <c r="X51" s="100" t="n">
        <f aca="false">SUM(X44:X49)+X50</f>
        <v>-23921.04</v>
      </c>
      <c r="Y51" s="100" t="n">
        <f aca="false">SUM(Y44:Y49)+Y50</f>
        <v>-23921.04</v>
      </c>
      <c r="Z51" s="100" t="n">
        <f aca="false">SUM(Z44:Z49)+Z50</f>
        <v>-23921.04</v>
      </c>
      <c r="AA51" s="100" t="n">
        <f aca="false">SUM(AA44:AA49)+AA50</f>
        <v>-26202.8712</v>
      </c>
      <c r="AB51" s="100" t="n">
        <f aca="false">SUM(AB44:AB49)+AB50</f>
        <v>-28583.5308</v>
      </c>
      <c r="AC51" s="100" t="n">
        <f aca="false">SUM(AC44:AC49)+AC50</f>
        <v>-28583.5308</v>
      </c>
      <c r="AD51" s="100" t="n">
        <f aca="false">SUM(AD44:AD49)+AD50</f>
        <v>-28583.5308</v>
      </c>
      <c r="AE51" s="100" t="n">
        <f aca="false">SUM(AE44:AE49)+AE50</f>
        <v>-28583.5308</v>
      </c>
      <c r="AF51" s="100" t="n">
        <f aca="false">SUM(AF44:AF49)+AF50</f>
        <v>-28583.5308</v>
      </c>
      <c r="AG51" s="100" t="n">
        <f aca="false">SUM(AG44:AG49)+AG50</f>
        <v>-28583.5308</v>
      </c>
      <c r="AH51" s="100" t="n">
        <f aca="false">SUM(AH44:AH49)+AH50</f>
        <v>-28583.5308</v>
      </c>
      <c r="AI51" s="100" t="n">
        <f aca="false">SUM(AI44:AI49)+AI50</f>
        <v>-28583.5308</v>
      </c>
      <c r="AJ51" s="100" t="n">
        <f aca="false">SUM(AJ44:AJ49)+AJ50</f>
        <v>-28583.5308</v>
      </c>
      <c r="AK51" s="100" t="n">
        <f aca="false">SUM(AK44:AK49)+AK50</f>
        <v>-28583.5308</v>
      </c>
      <c r="AL51" s="100" t="n">
        <f aca="false">SUM(AL44:AL49)+AL50</f>
        <v>-30964.1904</v>
      </c>
      <c r="AM51" s="100" t="n">
        <f aca="false">SUM(AM44:AM49)+AM50</f>
        <v>-33397.916112</v>
      </c>
      <c r="AN51" s="100" t="n">
        <f aca="false">SUM(AN44:AN49)+AN50</f>
        <v>-33397.916112</v>
      </c>
      <c r="AO51" s="100" t="n">
        <f aca="false">SUM(AO44:AO49)+AO50</f>
        <v>-33397.916112</v>
      </c>
      <c r="AP51" s="100" t="n">
        <f aca="false">SUM(AP44:AP49)+AP50</f>
        <v>-33397.916112</v>
      </c>
      <c r="AQ51" s="100" t="n">
        <f aca="false">SUM(AQ44:AQ49)+AQ50</f>
        <v>-33397.916112</v>
      </c>
      <c r="AR51" s="100" t="n">
        <f aca="false">SUM(AR44:AR49)+AR50</f>
        <v>-33397.916112</v>
      </c>
      <c r="AS51" s="100" t="n">
        <f aca="false">SUM(AS44:AS49)+AS50</f>
        <v>-33397.916112</v>
      </c>
      <c r="AT51" s="100" t="n">
        <f aca="false">SUM(AT44:AT49)+AT50</f>
        <v>-33397.916112</v>
      </c>
      <c r="AU51" s="100" t="n">
        <f aca="false">SUM(AU44:AU49)+AU50</f>
        <v>-33397.916112</v>
      </c>
      <c r="AV51" s="100" t="n">
        <f aca="false">SUM(AV44:AV49)+AV50</f>
        <v>-33397.916112</v>
      </c>
      <c r="AW51" s="100" t="n">
        <f aca="false">SUM(AW44:AW49)+AW50</f>
        <v>-33397.916112</v>
      </c>
      <c r="AX51" s="100" t="n">
        <f aca="false">SUM(AX44:AX49)+AX50</f>
        <v>-33397.916112</v>
      </c>
      <c r="AY51" s="100" t="n">
        <f aca="false">SUM(AY44:AY49)+AY50</f>
        <v>-35845.25359536</v>
      </c>
      <c r="AZ51" s="100" t="n">
        <f aca="false">SUM(AZ44:AZ49)+AZ50</f>
        <v>-35845.25359536</v>
      </c>
      <c r="BA51" s="100" t="n">
        <f aca="false">SUM(BA44:BA49)+BA50</f>
        <v>-35845.25359536</v>
      </c>
      <c r="BB51" s="100" t="n">
        <f aca="false">SUM(BB44:BB49)+BB50</f>
        <v>-35845.25359536</v>
      </c>
      <c r="BC51" s="100" t="n">
        <f aca="false">SUM(BC44:BC49)+BC50</f>
        <v>-35845.25359536</v>
      </c>
      <c r="BD51" s="100" t="n">
        <f aca="false">SUM(BD44:BD49)+BD50</f>
        <v>-35845.25359536</v>
      </c>
      <c r="BE51" s="100" t="n">
        <f aca="false">SUM(BE44:BE49)+BE50</f>
        <v>-35845.25359536</v>
      </c>
      <c r="BF51" s="100" t="n">
        <f aca="false">SUM(BF44:BF49)+BF50</f>
        <v>-35845.25359536</v>
      </c>
      <c r="BG51" s="100" t="n">
        <f aca="false">SUM(BG44:BG49)+BG50</f>
        <v>-35845.25359536</v>
      </c>
      <c r="BH51" s="100" t="n">
        <f aca="false">SUM(BH44:BH49)+BH50</f>
        <v>-35845.25359536</v>
      </c>
      <c r="BI51" s="100" t="n">
        <f aca="false">SUM(BI44:BI49)+BI50</f>
        <v>-35845.25359536</v>
      </c>
      <c r="BJ51" s="100" t="n">
        <f aca="false">SUM(BJ44:BJ49)+BJ50</f>
        <v>-35845.25359536</v>
      </c>
      <c r="BK51" s="100" t="n">
        <f aca="false">SUM(BK44:BK49)+BK50</f>
        <v>-38306.6112032208</v>
      </c>
      <c r="BL51" s="100" t="n">
        <f aca="false">SUM(BL44:BL49)+BL50</f>
        <v>-38306.6112032208</v>
      </c>
      <c r="BM51" s="100" t="n">
        <f aca="false">SUM(BM44:BM49)+BM50</f>
        <v>-38306.6112032208</v>
      </c>
      <c r="BN51" s="100" t="n">
        <f aca="false">SUM(BN44:BN49)+BN50</f>
        <v>-38306.6112032208</v>
      </c>
      <c r="BO51" s="100" t="n">
        <f aca="false">SUM(BO44:BO49)+BO50</f>
        <v>-38306.6112032208</v>
      </c>
      <c r="BP51" s="100" t="n">
        <f aca="false">SUM(BP44:BP49)+BP50</f>
        <v>-38306.6112032208</v>
      </c>
      <c r="BQ51" s="100" t="n">
        <f aca="false">SUM(BQ44:BQ49)+BQ50</f>
        <v>-38306.6112032208</v>
      </c>
      <c r="BR51" s="100" t="n">
        <f aca="false">SUM(BR44:BR49)+BR50</f>
        <v>-38306.6112032208</v>
      </c>
      <c r="BS51" s="100" t="n">
        <f aca="false">SUM(BS44:BS49)+BS50</f>
        <v>-38306.6112032208</v>
      </c>
      <c r="BT51" s="100" t="n">
        <f aca="false">SUM(BT44:BT49)+BT50</f>
        <v>-38306.6112032208</v>
      </c>
      <c r="BU51" s="100" t="n">
        <f aca="false">SUM(BU44:BU49)+BU50</f>
        <v>-38306.6112032208</v>
      </c>
      <c r="BV51" s="100" t="n">
        <f aca="false">SUM(BV44:BV49)+BV50</f>
        <v>-38306.6112032208</v>
      </c>
      <c r="BW51" s="100" t="n">
        <f aca="false">SUM(BW44:BW49)+BW50</f>
        <v>-40782.4095393174</v>
      </c>
      <c r="BX51" s="100" t="n">
        <f aca="false">SUM(BX44:BX49)+BX50</f>
        <v>-40782.4095393174</v>
      </c>
      <c r="BY51" s="100" t="n">
        <f aca="false">SUM(BY44:BY49)+BY50</f>
        <v>-40782.4095393174</v>
      </c>
      <c r="BZ51" s="100" t="n">
        <f aca="false">SUM(BZ44:BZ49)+BZ50</f>
        <v>-40782.4095393174</v>
      </c>
      <c r="CA51" s="100" t="n">
        <f aca="false">SUM(CA44:CA49)+CA50</f>
        <v>-40782.4095393174</v>
      </c>
      <c r="CB51" s="100" t="n">
        <f aca="false">SUM(CB44:CB49)+CB50</f>
        <v>-40782.4095393174</v>
      </c>
      <c r="CC51" s="100" t="n">
        <f aca="false">SUM(CC44:CC49)+CC50</f>
        <v>-40782.4095393174</v>
      </c>
      <c r="CD51" s="100" t="n">
        <f aca="false">SUM(CD44:CD49)+CD50</f>
        <v>-40782.4095393174</v>
      </c>
      <c r="CE51" s="100" t="n">
        <f aca="false">SUM(CE44:CE49)+CE50</f>
        <v>-40782.4095393174</v>
      </c>
      <c r="CF51" s="100" t="n">
        <f aca="false">SUM(CF44:CF49)+CF50</f>
        <v>-40782.4095393174</v>
      </c>
      <c r="CG51" s="100" t="n">
        <f aca="false">SUM(CG44:CG49)+CG50</f>
        <v>-40782.4095393174</v>
      </c>
      <c r="CH51" s="100" t="n">
        <f aca="false">SUM(CH44:CH49)+CH50</f>
        <v>-40782.4095393174</v>
      </c>
    </row>
    <row r="52" customFormat="false" ht="13.5" hidden="false" customHeight="true" outlineLevel="0" collapsed="false">
      <c r="A52" s="6" t="s">
        <v>529</v>
      </c>
      <c r="C52" s="100" t="n">
        <f aca="false">-(C26*(1-Logistica!$B$5)*Logistica!$B$7+C26*Logistica!$B$5*Logistica!$B$39)</f>
        <v>-4.78047324930469</v>
      </c>
      <c r="D52" s="100" t="n">
        <f aca="false">-(D26*(1-Logistica!$B$5)*Logistica!$B$7+D26*Logistica!$B$5*Logistica!$B$39)</f>
        <v>-10.5673619195156</v>
      </c>
      <c r="E52" s="100" t="n">
        <f aca="false">-(E26*(1-Logistica!$B$5)*Logistica!$B$7+E26*Logistica!$B$5*Logistica!$B$39)</f>
        <v>-29.1860472062813</v>
      </c>
      <c r="F52" s="100" t="n">
        <f aca="false">-(F26*(1-Logistica!$B$5)*Logistica!$B$7+F26*Logistica!$B$5*Logistica!$B$39)</f>
        <v>-43.0242592437422</v>
      </c>
      <c r="G52" s="100" t="n">
        <f aca="false">-(G26*(1-Logistica!$B$5)*Logistica!$B$7+G26*Logistica!$B$5*Logistica!$B$39)</f>
        <v>-55.8560558602969</v>
      </c>
      <c r="H52" s="100" t="n">
        <f aca="false">-(H26*(1-Logistica!$B$5)*Logistica!$B$7+H26*Logistica!$B$5*Logistica!$B$39)</f>
        <v>-80.2196958414023</v>
      </c>
      <c r="I52" s="100" t="n">
        <f aca="false">-(I26*(1-Logistica!$B$5)*Logistica!$B$7+I26*Logistica!$B$5*Logistica!$B$39)</f>
        <v>-123.628404963045</v>
      </c>
      <c r="J52" s="100" t="n">
        <f aca="false">-(J26*(1-Logistica!$B$5)*Logistica!$B$7+J26*Logistica!$B$5*Logistica!$B$39)</f>
        <v>-167.037114084687</v>
      </c>
      <c r="K52" s="100" t="n">
        <f aca="false">-(K26*(1-Logistica!$B$5)*Logistica!$B$7+K26*Logistica!$B$5*Logistica!$B$39)</f>
        <v>-210.445823206329</v>
      </c>
      <c r="L52" s="100" t="n">
        <f aca="false">-(L26*(1-Logistica!$B$5)*Logistica!$B$7+L26*Logistica!$B$5*Logistica!$B$39)</f>
        <v>-253.854532327972</v>
      </c>
      <c r="M52" s="100" t="n">
        <f aca="false">-(M26*(1-Logistica!$B$5)*Logistica!$B$7+M26*Logistica!$B$5*Logistica!$B$39)</f>
        <v>-284.431444833059</v>
      </c>
      <c r="N52" s="100" t="n">
        <f aca="false">-(N26*(1-Logistica!$B$5)*Logistica!$B$7+N26*Logistica!$B$5*Logistica!$B$39)</f>
        <v>-331.781947686585</v>
      </c>
      <c r="O52" s="100" t="n">
        <f aca="false">-(O26*(1-Logistica!$B$5)*Logistica!$B$7+O26*Logistica!$B$5*Logistica!$B$39)</f>
        <v>-379.13245054011</v>
      </c>
      <c r="P52" s="100" t="n">
        <f aca="false">-(P26*(1-Logistica!$B$5)*Logistica!$B$7+P26*Logistica!$B$5*Logistica!$B$39)</f>
        <v>-421.660546168459</v>
      </c>
      <c r="Q52" s="100" t="n">
        <f aca="false">-(Q26*(1-Logistica!$B$5)*Logistica!$B$7+Q26*Logistica!$B$5*Logistica!$B$39)</f>
        <v>-464.188641796809</v>
      </c>
      <c r="R52" s="100" t="n">
        <f aca="false">-(R26*(1-Logistica!$B$5)*Logistica!$B$7+R26*Logistica!$B$5*Logistica!$B$39)</f>
        <v>-506.716737425158</v>
      </c>
      <c r="S52" s="100" t="n">
        <f aca="false">-(S26*(1-Logistica!$B$5)*Logistica!$B$7+S26*Logistica!$B$5*Logistica!$B$39)</f>
        <v>-549.244833053507</v>
      </c>
      <c r="T52" s="100" t="n">
        <f aca="false">-(T26*(1-Logistica!$B$5)*Logistica!$B$7+T26*Logistica!$B$5*Logistica!$B$39)</f>
        <v>-591.772928681857</v>
      </c>
      <c r="U52" s="100" t="n">
        <f aca="false">-(U26*(1-Logistica!$B$5)*Logistica!$B$7+U26*Logistica!$B$5*Logistica!$B$39)</f>
        <v>-634.301024310206</v>
      </c>
      <c r="V52" s="100" t="n">
        <f aca="false">-(V26*(1-Logistica!$B$5)*Logistica!$B$7+V26*Logistica!$B$5*Logistica!$B$39)</f>
        <v>-676.829119938555</v>
      </c>
      <c r="W52" s="100" t="n">
        <f aca="false">-(W26*(1-Logistica!$B$5)*Logistica!$B$7+W26*Logistica!$B$5*Logistica!$B$39)</f>
        <v>-719.357215566905</v>
      </c>
      <c r="X52" s="100" t="n">
        <f aca="false">-(X26*(1-Logistica!$B$5)*Logistica!$B$7+X26*Logistica!$B$5*Logistica!$B$39)</f>
        <v>-745.111720846817</v>
      </c>
      <c r="Y52" s="100" t="n">
        <f aca="false">-(Y26*(1-Logistica!$B$5)*Logistica!$B$7+Y26*Logistica!$B$5*Logistica!$B$39)</f>
        <v>-770.866226126729</v>
      </c>
      <c r="Z52" s="100" t="n">
        <f aca="false">-(Z26*(1-Logistica!$B$5)*Logistica!$B$7+Z26*Logistica!$B$5*Logistica!$B$39)</f>
        <v>-789.911295267266</v>
      </c>
      <c r="AA52" s="100" t="n">
        <f aca="false">-(AA26*(1-Logistica!$B$5)*Logistica!$B$7+AA26*Logistica!$B$5*Logistica!$B$39)</f>
        <v>-808.956364407802</v>
      </c>
      <c r="AB52" s="100" t="n">
        <f aca="false">-(AB26*(1-Logistica!$B$5)*Logistica!$B$7+AB26*Logistica!$B$5*Logistica!$B$39)</f>
        <v>-828.001433548339</v>
      </c>
      <c r="AC52" s="100" t="n">
        <f aca="false">-(AC26*(1-Logistica!$B$5)*Logistica!$B$7+AC26*Logistica!$B$5*Logistica!$B$39)</f>
        <v>-847.046502688876</v>
      </c>
      <c r="AD52" s="100" t="n">
        <f aca="false">-(AD26*(1-Logistica!$B$5)*Logistica!$B$7+AD26*Logistica!$B$5*Logistica!$B$39)</f>
        <v>-866.091571829413</v>
      </c>
      <c r="AE52" s="100" t="n">
        <f aca="false">-(AE26*(1-Logistica!$B$5)*Logistica!$B$7+AE26*Logistica!$B$5*Logistica!$B$39)</f>
        <v>-885.13664096995</v>
      </c>
      <c r="AF52" s="100" t="n">
        <f aca="false">-(AF26*(1-Logistica!$B$5)*Logistica!$B$7+AF26*Logistica!$B$5*Logistica!$B$39)</f>
        <v>-904.181710110487</v>
      </c>
      <c r="AG52" s="100" t="n">
        <f aca="false">-(AG26*(1-Logistica!$B$5)*Logistica!$B$7+AG26*Logistica!$B$5*Logistica!$B$39)</f>
        <v>-923.226779251024</v>
      </c>
      <c r="AH52" s="100" t="n">
        <f aca="false">-(AH26*(1-Logistica!$B$5)*Logistica!$B$7+AH26*Logistica!$B$5*Logistica!$B$39)</f>
        <v>-942.271848391561</v>
      </c>
      <c r="AI52" s="100" t="n">
        <f aca="false">-(AI26*(1-Logistica!$B$5)*Logistica!$B$7+AI26*Logistica!$B$5*Logistica!$B$39)</f>
        <v>-961.316917532097</v>
      </c>
      <c r="AJ52" s="100" t="n">
        <f aca="false">-(AJ26*(1-Logistica!$B$5)*Logistica!$B$7+AJ26*Logistica!$B$5*Logistica!$B$39)</f>
        <v>-980.361986672634</v>
      </c>
      <c r="AK52" s="100" t="n">
        <f aca="false">-(AK26*(1-Logistica!$B$5)*Logistica!$B$7+AK26*Logistica!$B$5*Logistica!$B$39)</f>
        <v>-999.407055813171</v>
      </c>
      <c r="AL52" s="100" t="n">
        <f aca="false">-(AL26*(1-Logistica!$B$5)*Logistica!$B$7+AL26*Logistica!$B$5*Logistica!$B$39)</f>
        <v>-1018.45212495371</v>
      </c>
      <c r="AM52" s="100" t="n">
        <f aca="false">-(AM26*(1-Logistica!$B$5)*Logistica!$B$7+AM26*Logistica!$B$5*Logistica!$B$39)</f>
        <v>-1037.49719409425</v>
      </c>
      <c r="AN52" s="100" t="n">
        <f aca="false">-(AN26*(1-Logistica!$B$5)*Logistica!$B$7+AN26*Logistica!$B$5*Logistica!$B$39)</f>
        <v>-1056.54226323478</v>
      </c>
      <c r="AO52" s="100" t="n">
        <f aca="false">-(AO26*(1-Logistica!$B$5)*Logistica!$B$7+AO26*Logistica!$B$5*Logistica!$B$39)</f>
        <v>-1075.58733237532</v>
      </c>
      <c r="AP52" s="100" t="n">
        <f aca="false">-(AP26*(1-Logistica!$B$5)*Logistica!$B$7+AP26*Logistica!$B$5*Logistica!$B$39)</f>
        <v>-1094.63240151586</v>
      </c>
      <c r="AQ52" s="100" t="n">
        <f aca="false">-(AQ26*(1-Logistica!$B$5)*Logistica!$B$7+AQ26*Logistica!$B$5*Logistica!$B$39)</f>
        <v>-1113.67747065639</v>
      </c>
      <c r="AR52" s="100" t="n">
        <f aca="false">-(AR26*(1-Logistica!$B$5)*Logistica!$B$7+AR26*Logistica!$B$5*Logistica!$B$39)</f>
        <v>-1132.72253979693</v>
      </c>
      <c r="AS52" s="100" t="n">
        <f aca="false">-(AS26*(1-Logistica!$B$5)*Logistica!$B$7+AS26*Logistica!$B$5*Logistica!$B$39)</f>
        <v>-1132.72253979693</v>
      </c>
      <c r="AT52" s="100" t="n">
        <f aca="false">-(AT26*(1-Logistica!$B$5)*Logistica!$B$7+AT26*Logistica!$B$5*Logistica!$B$39)</f>
        <v>-1132.72253979693</v>
      </c>
      <c r="AU52" s="100" t="n">
        <f aca="false">-(AU26*(1-Logistica!$B$5)*Logistica!$B$7+AU26*Logistica!$B$5*Logistica!$B$39)</f>
        <v>-1132.72253979693</v>
      </c>
      <c r="AV52" s="100" t="n">
        <f aca="false">-(AV26*(1-Logistica!$B$5)*Logistica!$B$7+AV26*Logistica!$B$5*Logistica!$B$39)</f>
        <v>-1132.72253979693</v>
      </c>
      <c r="AW52" s="100" t="n">
        <f aca="false">-(AW26*(1-Logistica!$B$5)*Logistica!$B$7+AW26*Logistica!$B$5*Logistica!$B$39)</f>
        <v>-1132.72253979693</v>
      </c>
      <c r="AX52" s="100" t="n">
        <f aca="false">-(AX26*(1-Logistica!$B$5)*Logistica!$B$7+AX26*Logistica!$B$5*Logistica!$B$39)</f>
        <v>-1132.72253979693</v>
      </c>
      <c r="AY52" s="100" t="n">
        <f aca="false">-(AY26*(1-Logistica!$B$5)*Logistica!$B$7+AY26*Logistica!$B$5*Logistica!$B$39)</f>
        <v>-1132.72253979693</v>
      </c>
      <c r="AZ52" s="100" t="n">
        <f aca="false">-(AZ26*(1-Logistica!$B$5)*Logistica!$B$7+AZ26*Logistica!$B$5*Logistica!$B$39)</f>
        <v>-1132.72253979693</v>
      </c>
      <c r="BA52" s="100" t="n">
        <f aca="false">-(BA26*(1-Logistica!$B$5)*Logistica!$B$7+BA26*Logistica!$B$5*Logistica!$B$39)</f>
        <v>-1132.72253979693</v>
      </c>
      <c r="BB52" s="100" t="n">
        <f aca="false">-(BB26*(1-Logistica!$B$5)*Logistica!$B$7+BB26*Logistica!$B$5*Logistica!$B$39)</f>
        <v>-1132.72253979693</v>
      </c>
      <c r="BC52" s="100" t="n">
        <f aca="false">-(BC26*(1-Logistica!$B$5)*Logistica!$B$7+BC26*Logistica!$B$5*Logistica!$B$39)</f>
        <v>-1132.72253979693</v>
      </c>
      <c r="BD52" s="100" t="n">
        <f aca="false">-(BD26*(1-Logistica!$B$5)*Logistica!$B$7+BD26*Logistica!$B$5*Logistica!$B$39)</f>
        <v>-1132.72253979693</v>
      </c>
      <c r="BE52" s="100" t="n">
        <f aca="false">-(BE26*(1-Logistica!$B$5)*Logistica!$B$7+BE26*Logistica!$B$5*Logistica!$B$39)</f>
        <v>-1132.72253979693</v>
      </c>
      <c r="BF52" s="100" t="n">
        <f aca="false">-(BF26*(1-Logistica!$B$5)*Logistica!$B$7+BF26*Logistica!$B$5*Logistica!$B$39)</f>
        <v>-1132.72253979693</v>
      </c>
      <c r="BG52" s="100" t="n">
        <f aca="false">-(BG26*(1-Logistica!$B$5)*Logistica!$B$7+BG26*Logistica!$B$5*Logistica!$B$39)</f>
        <v>-1132.72253979693</v>
      </c>
      <c r="BH52" s="100" t="n">
        <f aca="false">-(BH26*(1-Logistica!$B$5)*Logistica!$B$7+BH26*Logistica!$B$5*Logistica!$B$39)</f>
        <v>-1132.72253979693</v>
      </c>
      <c r="BI52" s="100" t="n">
        <f aca="false">-(BI26*(1-Logistica!$B$5)*Logistica!$B$7+BI26*Logistica!$B$5*Logistica!$B$39)</f>
        <v>-1132.72253979693</v>
      </c>
      <c r="BJ52" s="100" t="n">
        <f aca="false">-(BJ26*(1-Logistica!$B$5)*Logistica!$B$7+BJ26*Logistica!$B$5*Logistica!$B$39)</f>
        <v>-1132.72253979693</v>
      </c>
      <c r="BK52" s="100" t="n">
        <f aca="false">-(BK26*(1-Logistica!$B$5)*Logistica!$B$7+BK26*Logistica!$B$5*Logistica!$B$39)</f>
        <v>-1132.72253979693</v>
      </c>
      <c r="BL52" s="100" t="n">
        <f aca="false">-(BL26*(1-Logistica!$B$5)*Logistica!$B$7+BL26*Logistica!$B$5*Logistica!$B$39)</f>
        <v>-1132.72253979693</v>
      </c>
      <c r="BM52" s="100" t="n">
        <f aca="false">-(BM26*(1-Logistica!$B$5)*Logistica!$B$7+BM26*Logistica!$B$5*Logistica!$B$39)</f>
        <v>-1132.72253979693</v>
      </c>
      <c r="BN52" s="100" t="n">
        <f aca="false">-(BN26*(1-Logistica!$B$5)*Logistica!$B$7+BN26*Logistica!$B$5*Logistica!$B$39)</f>
        <v>-1132.72253979693</v>
      </c>
      <c r="BO52" s="100" t="n">
        <f aca="false">-(BO26*(1-Logistica!$B$5)*Logistica!$B$7+BO26*Logistica!$B$5*Logistica!$B$39)</f>
        <v>-1132.72253979693</v>
      </c>
      <c r="BP52" s="100" t="n">
        <f aca="false">-(BP26*(1-Logistica!$B$5)*Logistica!$B$7+BP26*Logistica!$B$5*Logistica!$B$39)</f>
        <v>-1132.72253979693</v>
      </c>
      <c r="BQ52" s="100" t="n">
        <f aca="false">-(BQ26*(1-Logistica!$B$5)*Logistica!$B$7+BQ26*Logistica!$B$5*Logistica!$B$39)</f>
        <v>-1132.72253979693</v>
      </c>
      <c r="BR52" s="100" t="n">
        <f aca="false">-(BR26*(1-Logistica!$B$5)*Logistica!$B$7+BR26*Logistica!$B$5*Logistica!$B$39)</f>
        <v>-1132.72253979693</v>
      </c>
      <c r="BS52" s="100" t="n">
        <f aca="false">-(BS26*(1-Logistica!$B$5)*Logistica!$B$7+BS26*Logistica!$B$5*Logistica!$B$39)</f>
        <v>-1132.72253979693</v>
      </c>
      <c r="BT52" s="100" t="n">
        <f aca="false">-(BT26*(1-Logistica!$B$5)*Logistica!$B$7+BT26*Logistica!$B$5*Logistica!$B$39)</f>
        <v>-1132.72253979693</v>
      </c>
      <c r="BU52" s="100" t="n">
        <f aca="false">-(BU26*(1-Logistica!$B$5)*Logistica!$B$7+BU26*Logistica!$B$5*Logistica!$B$39)</f>
        <v>-1132.72253979693</v>
      </c>
      <c r="BV52" s="100" t="n">
        <f aca="false">-(BV26*(1-Logistica!$B$5)*Logistica!$B$7+BV26*Logistica!$B$5*Logistica!$B$39)</f>
        <v>-1132.72253979693</v>
      </c>
      <c r="BW52" s="100" t="n">
        <f aca="false">-(BW26*(1-Logistica!$B$5)*Logistica!$B$7+BW26*Logistica!$B$5*Logistica!$B$39)</f>
        <v>-1132.72253979693</v>
      </c>
      <c r="BX52" s="100" t="n">
        <f aca="false">-(BX26*(1-Logistica!$B$5)*Logistica!$B$7+BX26*Logistica!$B$5*Logistica!$B$39)</f>
        <v>-1132.72253979693</v>
      </c>
      <c r="BY52" s="100" t="n">
        <f aca="false">-(BY26*(1-Logistica!$B$5)*Logistica!$B$7+BY26*Logistica!$B$5*Logistica!$B$39)</f>
        <v>-1132.72253979693</v>
      </c>
      <c r="BZ52" s="100" t="n">
        <f aca="false">-(BZ26*(1-Logistica!$B$5)*Logistica!$B$7+BZ26*Logistica!$B$5*Logistica!$B$39)</f>
        <v>-1132.72253979693</v>
      </c>
      <c r="CA52" s="100" t="n">
        <f aca="false">-(CA26*(1-Logistica!$B$5)*Logistica!$B$7+CA26*Logistica!$B$5*Logistica!$B$39)</f>
        <v>-1132.72253979693</v>
      </c>
      <c r="CB52" s="100" t="n">
        <f aca="false">-(CB26*(1-Logistica!$B$5)*Logistica!$B$7+CB26*Logistica!$B$5*Logistica!$B$39)</f>
        <v>-1132.72253979693</v>
      </c>
      <c r="CC52" s="100" t="n">
        <f aca="false">-(CC26*(1-Logistica!$B$5)*Logistica!$B$7+CC26*Logistica!$B$5*Logistica!$B$39)</f>
        <v>-1132.72253979693</v>
      </c>
      <c r="CD52" s="100" t="n">
        <f aca="false">-(CD26*(1-Logistica!$B$5)*Logistica!$B$7+CD26*Logistica!$B$5*Logistica!$B$39)</f>
        <v>-1132.72253979693</v>
      </c>
      <c r="CE52" s="100" t="n">
        <f aca="false">-(CE26*(1-Logistica!$B$5)*Logistica!$B$7+CE26*Logistica!$B$5*Logistica!$B$39)</f>
        <v>-1132.72253979693</v>
      </c>
      <c r="CF52" s="100" t="n">
        <f aca="false">-(CF26*(1-Logistica!$B$5)*Logistica!$B$7+CF26*Logistica!$B$5*Logistica!$B$39)</f>
        <v>-1132.72253979693</v>
      </c>
      <c r="CG52" s="100" t="n">
        <f aca="false">-(CG26*(1-Logistica!$B$5)*Logistica!$B$7+CG26*Logistica!$B$5*Logistica!$B$39)</f>
        <v>-1132.72253979693</v>
      </c>
      <c r="CH52" s="100" t="n">
        <f aca="false">-(CH26*(1-Logistica!$B$5)*Logistica!$B$7+CH26*Logistica!$B$5*Logistica!$B$39)</f>
        <v>-1132.72253979693</v>
      </c>
    </row>
    <row r="53" customFormat="false" ht="13.5" hidden="false" customHeight="true" outlineLevel="0" collapsed="false">
      <c r="A53" s="6" t="s">
        <v>530</v>
      </c>
      <c r="C53" s="100" t="n">
        <f aca="false">-Hipótesis!$F$39</f>
        <v>-800</v>
      </c>
      <c r="D53" s="100" t="n">
        <f aca="false">-Hipótesis!$F$39</f>
        <v>-800</v>
      </c>
      <c r="E53" s="100" t="n">
        <f aca="false">-Hipótesis!$F$39</f>
        <v>-800</v>
      </c>
      <c r="F53" s="100" t="n">
        <f aca="false">-Hipótesis!$F$39</f>
        <v>-800</v>
      </c>
      <c r="G53" s="100" t="n">
        <f aca="false">-Hipótesis!$F$39</f>
        <v>-800</v>
      </c>
      <c r="H53" s="100" t="n">
        <f aca="false">-Hipótesis!$F$39</f>
        <v>-800</v>
      </c>
      <c r="I53" s="100" t="n">
        <f aca="false">-Hipótesis!$F$39</f>
        <v>-800</v>
      </c>
      <c r="J53" s="100" t="n">
        <f aca="false">-Hipótesis!$F$39</f>
        <v>-800</v>
      </c>
      <c r="K53" s="100" t="n">
        <f aca="false">-Hipótesis!$F$39</f>
        <v>-800</v>
      </c>
      <c r="L53" s="100" t="n">
        <f aca="false">-Hipótesis!$F$39</f>
        <v>-800</v>
      </c>
      <c r="M53" s="100" t="n">
        <f aca="false">-Hipótesis!$F$39</f>
        <v>-800</v>
      </c>
      <c r="N53" s="100" t="n">
        <f aca="false">-Hipótesis!$F$39</f>
        <v>-800</v>
      </c>
      <c r="O53" s="100" t="n">
        <f aca="false">-Hipótesis!$F$39</f>
        <v>-800</v>
      </c>
      <c r="P53" s="100" t="n">
        <f aca="false">-Hipótesis!$F$39</f>
        <v>-800</v>
      </c>
      <c r="Q53" s="100" t="n">
        <f aca="false">-Hipótesis!$F$39</f>
        <v>-800</v>
      </c>
      <c r="R53" s="100" t="n">
        <f aca="false">-Hipótesis!$F$39</f>
        <v>-800</v>
      </c>
      <c r="S53" s="100" t="n">
        <f aca="false">-Hipótesis!$F$39</f>
        <v>-800</v>
      </c>
      <c r="T53" s="100" t="n">
        <f aca="false">-Hipótesis!$F$39</f>
        <v>-800</v>
      </c>
      <c r="U53" s="100" t="n">
        <f aca="false">-Hipótesis!$F$39</f>
        <v>-800</v>
      </c>
      <c r="V53" s="100" t="n">
        <f aca="false">-Hipótesis!$F$39</f>
        <v>-800</v>
      </c>
      <c r="W53" s="100" t="n">
        <f aca="false">-Hipótesis!$F$39</f>
        <v>-800</v>
      </c>
      <c r="X53" s="100" t="n">
        <f aca="false">-Hipótesis!$F$39</f>
        <v>-800</v>
      </c>
      <c r="Y53" s="100" t="n">
        <f aca="false">-Hipótesis!$F$39</f>
        <v>-800</v>
      </c>
      <c r="Z53" s="100" t="n">
        <f aca="false">-Hipótesis!$F$39</f>
        <v>-800</v>
      </c>
      <c r="AA53" s="100" t="n">
        <f aca="false">-Hipótesis!$F$39</f>
        <v>-800</v>
      </c>
      <c r="AB53" s="100" t="n">
        <f aca="false">-Hipótesis!$F$39</f>
        <v>-800</v>
      </c>
      <c r="AC53" s="100" t="n">
        <f aca="false">-Hipótesis!$F$39</f>
        <v>-800</v>
      </c>
      <c r="AD53" s="100" t="n">
        <f aca="false">-Hipótesis!$F$39</f>
        <v>-800</v>
      </c>
      <c r="AE53" s="100" t="n">
        <f aca="false">-Hipótesis!$F$39</f>
        <v>-800</v>
      </c>
      <c r="AF53" s="100" t="n">
        <f aca="false">-Hipótesis!$F$39</f>
        <v>-800</v>
      </c>
      <c r="AG53" s="100" t="n">
        <f aca="false">-Hipótesis!$F$39</f>
        <v>-800</v>
      </c>
      <c r="AH53" s="100" t="n">
        <f aca="false">-Hipótesis!$F$39</f>
        <v>-800</v>
      </c>
      <c r="AI53" s="100" t="n">
        <f aca="false">-Hipótesis!$F$39</f>
        <v>-800</v>
      </c>
      <c r="AJ53" s="100" t="n">
        <f aca="false">-Hipótesis!$F$39</f>
        <v>-800</v>
      </c>
      <c r="AK53" s="100" t="n">
        <f aca="false">-Hipótesis!$F$39</f>
        <v>-800</v>
      </c>
      <c r="AL53" s="100" t="n">
        <f aca="false">-Hipótesis!$F$39</f>
        <v>-800</v>
      </c>
      <c r="AM53" s="100" t="n">
        <f aca="false">-Hipótesis!$F$39</f>
        <v>-800</v>
      </c>
      <c r="AN53" s="100" t="n">
        <f aca="false">-Hipótesis!$F$39</f>
        <v>-800</v>
      </c>
      <c r="AO53" s="100" t="n">
        <f aca="false">-Hipótesis!$F$39</f>
        <v>-800</v>
      </c>
      <c r="AP53" s="100" t="n">
        <f aca="false">-Hipótesis!$F$39</f>
        <v>-800</v>
      </c>
      <c r="AQ53" s="100" t="n">
        <f aca="false">-Hipótesis!$F$39</f>
        <v>-800</v>
      </c>
      <c r="AR53" s="100" t="n">
        <f aca="false">-Hipótesis!$F$39</f>
        <v>-800</v>
      </c>
      <c r="AS53" s="100" t="n">
        <f aca="false">-Hipótesis!$F$39</f>
        <v>-800</v>
      </c>
      <c r="AT53" s="100" t="n">
        <f aca="false">-Hipótesis!$F$39</f>
        <v>-800</v>
      </c>
      <c r="AU53" s="100" t="n">
        <f aca="false">-Hipótesis!$F$39</f>
        <v>-800</v>
      </c>
      <c r="AV53" s="100" t="n">
        <f aca="false">-Hipótesis!$F$39</f>
        <v>-800</v>
      </c>
      <c r="AW53" s="100" t="n">
        <f aca="false">-Hipótesis!$F$39</f>
        <v>-800</v>
      </c>
      <c r="AX53" s="100" t="n">
        <f aca="false">-Hipótesis!$F$39</f>
        <v>-800</v>
      </c>
      <c r="AY53" s="100" t="n">
        <f aca="false">-Hipótesis!$F$39</f>
        <v>-800</v>
      </c>
      <c r="AZ53" s="100" t="n">
        <f aca="false">-Hipótesis!$F$39</f>
        <v>-800</v>
      </c>
      <c r="BA53" s="100" t="n">
        <f aca="false">-Hipótesis!$F$39</f>
        <v>-800</v>
      </c>
      <c r="BB53" s="100" t="n">
        <f aca="false">-Hipótesis!$F$39</f>
        <v>-800</v>
      </c>
      <c r="BC53" s="100" t="n">
        <f aca="false">-Hipótesis!$F$39</f>
        <v>-800</v>
      </c>
      <c r="BD53" s="100" t="n">
        <f aca="false">-Hipótesis!$F$39</f>
        <v>-800</v>
      </c>
      <c r="BE53" s="100" t="n">
        <f aca="false">-Hipótesis!$F$39</f>
        <v>-800</v>
      </c>
      <c r="BF53" s="100" t="n">
        <f aca="false">-Hipótesis!$F$39</f>
        <v>-800</v>
      </c>
      <c r="BG53" s="100" t="n">
        <f aca="false">-Hipótesis!$F$39</f>
        <v>-800</v>
      </c>
      <c r="BH53" s="100" t="n">
        <f aca="false">-Hipótesis!$F$39</f>
        <v>-800</v>
      </c>
      <c r="BI53" s="100" t="n">
        <f aca="false">-Hipótesis!$F$39</f>
        <v>-800</v>
      </c>
      <c r="BJ53" s="100" t="n">
        <f aca="false">-Hipótesis!$F$39</f>
        <v>-800</v>
      </c>
      <c r="BK53" s="100" t="n">
        <f aca="false">-Hipótesis!$F$39</f>
        <v>-800</v>
      </c>
      <c r="BL53" s="100" t="n">
        <f aca="false">-Hipótesis!$F$39</f>
        <v>-800</v>
      </c>
      <c r="BM53" s="100" t="n">
        <f aca="false">-Hipótesis!$F$39</f>
        <v>-800</v>
      </c>
      <c r="BN53" s="100" t="n">
        <f aca="false">-Hipótesis!$F$39</f>
        <v>-800</v>
      </c>
      <c r="BO53" s="100" t="n">
        <f aca="false">-Hipótesis!$F$39</f>
        <v>-800</v>
      </c>
      <c r="BP53" s="100" t="n">
        <f aca="false">-Hipótesis!$F$39</f>
        <v>-800</v>
      </c>
      <c r="BQ53" s="100" t="n">
        <f aca="false">-Hipótesis!$F$39</f>
        <v>-800</v>
      </c>
      <c r="BR53" s="100" t="n">
        <f aca="false">-Hipótesis!$F$39</f>
        <v>-800</v>
      </c>
      <c r="BS53" s="100" t="n">
        <f aca="false">-Hipótesis!$F$39</f>
        <v>-800</v>
      </c>
      <c r="BT53" s="100" t="n">
        <f aca="false">-Hipótesis!$F$39</f>
        <v>-800</v>
      </c>
      <c r="BU53" s="100" t="n">
        <f aca="false">-Hipótesis!$F$39</f>
        <v>-800</v>
      </c>
      <c r="BV53" s="100" t="n">
        <f aca="false">-Hipótesis!$F$39</f>
        <v>-800</v>
      </c>
      <c r="BW53" s="100" t="n">
        <f aca="false">-Hipótesis!$F$39</f>
        <v>-800</v>
      </c>
      <c r="BX53" s="100" t="n">
        <f aca="false">-Hipótesis!$F$39</f>
        <v>-800</v>
      </c>
      <c r="BY53" s="100" t="n">
        <f aca="false">-Hipótesis!$F$39</f>
        <v>-800</v>
      </c>
      <c r="BZ53" s="100" t="n">
        <f aca="false">-Hipótesis!$F$39</f>
        <v>-800</v>
      </c>
      <c r="CA53" s="100" t="n">
        <f aca="false">-Hipótesis!$F$39</f>
        <v>-800</v>
      </c>
      <c r="CB53" s="100" t="n">
        <f aca="false">-Hipótesis!$F$39</f>
        <v>-800</v>
      </c>
      <c r="CC53" s="100" t="n">
        <f aca="false">-Hipótesis!$F$39</f>
        <v>-800</v>
      </c>
      <c r="CD53" s="100" t="n">
        <f aca="false">-Hipótesis!$F$39</f>
        <v>-800</v>
      </c>
      <c r="CE53" s="100" t="n">
        <f aca="false">-Hipótesis!$F$39</f>
        <v>-800</v>
      </c>
      <c r="CF53" s="100" t="n">
        <f aca="false">-Hipótesis!$F$39</f>
        <v>-800</v>
      </c>
      <c r="CG53" s="100" t="n">
        <f aca="false">-Hipótesis!$F$39</f>
        <v>-800</v>
      </c>
      <c r="CH53" s="100" t="n">
        <f aca="false">-Hipótesis!$F$39</f>
        <v>-800</v>
      </c>
    </row>
    <row r="54" customFormat="false" ht="13.5" hidden="false" customHeight="true" outlineLevel="0" collapsed="false">
      <c r="A54" s="6" t="s">
        <v>531</v>
      </c>
      <c r="C54" s="100" t="n">
        <f aca="false">-Hipótesis!$F$40</f>
        <v>-500</v>
      </c>
      <c r="D54" s="100" t="n">
        <f aca="false">-Hipótesis!$F$40</f>
        <v>-500</v>
      </c>
      <c r="E54" s="100" t="n">
        <f aca="false">-Hipótesis!$F$40</f>
        <v>-500</v>
      </c>
      <c r="F54" s="100" t="n">
        <f aca="false">-Hipótesis!$F$40</f>
        <v>-500</v>
      </c>
      <c r="G54" s="100" t="n">
        <f aca="false">-Hipótesis!$F$40</f>
        <v>-500</v>
      </c>
      <c r="H54" s="100" t="n">
        <f aca="false">-Hipótesis!$F$40</f>
        <v>-500</v>
      </c>
      <c r="I54" s="100" t="n">
        <f aca="false">-Hipótesis!$F$40</f>
        <v>-500</v>
      </c>
      <c r="J54" s="100" t="n">
        <f aca="false">-Hipótesis!$F$40</f>
        <v>-500</v>
      </c>
      <c r="K54" s="100" t="n">
        <f aca="false">-Hipótesis!$F$40</f>
        <v>-500</v>
      </c>
      <c r="L54" s="100" t="n">
        <f aca="false">-Hipótesis!$F$40</f>
        <v>-500</v>
      </c>
      <c r="M54" s="100" t="n">
        <f aca="false">-Hipótesis!$F$40</f>
        <v>-500</v>
      </c>
      <c r="N54" s="100" t="n">
        <f aca="false">-Hipótesis!$F$40</f>
        <v>-500</v>
      </c>
      <c r="O54" s="100" t="n">
        <f aca="false">-Hipótesis!$F$40</f>
        <v>-500</v>
      </c>
      <c r="P54" s="100" t="n">
        <f aca="false">-Hipótesis!$F$40</f>
        <v>-500</v>
      </c>
      <c r="Q54" s="100" t="n">
        <f aca="false">-Hipótesis!$F$40</f>
        <v>-500</v>
      </c>
      <c r="R54" s="100" t="n">
        <f aca="false">-Hipótesis!$F$40</f>
        <v>-500</v>
      </c>
      <c r="S54" s="100" t="n">
        <f aca="false">-Hipótesis!$F$40</f>
        <v>-500</v>
      </c>
      <c r="T54" s="100" t="n">
        <f aca="false">-Hipótesis!$F$40</f>
        <v>-500</v>
      </c>
      <c r="U54" s="100" t="n">
        <f aca="false">-Hipótesis!$F$40</f>
        <v>-500</v>
      </c>
      <c r="V54" s="100" t="n">
        <f aca="false">-Hipótesis!$F$40</f>
        <v>-500</v>
      </c>
      <c r="W54" s="100" t="n">
        <f aca="false">-Hipótesis!$F$40</f>
        <v>-500</v>
      </c>
      <c r="X54" s="100" t="n">
        <f aca="false">-Hipótesis!$F$40</f>
        <v>-500</v>
      </c>
      <c r="Y54" s="100" t="n">
        <f aca="false">-Hipótesis!$F$40</f>
        <v>-500</v>
      </c>
      <c r="Z54" s="100" t="n">
        <f aca="false">-Hipótesis!$F$40</f>
        <v>-500</v>
      </c>
      <c r="AA54" s="100" t="n">
        <f aca="false">-Hipótesis!$F$40</f>
        <v>-500</v>
      </c>
      <c r="AB54" s="100" t="n">
        <f aca="false">-Hipótesis!$F$40</f>
        <v>-500</v>
      </c>
      <c r="AC54" s="100" t="n">
        <f aca="false">-Hipótesis!$F$40</f>
        <v>-500</v>
      </c>
      <c r="AD54" s="100" t="n">
        <f aca="false">-Hipótesis!$F$40</f>
        <v>-500</v>
      </c>
      <c r="AE54" s="100" t="n">
        <f aca="false">-Hipótesis!$F$40</f>
        <v>-500</v>
      </c>
      <c r="AF54" s="100" t="n">
        <f aca="false">-Hipótesis!$F$40</f>
        <v>-500</v>
      </c>
      <c r="AG54" s="100" t="n">
        <f aca="false">-Hipótesis!$F$40</f>
        <v>-500</v>
      </c>
      <c r="AH54" s="100" t="n">
        <f aca="false">-Hipótesis!$F$40</f>
        <v>-500</v>
      </c>
      <c r="AI54" s="100" t="n">
        <f aca="false">-Hipótesis!$F$40</f>
        <v>-500</v>
      </c>
      <c r="AJ54" s="100" t="n">
        <f aca="false">-Hipótesis!$F$40</f>
        <v>-500</v>
      </c>
      <c r="AK54" s="100" t="n">
        <f aca="false">-Hipótesis!$F$40</f>
        <v>-500</v>
      </c>
      <c r="AL54" s="100" t="n">
        <f aca="false">-Hipótesis!$F$40</f>
        <v>-500</v>
      </c>
      <c r="AM54" s="100" t="n">
        <f aca="false">-Hipótesis!$F$40</f>
        <v>-500</v>
      </c>
      <c r="AN54" s="100" t="n">
        <f aca="false">-Hipótesis!$F$40</f>
        <v>-500</v>
      </c>
      <c r="AO54" s="100" t="n">
        <f aca="false">-Hipótesis!$F$40</f>
        <v>-500</v>
      </c>
      <c r="AP54" s="100" t="n">
        <f aca="false">-Hipótesis!$F$40</f>
        <v>-500</v>
      </c>
      <c r="AQ54" s="100" t="n">
        <f aca="false">-Hipótesis!$F$40</f>
        <v>-500</v>
      </c>
      <c r="AR54" s="100" t="n">
        <f aca="false">-Hipótesis!$F$40</f>
        <v>-500</v>
      </c>
      <c r="AS54" s="100" t="n">
        <f aca="false">-Hipótesis!$F$40</f>
        <v>-500</v>
      </c>
      <c r="AT54" s="100" t="n">
        <f aca="false">-Hipótesis!$F$40</f>
        <v>-500</v>
      </c>
      <c r="AU54" s="100" t="n">
        <f aca="false">-Hipótesis!$F$40</f>
        <v>-500</v>
      </c>
      <c r="AV54" s="100" t="n">
        <f aca="false">-Hipótesis!$F$40</f>
        <v>-500</v>
      </c>
      <c r="AW54" s="100" t="n">
        <f aca="false">-Hipótesis!$F$40</f>
        <v>-500</v>
      </c>
      <c r="AX54" s="100" t="n">
        <f aca="false">-Hipótesis!$F$40</f>
        <v>-500</v>
      </c>
      <c r="AY54" s="100" t="n">
        <f aca="false">-Hipótesis!$F$40</f>
        <v>-500</v>
      </c>
      <c r="AZ54" s="100" t="n">
        <f aca="false">-Hipótesis!$F$40</f>
        <v>-500</v>
      </c>
      <c r="BA54" s="100" t="n">
        <f aca="false">-Hipótesis!$F$40</f>
        <v>-500</v>
      </c>
      <c r="BB54" s="100" t="n">
        <f aca="false">-Hipótesis!$F$40</f>
        <v>-500</v>
      </c>
      <c r="BC54" s="100" t="n">
        <f aca="false">-Hipótesis!$F$40</f>
        <v>-500</v>
      </c>
      <c r="BD54" s="100" t="n">
        <f aca="false">-Hipótesis!$F$40</f>
        <v>-500</v>
      </c>
      <c r="BE54" s="100" t="n">
        <f aca="false">-Hipótesis!$F$40</f>
        <v>-500</v>
      </c>
      <c r="BF54" s="100" t="n">
        <f aca="false">-Hipótesis!$F$40</f>
        <v>-500</v>
      </c>
      <c r="BG54" s="100" t="n">
        <f aca="false">-Hipótesis!$F$40</f>
        <v>-500</v>
      </c>
      <c r="BH54" s="100" t="n">
        <f aca="false">-Hipótesis!$F$40</f>
        <v>-500</v>
      </c>
      <c r="BI54" s="100" t="n">
        <f aca="false">-Hipótesis!$F$40</f>
        <v>-500</v>
      </c>
      <c r="BJ54" s="100" t="n">
        <f aca="false">-Hipótesis!$F$40</f>
        <v>-500</v>
      </c>
      <c r="BK54" s="100" t="n">
        <f aca="false">-Hipótesis!$F$40</f>
        <v>-500</v>
      </c>
      <c r="BL54" s="100" t="n">
        <f aca="false">-Hipótesis!$F$40</f>
        <v>-500</v>
      </c>
      <c r="BM54" s="100" t="n">
        <f aca="false">-Hipótesis!$F$40</f>
        <v>-500</v>
      </c>
      <c r="BN54" s="100" t="n">
        <f aca="false">-Hipótesis!$F$40</f>
        <v>-500</v>
      </c>
      <c r="BO54" s="100" t="n">
        <f aca="false">-Hipótesis!$F$40</f>
        <v>-500</v>
      </c>
      <c r="BP54" s="100" t="n">
        <f aca="false">-Hipótesis!$F$40</f>
        <v>-500</v>
      </c>
      <c r="BQ54" s="100" t="n">
        <f aca="false">-Hipótesis!$F$40</f>
        <v>-500</v>
      </c>
      <c r="BR54" s="100" t="n">
        <f aca="false">-Hipótesis!$F$40</f>
        <v>-500</v>
      </c>
      <c r="BS54" s="100" t="n">
        <f aca="false">-Hipótesis!$F$40</f>
        <v>-500</v>
      </c>
      <c r="BT54" s="100" t="n">
        <f aca="false">-Hipótesis!$F$40</f>
        <v>-500</v>
      </c>
      <c r="BU54" s="100" t="n">
        <f aca="false">-Hipótesis!$F$40</f>
        <v>-500</v>
      </c>
      <c r="BV54" s="100" t="n">
        <f aca="false">-Hipótesis!$F$40</f>
        <v>-500</v>
      </c>
      <c r="BW54" s="100" t="n">
        <f aca="false">-Hipótesis!$F$40</f>
        <v>-500</v>
      </c>
      <c r="BX54" s="100" t="n">
        <f aca="false">-Hipótesis!$F$40</f>
        <v>-500</v>
      </c>
      <c r="BY54" s="100" t="n">
        <f aca="false">-Hipótesis!$F$40</f>
        <v>-500</v>
      </c>
      <c r="BZ54" s="100" t="n">
        <f aca="false">-Hipótesis!$F$40</f>
        <v>-500</v>
      </c>
      <c r="CA54" s="100" t="n">
        <f aca="false">-Hipótesis!$F$40</f>
        <v>-500</v>
      </c>
      <c r="CB54" s="100" t="n">
        <f aca="false">-Hipótesis!$F$40</f>
        <v>-500</v>
      </c>
      <c r="CC54" s="100" t="n">
        <f aca="false">-Hipótesis!$F$40</f>
        <v>-500</v>
      </c>
      <c r="CD54" s="100" t="n">
        <f aca="false">-Hipótesis!$F$40</f>
        <v>-500</v>
      </c>
      <c r="CE54" s="100" t="n">
        <f aca="false">-Hipótesis!$F$40</f>
        <v>-500</v>
      </c>
      <c r="CF54" s="100" t="n">
        <f aca="false">-Hipótesis!$F$40</f>
        <v>-500</v>
      </c>
      <c r="CG54" s="100" t="n">
        <f aca="false">-Hipótesis!$F$40</f>
        <v>-500</v>
      </c>
      <c r="CH54" s="100" t="n">
        <f aca="false">-Hipótesis!$F$40</f>
        <v>-500</v>
      </c>
    </row>
    <row r="55" customFormat="false" ht="13.5" hidden="false" customHeight="true" outlineLevel="0" collapsed="false">
      <c r="A55" s="22" t="s">
        <v>532</v>
      </c>
      <c r="C55" s="100" t="n">
        <f aca="false">C42+C43+C51+C52+C53+C54</f>
        <v>-15680.1916336701</v>
      </c>
      <c r="D55" s="100" t="n">
        <f aca="false">D42+D43+D51+D52+D53+D54</f>
        <v>-15710.4167450653</v>
      </c>
      <c r="E55" s="100" t="n">
        <f aca="false">E42+E43+E51+E52+E53+E54</f>
        <v>-15770.8027477604</v>
      </c>
      <c r="F55" s="100" t="n">
        <f aca="false">F42+F43+F51+F52+F53+F54</f>
        <v>-15802.9971167854</v>
      </c>
      <c r="G55" s="100" t="n">
        <f aca="false">G42+G43+G51+G52+G53+G54</f>
        <v>-15833.1580080853</v>
      </c>
      <c r="H55" s="100" t="n">
        <f aca="false">H42+H43+H51+H52+H53+H54</f>
        <v>-15886.6191649856</v>
      </c>
      <c r="I55" s="100" t="n">
        <f aca="false">I42+I43+I51+I52+I53+I54</f>
        <v>-15983.3253910263</v>
      </c>
      <c r="J55" s="100" t="n">
        <f aca="false">J42+J43+J51+J52+J53+J54</f>
        <v>-16080.0316170671</v>
      </c>
      <c r="K55" s="100" t="n">
        <f aca="false">K42+K43+K51+K52+K53+K54</f>
        <v>-16176.7378431079</v>
      </c>
      <c r="L55" s="100" t="n">
        <f aca="false">L42+L43+L51+L52+L53+L54</f>
        <v>-16273.4440691486</v>
      </c>
      <c r="M55" s="100" t="n">
        <f aca="false">M42+M43+M51+M52+M53+M54</f>
        <v>-16339.9894038895</v>
      </c>
      <c r="N55" s="100" t="n">
        <f aca="false">N42+N43+N51+N52+N53+N54</f>
        <v>-16440.4260340489</v>
      </c>
      <c r="O55" s="100" t="n">
        <f aca="false">O42+O43+O51+O52+O53+O54</f>
        <v>-21768.0626642084</v>
      </c>
      <c r="P55" s="100" t="n">
        <f aca="false">P42+P43+P51+P52+P53+P54</f>
        <v>-24170.075546935</v>
      </c>
      <c r="Q55" s="100" t="n">
        <f aca="false">Q42+Q43+Q51+Q52+Q53+Q54</f>
        <v>-24260.7684296617</v>
      </c>
      <c r="R55" s="100" t="n">
        <f aca="false">R42+R43+R51+R52+R53+R54</f>
        <v>-24351.4613123883</v>
      </c>
      <c r="S55" s="100" t="n">
        <f aca="false">S42+S43+S51+S52+S53+S54</f>
        <v>-24442.1541951149</v>
      </c>
      <c r="T55" s="100" t="n">
        <f aca="false">T42+T43+T51+T52+T53+T54</f>
        <v>-24532.8470778415</v>
      </c>
      <c r="U55" s="100" t="n">
        <f aca="false">U42+U43+U51+U52+U53+U54</f>
        <v>-26934.8599605681</v>
      </c>
      <c r="V55" s="100" t="n">
        <f aca="false">V42+V43+V51+V52+V53+V54</f>
        <v>-29744.7528432948</v>
      </c>
      <c r="W55" s="100" t="n">
        <f aca="false">W42+W43+W51+W52+W53+W54</f>
        <v>-29835.4457260214</v>
      </c>
      <c r="X55" s="100" t="n">
        <f aca="false">X42+X43+X51+X52+X53+X54</f>
        <v>-29892.2473133294</v>
      </c>
      <c r="Y55" s="100" t="n">
        <f aca="false">Y42+Y43+Y51+Y52+Y53+Y54</f>
        <v>-29949.0489006374</v>
      </c>
      <c r="Z55" s="100" t="n">
        <f aca="false">Z42+Z43+Z51+Z52+Z53+Z54</f>
        <v>-29992.2939697779</v>
      </c>
      <c r="AA55" s="100" t="n">
        <f aca="false">AA42+AA43+AA51+AA52+AA53+AA54</f>
        <v>-32317.3702389184</v>
      </c>
      <c r="AB55" s="100" t="n">
        <f aca="false">AB42+AB43+AB51+AB52+AB53+AB54</f>
        <v>-34741.274908059</v>
      </c>
      <c r="AC55" s="100" t="n">
        <f aca="false">AC42+AC43+AC51+AC52+AC53+AC54</f>
        <v>-34784.5199771995</v>
      </c>
      <c r="AD55" s="100" t="n">
        <f aca="false">AD42+AD43+AD51+AD52+AD53+AD54</f>
        <v>-34827.76504634</v>
      </c>
      <c r="AE55" s="100" t="n">
        <f aca="false">AE42+AE43+AE51+AE52+AE53+AE54</f>
        <v>-34871.0101154806</v>
      </c>
      <c r="AF55" s="100" t="n">
        <f aca="false">AF42+AF43+AF51+AF52+AF53+AF54</f>
        <v>-34914.2551846211</v>
      </c>
      <c r="AG55" s="100" t="n">
        <f aca="false">AG42+AG43+AG51+AG52+AG53+AG54</f>
        <v>-34957.5002537617</v>
      </c>
      <c r="AH55" s="100" t="n">
        <f aca="false">AH42+AH43+AH51+AH52+AH53+AH54</f>
        <v>-35000.7453229022</v>
      </c>
      <c r="AI55" s="100" t="n">
        <f aca="false">AI42+AI43+AI51+AI52+AI53+AI54</f>
        <v>-35043.9903920427</v>
      </c>
      <c r="AJ55" s="100" t="n">
        <f aca="false">AJ42+AJ43+AJ51+AJ52+AJ53+AJ54</f>
        <v>-35087.2354611833</v>
      </c>
      <c r="AK55" s="100" t="n">
        <f aca="false">AK42+AK43+AK51+AK52+AK53+AK54</f>
        <v>-35130.4805303238</v>
      </c>
      <c r="AL55" s="100" t="n">
        <f aca="false">AL42+AL43+AL51+AL52+AL53+AL54</f>
        <v>-37554.3851994643</v>
      </c>
      <c r="AM55" s="100" t="n">
        <f aca="false">AM42+AM43+AM51+AM52+AM53+AM54</f>
        <v>-40031.3559806049</v>
      </c>
      <c r="AN55" s="100" t="n">
        <f aca="false">AN42+AN43+AN51+AN52+AN53+AN54</f>
        <v>-40074.6010497454</v>
      </c>
      <c r="AO55" s="100" t="n">
        <f aca="false">AO42+AO43+AO51+AO52+AO53+AO54</f>
        <v>-40117.846118886</v>
      </c>
      <c r="AP55" s="100" t="n">
        <f aca="false">AP42+AP43+AP51+AP52+AP53+AP54</f>
        <v>-40161.0911880265</v>
      </c>
      <c r="AQ55" s="100" t="n">
        <f aca="false">AQ42+AQ43+AQ51+AQ52+AQ53+AQ54</f>
        <v>-40204.336257167</v>
      </c>
      <c r="AR55" s="100" t="n">
        <f aca="false">AR42+AR43+AR51+AR52+AR53+AR54</f>
        <v>-40247.5813263076</v>
      </c>
      <c r="AS55" s="100" t="n">
        <f aca="false">AS42+AS43+AS51+AS52+AS53+AS54</f>
        <v>-40247.5813263076</v>
      </c>
      <c r="AT55" s="100" t="n">
        <f aca="false">AT42+AT43+AT51+AT52+AT53+AT54</f>
        <v>-40247.5813263076</v>
      </c>
      <c r="AU55" s="100" t="n">
        <f aca="false">AU42+AU43+AU51+AU52+AU53+AU54</f>
        <v>-40247.5813263076</v>
      </c>
      <c r="AV55" s="100" t="n">
        <f aca="false">AV42+AV43+AV51+AV52+AV53+AV54</f>
        <v>-40247.5813263076</v>
      </c>
      <c r="AW55" s="100" t="n">
        <f aca="false">AW42+AW43+AW51+AW52+AW53+AW54</f>
        <v>-40247.5813263076</v>
      </c>
      <c r="AX55" s="100" t="n">
        <f aca="false">AX42+AX43+AX51+AX52+AX53+AX54</f>
        <v>-40247.5813263076</v>
      </c>
      <c r="AY55" s="100" t="n">
        <f aca="false">AY42+AY43+AY51+AY52+AY53+AY54</f>
        <v>-42694.9188096676</v>
      </c>
      <c r="AZ55" s="100" t="n">
        <f aca="false">AZ42+AZ43+AZ51+AZ52+AZ53+AZ54</f>
        <v>-42694.9188096676</v>
      </c>
      <c r="BA55" s="100" t="n">
        <f aca="false">BA42+BA43+BA51+BA52+BA53+BA54</f>
        <v>-42694.9188096676</v>
      </c>
      <c r="BB55" s="100" t="n">
        <f aca="false">BB42+BB43+BB51+BB52+BB53+BB54</f>
        <v>-42694.9188096676</v>
      </c>
      <c r="BC55" s="100" t="n">
        <f aca="false">BC42+BC43+BC51+BC52+BC53+BC54</f>
        <v>-42694.9188096676</v>
      </c>
      <c r="BD55" s="100" t="n">
        <f aca="false">BD42+BD43+BD51+BD52+BD53+BD54</f>
        <v>-42694.9188096676</v>
      </c>
      <c r="BE55" s="100" t="n">
        <f aca="false">BE42+BE43+BE51+BE52+BE53+BE54</f>
        <v>-42694.9188096676</v>
      </c>
      <c r="BF55" s="100" t="n">
        <f aca="false">BF42+BF43+BF51+BF52+BF53+BF54</f>
        <v>-42694.9188096676</v>
      </c>
      <c r="BG55" s="100" t="n">
        <f aca="false">BG42+BG43+BG51+BG52+BG53+BG54</f>
        <v>-42694.9188096676</v>
      </c>
      <c r="BH55" s="100" t="n">
        <f aca="false">BH42+BH43+BH51+BH52+BH53+BH54</f>
        <v>-42694.9188096676</v>
      </c>
      <c r="BI55" s="100" t="n">
        <f aca="false">BI42+BI43+BI51+BI52+BI53+BI54</f>
        <v>-42694.9188096676</v>
      </c>
      <c r="BJ55" s="100" t="n">
        <f aca="false">BJ42+BJ43+BJ51+BJ52+BJ53+BJ54</f>
        <v>-42694.9188096676</v>
      </c>
      <c r="BK55" s="100" t="n">
        <f aca="false">BK42+BK43+BK51+BK52+BK53+BK54</f>
        <v>-45156.2764175284</v>
      </c>
      <c r="BL55" s="100" t="n">
        <f aca="false">BL42+BL43+BL51+BL52+BL53+BL54</f>
        <v>-45156.2764175284</v>
      </c>
      <c r="BM55" s="100" t="n">
        <f aca="false">BM42+BM43+BM51+BM52+BM53+BM54</f>
        <v>-45156.2764175284</v>
      </c>
      <c r="BN55" s="100" t="n">
        <f aca="false">BN42+BN43+BN51+BN52+BN53+BN54</f>
        <v>-45156.2764175284</v>
      </c>
      <c r="BO55" s="100" t="n">
        <f aca="false">BO42+BO43+BO51+BO52+BO53+BO54</f>
        <v>-45156.2764175284</v>
      </c>
      <c r="BP55" s="100" t="n">
        <f aca="false">BP42+BP43+BP51+BP52+BP53+BP54</f>
        <v>-45156.2764175284</v>
      </c>
      <c r="BQ55" s="100" t="n">
        <f aca="false">BQ42+BQ43+BQ51+BQ52+BQ53+BQ54</f>
        <v>-45156.2764175284</v>
      </c>
      <c r="BR55" s="100" t="n">
        <f aca="false">BR42+BR43+BR51+BR52+BR53+BR54</f>
        <v>-45156.2764175284</v>
      </c>
      <c r="BS55" s="100" t="n">
        <f aca="false">BS42+BS43+BS51+BS52+BS53+BS54</f>
        <v>-45156.2764175284</v>
      </c>
      <c r="BT55" s="100" t="n">
        <f aca="false">BT42+BT43+BT51+BT52+BT53+BT54</f>
        <v>-45156.2764175284</v>
      </c>
      <c r="BU55" s="100" t="n">
        <f aca="false">BU42+BU43+BU51+BU52+BU53+BU54</f>
        <v>-45156.2764175284</v>
      </c>
      <c r="BV55" s="100" t="n">
        <f aca="false">BV42+BV43+BV51+BV52+BV53+BV54</f>
        <v>-45156.2764175284</v>
      </c>
      <c r="BW55" s="100" t="n">
        <f aca="false">BW42+BW43+BW51+BW52+BW53+BW54</f>
        <v>-47632.074753625</v>
      </c>
      <c r="BX55" s="100" t="n">
        <f aca="false">BX42+BX43+BX51+BX52+BX53+BX54</f>
        <v>-47632.074753625</v>
      </c>
      <c r="BY55" s="100" t="n">
        <f aca="false">BY42+BY43+BY51+BY52+BY53+BY54</f>
        <v>-47632.074753625</v>
      </c>
      <c r="BZ55" s="100" t="n">
        <f aca="false">BZ42+BZ43+BZ51+BZ52+BZ53+BZ54</f>
        <v>-47632.074753625</v>
      </c>
      <c r="CA55" s="100" t="n">
        <f aca="false">CA42+CA43+CA51+CA52+CA53+CA54</f>
        <v>-47632.074753625</v>
      </c>
      <c r="CB55" s="100" t="n">
        <f aca="false">CB42+CB43+CB51+CB52+CB53+CB54</f>
        <v>-47632.074753625</v>
      </c>
      <c r="CC55" s="100" t="n">
        <f aca="false">CC42+CC43+CC51+CC52+CC53+CC54</f>
        <v>-47632.074753625</v>
      </c>
      <c r="CD55" s="100" t="n">
        <f aca="false">CD42+CD43+CD51+CD52+CD53+CD54</f>
        <v>-47632.074753625</v>
      </c>
      <c r="CE55" s="100" t="n">
        <f aca="false">CE42+CE43+CE51+CE52+CE53+CE54</f>
        <v>-47632.074753625</v>
      </c>
      <c r="CF55" s="100" t="n">
        <f aca="false">CF42+CF43+CF51+CF52+CF53+CF54</f>
        <v>-47632.074753625</v>
      </c>
      <c r="CG55" s="100" t="n">
        <f aca="false">CG42+CG43+CG51+CG52+CG53+CG54</f>
        <v>-47632.074753625</v>
      </c>
      <c r="CH55" s="100" t="n">
        <f aca="false">CH42+CH43+CH51+CH52+CH53+CH54</f>
        <v>-47632.074753625</v>
      </c>
    </row>
    <row r="56" customFormat="false" ht="13.5" hidden="false" customHeight="true" outlineLevel="0" collapsed="false">
      <c r="A56" s="46" t="s">
        <v>533</v>
      </c>
      <c r="C56" s="63" t="n">
        <f aca="false">C40+C55</f>
        <v>-14686.9039336701</v>
      </c>
      <c r="D56" s="63" t="n">
        <f aca="false">D40+D55</f>
        <v>-13653.2408450653</v>
      </c>
      <c r="E56" s="63" t="n">
        <f aca="false">E40+E55</f>
        <v>-11563.0575935193</v>
      </c>
      <c r="F56" s="63" t="n">
        <f aca="false">F40+F55</f>
        <v>-10437.9704083033</v>
      </c>
      <c r="G56" s="63" t="n">
        <f aca="false">G40+G55</f>
        <v>-9381.45024536213</v>
      </c>
      <c r="H56" s="63" t="n">
        <f aca="false">H40+H55</f>
        <v>-7733.05878552128</v>
      </c>
      <c r="I56" s="63" t="n">
        <f aca="false">I40+I55</f>
        <v>-4656.25028381178</v>
      </c>
      <c r="J56" s="63" t="n">
        <f aca="false">J40+J55</f>
        <v>-1579.44178210229</v>
      </c>
      <c r="K56" s="63" t="n">
        <f aca="false">K40+K55</f>
        <v>1497.36671960721</v>
      </c>
      <c r="L56" s="63" t="n">
        <f aca="false">L40+L55</f>
        <v>4574.17522131671</v>
      </c>
      <c r="M56" s="63" t="n">
        <f aca="false">M40+M55</f>
        <v>6594.46356008505</v>
      </c>
      <c r="N56" s="63" t="n">
        <f aca="false">N40+N55</f>
        <v>9405.18560343476</v>
      </c>
      <c r="O56" s="63" t="n">
        <f aca="false">O40+O55</f>
        <v>6988.70764678448</v>
      </c>
      <c r="P56" s="63" t="n">
        <f aca="false">P40+P55</f>
        <v>7184.22387506705</v>
      </c>
      <c r="Q56" s="63" t="n">
        <f aca="false">Q40+Q55</f>
        <v>9691.06010334961</v>
      </c>
      <c r="R56" s="63" t="n">
        <f aca="false">R40+R55</f>
        <v>12197.8963316322</v>
      </c>
      <c r="S56" s="63" t="n">
        <f aca="false">S40+S55</f>
        <v>14704.7325599147</v>
      </c>
      <c r="T56" s="63" t="n">
        <f aca="false">T40+T55</f>
        <v>17211.5687881973</v>
      </c>
      <c r="U56" s="63" t="n">
        <f aca="false">U40+U55</f>
        <v>17407.0850164799</v>
      </c>
      <c r="V56" s="63" t="n">
        <f aca="false">V40+V55</f>
        <v>17194.7212447625</v>
      </c>
      <c r="W56" s="63" t="n">
        <f aca="false">W40+W55</f>
        <v>19701.557473045</v>
      </c>
      <c r="X56" s="63" t="n">
        <f aca="false">X40+X55</f>
        <v>21417.9599967462</v>
      </c>
      <c r="Y56" s="63" t="n">
        <f aca="false">Y40+Y55</f>
        <v>23134.3625204474</v>
      </c>
      <c r="Z56" s="63" t="n">
        <f aca="false">Z40+Z55</f>
        <v>24562.7795623161</v>
      </c>
      <c r="AA56" s="63" t="n">
        <f aca="false">AA40+AA55</f>
        <v>23709.3654041847</v>
      </c>
      <c r="AB56" s="63" t="n">
        <f aca="false">AB40+AB55</f>
        <v>22757.1228460534</v>
      </c>
      <c r="AC56" s="63" t="n">
        <f aca="false">AC40+AC55</f>
        <v>24185.5398879221</v>
      </c>
      <c r="AD56" s="63" t="n">
        <f aca="false">AD40+AD55</f>
        <v>25613.9569297907</v>
      </c>
      <c r="AE56" s="63" t="n">
        <f aca="false">AE40+AE55</f>
        <v>27042.3739716593</v>
      </c>
      <c r="AF56" s="63" t="n">
        <f aca="false">AF40+AF55</f>
        <v>28470.791013528</v>
      </c>
      <c r="AG56" s="63" t="n">
        <f aca="false">AG40+AG55</f>
        <v>29899.2080553967</v>
      </c>
      <c r="AH56" s="63" t="n">
        <f aca="false">AH40+AH55</f>
        <v>31327.6250972653</v>
      </c>
      <c r="AI56" s="63" t="n">
        <f aca="false">AI40+AI55</f>
        <v>32756.042139134</v>
      </c>
      <c r="AJ56" s="63" t="n">
        <f aca="false">AJ40+AJ55</f>
        <v>34184.4591810026</v>
      </c>
      <c r="AK56" s="63" t="n">
        <f aca="false">AK40+AK55</f>
        <v>35612.8762228713</v>
      </c>
      <c r="AL56" s="63" t="n">
        <f aca="false">AL40+AL55</f>
        <v>34660.6336647399</v>
      </c>
      <c r="AM56" s="63" t="n">
        <f aca="false">AM40+AM55</f>
        <v>33655.3249946086</v>
      </c>
      <c r="AN56" s="63" t="n">
        <f aca="false">AN40+AN55</f>
        <v>35083.7420364772</v>
      </c>
      <c r="AO56" s="63" t="n">
        <f aca="false">AO40+AO55</f>
        <v>36512.1590783459</v>
      </c>
      <c r="AP56" s="63" t="n">
        <f aca="false">AP40+AP55</f>
        <v>37940.5761202145</v>
      </c>
      <c r="AQ56" s="63" t="n">
        <f aca="false">AQ40+AQ55</f>
        <v>39368.9931620832</v>
      </c>
      <c r="AR56" s="63" t="n">
        <f aca="false">AR40+AR55</f>
        <v>40797.4102039518</v>
      </c>
      <c r="AS56" s="63" t="n">
        <f aca="false">AS40+AS55</f>
        <v>40797.4102039518</v>
      </c>
      <c r="AT56" s="63" t="n">
        <f aca="false">AT40+AT55</f>
        <v>40797.4102039518</v>
      </c>
      <c r="AU56" s="63" t="n">
        <f aca="false">AU40+AU55</f>
        <v>40797.4102039518</v>
      </c>
      <c r="AV56" s="63" t="n">
        <f aca="false">AV40+AV55</f>
        <v>40797.4102039518</v>
      </c>
      <c r="AW56" s="63" t="n">
        <f aca="false">AW40+AW55</f>
        <v>40797.4102039518</v>
      </c>
      <c r="AX56" s="63" t="n">
        <f aca="false">AX40+AX55</f>
        <v>40797.4102039518</v>
      </c>
      <c r="AY56" s="63" t="n">
        <f aca="false">AY40+AY55</f>
        <v>38350.0727205918</v>
      </c>
      <c r="AZ56" s="63" t="n">
        <f aca="false">AZ40+AZ55</f>
        <v>38350.0727205918</v>
      </c>
      <c r="BA56" s="63" t="n">
        <f aca="false">BA40+BA55</f>
        <v>38350.0727205918</v>
      </c>
      <c r="BB56" s="63" t="n">
        <f aca="false">BB40+BB55</f>
        <v>38350.0727205918</v>
      </c>
      <c r="BC56" s="63" t="n">
        <f aca="false">BC40+BC55</f>
        <v>38350.0727205918</v>
      </c>
      <c r="BD56" s="63" t="n">
        <f aca="false">BD40+BD55</f>
        <v>38350.0727205918</v>
      </c>
      <c r="BE56" s="63" t="n">
        <f aca="false">BE40+BE55</f>
        <v>38350.0727205918</v>
      </c>
      <c r="BF56" s="63" t="n">
        <f aca="false">BF40+BF55</f>
        <v>38350.0727205918</v>
      </c>
      <c r="BG56" s="63" t="n">
        <f aca="false">BG40+BG55</f>
        <v>38350.0727205918</v>
      </c>
      <c r="BH56" s="63" t="n">
        <f aca="false">BH40+BH55</f>
        <v>38350.0727205918</v>
      </c>
      <c r="BI56" s="63" t="n">
        <f aca="false">BI40+BI55</f>
        <v>38350.0727205918</v>
      </c>
      <c r="BJ56" s="63" t="n">
        <f aca="false">BJ40+BJ55</f>
        <v>38350.0727205918</v>
      </c>
      <c r="BK56" s="63" t="n">
        <f aca="false">BK40+BK55</f>
        <v>35888.715112731</v>
      </c>
      <c r="BL56" s="63" t="n">
        <f aca="false">BL40+BL55</f>
        <v>35888.715112731</v>
      </c>
      <c r="BM56" s="63" t="n">
        <f aca="false">BM40+BM55</f>
        <v>35888.715112731</v>
      </c>
      <c r="BN56" s="63" t="n">
        <f aca="false">BN40+BN55</f>
        <v>35888.715112731</v>
      </c>
      <c r="BO56" s="63" t="n">
        <f aca="false">BO40+BO55</f>
        <v>35888.715112731</v>
      </c>
      <c r="BP56" s="63" t="n">
        <f aca="false">BP40+BP55</f>
        <v>35888.715112731</v>
      </c>
      <c r="BQ56" s="63" t="n">
        <f aca="false">BQ40+BQ55</f>
        <v>35888.715112731</v>
      </c>
      <c r="BR56" s="63" t="n">
        <f aca="false">BR40+BR55</f>
        <v>35888.715112731</v>
      </c>
      <c r="BS56" s="63" t="n">
        <f aca="false">BS40+BS55</f>
        <v>35888.715112731</v>
      </c>
      <c r="BT56" s="63" t="n">
        <f aca="false">BT40+BT55</f>
        <v>35888.715112731</v>
      </c>
      <c r="BU56" s="63" t="n">
        <f aca="false">BU40+BU55</f>
        <v>35888.715112731</v>
      </c>
      <c r="BV56" s="63" t="n">
        <f aca="false">BV40+BV55</f>
        <v>35888.715112731</v>
      </c>
      <c r="BW56" s="63" t="n">
        <f aca="false">BW40+BW55</f>
        <v>33412.9167766344</v>
      </c>
      <c r="BX56" s="63" t="n">
        <f aca="false">BX40+BX55</f>
        <v>33412.9167766344</v>
      </c>
      <c r="BY56" s="63" t="n">
        <f aca="false">BY40+BY55</f>
        <v>33412.9167766344</v>
      </c>
      <c r="BZ56" s="63" t="n">
        <f aca="false">BZ40+BZ55</f>
        <v>33412.9167766344</v>
      </c>
      <c r="CA56" s="63" t="n">
        <f aca="false">CA40+CA55</f>
        <v>33412.9167766344</v>
      </c>
      <c r="CB56" s="63" t="n">
        <f aca="false">CB40+CB55</f>
        <v>33412.9167766344</v>
      </c>
      <c r="CC56" s="63" t="n">
        <f aca="false">CC40+CC55</f>
        <v>33412.9167766344</v>
      </c>
      <c r="CD56" s="63" t="n">
        <f aca="false">CD40+CD55</f>
        <v>33412.9167766344</v>
      </c>
      <c r="CE56" s="63" t="n">
        <f aca="false">CE40+CE55</f>
        <v>33412.9167766344</v>
      </c>
      <c r="CF56" s="63" t="n">
        <f aca="false">CF40+CF55</f>
        <v>33412.9167766344</v>
      </c>
      <c r="CG56" s="63" t="n">
        <f aca="false">CG40+CG55</f>
        <v>33412.9167766344</v>
      </c>
      <c r="CH56" s="63" t="n">
        <f aca="false">CH40+CH55</f>
        <v>33412.9167766344</v>
      </c>
    </row>
    <row r="57" customFormat="false" ht="13.5" hidden="false" customHeight="true" outlineLevel="0" collapsed="false">
      <c r="A57" s="6" t="s">
        <v>49</v>
      </c>
      <c r="C57" s="110" t="n">
        <f aca="false">IFERROR(C56/C38,0)</f>
        <v>-13.5235911033673</v>
      </c>
      <c r="D57" s="110" t="n">
        <f aca="false">IFERROR(D56/D38,0)</f>
        <v>-6.0503432345147</v>
      </c>
      <c r="E57" s="110" t="n">
        <f aca="false">IFERROR(E56/E38,0)</f>
        <v>-2.46019603407743</v>
      </c>
      <c r="F57" s="110" t="n">
        <f aca="false">IFERROR(F56/F38,0)</f>
        <v>-1.723152853411</v>
      </c>
      <c r="G57" s="110" t="n">
        <f aca="false">IFERROR(G56/G38,0)</f>
        <v>-1.27980964687978</v>
      </c>
      <c r="H57" s="110" t="n">
        <f aca="false">IFERROR(H56/H38,0)</f>
        <v>-0.824562101782614</v>
      </c>
      <c r="I57" s="110" t="n">
        <f aca="false">IFERROR(I56/I38,0)</f>
        <v>-0.353145850970139</v>
      </c>
      <c r="J57" s="110" t="n">
        <f aca="false">IFERROR(J56/J38,0)</f>
        <v>-0.0929534857361914</v>
      </c>
      <c r="K57" s="110" t="n">
        <f aca="false">IFERROR(K56/K38,0)</f>
        <v>0.0719942398215989</v>
      </c>
      <c r="L57" s="110" t="n">
        <f aca="false">IFERROR(L56/L38,0)</f>
        <v>0.185903507995599</v>
      </c>
      <c r="M57" s="110" t="n">
        <f aca="false">IFERROR(M56/M38,0)</f>
        <v>0.24298916245077</v>
      </c>
      <c r="N57" s="110" t="n">
        <f aca="false">IFERROR(N56/N38,0)</f>
        <v>0.306060882521716</v>
      </c>
      <c r="O57" s="110" t="n">
        <f aca="false">IFERROR(O56/O38,0)</f>
        <v>0.203629800116353</v>
      </c>
      <c r="P57" s="110" t="n">
        <f aca="false">IFERROR(P56/P38,0)</f>
        <v>0.19142115991872</v>
      </c>
      <c r="Q57" s="110" t="n">
        <f aca="false">IFERROR(Q56/Q38,0)</f>
        <v>0.237868158107287</v>
      </c>
      <c r="R57" s="110" t="n">
        <f aca="false">IFERROR(R56/R38,0)</f>
        <v>0.277529966318767</v>
      </c>
      <c r="S57" s="110" t="n">
        <f aca="false">IFERROR(S56/S38,0)</f>
        <v>0.311792193867672</v>
      </c>
      <c r="T57" s="110" t="n">
        <f aca="false">IFERROR(T56/T38,0)</f>
        <v>0.341687219335121</v>
      </c>
      <c r="U57" s="110" t="n">
        <f aca="false">IFERROR(U56/U38,0)</f>
        <v>0.324864379554519</v>
      </c>
      <c r="V57" s="110" t="n">
        <f aca="false">IFERROR(V56/V38,0)</f>
        <v>0.302761547577552</v>
      </c>
      <c r="W57" s="110" t="n">
        <f aca="false">IFERROR(W56/W38,0)</f>
        <v>0.328341355707878</v>
      </c>
      <c r="X57" s="110" t="n">
        <f aca="false">IFERROR(X56/X38,0)</f>
        <v>0.344580870017658</v>
      </c>
      <c r="Y57" s="110" t="n">
        <f aca="false">IFERROR(Y56/Y38,0)</f>
        <v>0.359732893084052</v>
      </c>
      <c r="Z57" s="110" t="n">
        <f aca="false">IFERROR(Z56/Z38,0)</f>
        <v>0.37177758059277</v>
      </c>
      <c r="AA57" s="110" t="n">
        <f aca="false">IFERROR(AA56/AA38,0)</f>
        <v>0.349555802352975</v>
      </c>
      <c r="AB57" s="110" t="n">
        <f aca="false">IFERROR(AB56/AB38,0)</f>
        <v>0.327037010625838</v>
      </c>
      <c r="AC57" s="110" t="n">
        <f aca="false">IFERROR(AC56/AC38,0)</f>
        <v>0.338996946697431</v>
      </c>
      <c r="AD57" s="110" t="n">
        <f aca="false">IFERROR(AD56/AD38,0)</f>
        <v>0.350381440545107</v>
      </c>
      <c r="AE57" s="110" t="n">
        <f aca="false">IFERROR(AE56/AE38,0)</f>
        <v>0.361231046915148</v>
      </c>
      <c r="AF57" s="110" t="n">
        <f aca="false">IFERROR(AF56/AF38,0)</f>
        <v>0.371582597185802</v>
      </c>
      <c r="AG57" s="110" t="n">
        <f aca="false">IFERROR(AG56/AG38,0)</f>
        <v>0.381469617086735</v>
      </c>
      <c r="AH57" s="110" t="n">
        <f aca="false">IFERROR(AH56/AH38,0)</f>
        <v>0.390922689416556</v>
      </c>
      <c r="AI57" s="110" t="n">
        <f aca="false">IFERROR(AI56/AI38,0)</f>
        <v>0.399969770026236</v>
      </c>
      <c r="AJ57" s="110" t="n">
        <f aca="false">IFERROR(AJ56/AJ38,0)</f>
        <v>0.408636463945728</v>
      </c>
      <c r="AK57" s="110" t="n">
        <f aca="false">IFERROR(AK56/AK38,0)</f>
        <v>0.416946267398286</v>
      </c>
      <c r="AL57" s="110" t="n">
        <f aca="false">IFERROR(AL56/AL38,0)</f>
        <v>0.397610942060536</v>
      </c>
      <c r="AM57" s="110" t="n">
        <f aca="false">IFERROR(AM56/AM38,0)</f>
        <v>0.378443633468941</v>
      </c>
      <c r="AN57" s="110" t="n">
        <f aca="false">IFERROR(AN56/AN38,0)</f>
        <v>0.386855504864202</v>
      </c>
      <c r="AO57" s="110" t="n">
        <f aca="false">IFERROR(AO56/AO38,0)</f>
        <v>0.394947337374762</v>
      </c>
      <c r="AP57" s="110" t="n">
        <f aca="false">IFERROR(AP56/AP38,0)</f>
        <v>0.402737054389345</v>
      </c>
      <c r="AQ57" s="110" t="n">
        <f aca="false">IFERROR(AQ56/AQ38,0)</f>
        <v>0.410241265453276</v>
      </c>
      <c r="AR57" s="110" t="n">
        <f aca="false">IFERROR(AR56/AR38,0)</f>
        <v>0.417475384488315</v>
      </c>
      <c r="AS57" s="110" t="n">
        <f aca="false">IFERROR(AS56/AS38,0)</f>
        <v>0.417475384488315</v>
      </c>
      <c r="AT57" s="110" t="n">
        <f aca="false">IFERROR(AT56/AT38,0)</f>
        <v>0.417475384488315</v>
      </c>
      <c r="AU57" s="110" t="n">
        <f aca="false">IFERROR(AU56/AU38,0)</f>
        <v>0.417475384488315</v>
      </c>
      <c r="AV57" s="110" t="n">
        <f aca="false">IFERROR(AV56/AV38,0)</f>
        <v>0.417475384488315</v>
      </c>
      <c r="AW57" s="110" t="n">
        <f aca="false">IFERROR(AW56/AW38,0)</f>
        <v>0.417475384488315</v>
      </c>
      <c r="AX57" s="110" t="n">
        <f aca="false">IFERROR(AX56/AX38,0)</f>
        <v>0.417475384488315</v>
      </c>
      <c r="AY57" s="110" t="n">
        <f aca="false">IFERROR(AY56/AY38,0)</f>
        <v>0.392432050812703</v>
      </c>
      <c r="AZ57" s="110" t="n">
        <f aca="false">IFERROR(AZ56/AZ38,0)</f>
        <v>0.392432050812703</v>
      </c>
      <c r="BA57" s="110" t="n">
        <f aca="false">IFERROR(BA56/BA38,0)</f>
        <v>0.392432050812703</v>
      </c>
      <c r="BB57" s="110" t="n">
        <f aca="false">IFERROR(BB56/BB38,0)</f>
        <v>0.392432050812703</v>
      </c>
      <c r="BC57" s="110" t="n">
        <f aca="false">IFERROR(BC56/BC38,0)</f>
        <v>0.392432050812703</v>
      </c>
      <c r="BD57" s="110" t="n">
        <f aca="false">IFERROR(BD56/BD38,0)</f>
        <v>0.392432050812703</v>
      </c>
      <c r="BE57" s="110" t="n">
        <f aca="false">IFERROR(BE56/BE38,0)</f>
        <v>0.392432050812703</v>
      </c>
      <c r="BF57" s="110" t="n">
        <f aca="false">IFERROR(BF56/BF38,0)</f>
        <v>0.392432050812703</v>
      </c>
      <c r="BG57" s="110" t="n">
        <f aca="false">IFERROR(BG56/BG38,0)</f>
        <v>0.392432050812703</v>
      </c>
      <c r="BH57" s="110" t="n">
        <f aca="false">IFERROR(BH56/BH38,0)</f>
        <v>0.392432050812703</v>
      </c>
      <c r="BI57" s="110" t="n">
        <f aca="false">IFERROR(BI56/BI38,0)</f>
        <v>0.392432050812703</v>
      </c>
      <c r="BJ57" s="110" t="n">
        <f aca="false">IFERROR(BJ56/BJ38,0)</f>
        <v>0.392432050812703</v>
      </c>
      <c r="BK57" s="110" t="n">
        <f aca="false">IFERROR(BK56/BK38,0)</f>
        <v>0.367245250754365</v>
      </c>
      <c r="BL57" s="110" t="n">
        <f aca="false">IFERROR(BL56/BL38,0)</f>
        <v>0.367245250754365</v>
      </c>
      <c r="BM57" s="110" t="n">
        <f aca="false">IFERROR(BM56/BM38,0)</f>
        <v>0.367245250754365</v>
      </c>
      <c r="BN57" s="110" t="n">
        <f aca="false">IFERROR(BN56/BN38,0)</f>
        <v>0.367245250754365</v>
      </c>
      <c r="BO57" s="110" t="n">
        <f aca="false">IFERROR(BO56/BO38,0)</f>
        <v>0.367245250754365</v>
      </c>
      <c r="BP57" s="110" t="n">
        <f aca="false">IFERROR(BP56/BP38,0)</f>
        <v>0.367245250754365</v>
      </c>
      <c r="BQ57" s="110" t="n">
        <f aca="false">IFERROR(BQ56/BQ38,0)</f>
        <v>0.367245250754365</v>
      </c>
      <c r="BR57" s="110" t="n">
        <f aca="false">IFERROR(BR56/BR38,0)</f>
        <v>0.367245250754365</v>
      </c>
      <c r="BS57" s="110" t="n">
        <f aca="false">IFERROR(BS56/BS38,0)</f>
        <v>0.367245250754365</v>
      </c>
      <c r="BT57" s="110" t="n">
        <f aca="false">IFERROR(BT56/BT38,0)</f>
        <v>0.367245250754365</v>
      </c>
      <c r="BU57" s="110" t="n">
        <f aca="false">IFERROR(BU56/BU38,0)</f>
        <v>0.367245250754365</v>
      </c>
      <c r="BV57" s="110" t="n">
        <f aca="false">IFERROR(BV56/BV38,0)</f>
        <v>0.367245250754365</v>
      </c>
      <c r="BW57" s="110" t="n">
        <f aca="false">IFERROR(BW56/BW38,0)</f>
        <v>0.34191068032182</v>
      </c>
      <c r="BX57" s="110" t="n">
        <f aca="false">IFERROR(BX56/BX38,0)</f>
        <v>0.34191068032182</v>
      </c>
      <c r="BY57" s="110" t="n">
        <f aca="false">IFERROR(BY56/BY38,0)</f>
        <v>0.34191068032182</v>
      </c>
      <c r="BZ57" s="110" t="n">
        <f aca="false">IFERROR(BZ56/BZ38,0)</f>
        <v>0.34191068032182</v>
      </c>
      <c r="CA57" s="110" t="n">
        <f aca="false">IFERROR(CA56/CA38,0)</f>
        <v>0.34191068032182</v>
      </c>
      <c r="CB57" s="110" t="n">
        <f aca="false">IFERROR(CB56/CB38,0)</f>
        <v>0.34191068032182</v>
      </c>
      <c r="CC57" s="110" t="n">
        <f aca="false">IFERROR(CC56/CC38,0)</f>
        <v>0.34191068032182</v>
      </c>
      <c r="CD57" s="110" t="n">
        <f aca="false">IFERROR(CD56/CD38,0)</f>
        <v>0.34191068032182</v>
      </c>
      <c r="CE57" s="110" t="n">
        <f aca="false">IFERROR(CE56/CE38,0)</f>
        <v>0.34191068032182</v>
      </c>
      <c r="CF57" s="110" t="n">
        <f aca="false">IFERROR(CF56/CF38,0)</f>
        <v>0.34191068032182</v>
      </c>
      <c r="CG57" s="110" t="n">
        <f aca="false">IFERROR(CG56/CG38,0)</f>
        <v>0.34191068032182</v>
      </c>
      <c r="CH57" s="110" t="n">
        <f aca="false">IFERROR(CH56/CH38,0)</f>
        <v>0.34191068032182</v>
      </c>
    </row>
    <row r="58" customFormat="false" ht="13.5" hidden="false" customHeight="true" outlineLevel="0" collapsed="false">
      <c r="A58" s="6" t="s">
        <v>534</v>
      </c>
      <c r="C58" s="100" t="n">
        <f aca="false">-(CAPEX!$C$22)/(Hipótesis!$F$86*12)</f>
        <v>-1174.64285714286</v>
      </c>
      <c r="D58" s="100" t="n">
        <f aca="false">-(CAPEX!$C$22)/(Hipótesis!$F$86*12)</f>
        <v>-1174.64285714286</v>
      </c>
      <c r="E58" s="100" t="n">
        <f aca="false">-(CAPEX!$C$22)/(Hipótesis!$F$86*12)</f>
        <v>-1174.64285714286</v>
      </c>
      <c r="F58" s="100" t="n">
        <f aca="false">-(CAPEX!$C$22)/(Hipótesis!$F$86*12)</f>
        <v>-1174.64285714286</v>
      </c>
      <c r="G58" s="100" t="n">
        <f aca="false">-(CAPEX!$C$22)/(Hipótesis!$F$86*12)</f>
        <v>-1174.64285714286</v>
      </c>
      <c r="H58" s="100" t="n">
        <f aca="false">-(CAPEX!$C$22)/(Hipótesis!$F$86*12)</f>
        <v>-1174.64285714286</v>
      </c>
      <c r="I58" s="100" t="n">
        <f aca="false">-(CAPEX!$C$22)/(Hipótesis!$F$86*12)</f>
        <v>-1174.64285714286</v>
      </c>
      <c r="J58" s="100" t="n">
        <f aca="false">-(CAPEX!$C$22)/(Hipótesis!$F$86*12)</f>
        <v>-1174.64285714286</v>
      </c>
      <c r="K58" s="100" t="n">
        <f aca="false">-(CAPEX!$C$22)/(Hipótesis!$F$86*12)</f>
        <v>-1174.64285714286</v>
      </c>
      <c r="L58" s="100" t="n">
        <f aca="false">-(CAPEX!$C$22)/(Hipótesis!$F$86*12)</f>
        <v>-1174.64285714286</v>
      </c>
      <c r="M58" s="100" t="n">
        <f aca="false">-(CAPEX!$C$22)/(Hipótesis!$F$86*12)</f>
        <v>-1174.64285714286</v>
      </c>
      <c r="N58" s="100" t="n">
        <f aca="false">-(CAPEX!$C$22)/(Hipótesis!$F$86*12)</f>
        <v>-1174.64285714286</v>
      </c>
      <c r="O58" s="100" t="n">
        <f aca="false">-(CAPEX!$C$22)/(Hipótesis!$F$86*12)</f>
        <v>-1174.64285714286</v>
      </c>
      <c r="P58" s="100" t="n">
        <f aca="false">-(CAPEX!$C$22)/(Hipótesis!$F$86*12)</f>
        <v>-1174.64285714286</v>
      </c>
      <c r="Q58" s="100" t="n">
        <f aca="false">-(CAPEX!$C$22)/(Hipótesis!$F$86*12)</f>
        <v>-1174.64285714286</v>
      </c>
      <c r="R58" s="100" t="n">
        <f aca="false">-(CAPEX!$C$22)/(Hipótesis!$F$86*12)</f>
        <v>-1174.64285714286</v>
      </c>
      <c r="S58" s="100" t="n">
        <f aca="false">-(CAPEX!$C$22)/(Hipótesis!$F$86*12)</f>
        <v>-1174.64285714286</v>
      </c>
      <c r="T58" s="100" t="n">
        <f aca="false">-(CAPEX!$C$22)/(Hipótesis!$F$86*12)</f>
        <v>-1174.64285714286</v>
      </c>
      <c r="U58" s="100" t="n">
        <f aca="false">-(CAPEX!$C$22)/(Hipótesis!$F$86*12)</f>
        <v>-1174.64285714286</v>
      </c>
      <c r="V58" s="100" t="n">
        <f aca="false">-(CAPEX!$C$22)/(Hipótesis!$F$86*12)</f>
        <v>-1174.64285714286</v>
      </c>
      <c r="W58" s="100" t="n">
        <f aca="false">-(CAPEX!$C$22)/(Hipótesis!$F$86*12)</f>
        <v>-1174.64285714286</v>
      </c>
      <c r="X58" s="100" t="n">
        <f aca="false">-(CAPEX!$C$22)/(Hipótesis!$F$86*12)</f>
        <v>-1174.64285714286</v>
      </c>
      <c r="Y58" s="100" t="n">
        <f aca="false">-(CAPEX!$C$22)/(Hipótesis!$F$86*12)</f>
        <v>-1174.64285714286</v>
      </c>
      <c r="Z58" s="100" t="n">
        <f aca="false">-(CAPEX!$C$22)/(Hipótesis!$F$86*12)</f>
        <v>-1174.64285714286</v>
      </c>
      <c r="AA58" s="100" t="n">
        <f aca="false">-(CAPEX!$C$22)/(Hipótesis!$F$86*12)</f>
        <v>-1174.64285714286</v>
      </c>
      <c r="AB58" s="100" t="n">
        <f aca="false">-(CAPEX!$C$22)/(Hipótesis!$F$86*12)</f>
        <v>-1174.64285714286</v>
      </c>
      <c r="AC58" s="100" t="n">
        <f aca="false">-(CAPEX!$C$22)/(Hipótesis!$F$86*12)</f>
        <v>-1174.64285714286</v>
      </c>
      <c r="AD58" s="100" t="n">
        <f aca="false">-(CAPEX!$C$22)/(Hipótesis!$F$86*12)</f>
        <v>-1174.64285714286</v>
      </c>
      <c r="AE58" s="100" t="n">
        <f aca="false">-(CAPEX!$C$22)/(Hipótesis!$F$86*12)</f>
        <v>-1174.64285714286</v>
      </c>
      <c r="AF58" s="100" t="n">
        <f aca="false">-(CAPEX!$C$22)/(Hipótesis!$F$86*12)</f>
        <v>-1174.64285714286</v>
      </c>
      <c r="AG58" s="100" t="n">
        <f aca="false">-(CAPEX!$C$22)/(Hipótesis!$F$86*12)</f>
        <v>-1174.64285714286</v>
      </c>
      <c r="AH58" s="100" t="n">
        <f aca="false">-(CAPEX!$C$22)/(Hipótesis!$F$86*12)</f>
        <v>-1174.64285714286</v>
      </c>
      <c r="AI58" s="100" t="n">
        <f aca="false">-(CAPEX!$C$22)/(Hipótesis!$F$86*12)</f>
        <v>-1174.64285714286</v>
      </c>
      <c r="AJ58" s="100" t="n">
        <f aca="false">-(CAPEX!$C$22)/(Hipótesis!$F$86*12)</f>
        <v>-1174.64285714286</v>
      </c>
      <c r="AK58" s="100" t="n">
        <f aca="false">-(CAPEX!$C$22)/(Hipótesis!$F$86*12)</f>
        <v>-1174.64285714286</v>
      </c>
      <c r="AL58" s="100" t="n">
        <f aca="false">-(CAPEX!$C$22)/(Hipótesis!$F$86*12)</f>
        <v>-1174.64285714286</v>
      </c>
      <c r="AM58" s="100" t="n">
        <f aca="false">-(CAPEX!$C$22)/(Hipótesis!$F$86*12)</f>
        <v>-1174.64285714286</v>
      </c>
      <c r="AN58" s="100" t="n">
        <f aca="false">-(CAPEX!$C$22)/(Hipótesis!$F$86*12)</f>
        <v>-1174.64285714286</v>
      </c>
      <c r="AO58" s="100" t="n">
        <f aca="false">-(CAPEX!$C$22)/(Hipótesis!$F$86*12)</f>
        <v>-1174.64285714286</v>
      </c>
      <c r="AP58" s="100" t="n">
        <f aca="false">-(CAPEX!$C$22)/(Hipótesis!$F$86*12)</f>
        <v>-1174.64285714286</v>
      </c>
      <c r="AQ58" s="100" t="n">
        <f aca="false">-(CAPEX!$C$22)/(Hipótesis!$F$86*12)</f>
        <v>-1174.64285714286</v>
      </c>
      <c r="AR58" s="100" t="n">
        <f aca="false">-(CAPEX!$C$22)/(Hipótesis!$F$86*12)</f>
        <v>-1174.64285714286</v>
      </c>
      <c r="AS58" s="100" t="n">
        <f aca="false">-(CAPEX!$C$22)/(Hipótesis!$F$86*12)</f>
        <v>-1174.64285714286</v>
      </c>
      <c r="AT58" s="100" t="n">
        <f aca="false">-(CAPEX!$C$22)/(Hipótesis!$F$86*12)</f>
        <v>-1174.64285714286</v>
      </c>
      <c r="AU58" s="100" t="n">
        <f aca="false">-(CAPEX!$C$22)/(Hipótesis!$F$86*12)</f>
        <v>-1174.64285714286</v>
      </c>
      <c r="AV58" s="100" t="n">
        <f aca="false">-(CAPEX!$C$22)/(Hipótesis!$F$86*12)</f>
        <v>-1174.64285714286</v>
      </c>
      <c r="AW58" s="100" t="n">
        <f aca="false">-(CAPEX!$C$22)/(Hipótesis!$F$86*12)</f>
        <v>-1174.64285714286</v>
      </c>
      <c r="AX58" s="100" t="n">
        <f aca="false">-(CAPEX!$C$22)/(Hipótesis!$F$86*12)</f>
        <v>-1174.64285714286</v>
      </c>
      <c r="AY58" s="100" t="n">
        <f aca="false">-(CAPEX!$C$22)/(Hipótesis!$F$86*12)</f>
        <v>-1174.64285714286</v>
      </c>
      <c r="AZ58" s="100" t="n">
        <f aca="false">-(CAPEX!$C$22)/(Hipótesis!$F$86*12)</f>
        <v>-1174.64285714286</v>
      </c>
      <c r="BA58" s="100" t="n">
        <f aca="false">-(CAPEX!$C$22)/(Hipótesis!$F$86*12)</f>
        <v>-1174.64285714286</v>
      </c>
      <c r="BB58" s="100" t="n">
        <f aca="false">-(CAPEX!$C$22)/(Hipótesis!$F$86*12)</f>
        <v>-1174.64285714286</v>
      </c>
      <c r="BC58" s="100" t="n">
        <f aca="false">-(CAPEX!$C$22)/(Hipótesis!$F$86*12)</f>
        <v>-1174.64285714286</v>
      </c>
      <c r="BD58" s="100" t="n">
        <f aca="false">-(CAPEX!$C$22)/(Hipótesis!$F$86*12)</f>
        <v>-1174.64285714286</v>
      </c>
      <c r="BE58" s="100" t="n">
        <f aca="false">-(CAPEX!$C$22)/(Hipótesis!$F$86*12)</f>
        <v>-1174.64285714286</v>
      </c>
      <c r="BF58" s="100" t="n">
        <f aca="false">-(CAPEX!$C$22)/(Hipótesis!$F$86*12)</f>
        <v>-1174.64285714286</v>
      </c>
      <c r="BG58" s="100" t="n">
        <f aca="false">-(CAPEX!$C$22)/(Hipótesis!$F$86*12)</f>
        <v>-1174.64285714286</v>
      </c>
      <c r="BH58" s="100" t="n">
        <f aca="false">-(CAPEX!$C$22)/(Hipótesis!$F$86*12)</f>
        <v>-1174.64285714286</v>
      </c>
      <c r="BI58" s="100" t="n">
        <f aca="false">-(CAPEX!$C$22)/(Hipótesis!$F$86*12)</f>
        <v>-1174.64285714286</v>
      </c>
      <c r="BJ58" s="100" t="n">
        <f aca="false">-(CAPEX!$C$22)/(Hipótesis!$F$86*12)</f>
        <v>-1174.64285714286</v>
      </c>
      <c r="BK58" s="100" t="n">
        <f aca="false">-(CAPEX!$C$22)/(Hipótesis!$F$86*12)</f>
        <v>-1174.64285714286</v>
      </c>
      <c r="BL58" s="100" t="n">
        <f aca="false">-(CAPEX!$C$22)/(Hipótesis!$F$86*12)</f>
        <v>-1174.64285714286</v>
      </c>
      <c r="BM58" s="100" t="n">
        <f aca="false">-(CAPEX!$C$22)/(Hipótesis!$F$86*12)</f>
        <v>-1174.64285714286</v>
      </c>
      <c r="BN58" s="100" t="n">
        <f aca="false">-(CAPEX!$C$22)/(Hipótesis!$F$86*12)</f>
        <v>-1174.64285714286</v>
      </c>
      <c r="BO58" s="100" t="n">
        <f aca="false">-(CAPEX!$C$22)/(Hipótesis!$F$86*12)</f>
        <v>-1174.64285714286</v>
      </c>
      <c r="BP58" s="100" t="n">
        <f aca="false">-(CAPEX!$C$22)/(Hipótesis!$F$86*12)</f>
        <v>-1174.64285714286</v>
      </c>
      <c r="BQ58" s="100" t="n">
        <f aca="false">-(CAPEX!$C$22)/(Hipótesis!$F$86*12)</f>
        <v>-1174.64285714286</v>
      </c>
      <c r="BR58" s="100" t="n">
        <f aca="false">-(CAPEX!$C$22)/(Hipótesis!$F$86*12)</f>
        <v>-1174.64285714286</v>
      </c>
      <c r="BS58" s="100" t="n">
        <f aca="false">-(CAPEX!$C$22)/(Hipótesis!$F$86*12)</f>
        <v>-1174.64285714286</v>
      </c>
      <c r="BT58" s="100" t="n">
        <f aca="false">-(CAPEX!$C$22)/(Hipótesis!$F$86*12)</f>
        <v>-1174.64285714286</v>
      </c>
      <c r="BU58" s="100" t="n">
        <f aca="false">-(CAPEX!$C$22)/(Hipótesis!$F$86*12)</f>
        <v>-1174.64285714286</v>
      </c>
      <c r="BV58" s="100" t="n">
        <f aca="false">-(CAPEX!$C$22)/(Hipótesis!$F$86*12)</f>
        <v>-1174.64285714286</v>
      </c>
      <c r="BW58" s="100" t="n">
        <f aca="false">-(CAPEX!$C$22)/(Hipótesis!$F$86*12)</f>
        <v>-1174.64285714286</v>
      </c>
      <c r="BX58" s="100" t="n">
        <f aca="false">-(CAPEX!$C$22)/(Hipótesis!$F$86*12)</f>
        <v>-1174.64285714286</v>
      </c>
      <c r="BY58" s="100" t="n">
        <f aca="false">-(CAPEX!$C$22)/(Hipótesis!$F$86*12)</f>
        <v>-1174.64285714286</v>
      </c>
      <c r="BZ58" s="100" t="n">
        <f aca="false">-(CAPEX!$C$22)/(Hipótesis!$F$86*12)</f>
        <v>-1174.64285714286</v>
      </c>
      <c r="CA58" s="100" t="n">
        <f aca="false">-(CAPEX!$C$22)/(Hipótesis!$F$86*12)</f>
        <v>-1174.64285714286</v>
      </c>
      <c r="CB58" s="100" t="n">
        <f aca="false">-(CAPEX!$C$22)/(Hipótesis!$F$86*12)</f>
        <v>-1174.64285714286</v>
      </c>
      <c r="CC58" s="100" t="n">
        <f aca="false">-(CAPEX!$C$22)/(Hipótesis!$F$86*12)</f>
        <v>-1174.64285714286</v>
      </c>
      <c r="CD58" s="100" t="n">
        <f aca="false">-(CAPEX!$C$22)/(Hipótesis!$F$86*12)</f>
        <v>-1174.64285714286</v>
      </c>
      <c r="CE58" s="100" t="n">
        <f aca="false">-(CAPEX!$C$22)/(Hipótesis!$F$86*12)</f>
        <v>-1174.64285714286</v>
      </c>
      <c r="CF58" s="100" t="n">
        <f aca="false">-(CAPEX!$C$22)/(Hipótesis!$F$86*12)</f>
        <v>-1174.64285714286</v>
      </c>
      <c r="CG58" s="100" t="n">
        <f aca="false">-(CAPEX!$C$22)/(Hipótesis!$F$86*12)</f>
        <v>-1174.64285714286</v>
      </c>
      <c r="CH58" s="100" t="n">
        <f aca="false">-(CAPEX!$C$22)/(Hipótesis!$F$86*12)</f>
        <v>-1174.64285714286</v>
      </c>
    </row>
    <row r="59" customFormat="false" ht="13.5" hidden="false" customHeight="true" outlineLevel="0" collapsed="false">
      <c r="A59" s="22" t="s">
        <v>535</v>
      </c>
      <c r="C59" s="100" t="n">
        <f aca="false">C56+C58</f>
        <v>-15861.5467908129</v>
      </c>
      <c r="D59" s="100" t="n">
        <f aca="false">D56+D58</f>
        <v>-14827.8837022081</v>
      </c>
      <c r="E59" s="100" t="n">
        <f aca="false">E56+E58</f>
        <v>-12737.7004506622</v>
      </c>
      <c r="F59" s="100" t="n">
        <f aca="false">F56+F58</f>
        <v>-11612.6132654461</v>
      </c>
      <c r="G59" s="100" t="n">
        <f aca="false">G56+G58</f>
        <v>-10556.093102505</v>
      </c>
      <c r="H59" s="100" t="n">
        <f aca="false">H56+H58</f>
        <v>-8907.70164266414</v>
      </c>
      <c r="I59" s="100" t="n">
        <f aca="false">I56+I58</f>
        <v>-5830.89314095464</v>
      </c>
      <c r="J59" s="100" t="n">
        <f aca="false">J56+J58</f>
        <v>-2754.08463924514</v>
      </c>
      <c r="K59" s="100" t="n">
        <f aca="false">K56+K58</f>
        <v>322.723862464358</v>
      </c>
      <c r="L59" s="100" t="n">
        <f aca="false">L56+L58</f>
        <v>3399.53236417385</v>
      </c>
      <c r="M59" s="100" t="n">
        <f aca="false">M56+M58</f>
        <v>5419.8207029422</v>
      </c>
      <c r="N59" s="100" t="n">
        <f aca="false">N56+N58</f>
        <v>8230.54274629191</v>
      </c>
      <c r="O59" s="100" t="n">
        <f aca="false">O56+O58</f>
        <v>5814.06478964162</v>
      </c>
      <c r="P59" s="100" t="n">
        <f aca="false">P56+P58</f>
        <v>6009.58101792419</v>
      </c>
      <c r="Q59" s="100" t="n">
        <f aca="false">Q56+Q58</f>
        <v>8516.41724620675</v>
      </c>
      <c r="R59" s="100" t="n">
        <f aca="false">R56+R58</f>
        <v>11023.2534744893</v>
      </c>
      <c r="S59" s="100" t="n">
        <f aca="false">S56+S58</f>
        <v>13530.0897027719</v>
      </c>
      <c r="T59" s="100" t="n">
        <f aca="false">T56+T58</f>
        <v>16036.9259310545</v>
      </c>
      <c r="U59" s="100" t="n">
        <f aca="false">U56+U58</f>
        <v>16232.442159337</v>
      </c>
      <c r="V59" s="100" t="n">
        <f aca="false">V56+V58</f>
        <v>16020.0783876196</v>
      </c>
      <c r="W59" s="100" t="n">
        <f aca="false">W56+W58</f>
        <v>18526.9146159022</v>
      </c>
      <c r="X59" s="100" t="n">
        <f aca="false">X56+X58</f>
        <v>20243.3171396034</v>
      </c>
      <c r="Y59" s="100" t="n">
        <f aca="false">Y56+Y58</f>
        <v>21959.7196633046</v>
      </c>
      <c r="Z59" s="100" t="n">
        <f aca="false">Z56+Z58</f>
        <v>23388.1367051732</v>
      </c>
      <c r="AA59" s="100" t="n">
        <f aca="false">AA56+AA58</f>
        <v>22534.7225470419</v>
      </c>
      <c r="AB59" s="100" t="n">
        <f aca="false">AB56+AB58</f>
        <v>21582.4799889105</v>
      </c>
      <c r="AC59" s="100" t="n">
        <f aca="false">AC56+AC58</f>
        <v>23010.8970307792</v>
      </c>
      <c r="AD59" s="100" t="n">
        <f aca="false">AD56+AD58</f>
        <v>24439.3140726478</v>
      </c>
      <c r="AE59" s="100" t="n">
        <f aca="false">AE56+AE58</f>
        <v>25867.7311145165</v>
      </c>
      <c r="AF59" s="100" t="n">
        <f aca="false">AF56+AF58</f>
        <v>27296.1481563851</v>
      </c>
      <c r="AG59" s="100" t="n">
        <f aca="false">AG56+AG58</f>
        <v>28724.5651982538</v>
      </c>
      <c r="AH59" s="100" t="n">
        <f aca="false">AH56+AH58</f>
        <v>30152.9822401224</v>
      </c>
      <c r="AI59" s="100" t="n">
        <f aca="false">AI56+AI58</f>
        <v>31581.3992819911</v>
      </c>
      <c r="AJ59" s="100" t="n">
        <f aca="false">AJ56+AJ58</f>
        <v>33009.8163238598</v>
      </c>
      <c r="AK59" s="100" t="n">
        <f aca="false">AK56+AK58</f>
        <v>34438.2333657284</v>
      </c>
      <c r="AL59" s="100" t="n">
        <f aca="false">AL56+AL58</f>
        <v>33485.9908075971</v>
      </c>
      <c r="AM59" s="100" t="n">
        <f aca="false">AM56+AM58</f>
        <v>32480.6821374657</v>
      </c>
      <c r="AN59" s="100" t="n">
        <f aca="false">AN56+AN58</f>
        <v>33909.0991793344</v>
      </c>
      <c r="AO59" s="100" t="n">
        <f aca="false">AO56+AO58</f>
        <v>35337.516221203</v>
      </c>
      <c r="AP59" s="100" t="n">
        <f aca="false">AP56+AP58</f>
        <v>36765.9332630717</v>
      </c>
      <c r="AQ59" s="100" t="n">
        <f aca="false">AQ56+AQ58</f>
        <v>38194.3503049403</v>
      </c>
      <c r="AR59" s="100" t="n">
        <f aca="false">AR56+AR58</f>
        <v>39622.767346809</v>
      </c>
      <c r="AS59" s="100" t="n">
        <f aca="false">AS56+AS58</f>
        <v>39622.767346809</v>
      </c>
      <c r="AT59" s="100" t="n">
        <f aca="false">AT56+AT58</f>
        <v>39622.767346809</v>
      </c>
      <c r="AU59" s="100" t="n">
        <f aca="false">AU56+AU58</f>
        <v>39622.767346809</v>
      </c>
      <c r="AV59" s="100" t="n">
        <f aca="false">AV56+AV58</f>
        <v>39622.767346809</v>
      </c>
      <c r="AW59" s="100" t="n">
        <f aca="false">AW56+AW58</f>
        <v>39622.767346809</v>
      </c>
      <c r="AX59" s="100" t="n">
        <f aca="false">AX56+AX58</f>
        <v>39622.767346809</v>
      </c>
      <c r="AY59" s="100" t="n">
        <f aca="false">AY56+AY58</f>
        <v>37175.429863449</v>
      </c>
      <c r="AZ59" s="100" t="n">
        <f aca="false">AZ56+AZ58</f>
        <v>37175.429863449</v>
      </c>
      <c r="BA59" s="100" t="n">
        <f aca="false">BA56+BA58</f>
        <v>37175.429863449</v>
      </c>
      <c r="BB59" s="100" t="n">
        <f aca="false">BB56+BB58</f>
        <v>37175.429863449</v>
      </c>
      <c r="BC59" s="100" t="n">
        <f aca="false">BC56+BC58</f>
        <v>37175.429863449</v>
      </c>
      <c r="BD59" s="100" t="n">
        <f aca="false">BD56+BD58</f>
        <v>37175.429863449</v>
      </c>
      <c r="BE59" s="100" t="n">
        <f aca="false">BE56+BE58</f>
        <v>37175.429863449</v>
      </c>
      <c r="BF59" s="100" t="n">
        <f aca="false">BF56+BF58</f>
        <v>37175.429863449</v>
      </c>
      <c r="BG59" s="100" t="n">
        <f aca="false">BG56+BG58</f>
        <v>37175.429863449</v>
      </c>
      <c r="BH59" s="100" t="n">
        <f aca="false">BH56+BH58</f>
        <v>37175.429863449</v>
      </c>
      <c r="BI59" s="100" t="n">
        <f aca="false">BI56+BI58</f>
        <v>37175.429863449</v>
      </c>
      <c r="BJ59" s="100" t="n">
        <f aca="false">BJ56+BJ58</f>
        <v>37175.429863449</v>
      </c>
      <c r="BK59" s="100" t="n">
        <f aca="false">BK56+BK58</f>
        <v>34714.0722555882</v>
      </c>
      <c r="BL59" s="100" t="n">
        <f aca="false">BL56+BL58</f>
        <v>34714.0722555882</v>
      </c>
      <c r="BM59" s="100" t="n">
        <f aca="false">BM56+BM58</f>
        <v>34714.0722555882</v>
      </c>
      <c r="BN59" s="100" t="n">
        <f aca="false">BN56+BN58</f>
        <v>34714.0722555882</v>
      </c>
      <c r="BO59" s="100" t="n">
        <f aca="false">BO56+BO58</f>
        <v>34714.0722555882</v>
      </c>
      <c r="BP59" s="100" t="n">
        <f aca="false">BP56+BP58</f>
        <v>34714.0722555882</v>
      </c>
      <c r="BQ59" s="100" t="n">
        <f aca="false">BQ56+BQ58</f>
        <v>34714.0722555882</v>
      </c>
      <c r="BR59" s="100" t="n">
        <f aca="false">BR56+BR58</f>
        <v>34714.0722555882</v>
      </c>
      <c r="BS59" s="100" t="n">
        <f aca="false">BS56+BS58</f>
        <v>34714.0722555882</v>
      </c>
      <c r="BT59" s="100" t="n">
        <f aca="false">BT56+BT58</f>
        <v>34714.0722555882</v>
      </c>
      <c r="BU59" s="100" t="n">
        <f aca="false">BU56+BU58</f>
        <v>34714.0722555882</v>
      </c>
      <c r="BV59" s="100" t="n">
        <f aca="false">BV56+BV58</f>
        <v>34714.0722555882</v>
      </c>
      <c r="BW59" s="100" t="n">
        <f aca="false">BW56+BW58</f>
        <v>32238.2739194915</v>
      </c>
      <c r="BX59" s="100" t="n">
        <f aca="false">BX56+BX58</f>
        <v>32238.2739194915</v>
      </c>
      <c r="BY59" s="100" t="n">
        <f aca="false">BY56+BY58</f>
        <v>32238.2739194915</v>
      </c>
      <c r="BZ59" s="100" t="n">
        <f aca="false">BZ56+BZ58</f>
        <v>32238.2739194915</v>
      </c>
      <c r="CA59" s="100" t="n">
        <f aca="false">CA56+CA58</f>
        <v>32238.2739194915</v>
      </c>
      <c r="CB59" s="100" t="n">
        <f aca="false">CB56+CB58</f>
        <v>32238.2739194915</v>
      </c>
      <c r="CC59" s="100" t="n">
        <f aca="false">CC56+CC58</f>
        <v>32238.2739194915</v>
      </c>
      <c r="CD59" s="100" t="n">
        <f aca="false">CD56+CD58</f>
        <v>32238.2739194915</v>
      </c>
      <c r="CE59" s="100" t="n">
        <f aca="false">CE56+CE58</f>
        <v>32238.2739194915</v>
      </c>
      <c r="CF59" s="100" t="n">
        <f aca="false">CF56+CF58</f>
        <v>32238.2739194915</v>
      </c>
      <c r="CG59" s="100" t="n">
        <f aca="false">CG56+CG58</f>
        <v>32238.2739194915</v>
      </c>
      <c r="CH59" s="100" t="n">
        <f aca="false">CH56+CH58</f>
        <v>32238.2739194915</v>
      </c>
    </row>
    <row r="60" customFormat="false" ht="13.5" hidden="false" customHeight="true" outlineLevel="0" collapsed="false">
      <c r="A60" s="6" t="s">
        <v>536</v>
      </c>
      <c r="C60" s="100" t="n">
        <f aca="false">-(C91+C98+C103+C77+C68*Hipótesis!$D$73*Hipótesis!$D$74/12)</f>
        <v>-337.405912083333</v>
      </c>
      <c r="D60" s="100" t="n">
        <f aca="false">-(D91+D98+D103+D77+D68*Hipótesis!$D$73*Hipótesis!$D$74/12)</f>
        <v>-341.795605833333</v>
      </c>
      <c r="E60" s="100" t="n">
        <f aca="false">-(E91+E98+E103+E77+E68*Hipótesis!$D$73*Hipótesis!$D$74/12)</f>
        <v>-350.958540989583</v>
      </c>
      <c r="F60" s="100" t="n">
        <f aca="false">-(F91+F98+F103+F77+F68*Hipótesis!$D$73*Hipótesis!$D$74/12)</f>
        <v>-356.048897395833</v>
      </c>
      <c r="G60" s="100" t="n">
        <f aca="false">-(G91+G98+G103+G77+G68*Hipótesis!$D$73*Hipótesis!$D$74/12)</f>
        <v>-360.822138802083</v>
      </c>
      <c r="H60" s="100" t="n">
        <f aca="false">-(H91+H98+H103+H77+H68*Hipótesis!$D$73*Hipótesis!$D$74/12)</f>
        <v>-368.502267708333</v>
      </c>
      <c r="I60" s="100" t="n">
        <f aca="false">-(I91+I98+I103+I77+I68*Hipótesis!$D$73*Hipótesis!$D$74/12)</f>
        <v>-382.777319483324</v>
      </c>
      <c r="J60" s="100" t="n">
        <f aca="false">-(J91+J98+J103+J77+J68*Hipótesis!$D$73*Hipótesis!$D$74/12)</f>
        <v>-397.052371258314</v>
      </c>
      <c r="K60" s="100" t="n">
        <f aca="false">-(K91+K98+K103+K77+K68*Hipótesis!$D$73*Hipótesis!$D$74/12)</f>
        <v>-441.274757425449</v>
      </c>
      <c r="L60" s="100" t="n">
        <f aca="false">-(L91+L98+L103+L77+L68*Hipótesis!$D$73*Hipótesis!$D$74/12)</f>
        <v>-535.417157252274</v>
      </c>
      <c r="M60" s="100" t="n">
        <f aca="false">-(M91+M98+M103+M77+M68*Hipótesis!$D$73*Hipótesis!$D$74/12)</f>
        <v>-588.510043890414</v>
      </c>
      <c r="N60" s="100" t="n">
        <f aca="false">-(N91+N98+N103+N77+N68*Hipótesis!$D$73*Hipótesis!$D$74/12)</f>
        <v>-647.923580934914</v>
      </c>
      <c r="O60" s="100" t="n">
        <f aca="false">-(O91+O98+O103+O77+O68*Hipótesis!$D$73*Hipótesis!$D$74/12)</f>
        <v>-601.809933850207</v>
      </c>
      <c r="P60" s="100" t="n">
        <f aca="false">-(P91+P98+P103+P77+P68*Hipótesis!$D$73*Hipótesis!$D$74/12)</f>
        <v>-617.758988784599</v>
      </c>
      <c r="Q60" s="100" t="n">
        <f aca="false">-(Q91+Q98+Q103+Q77+Q68*Hipótesis!$D$73*Hipótesis!$D$74/12)</f>
        <v>-679.93444371899</v>
      </c>
      <c r="R60" s="100" t="n">
        <f aca="false">-(R91+R98+R103+R77+R68*Hipótesis!$D$73*Hipótesis!$D$74/12)</f>
        <v>-742.109898653382</v>
      </c>
      <c r="S60" s="100" t="n">
        <f aca="false">-(S91+S98+S103+S77+S68*Hipótesis!$D$73*Hipótesis!$D$74/12)</f>
        <v>-804.285353587774</v>
      </c>
      <c r="T60" s="100" t="n">
        <f aca="false">-(T91+T98+T103+T77+T68*Hipótesis!$D$73*Hipótesis!$D$74/12)</f>
        <v>-866.460808522166</v>
      </c>
      <c r="U60" s="100" t="n">
        <f aca="false">-(U91+U98+U103+U77+U68*Hipótesis!$D$73*Hipótesis!$D$74/12)</f>
        <v>-882.409863456558</v>
      </c>
      <c r="V60" s="100" t="n">
        <f aca="false">-(V91+V98+V103+V77+V68*Hipótesis!$D$73*Hipótesis!$D$74/12)</f>
        <v>-890.20131839095</v>
      </c>
      <c r="W60" s="100" t="n">
        <f aca="false">-(W91+W98+W103+W77+W68*Hipótesis!$D$73*Hipótesis!$D$74/12)</f>
        <v>-952.376773325342</v>
      </c>
      <c r="X60" s="100" t="n">
        <f aca="false">-(X91+X98+X103+X77+X68*Hipótesis!$D$73*Hipótesis!$D$74/12)</f>
        <v>-994.779616668107</v>
      </c>
      <c r="Y60" s="100" t="n">
        <f aca="false">-(Y91+Y98+Y103+Y77+Y68*Hipótesis!$D$73*Hipótesis!$D$74/12)</f>
        <v>-1037.18246001087</v>
      </c>
      <c r="Z60" s="100" t="n">
        <f aca="false">-(Z91+Z98+Z103+Z77+Z68*Hipótesis!$D$73*Hipótesis!$D$74/12)</f>
        <v>-1072.34572371698</v>
      </c>
      <c r="AA60" s="100" t="n">
        <f aca="false">-(AA91+AA98+AA103+AA77+AA68*Hipótesis!$D$73*Hipótesis!$D$74/12)</f>
        <v>-1061.8723634231</v>
      </c>
      <c r="AB60" s="100" t="n">
        <f aca="false">-(AB91+AB98+AB103+AB77+AB68*Hipótesis!$D$73*Hipótesis!$D$74/12)</f>
        <v>-1043.86687957366</v>
      </c>
      <c r="AC60" s="100" t="n">
        <f aca="false">-(AC91+AC98+AC103+AC77+AC68*Hipótesis!$D$73*Hipótesis!$D$74/12)</f>
        <v>-1073.47458772421</v>
      </c>
      <c r="AD60" s="100" t="n">
        <f aca="false">-(AD91+AD98+AD103+AD77+AD68*Hipótesis!$D$73*Hipótesis!$D$74/12)</f>
        <v>-1103.08229587477</v>
      </c>
      <c r="AE60" s="100" t="n">
        <f aca="false">-(AE91+AE98+AE103+AE77+AE68*Hipótesis!$D$73*Hipótesis!$D$74/12)</f>
        <v>-1132.69000402533</v>
      </c>
      <c r="AF60" s="100" t="n">
        <f aca="false">-(AF91+AF98+AF103+AF77+AF68*Hipótesis!$D$73*Hipótesis!$D$74/12)</f>
        <v>-1162.29771217589</v>
      </c>
      <c r="AG60" s="100" t="n">
        <f aca="false">-(AG91+AG98+AG103+AG77+AG68*Hipótesis!$D$73*Hipótesis!$D$74/12)</f>
        <v>-1191.90542032645</v>
      </c>
      <c r="AH60" s="100" t="n">
        <f aca="false">-(AH91+AH98+AH103+AH77+AH68*Hipótesis!$D$73*Hipótesis!$D$74/12)</f>
        <v>-1221.513128477</v>
      </c>
      <c r="AI60" s="100" t="n">
        <f aca="false">-(AI91+AI98+AI103+AI77+AI68*Hipótesis!$D$73*Hipótesis!$D$74/12)</f>
        <v>-1251.12083662756</v>
      </c>
      <c r="AJ60" s="100" t="n">
        <f aca="false">-(AJ91+AJ98+AJ103+AJ77+AJ68*Hipótesis!$D$73*Hipótesis!$D$74/12)</f>
        <v>-1280.72854477812</v>
      </c>
      <c r="AK60" s="100" t="n">
        <f aca="false">-(AK91+AK98+AK103+AK77+AK68*Hipótesis!$D$73*Hipótesis!$D$74/12)</f>
        <v>-1310.33625292868</v>
      </c>
      <c r="AL60" s="100" t="n">
        <f aca="false">-(AL91+AL98+AL103+AL77+AL68*Hipótesis!$D$73*Hipótesis!$D$74/12)</f>
        <v>-1292.33076907924</v>
      </c>
      <c r="AM60" s="100" t="n">
        <f aca="false">-(AM91+AM98+AM103+AM77+AM68*Hipótesis!$D$73*Hipótesis!$D$74/12)</f>
        <v>-1273.26396298979</v>
      </c>
      <c r="AN60" s="100" t="n">
        <f aca="false">-(AN91+AN98+AN103+AN77+AN68*Hipótesis!$D$73*Hipótesis!$D$74/12)</f>
        <v>-1302.87167114035</v>
      </c>
      <c r="AO60" s="100" t="n">
        <f aca="false">-(AO91+AO98+AO103+AO77+AO68*Hipótesis!$D$73*Hipótesis!$D$74/12)</f>
        <v>-1332.47937929091</v>
      </c>
      <c r="AP60" s="100" t="n">
        <f aca="false">-(AP91+AP98+AP103+AP77+AP68*Hipótesis!$D$73*Hipótesis!$D$74/12)</f>
        <v>-1362.08708744147</v>
      </c>
      <c r="AQ60" s="100" t="n">
        <f aca="false">-(AQ91+AQ98+AQ103+AQ77+AQ68*Hipótesis!$D$73*Hipótesis!$D$74/12)</f>
        <v>-1391.69479559203</v>
      </c>
      <c r="AR60" s="100" t="n">
        <f aca="false">-(AR91+AR98+AR103+AR77+AR68*Hipótesis!$D$73*Hipótesis!$D$74/12)</f>
        <v>-1421.30250374258</v>
      </c>
      <c r="AS60" s="100" t="n">
        <f aca="false">-(AS91+AS98+AS103+AS77+AS68*Hipótesis!$D$73*Hipótesis!$D$74/12)</f>
        <v>-1415.74694818703</v>
      </c>
      <c r="AT60" s="100" t="n">
        <f aca="false">-(AT91+AT98+AT103+AT77+AT68*Hipótesis!$D$73*Hipótesis!$D$74/12)</f>
        <v>-1410.19139263147</v>
      </c>
      <c r="AU60" s="100" t="n">
        <f aca="false">-(AU91+AU98+AU103+AU77+AU68*Hipótesis!$D$73*Hipótesis!$D$74/12)</f>
        <v>-1404.63583707592</v>
      </c>
      <c r="AV60" s="100" t="n">
        <f aca="false">-(AV91+AV98+AV103+AV77+AV68*Hipótesis!$D$73*Hipótesis!$D$74/12)</f>
        <v>-1399.08028152036</v>
      </c>
      <c r="AW60" s="100" t="n">
        <f aca="false">-(AW91+AW98+AW103+AW77+AW68*Hipótesis!$D$73*Hipótesis!$D$74/12)</f>
        <v>-1393.52472596481</v>
      </c>
      <c r="AX60" s="100" t="n">
        <f aca="false">-(AX91+AX98+AX103+AX77+AX68*Hipótesis!$D$73*Hipótesis!$D$74/12)</f>
        <v>-1387.96917040925</v>
      </c>
      <c r="AY60" s="100" t="n">
        <f aca="false">-(AY91+AY98+AY103+AY77+AY68*Hipótesis!$D$73*Hipótesis!$D$74/12)</f>
        <v>-1333.4668651865</v>
      </c>
      <c r="AZ60" s="100" t="n">
        <f aca="false">-(AZ91+AZ98+AZ103+AZ77+AZ68*Hipótesis!$D$73*Hipótesis!$D$74/12)</f>
        <v>-1327.91130963094</v>
      </c>
      <c r="BA60" s="100" t="n">
        <f aca="false">-(BA91+BA98+BA103+BA77+BA68*Hipótesis!$D$73*Hipótesis!$D$74/12)</f>
        <v>-1322.35575407538</v>
      </c>
      <c r="BB60" s="100" t="n">
        <f aca="false">-(BB91+BB98+BB103+BB77+BB68*Hipótesis!$D$73*Hipótesis!$D$74/12)</f>
        <v>-1316.80019851983</v>
      </c>
      <c r="BC60" s="100" t="n">
        <f aca="false">-(BC91+BC98+BC103+BC77+BC68*Hipótesis!$D$73*Hipótesis!$D$74/12)</f>
        <v>-1311.24464296427</v>
      </c>
      <c r="BD60" s="100" t="n">
        <f aca="false">-(BD91+BD98+BD103+BD77+BD68*Hipótesis!$D$73*Hipótesis!$D$74/12)</f>
        <v>-1305.68908740872</v>
      </c>
      <c r="BE60" s="100" t="n">
        <f aca="false">-(BE91+BE98+BE103+BE77+BE68*Hipótesis!$D$73*Hipótesis!$D$74/12)</f>
        <v>-1300.13353185316</v>
      </c>
      <c r="BF60" s="100" t="n">
        <f aca="false">-(BF91+BF98+BF103+BF77+BF68*Hipótesis!$D$73*Hipótesis!$D$74/12)</f>
        <v>-1294.57797629761</v>
      </c>
      <c r="BG60" s="100" t="n">
        <f aca="false">-(BG91+BG98+BG103+BG77+BG68*Hipótesis!$D$73*Hipótesis!$D$74/12)</f>
        <v>-1289.02242074205</v>
      </c>
      <c r="BH60" s="100" t="n">
        <f aca="false">-(BH91+BH98+BH103+BH77+BH68*Hipótesis!$D$73*Hipótesis!$D$74/12)</f>
        <v>-1283.4668651865</v>
      </c>
      <c r="BI60" s="100" t="n">
        <f aca="false">-(BI91+BI98+BI103+BI77+BI68*Hipótesis!$D$73*Hipótesis!$D$74/12)</f>
        <v>-1277.91130963094</v>
      </c>
      <c r="BJ60" s="100" t="n">
        <f aca="false">-(BJ91+BJ98+BJ103+BJ77+BJ68*Hipótesis!$D$73*Hipótesis!$D$74/12)</f>
        <v>-1272.35575407538</v>
      </c>
      <c r="BK60" s="100" t="n">
        <f aca="false">-(BK91+BK98+BK103+BK77+BK68*Hipótesis!$D$73*Hipótesis!$D$74/12)</f>
        <v>-1217.57304636261</v>
      </c>
      <c r="BL60" s="100" t="n">
        <f aca="false">-(BL91+BL98+BL103+BL77+BL68*Hipótesis!$D$73*Hipótesis!$D$74/12)</f>
        <v>-1212.01749080706</v>
      </c>
      <c r="BM60" s="100" t="n">
        <f aca="false">-(BM91+BM98+BM103+BM77+BM68*Hipótesis!$D$73*Hipótesis!$D$74/12)</f>
        <v>-1206.4619352515</v>
      </c>
      <c r="BN60" s="100" t="n">
        <f aca="false">-(BN91+BN98+BN103+BN77+BN68*Hipótesis!$D$73*Hipótesis!$D$74/12)</f>
        <v>-1200.90637969595</v>
      </c>
      <c r="BO60" s="100" t="n">
        <f aca="false">-(BO91+BO98+BO103+BO77+BO68*Hipótesis!$D$73*Hipótesis!$D$74/12)</f>
        <v>-1195.35082414039</v>
      </c>
      <c r="BP60" s="100" t="n">
        <f aca="false">-(BP91+BP98+BP103+BP77+BP68*Hipótesis!$D$73*Hipótesis!$D$74/12)</f>
        <v>-1189.79526858484</v>
      </c>
      <c r="BQ60" s="100" t="n">
        <f aca="false">-(BQ91+BQ98+BQ103+BQ77+BQ68*Hipótesis!$D$73*Hipótesis!$D$74/12)</f>
        <v>-1184.23971302928</v>
      </c>
      <c r="BR60" s="100" t="n">
        <f aca="false">-(BR91+BR98+BR103+BR77+BR68*Hipótesis!$D$73*Hipótesis!$D$74/12)</f>
        <v>-1178.68415747372</v>
      </c>
      <c r="BS60" s="100" t="n">
        <f aca="false">-(BS91+BS98+BS103+BS77+BS68*Hipótesis!$D$73*Hipótesis!$D$74/12)</f>
        <v>-1173.12860191817</v>
      </c>
      <c r="BT60" s="100" t="n">
        <f aca="false">-(BT91+BT98+BT103+BT77+BT68*Hipótesis!$D$73*Hipótesis!$D$74/12)</f>
        <v>-1167.57304636261</v>
      </c>
      <c r="BU60" s="100" t="n">
        <f aca="false">-(BU91+BU98+BU103+BU77+BU68*Hipótesis!$D$73*Hipótesis!$D$74/12)</f>
        <v>-1162.01749080706</v>
      </c>
      <c r="BV60" s="100" t="n">
        <f aca="false">-(BV91+BV98+BV103+BV77+BV68*Hipótesis!$D$73*Hipótesis!$D$74/12)</f>
        <v>-1156.4619352515</v>
      </c>
      <c r="BW60" s="100" t="n">
        <f aca="false">-(BW91+BW98+BW103+BW77+BW68*Hipótesis!$D$73*Hipótesis!$D$74/12)</f>
        <v>-1101.39041297401</v>
      </c>
      <c r="BX60" s="100" t="n">
        <f aca="false">-(BX91+BX98+BX103+BX77+BX68*Hipótesis!$D$73*Hipótesis!$D$74/12)</f>
        <v>-1095.83485741846</v>
      </c>
      <c r="BY60" s="100" t="n">
        <f aca="false">-(BY91+BY98+BY103+BY77+BY68*Hipótesis!$D$73*Hipótesis!$D$74/12)</f>
        <v>-1090.2793018629</v>
      </c>
      <c r="BZ60" s="100" t="n">
        <f aca="false">-(BZ91+BZ98+BZ103+BZ77+BZ68*Hipótesis!$D$73*Hipótesis!$D$74/12)</f>
        <v>-1084.72374630735</v>
      </c>
      <c r="CA60" s="100" t="n">
        <f aca="false">-(CA91+CA98+CA103+CA77+CA68*Hipótesis!$D$73*Hipótesis!$D$74/12)</f>
        <v>-1079.16819075179</v>
      </c>
      <c r="CB60" s="100" t="n">
        <f aca="false">-(CB91+CB98+CB103+CB77+CB68*Hipótesis!$D$73*Hipótesis!$D$74/12)</f>
        <v>-1073.61263519624</v>
      </c>
      <c r="CC60" s="100" t="n">
        <f aca="false">-(CC91+CC98+CC103+CC77+CC68*Hipótesis!$D$73*Hipótesis!$D$74/12)</f>
        <v>-1068.05707964068</v>
      </c>
      <c r="CD60" s="100" t="n">
        <f aca="false">-(CD91+CD98+CD103+CD77+CD68*Hipótesis!$D$73*Hipótesis!$D$74/12)</f>
        <v>-1062.50152408513</v>
      </c>
      <c r="CE60" s="100" t="n">
        <f aca="false">-(CE91+CE98+CE103+CE77+CE68*Hipótesis!$D$73*Hipótesis!$D$74/12)</f>
        <v>-1056.94596852957</v>
      </c>
      <c r="CF60" s="100" t="n">
        <f aca="false">-(CF91+CF98+CF103+CF77+CF68*Hipótesis!$D$73*Hipótesis!$D$74/12)</f>
        <v>-1051.39041297401</v>
      </c>
      <c r="CG60" s="100" t="n">
        <f aca="false">-(CG91+CG98+CG103+CG77+CG68*Hipótesis!$D$73*Hipótesis!$D$74/12)</f>
        <v>-1045.83485741846</v>
      </c>
      <c r="CH60" s="100" t="n">
        <f aca="false">-(CH91+CH98+CH103+CH77+CH68*Hipótesis!$D$73*Hipótesis!$D$74/12)</f>
        <v>-1040.2793018629</v>
      </c>
    </row>
    <row r="61" customFormat="false" ht="13.5" hidden="false" customHeight="true" outlineLevel="0" collapsed="false">
      <c r="A61" s="22" t="s">
        <v>537</v>
      </c>
      <c r="C61" s="100" t="n">
        <f aca="false">C59+C60</f>
        <v>-16198.9527028963</v>
      </c>
      <c r="D61" s="100" t="n">
        <f aca="false">D59+D60</f>
        <v>-15169.6793080415</v>
      </c>
      <c r="E61" s="100" t="n">
        <f aca="false">E59+E60</f>
        <v>-13088.6589916518</v>
      </c>
      <c r="F61" s="100" t="n">
        <f aca="false">F59+F60</f>
        <v>-11968.662162842</v>
      </c>
      <c r="G61" s="100" t="n">
        <f aca="false">G59+G60</f>
        <v>-10916.9152413071</v>
      </c>
      <c r="H61" s="100" t="n">
        <f aca="false">H59+H60</f>
        <v>-9276.20391037247</v>
      </c>
      <c r="I61" s="100" t="n">
        <f aca="false">I59+I60</f>
        <v>-6213.67046043796</v>
      </c>
      <c r="J61" s="100" t="n">
        <f aca="false">J59+J60</f>
        <v>-3151.13701050346</v>
      </c>
      <c r="K61" s="100" t="n">
        <f aca="false">K59+K60</f>
        <v>-118.550894961092</v>
      </c>
      <c r="L61" s="100" t="n">
        <f aca="false">L59+L60</f>
        <v>2864.11520692158</v>
      </c>
      <c r="M61" s="100" t="n">
        <f aca="false">M59+M60</f>
        <v>4831.31065905178</v>
      </c>
      <c r="N61" s="100" t="n">
        <f aca="false">N59+N60</f>
        <v>7582.61916535699</v>
      </c>
      <c r="O61" s="100" t="n">
        <f aca="false">O59+O60</f>
        <v>5212.25485579141</v>
      </c>
      <c r="P61" s="100" t="n">
        <f aca="false">P59+P60</f>
        <v>5391.82202913959</v>
      </c>
      <c r="Q61" s="100" t="n">
        <f aca="false">Q59+Q60</f>
        <v>7836.48280248776</v>
      </c>
      <c r="R61" s="100" t="n">
        <f aca="false">R59+R60</f>
        <v>10281.1435758359</v>
      </c>
      <c r="S61" s="100" t="n">
        <f aca="false">S59+S60</f>
        <v>12725.8043491841</v>
      </c>
      <c r="T61" s="100" t="n">
        <f aca="false">T59+T60</f>
        <v>15170.4651225323</v>
      </c>
      <c r="U61" s="100" t="n">
        <f aca="false">U59+U60</f>
        <v>15350.0322958805</v>
      </c>
      <c r="V61" s="100" t="n">
        <f aca="false">V59+V60</f>
        <v>15129.8770692286</v>
      </c>
      <c r="W61" s="100" t="n">
        <f aca="false">W59+W60</f>
        <v>17574.5378425768</v>
      </c>
      <c r="X61" s="100" t="n">
        <f aca="false">X59+X60</f>
        <v>19248.5375229353</v>
      </c>
      <c r="Y61" s="100" t="n">
        <f aca="false">Y59+Y60</f>
        <v>20922.5372032937</v>
      </c>
      <c r="Z61" s="100" t="n">
        <f aca="false">Z59+Z60</f>
        <v>22315.7909814562</v>
      </c>
      <c r="AA61" s="100" t="n">
        <f aca="false">AA59+AA60</f>
        <v>21472.8501836188</v>
      </c>
      <c r="AB61" s="100" t="n">
        <f aca="false">AB59+AB60</f>
        <v>20538.6131093369</v>
      </c>
      <c r="AC61" s="100" t="n">
        <f aca="false">AC59+AC60</f>
        <v>21937.422443055</v>
      </c>
      <c r="AD61" s="100" t="n">
        <f aca="false">AD59+AD60</f>
        <v>23336.2317767731</v>
      </c>
      <c r="AE61" s="100" t="n">
        <f aca="false">AE59+AE60</f>
        <v>24735.0411104912</v>
      </c>
      <c r="AF61" s="100" t="n">
        <f aca="false">AF59+AF60</f>
        <v>26133.8504442093</v>
      </c>
      <c r="AG61" s="100" t="n">
        <f aca="false">AG59+AG60</f>
        <v>27532.6597779273</v>
      </c>
      <c r="AH61" s="100" t="n">
        <f aca="false">AH59+AH60</f>
        <v>28931.4691116454</v>
      </c>
      <c r="AI61" s="100" t="n">
        <f aca="false">AI59+AI60</f>
        <v>30330.2784453635</v>
      </c>
      <c r="AJ61" s="100" t="n">
        <f aca="false">AJ59+AJ60</f>
        <v>31729.0877790816</v>
      </c>
      <c r="AK61" s="100" t="n">
        <f aca="false">AK59+AK60</f>
        <v>33127.8971127997</v>
      </c>
      <c r="AL61" s="100" t="n">
        <f aca="false">AL59+AL60</f>
        <v>32193.6600385178</v>
      </c>
      <c r="AM61" s="100" t="n">
        <f aca="false">AM59+AM60</f>
        <v>31207.4181744759</v>
      </c>
      <c r="AN61" s="100" t="n">
        <f aca="false">AN59+AN60</f>
        <v>32606.227508194</v>
      </c>
      <c r="AO61" s="100" t="n">
        <f aca="false">AO59+AO60</f>
        <v>34005.0368419121</v>
      </c>
      <c r="AP61" s="100" t="n">
        <f aca="false">AP59+AP60</f>
        <v>35403.8461756302</v>
      </c>
      <c r="AQ61" s="100" t="n">
        <f aca="false">AQ59+AQ60</f>
        <v>36802.6555093483</v>
      </c>
      <c r="AR61" s="100" t="n">
        <f aca="false">AR59+AR60</f>
        <v>38201.4648430664</v>
      </c>
      <c r="AS61" s="100" t="n">
        <f aca="false">AS59+AS60</f>
        <v>38207.0203986219</v>
      </c>
      <c r="AT61" s="100" t="n">
        <f aca="false">AT59+AT60</f>
        <v>38212.5759541775</v>
      </c>
      <c r="AU61" s="100" t="n">
        <f aca="false">AU59+AU60</f>
        <v>38218.1315097331</v>
      </c>
      <c r="AV61" s="100" t="n">
        <f aca="false">AV59+AV60</f>
        <v>38223.6870652886</v>
      </c>
      <c r="AW61" s="100" t="n">
        <f aca="false">AW59+AW60</f>
        <v>38229.2426208442</v>
      </c>
      <c r="AX61" s="100" t="n">
        <f aca="false">AX59+AX60</f>
        <v>38234.7981763997</v>
      </c>
      <c r="AY61" s="100" t="n">
        <f aca="false">AY59+AY60</f>
        <v>35841.9629982625</v>
      </c>
      <c r="AZ61" s="100" t="n">
        <f aca="false">AZ59+AZ60</f>
        <v>35847.518553818</v>
      </c>
      <c r="BA61" s="100" t="n">
        <f aca="false">BA59+BA60</f>
        <v>35853.0741093736</v>
      </c>
      <c r="BB61" s="100" t="n">
        <f aca="false">BB59+BB60</f>
        <v>35858.6296649291</v>
      </c>
      <c r="BC61" s="100" t="n">
        <f aca="false">BC59+BC60</f>
        <v>35864.1852204847</v>
      </c>
      <c r="BD61" s="100" t="n">
        <f aca="false">BD59+BD60</f>
        <v>35869.7407760403</v>
      </c>
      <c r="BE61" s="100" t="n">
        <f aca="false">BE59+BE60</f>
        <v>35875.2963315958</v>
      </c>
      <c r="BF61" s="100" t="n">
        <f aca="false">BF59+BF60</f>
        <v>35880.8518871514</v>
      </c>
      <c r="BG61" s="100" t="n">
        <f aca="false">BG59+BG60</f>
        <v>35886.4074427069</v>
      </c>
      <c r="BH61" s="100" t="n">
        <f aca="false">BH59+BH60</f>
        <v>35891.9629982625</v>
      </c>
      <c r="BI61" s="100" t="n">
        <f aca="false">BI59+BI60</f>
        <v>35897.518553818</v>
      </c>
      <c r="BJ61" s="100" t="n">
        <f aca="false">BJ59+BJ60</f>
        <v>35903.0741093736</v>
      </c>
      <c r="BK61" s="100" t="n">
        <f aca="false">BK59+BK60</f>
        <v>33496.4992092256</v>
      </c>
      <c r="BL61" s="100" t="n">
        <f aca="false">BL59+BL60</f>
        <v>33502.0547647811</v>
      </c>
      <c r="BM61" s="100" t="n">
        <f aca="false">BM59+BM60</f>
        <v>33507.6103203367</v>
      </c>
      <c r="BN61" s="100" t="n">
        <f aca="false">BN59+BN60</f>
        <v>33513.1658758922</v>
      </c>
      <c r="BO61" s="100" t="n">
        <f aca="false">BO59+BO60</f>
        <v>33518.7214314478</v>
      </c>
      <c r="BP61" s="100" t="n">
        <f aca="false">BP59+BP60</f>
        <v>33524.2769870033</v>
      </c>
      <c r="BQ61" s="100" t="n">
        <f aca="false">BQ59+BQ60</f>
        <v>33529.8325425589</v>
      </c>
      <c r="BR61" s="100" t="n">
        <f aca="false">BR59+BR60</f>
        <v>33535.3880981144</v>
      </c>
      <c r="BS61" s="100" t="n">
        <f aca="false">BS59+BS60</f>
        <v>33540.94365367</v>
      </c>
      <c r="BT61" s="100" t="n">
        <f aca="false">BT59+BT60</f>
        <v>33546.4992092256</v>
      </c>
      <c r="BU61" s="100" t="n">
        <f aca="false">BU59+BU60</f>
        <v>33552.0547647811</v>
      </c>
      <c r="BV61" s="100" t="n">
        <f aca="false">BV59+BV60</f>
        <v>33557.6103203367</v>
      </c>
      <c r="BW61" s="100" t="n">
        <f aca="false">BW59+BW60</f>
        <v>31136.8835065175</v>
      </c>
      <c r="BX61" s="100" t="n">
        <f aca="false">BX59+BX60</f>
        <v>31142.4390620731</v>
      </c>
      <c r="BY61" s="100" t="n">
        <f aca="false">BY59+BY60</f>
        <v>31147.9946176286</v>
      </c>
      <c r="BZ61" s="100" t="n">
        <f aca="false">BZ59+BZ60</f>
        <v>31153.5501731842</v>
      </c>
      <c r="CA61" s="100" t="n">
        <f aca="false">CA59+CA60</f>
        <v>31159.1057287397</v>
      </c>
      <c r="CB61" s="100" t="n">
        <f aca="false">CB59+CB60</f>
        <v>31164.6612842953</v>
      </c>
      <c r="CC61" s="100" t="n">
        <f aca="false">CC59+CC60</f>
        <v>31170.2168398509</v>
      </c>
      <c r="CD61" s="100" t="n">
        <f aca="false">CD59+CD60</f>
        <v>31175.7723954064</v>
      </c>
      <c r="CE61" s="100" t="n">
        <f aca="false">CE59+CE60</f>
        <v>31181.327950962</v>
      </c>
      <c r="CF61" s="100" t="n">
        <f aca="false">CF59+CF60</f>
        <v>31186.8835065175</v>
      </c>
      <c r="CG61" s="100" t="n">
        <f aca="false">CG59+CG60</f>
        <v>31192.4390620731</v>
      </c>
      <c r="CH61" s="100" t="n">
        <f aca="false">CH59+CH60</f>
        <v>31197.9946176286</v>
      </c>
    </row>
    <row r="62" customFormat="false" ht="13.5" hidden="false" customHeight="true" outlineLevel="0" collapsed="false">
      <c r="A62" s="6" t="s">
        <v>538</v>
      </c>
      <c r="C62" s="100" t="n">
        <f aca="false">-IF(1&lt;Hipótesis!$D$89,Hipótesis!$F$87,Hipótesis!$F$88)*MAX(0,C61)</f>
        <v>-0</v>
      </c>
      <c r="D62" s="100" t="n">
        <f aca="false">-IF(1&lt;Hipótesis!$D$89,Hipótesis!$F$87,Hipótesis!$F$88)*MAX(0,D61)</f>
        <v>-0</v>
      </c>
      <c r="E62" s="100" t="n">
        <f aca="false">-IF(1&lt;Hipótesis!$D$89,Hipótesis!$F$87,Hipótesis!$F$88)*MAX(0,E61)</f>
        <v>-0</v>
      </c>
      <c r="F62" s="100" t="n">
        <f aca="false">-IF(1&lt;Hipótesis!$D$89,Hipótesis!$F$87,Hipótesis!$F$88)*MAX(0,F61)</f>
        <v>-0</v>
      </c>
      <c r="G62" s="100" t="n">
        <f aca="false">-IF(1&lt;Hipótesis!$D$89,Hipótesis!$F$87,Hipótesis!$F$88)*MAX(0,G61)</f>
        <v>-0</v>
      </c>
      <c r="H62" s="100" t="n">
        <f aca="false">-IF(1&lt;Hipótesis!$D$89,Hipótesis!$F$87,Hipótesis!$F$88)*MAX(0,H61)</f>
        <v>-0</v>
      </c>
      <c r="I62" s="100" t="n">
        <f aca="false">-IF(1&lt;Hipótesis!$D$89,Hipótesis!$F$87,Hipótesis!$F$88)*MAX(0,I61)</f>
        <v>-0</v>
      </c>
      <c r="J62" s="100" t="n">
        <f aca="false">-IF(1&lt;Hipótesis!$D$89,Hipótesis!$F$87,Hipótesis!$F$88)*MAX(0,J61)</f>
        <v>-0</v>
      </c>
      <c r="K62" s="100" t="n">
        <f aca="false">-IF(1&lt;Hipótesis!$D$89,Hipótesis!$F$87,Hipótesis!$F$88)*MAX(0,K61)</f>
        <v>-0</v>
      </c>
      <c r="L62" s="100" t="n">
        <f aca="false">-IF(1&lt;Hipótesis!$D$89,Hipótesis!$F$87,Hipótesis!$F$88)*MAX(0,L61)</f>
        <v>-429.617281038237</v>
      </c>
      <c r="M62" s="100" t="n">
        <f aca="false">-IF(1&lt;Hipótesis!$D$89,Hipótesis!$F$87,Hipótesis!$F$88)*MAX(0,M61)</f>
        <v>-724.696598857767</v>
      </c>
      <c r="N62" s="100" t="n">
        <f aca="false">-IF(1&lt;Hipótesis!$D$89,Hipótesis!$F$87,Hipótesis!$F$88)*MAX(0,N61)</f>
        <v>-1137.39287480355</v>
      </c>
      <c r="O62" s="100" t="n">
        <f aca="false">-IF(2&lt;Hipótesis!$D$89,Hipótesis!$F$87,Hipótesis!$F$88)*MAX(0,O61)</f>
        <v>-781.838228368712</v>
      </c>
      <c r="P62" s="100" t="n">
        <f aca="false">-IF(2&lt;Hipótesis!$D$89,Hipótesis!$F$87,Hipótesis!$F$88)*MAX(0,P61)</f>
        <v>-808.773304370939</v>
      </c>
      <c r="Q62" s="100" t="n">
        <f aca="false">-IF(2&lt;Hipótesis!$D$89,Hipótesis!$F$87,Hipótesis!$F$88)*MAX(0,Q61)</f>
        <v>-1175.47242037316</v>
      </c>
      <c r="R62" s="100" t="n">
        <f aca="false">-IF(2&lt;Hipótesis!$D$89,Hipótesis!$F$87,Hipótesis!$F$88)*MAX(0,R61)</f>
        <v>-1542.17153637539</v>
      </c>
      <c r="S62" s="100" t="n">
        <f aca="false">-IF(2&lt;Hipótesis!$D$89,Hipótesis!$F$87,Hipótesis!$F$88)*MAX(0,S61)</f>
        <v>-1908.87065237762</v>
      </c>
      <c r="T62" s="100" t="n">
        <f aca="false">-IF(2&lt;Hipótesis!$D$89,Hipótesis!$F$87,Hipótesis!$F$88)*MAX(0,T61)</f>
        <v>-2275.56976837984</v>
      </c>
      <c r="U62" s="100" t="n">
        <f aca="false">-IF(2&lt;Hipótesis!$D$89,Hipótesis!$F$87,Hipótesis!$F$88)*MAX(0,U61)</f>
        <v>-2302.50484438207</v>
      </c>
      <c r="V62" s="100" t="n">
        <f aca="false">-IF(2&lt;Hipótesis!$D$89,Hipótesis!$F$87,Hipótesis!$F$88)*MAX(0,V61)</f>
        <v>-2269.4815603843</v>
      </c>
      <c r="W62" s="100" t="n">
        <f aca="false">-IF(2&lt;Hipótesis!$D$89,Hipótesis!$F$87,Hipótesis!$F$88)*MAX(0,W61)</f>
        <v>-2636.18067638652</v>
      </c>
      <c r="X62" s="100" t="n">
        <f aca="false">-IF(2&lt;Hipótesis!$D$89,Hipótesis!$F$87,Hipótesis!$F$88)*MAX(0,X61)</f>
        <v>-2887.28062844029</v>
      </c>
      <c r="Y62" s="100" t="n">
        <f aca="false">-IF(2&lt;Hipótesis!$D$89,Hipótesis!$F$87,Hipótesis!$F$88)*MAX(0,Y61)</f>
        <v>-3138.38058049406</v>
      </c>
      <c r="Z62" s="100" t="n">
        <f aca="false">-IF(2&lt;Hipótesis!$D$89,Hipótesis!$F$87,Hipótesis!$F$88)*MAX(0,Z61)</f>
        <v>-3347.36864721844</v>
      </c>
      <c r="AA62" s="100" t="n">
        <f aca="false">-IF(3&lt;Hipótesis!$D$89,Hipótesis!$F$87,Hipótesis!$F$88)*MAX(0,AA61)</f>
        <v>-3220.92752754282</v>
      </c>
      <c r="AB62" s="100" t="n">
        <f aca="false">-IF(3&lt;Hipótesis!$D$89,Hipótesis!$F$87,Hipótesis!$F$88)*MAX(0,AB61)</f>
        <v>-3080.79196640053</v>
      </c>
      <c r="AC62" s="100" t="n">
        <f aca="false">-IF(3&lt;Hipótesis!$D$89,Hipótesis!$F$87,Hipótesis!$F$88)*MAX(0,AC61)</f>
        <v>-3290.61336645825</v>
      </c>
      <c r="AD62" s="100" t="n">
        <f aca="false">-IF(3&lt;Hipótesis!$D$89,Hipótesis!$F$87,Hipótesis!$F$88)*MAX(0,AD61)</f>
        <v>-3500.43476651596</v>
      </c>
      <c r="AE62" s="100" t="n">
        <f aca="false">-IF(3&lt;Hipótesis!$D$89,Hipótesis!$F$87,Hipótesis!$F$88)*MAX(0,AE61)</f>
        <v>-3710.25616657367</v>
      </c>
      <c r="AF62" s="100" t="n">
        <f aca="false">-IF(3&lt;Hipótesis!$D$89,Hipótesis!$F$87,Hipótesis!$F$88)*MAX(0,AF61)</f>
        <v>-3920.07756663139</v>
      </c>
      <c r="AG62" s="100" t="n">
        <f aca="false">-IF(3&lt;Hipótesis!$D$89,Hipótesis!$F$87,Hipótesis!$F$88)*MAX(0,AG61)</f>
        <v>-4129.8989666891</v>
      </c>
      <c r="AH62" s="100" t="n">
        <f aca="false">-IF(3&lt;Hipótesis!$D$89,Hipótesis!$F$87,Hipótesis!$F$88)*MAX(0,AH61)</f>
        <v>-4339.72036674682</v>
      </c>
      <c r="AI62" s="100" t="n">
        <f aca="false">-IF(3&lt;Hipótesis!$D$89,Hipótesis!$F$87,Hipótesis!$F$88)*MAX(0,AI61)</f>
        <v>-4549.54176680453</v>
      </c>
      <c r="AJ62" s="100" t="n">
        <f aca="false">-IF(3&lt;Hipótesis!$D$89,Hipótesis!$F$87,Hipótesis!$F$88)*MAX(0,AJ61)</f>
        <v>-4759.36316686225</v>
      </c>
      <c r="AK62" s="100" t="n">
        <f aca="false">-IF(3&lt;Hipótesis!$D$89,Hipótesis!$F$87,Hipótesis!$F$88)*MAX(0,AK61)</f>
        <v>-4969.18456691996</v>
      </c>
      <c r="AL62" s="100" t="n">
        <f aca="false">-IF(3&lt;Hipótesis!$D$89,Hipótesis!$F$87,Hipótesis!$F$88)*MAX(0,AL61)</f>
        <v>-4829.04900577767</v>
      </c>
      <c r="AM62" s="100" t="n">
        <f aca="false">-IF(4&lt;Hipótesis!$D$89,Hipótesis!$F$87,Hipótesis!$F$88)*MAX(0,AM61)</f>
        <v>-7801.85454361898</v>
      </c>
      <c r="AN62" s="100" t="n">
        <f aca="false">-IF(4&lt;Hipótesis!$D$89,Hipótesis!$F$87,Hipótesis!$F$88)*MAX(0,AN61)</f>
        <v>-8151.5568770485</v>
      </c>
      <c r="AO62" s="100" t="n">
        <f aca="false">-IF(4&lt;Hipótesis!$D$89,Hipótesis!$F$87,Hipótesis!$F$88)*MAX(0,AO61)</f>
        <v>-8501.25921047803</v>
      </c>
      <c r="AP62" s="100" t="n">
        <f aca="false">-IF(4&lt;Hipótesis!$D$89,Hipótesis!$F$87,Hipótesis!$F$88)*MAX(0,AP61)</f>
        <v>-8850.96154390756</v>
      </c>
      <c r="AQ62" s="100" t="n">
        <f aca="false">-IF(4&lt;Hipótesis!$D$89,Hipótesis!$F$87,Hipótesis!$F$88)*MAX(0,AQ61)</f>
        <v>-9200.66387733707</v>
      </c>
      <c r="AR62" s="100" t="n">
        <f aca="false">-IF(4&lt;Hipótesis!$D$89,Hipótesis!$F$87,Hipótesis!$F$88)*MAX(0,AR61)</f>
        <v>-9550.3662107666</v>
      </c>
      <c r="AS62" s="100" t="n">
        <f aca="false">-IF(4&lt;Hipótesis!$D$89,Hipótesis!$F$87,Hipótesis!$F$88)*MAX(0,AS61)</f>
        <v>-9551.75509965549</v>
      </c>
      <c r="AT62" s="100" t="n">
        <f aca="false">-IF(4&lt;Hipótesis!$D$89,Hipótesis!$F$87,Hipótesis!$F$88)*MAX(0,AT61)</f>
        <v>-9553.14398854437</v>
      </c>
      <c r="AU62" s="100" t="n">
        <f aca="false">-IF(4&lt;Hipótesis!$D$89,Hipótesis!$F$87,Hipótesis!$F$88)*MAX(0,AU61)</f>
        <v>-9554.53287743326</v>
      </c>
      <c r="AV62" s="100" t="n">
        <f aca="false">-IF(4&lt;Hipótesis!$D$89,Hipótesis!$F$87,Hipótesis!$F$88)*MAX(0,AV61)</f>
        <v>-9555.92176632215</v>
      </c>
      <c r="AW62" s="100" t="n">
        <f aca="false">-IF(4&lt;Hipótesis!$D$89,Hipótesis!$F$87,Hipótesis!$F$88)*MAX(0,AW61)</f>
        <v>-9557.31065521104</v>
      </c>
      <c r="AX62" s="100" t="n">
        <f aca="false">-IF(4&lt;Hipótesis!$D$89,Hipótesis!$F$87,Hipótesis!$F$88)*MAX(0,AX61)</f>
        <v>-9558.69954409993</v>
      </c>
      <c r="AY62" s="100" t="n">
        <f aca="false">-IF(5&lt;Hipótesis!$D$89,Hipótesis!$F$87,Hipótesis!$F$88)*MAX(0,AY61)</f>
        <v>-8960.49074956562</v>
      </c>
      <c r="AZ62" s="100" t="n">
        <f aca="false">-IF(5&lt;Hipótesis!$D$89,Hipótesis!$F$87,Hipótesis!$F$88)*MAX(0,AZ61)</f>
        <v>-8961.87963845451</v>
      </c>
      <c r="BA62" s="100" t="n">
        <f aca="false">-IF(5&lt;Hipótesis!$D$89,Hipótesis!$F$87,Hipótesis!$F$88)*MAX(0,BA61)</f>
        <v>-8963.2685273434</v>
      </c>
      <c r="BB62" s="100" t="n">
        <f aca="false">-IF(5&lt;Hipótesis!$D$89,Hipótesis!$F$87,Hipótesis!$F$88)*MAX(0,BB61)</f>
        <v>-8964.65741623229</v>
      </c>
      <c r="BC62" s="100" t="n">
        <f aca="false">-IF(5&lt;Hipótesis!$D$89,Hipótesis!$F$87,Hipótesis!$F$88)*MAX(0,BC61)</f>
        <v>-8966.04630512117</v>
      </c>
      <c r="BD62" s="100" t="n">
        <f aca="false">-IF(5&lt;Hipótesis!$D$89,Hipótesis!$F$87,Hipótesis!$F$88)*MAX(0,BD61)</f>
        <v>-8967.43519401006</v>
      </c>
      <c r="BE62" s="100" t="n">
        <f aca="false">-IF(5&lt;Hipótesis!$D$89,Hipótesis!$F$87,Hipótesis!$F$88)*MAX(0,BE61)</f>
        <v>-8968.82408289895</v>
      </c>
      <c r="BF62" s="100" t="n">
        <f aca="false">-IF(5&lt;Hipótesis!$D$89,Hipótesis!$F$87,Hipótesis!$F$88)*MAX(0,BF61)</f>
        <v>-8970.21297178784</v>
      </c>
      <c r="BG62" s="100" t="n">
        <f aca="false">-IF(5&lt;Hipótesis!$D$89,Hipótesis!$F$87,Hipótesis!$F$88)*MAX(0,BG61)</f>
        <v>-8971.60186067673</v>
      </c>
      <c r="BH62" s="100" t="n">
        <f aca="false">-IF(5&lt;Hipótesis!$D$89,Hipótesis!$F$87,Hipótesis!$F$88)*MAX(0,BH61)</f>
        <v>-8972.99074956562</v>
      </c>
      <c r="BI62" s="100" t="n">
        <f aca="false">-IF(5&lt;Hipótesis!$D$89,Hipótesis!$F$87,Hipótesis!$F$88)*MAX(0,BI61)</f>
        <v>-8974.37963845451</v>
      </c>
      <c r="BJ62" s="100" t="n">
        <f aca="false">-IF(5&lt;Hipótesis!$D$89,Hipótesis!$F$87,Hipótesis!$F$88)*MAX(0,BJ61)</f>
        <v>-8975.7685273434</v>
      </c>
      <c r="BK62" s="100" t="n">
        <f aca="false">-IF(6&lt;Hipótesis!$D$89,Hipótesis!$F$87,Hipótesis!$F$88)*MAX(0,BK61)</f>
        <v>-8374.12480230639</v>
      </c>
      <c r="BL62" s="100" t="n">
        <f aca="false">-IF(6&lt;Hipótesis!$D$89,Hipótesis!$F$87,Hipótesis!$F$88)*MAX(0,BL61)</f>
        <v>-8375.51369119528</v>
      </c>
      <c r="BM62" s="100" t="n">
        <f aca="false">-IF(6&lt;Hipótesis!$D$89,Hipótesis!$F$87,Hipótesis!$F$88)*MAX(0,BM61)</f>
        <v>-8376.90258008417</v>
      </c>
      <c r="BN62" s="100" t="n">
        <f aca="false">-IF(6&lt;Hipótesis!$D$89,Hipótesis!$F$87,Hipótesis!$F$88)*MAX(0,BN61)</f>
        <v>-8378.29146897306</v>
      </c>
      <c r="BO62" s="100" t="n">
        <f aca="false">-IF(6&lt;Hipótesis!$D$89,Hipótesis!$F$87,Hipótesis!$F$88)*MAX(0,BO61)</f>
        <v>-8379.68035786194</v>
      </c>
      <c r="BP62" s="100" t="n">
        <f aca="false">-IF(6&lt;Hipótesis!$D$89,Hipótesis!$F$87,Hipótesis!$F$88)*MAX(0,BP61)</f>
        <v>-8381.06924675083</v>
      </c>
      <c r="BQ62" s="100" t="n">
        <f aca="false">-IF(6&lt;Hipótesis!$D$89,Hipótesis!$F$87,Hipótesis!$F$88)*MAX(0,BQ61)</f>
        <v>-8382.45813563972</v>
      </c>
      <c r="BR62" s="100" t="n">
        <f aca="false">-IF(6&lt;Hipótesis!$D$89,Hipótesis!$F$87,Hipótesis!$F$88)*MAX(0,BR61)</f>
        <v>-8383.84702452861</v>
      </c>
      <c r="BS62" s="100" t="n">
        <f aca="false">-IF(6&lt;Hipótesis!$D$89,Hipótesis!$F$87,Hipótesis!$F$88)*MAX(0,BS61)</f>
        <v>-8385.2359134175</v>
      </c>
      <c r="BT62" s="100" t="n">
        <f aca="false">-IF(6&lt;Hipótesis!$D$89,Hipótesis!$F$87,Hipótesis!$F$88)*MAX(0,BT61)</f>
        <v>-8386.62480230639</v>
      </c>
      <c r="BU62" s="100" t="n">
        <f aca="false">-IF(6&lt;Hipótesis!$D$89,Hipótesis!$F$87,Hipótesis!$F$88)*MAX(0,BU61)</f>
        <v>-8388.01369119528</v>
      </c>
      <c r="BV62" s="100" t="n">
        <f aca="false">-IF(6&lt;Hipótesis!$D$89,Hipótesis!$F$87,Hipótesis!$F$88)*MAX(0,BV61)</f>
        <v>-8389.40258008417</v>
      </c>
      <c r="BW62" s="100" t="n">
        <f aca="false">-IF(7&lt;Hipótesis!$D$89,Hipótesis!$F$87,Hipótesis!$F$88)*MAX(0,BW61)</f>
        <v>-7784.22087662938</v>
      </c>
      <c r="BX62" s="100" t="n">
        <f aca="false">-IF(7&lt;Hipótesis!$D$89,Hipótesis!$F$87,Hipótesis!$F$88)*MAX(0,BX61)</f>
        <v>-7785.60976551827</v>
      </c>
      <c r="BY62" s="100" t="n">
        <f aca="false">-IF(7&lt;Hipótesis!$D$89,Hipótesis!$F$87,Hipótesis!$F$88)*MAX(0,BY61)</f>
        <v>-7786.99865440716</v>
      </c>
      <c r="BZ62" s="100" t="n">
        <f aca="false">-IF(7&lt;Hipótesis!$D$89,Hipótesis!$F$87,Hipótesis!$F$88)*MAX(0,BZ61)</f>
        <v>-7788.38754329605</v>
      </c>
      <c r="CA62" s="100" t="n">
        <f aca="false">-IF(7&lt;Hipótesis!$D$89,Hipótesis!$F$87,Hipótesis!$F$88)*MAX(0,CA61)</f>
        <v>-7789.77643218494</v>
      </c>
      <c r="CB62" s="100" t="n">
        <f aca="false">-IF(7&lt;Hipótesis!$D$89,Hipótesis!$F$87,Hipótesis!$F$88)*MAX(0,CB61)</f>
        <v>-7791.16532107383</v>
      </c>
      <c r="CC62" s="100" t="n">
        <f aca="false">-IF(7&lt;Hipótesis!$D$89,Hipótesis!$F$87,Hipótesis!$F$88)*MAX(0,CC61)</f>
        <v>-7792.55420996272</v>
      </c>
      <c r="CD62" s="100" t="n">
        <f aca="false">-IF(7&lt;Hipótesis!$D$89,Hipótesis!$F$87,Hipótesis!$F$88)*MAX(0,CD61)</f>
        <v>-7793.9430988516</v>
      </c>
      <c r="CE62" s="100" t="n">
        <f aca="false">-IF(7&lt;Hipótesis!$D$89,Hipótesis!$F$87,Hipótesis!$F$88)*MAX(0,CE61)</f>
        <v>-7795.33198774049</v>
      </c>
      <c r="CF62" s="100" t="n">
        <f aca="false">-IF(7&lt;Hipótesis!$D$89,Hipótesis!$F$87,Hipótesis!$F$88)*MAX(0,CF61)</f>
        <v>-7796.72087662938</v>
      </c>
      <c r="CG62" s="100" t="n">
        <f aca="false">-IF(7&lt;Hipótesis!$D$89,Hipótesis!$F$87,Hipótesis!$F$88)*MAX(0,CG61)</f>
        <v>-7798.10976551827</v>
      </c>
      <c r="CH62" s="100" t="n">
        <f aca="false">-IF(7&lt;Hipótesis!$D$89,Hipótesis!$F$87,Hipótesis!$F$88)*MAX(0,CH61)</f>
        <v>-7799.49865440716</v>
      </c>
    </row>
    <row r="63" customFormat="false" ht="13.5" hidden="false" customHeight="true" outlineLevel="0" collapsed="false">
      <c r="A63" s="22" t="s">
        <v>539</v>
      </c>
      <c r="C63" s="100" t="n">
        <f aca="false">C61+C62</f>
        <v>-16198.9527028963</v>
      </c>
      <c r="D63" s="100" t="n">
        <f aca="false">D61+D62</f>
        <v>-15169.6793080415</v>
      </c>
      <c r="E63" s="100" t="n">
        <f aca="false">E61+E62</f>
        <v>-13088.6589916518</v>
      </c>
      <c r="F63" s="100" t="n">
        <f aca="false">F61+F62</f>
        <v>-11968.662162842</v>
      </c>
      <c r="G63" s="100" t="n">
        <f aca="false">G61+G62</f>
        <v>-10916.9152413071</v>
      </c>
      <c r="H63" s="100" t="n">
        <f aca="false">H61+H62</f>
        <v>-9276.20391037247</v>
      </c>
      <c r="I63" s="100" t="n">
        <f aca="false">I61+I62</f>
        <v>-6213.67046043796</v>
      </c>
      <c r="J63" s="100" t="n">
        <f aca="false">J61+J62</f>
        <v>-3151.13701050346</v>
      </c>
      <c r="K63" s="100" t="n">
        <f aca="false">K61+K62</f>
        <v>-118.550894961092</v>
      </c>
      <c r="L63" s="100" t="n">
        <f aca="false">L61+L62</f>
        <v>2434.49792588334</v>
      </c>
      <c r="M63" s="100" t="n">
        <f aca="false">M61+M62</f>
        <v>4106.61406019401</v>
      </c>
      <c r="N63" s="100" t="n">
        <f aca="false">N61+N62</f>
        <v>6445.22629055344</v>
      </c>
      <c r="O63" s="100" t="n">
        <f aca="false">O61+O62</f>
        <v>4430.4166274227</v>
      </c>
      <c r="P63" s="100" t="n">
        <f aca="false">P61+P62</f>
        <v>4583.04872476865</v>
      </c>
      <c r="Q63" s="100" t="n">
        <f aca="false">Q61+Q62</f>
        <v>6661.0103821146</v>
      </c>
      <c r="R63" s="100" t="n">
        <f aca="false">R61+R62</f>
        <v>8738.97203946055</v>
      </c>
      <c r="S63" s="100" t="n">
        <f aca="false">S61+S62</f>
        <v>10816.9336968065</v>
      </c>
      <c r="T63" s="100" t="n">
        <f aca="false">T61+T62</f>
        <v>12894.8953541524</v>
      </c>
      <c r="U63" s="100" t="n">
        <f aca="false">U61+U62</f>
        <v>13047.5274514984</v>
      </c>
      <c r="V63" s="100" t="n">
        <f aca="false">V61+V62</f>
        <v>12860.3955088444</v>
      </c>
      <c r="W63" s="100" t="n">
        <f aca="false">W61+W62</f>
        <v>14938.3571661903</v>
      </c>
      <c r="X63" s="100" t="n">
        <f aca="false">X61+X62</f>
        <v>16361.256894495</v>
      </c>
      <c r="Y63" s="100" t="n">
        <f aca="false">Y61+Y62</f>
        <v>17784.1566227997</v>
      </c>
      <c r="Z63" s="100" t="n">
        <f aca="false">Z61+Z62</f>
        <v>18968.4223342378</v>
      </c>
      <c r="AA63" s="100" t="n">
        <f aca="false">AA61+AA62</f>
        <v>18251.922656076</v>
      </c>
      <c r="AB63" s="100" t="n">
        <f aca="false">AB61+AB62</f>
        <v>17457.8211429364</v>
      </c>
      <c r="AC63" s="100" t="n">
        <f aca="false">AC61+AC62</f>
        <v>18646.8090765967</v>
      </c>
      <c r="AD63" s="100" t="n">
        <f aca="false">AD61+AD62</f>
        <v>19835.7970102571</v>
      </c>
      <c r="AE63" s="100" t="n">
        <f aca="false">AE61+AE62</f>
        <v>21024.7849439175</v>
      </c>
      <c r="AF63" s="100" t="n">
        <f aca="false">AF61+AF62</f>
        <v>22213.7728775779</v>
      </c>
      <c r="AG63" s="100" t="n">
        <f aca="false">AG61+AG62</f>
        <v>23402.7608112382</v>
      </c>
      <c r="AH63" s="100" t="n">
        <f aca="false">AH61+AH62</f>
        <v>24591.7487448986</v>
      </c>
      <c r="AI63" s="100" t="n">
        <f aca="false">AI61+AI62</f>
        <v>25780.736678559</v>
      </c>
      <c r="AJ63" s="100" t="n">
        <f aca="false">AJ61+AJ62</f>
        <v>26969.7246122194</v>
      </c>
      <c r="AK63" s="100" t="n">
        <f aca="false">AK61+AK62</f>
        <v>28158.7125458798</v>
      </c>
      <c r="AL63" s="100" t="n">
        <f aca="false">AL61+AL62</f>
        <v>27364.6110327402</v>
      </c>
      <c r="AM63" s="100" t="n">
        <f aca="false">AM61+AM62</f>
        <v>23405.5636308569</v>
      </c>
      <c r="AN63" s="100" t="n">
        <f aca="false">AN61+AN62</f>
        <v>24454.6706311455</v>
      </c>
      <c r="AO63" s="100" t="n">
        <f aca="false">AO61+AO62</f>
        <v>25503.7776314341</v>
      </c>
      <c r="AP63" s="100" t="n">
        <f aca="false">AP61+AP62</f>
        <v>26552.8846317227</v>
      </c>
      <c r="AQ63" s="100" t="n">
        <f aca="false">AQ61+AQ62</f>
        <v>27601.9916320112</v>
      </c>
      <c r="AR63" s="100" t="n">
        <f aca="false">AR61+AR62</f>
        <v>28651.0986322998</v>
      </c>
      <c r="AS63" s="100" t="n">
        <f aca="false">AS61+AS62</f>
        <v>28655.2652989665</v>
      </c>
      <c r="AT63" s="100" t="n">
        <f aca="false">AT61+AT62</f>
        <v>28659.4319656331</v>
      </c>
      <c r="AU63" s="100" t="n">
        <f aca="false">AU61+AU62</f>
        <v>28663.5986322998</v>
      </c>
      <c r="AV63" s="100" t="n">
        <f aca="false">AV61+AV62</f>
        <v>28667.7652989665</v>
      </c>
      <c r="AW63" s="100" t="n">
        <f aca="false">AW61+AW62</f>
        <v>28671.9319656331</v>
      </c>
      <c r="AX63" s="100" t="n">
        <f aca="false">AX61+AX62</f>
        <v>28676.0986322998</v>
      </c>
      <c r="AY63" s="100" t="n">
        <f aca="false">AY61+AY62</f>
        <v>26881.4722486969</v>
      </c>
      <c r="AZ63" s="100" t="n">
        <f aca="false">AZ61+AZ62</f>
        <v>26885.6389153635</v>
      </c>
      <c r="BA63" s="100" t="n">
        <f aca="false">BA61+BA62</f>
        <v>26889.8055820302</v>
      </c>
      <c r="BB63" s="100" t="n">
        <f aca="false">BB61+BB62</f>
        <v>26893.9722486969</v>
      </c>
      <c r="BC63" s="100" t="n">
        <f aca="false">BC61+BC62</f>
        <v>26898.1389153635</v>
      </c>
      <c r="BD63" s="100" t="n">
        <f aca="false">BD61+BD62</f>
        <v>26902.3055820302</v>
      </c>
      <c r="BE63" s="100" t="n">
        <f aca="false">BE61+BE62</f>
        <v>26906.4722486969</v>
      </c>
      <c r="BF63" s="100" t="n">
        <f aca="false">BF61+BF62</f>
        <v>26910.6389153635</v>
      </c>
      <c r="BG63" s="100" t="n">
        <f aca="false">BG61+BG62</f>
        <v>26914.8055820302</v>
      </c>
      <c r="BH63" s="100" t="n">
        <f aca="false">BH61+BH62</f>
        <v>26918.9722486969</v>
      </c>
      <c r="BI63" s="100" t="n">
        <f aca="false">BI61+BI62</f>
        <v>26923.1389153635</v>
      </c>
      <c r="BJ63" s="100" t="n">
        <f aca="false">BJ61+BJ62</f>
        <v>26927.3055820302</v>
      </c>
      <c r="BK63" s="100" t="n">
        <f aca="false">BK61+BK62</f>
        <v>25122.3744069192</v>
      </c>
      <c r="BL63" s="100" t="n">
        <f aca="false">BL61+BL62</f>
        <v>25126.5410735858</v>
      </c>
      <c r="BM63" s="100" t="n">
        <f aca="false">BM61+BM62</f>
        <v>25130.7077402525</v>
      </c>
      <c r="BN63" s="100" t="n">
        <f aca="false">BN61+BN62</f>
        <v>25134.8744069192</v>
      </c>
      <c r="BO63" s="100" t="n">
        <f aca="false">BO61+BO62</f>
        <v>25139.0410735858</v>
      </c>
      <c r="BP63" s="100" t="n">
        <f aca="false">BP61+BP62</f>
        <v>25143.2077402525</v>
      </c>
      <c r="BQ63" s="100" t="n">
        <f aca="false">BQ61+BQ62</f>
        <v>25147.3744069192</v>
      </c>
      <c r="BR63" s="100" t="n">
        <f aca="false">BR61+BR62</f>
        <v>25151.5410735858</v>
      </c>
      <c r="BS63" s="100" t="n">
        <f aca="false">BS61+BS62</f>
        <v>25155.7077402525</v>
      </c>
      <c r="BT63" s="100" t="n">
        <f aca="false">BT61+BT62</f>
        <v>25159.8744069192</v>
      </c>
      <c r="BU63" s="100" t="n">
        <f aca="false">BU61+BU62</f>
        <v>25164.0410735858</v>
      </c>
      <c r="BV63" s="100" t="n">
        <f aca="false">BV61+BV62</f>
        <v>25168.2077402525</v>
      </c>
      <c r="BW63" s="100" t="n">
        <f aca="false">BW61+BW62</f>
        <v>23352.6626298881</v>
      </c>
      <c r="BX63" s="100" t="n">
        <f aca="false">BX61+BX62</f>
        <v>23356.8292965548</v>
      </c>
      <c r="BY63" s="100" t="n">
        <f aca="false">BY61+BY62</f>
        <v>23360.9959632215</v>
      </c>
      <c r="BZ63" s="100" t="n">
        <f aca="false">BZ61+BZ62</f>
        <v>23365.1626298881</v>
      </c>
      <c r="CA63" s="100" t="n">
        <f aca="false">CA61+CA62</f>
        <v>23369.3292965548</v>
      </c>
      <c r="CB63" s="100" t="n">
        <f aca="false">CB61+CB62</f>
        <v>23373.4959632215</v>
      </c>
      <c r="CC63" s="100" t="n">
        <f aca="false">CC61+CC62</f>
        <v>23377.6626298881</v>
      </c>
      <c r="CD63" s="100" t="n">
        <f aca="false">CD61+CD62</f>
        <v>23381.8292965548</v>
      </c>
      <c r="CE63" s="100" t="n">
        <f aca="false">CE61+CE62</f>
        <v>23385.9959632215</v>
      </c>
      <c r="CF63" s="100" t="n">
        <f aca="false">CF61+CF62</f>
        <v>23390.1626298881</v>
      </c>
      <c r="CG63" s="100" t="n">
        <f aca="false">CG61+CG62</f>
        <v>23394.3292965548</v>
      </c>
      <c r="CH63" s="100" t="n">
        <f aca="false">CH61+CH62</f>
        <v>23398.4959632215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9" t="s">
        <v>540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customFormat="false" ht="13.5" hidden="false" customHeight="true" outlineLevel="0" collapsed="false">
      <c r="A66" s="6" t="s">
        <v>533</v>
      </c>
      <c r="C66" s="100" t="n">
        <f aca="false">C56</f>
        <v>-14686.9039336701</v>
      </c>
      <c r="D66" s="100" t="n">
        <f aca="false">D56</f>
        <v>-13653.2408450653</v>
      </c>
      <c r="E66" s="100" t="n">
        <f aca="false">E56</f>
        <v>-11563.0575935193</v>
      </c>
      <c r="F66" s="100" t="n">
        <f aca="false">F56</f>
        <v>-10437.9704083033</v>
      </c>
      <c r="G66" s="100" t="n">
        <f aca="false">G56</f>
        <v>-9381.45024536213</v>
      </c>
      <c r="H66" s="100" t="n">
        <f aca="false">H56</f>
        <v>-7733.05878552128</v>
      </c>
      <c r="I66" s="100" t="n">
        <f aca="false">I56</f>
        <v>-4656.25028381178</v>
      </c>
      <c r="J66" s="100" t="n">
        <f aca="false">J56</f>
        <v>-1579.44178210229</v>
      </c>
      <c r="K66" s="100" t="n">
        <f aca="false">K56</f>
        <v>1497.36671960721</v>
      </c>
      <c r="L66" s="100" t="n">
        <f aca="false">L56</f>
        <v>4574.17522131671</v>
      </c>
      <c r="M66" s="100" t="n">
        <f aca="false">M56</f>
        <v>6594.46356008505</v>
      </c>
      <c r="N66" s="100" t="n">
        <f aca="false">N56</f>
        <v>9405.18560343476</v>
      </c>
      <c r="O66" s="100" t="n">
        <f aca="false">O56</f>
        <v>6988.70764678448</v>
      </c>
      <c r="P66" s="100" t="n">
        <f aca="false">P56</f>
        <v>7184.22387506705</v>
      </c>
      <c r="Q66" s="100" t="n">
        <f aca="false">Q56</f>
        <v>9691.06010334961</v>
      </c>
      <c r="R66" s="100" t="n">
        <f aca="false">R56</f>
        <v>12197.8963316322</v>
      </c>
      <c r="S66" s="100" t="n">
        <f aca="false">S56</f>
        <v>14704.7325599147</v>
      </c>
      <c r="T66" s="100" t="n">
        <f aca="false">T56</f>
        <v>17211.5687881973</v>
      </c>
      <c r="U66" s="100" t="n">
        <f aca="false">U56</f>
        <v>17407.0850164799</v>
      </c>
      <c r="V66" s="100" t="n">
        <f aca="false">V56</f>
        <v>17194.7212447625</v>
      </c>
      <c r="W66" s="100" t="n">
        <f aca="false">W56</f>
        <v>19701.557473045</v>
      </c>
      <c r="X66" s="100" t="n">
        <f aca="false">X56</f>
        <v>21417.9599967462</v>
      </c>
      <c r="Y66" s="100" t="n">
        <f aca="false">Y56</f>
        <v>23134.3625204474</v>
      </c>
      <c r="Z66" s="100" t="n">
        <f aca="false">Z56</f>
        <v>24562.7795623161</v>
      </c>
      <c r="AA66" s="100" t="n">
        <f aca="false">AA56</f>
        <v>23709.3654041847</v>
      </c>
      <c r="AB66" s="100" t="n">
        <f aca="false">AB56</f>
        <v>22757.1228460534</v>
      </c>
      <c r="AC66" s="100" t="n">
        <f aca="false">AC56</f>
        <v>24185.5398879221</v>
      </c>
      <c r="AD66" s="100" t="n">
        <f aca="false">AD56</f>
        <v>25613.9569297907</v>
      </c>
      <c r="AE66" s="100" t="n">
        <f aca="false">AE56</f>
        <v>27042.3739716593</v>
      </c>
      <c r="AF66" s="100" t="n">
        <f aca="false">AF56</f>
        <v>28470.791013528</v>
      </c>
      <c r="AG66" s="100" t="n">
        <f aca="false">AG56</f>
        <v>29899.2080553967</v>
      </c>
      <c r="AH66" s="100" t="n">
        <f aca="false">AH56</f>
        <v>31327.6250972653</v>
      </c>
      <c r="AI66" s="100" t="n">
        <f aca="false">AI56</f>
        <v>32756.042139134</v>
      </c>
      <c r="AJ66" s="100" t="n">
        <f aca="false">AJ56</f>
        <v>34184.4591810026</v>
      </c>
      <c r="AK66" s="100" t="n">
        <f aca="false">AK56</f>
        <v>35612.8762228713</v>
      </c>
      <c r="AL66" s="100" t="n">
        <f aca="false">AL56</f>
        <v>34660.6336647399</v>
      </c>
      <c r="AM66" s="100" t="n">
        <f aca="false">AM56</f>
        <v>33655.3249946086</v>
      </c>
      <c r="AN66" s="100" t="n">
        <f aca="false">AN56</f>
        <v>35083.7420364772</v>
      </c>
      <c r="AO66" s="100" t="n">
        <f aca="false">AO56</f>
        <v>36512.1590783459</v>
      </c>
      <c r="AP66" s="100" t="n">
        <f aca="false">AP56</f>
        <v>37940.5761202145</v>
      </c>
      <c r="AQ66" s="100" t="n">
        <f aca="false">AQ56</f>
        <v>39368.9931620832</v>
      </c>
      <c r="AR66" s="100" t="n">
        <f aca="false">AR56</f>
        <v>40797.4102039518</v>
      </c>
      <c r="AS66" s="100" t="n">
        <f aca="false">AS56</f>
        <v>40797.4102039518</v>
      </c>
      <c r="AT66" s="100" t="n">
        <f aca="false">AT56</f>
        <v>40797.4102039518</v>
      </c>
      <c r="AU66" s="100" t="n">
        <f aca="false">AU56</f>
        <v>40797.4102039518</v>
      </c>
      <c r="AV66" s="100" t="n">
        <f aca="false">AV56</f>
        <v>40797.4102039518</v>
      </c>
      <c r="AW66" s="100" t="n">
        <f aca="false">AW56</f>
        <v>40797.4102039518</v>
      </c>
      <c r="AX66" s="100" t="n">
        <f aca="false">AX56</f>
        <v>40797.4102039518</v>
      </c>
      <c r="AY66" s="100" t="n">
        <f aca="false">AY56</f>
        <v>38350.0727205918</v>
      </c>
      <c r="AZ66" s="100" t="n">
        <f aca="false">AZ56</f>
        <v>38350.0727205918</v>
      </c>
      <c r="BA66" s="100" t="n">
        <f aca="false">BA56</f>
        <v>38350.0727205918</v>
      </c>
      <c r="BB66" s="100" t="n">
        <f aca="false">BB56</f>
        <v>38350.0727205918</v>
      </c>
      <c r="BC66" s="100" t="n">
        <f aca="false">BC56</f>
        <v>38350.0727205918</v>
      </c>
      <c r="BD66" s="100" t="n">
        <f aca="false">BD56</f>
        <v>38350.0727205918</v>
      </c>
      <c r="BE66" s="100" t="n">
        <f aca="false">BE56</f>
        <v>38350.0727205918</v>
      </c>
      <c r="BF66" s="100" t="n">
        <f aca="false">BF56</f>
        <v>38350.0727205918</v>
      </c>
      <c r="BG66" s="100" t="n">
        <f aca="false">BG56</f>
        <v>38350.0727205918</v>
      </c>
      <c r="BH66" s="100" t="n">
        <f aca="false">BH56</f>
        <v>38350.0727205918</v>
      </c>
      <c r="BI66" s="100" t="n">
        <f aca="false">BI56</f>
        <v>38350.0727205918</v>
      </c>
      <c r="BJ66" s="100" t="n">
        <f aca="false">BJ56</f>
        <v>38350.0727205918</v>
      </c>
      <c r="BK66" s="100" t="n">
        <f aca="false">BK56</f>
        <v>35888.715112731</v>
      </c>
      <c r="BL66" s="100" t="n">
        <f aca="false">BL56</f>
        <v>35888.715112731</v>
      </c>
      <c r="BM66" s="100" t="n">
        <f aca="false">BM56</f>
        <v>35888.715112731</v>
      </c>
      <c r="BN66" s="100" t="n">
        <f aca="false">BN56</f>
        <v>35888.715112731</v>
      </c>
      <c r="BO66" s="100" t="n">
        <f aca="false">BO56</f>
        <v>35888.715112731</v>
      </c>
      <c r="BP66" s="100" t="n">
        <f aca="false">BP56</f>
        <v>35888.715112731</v>
      </c>
      <c r="BQ66" s="100" t="n">
        <f aca="false">BQ56</f>
        <v>35888.715112731</v>
      </c>
      <c r="BR66" s="100" t="n">
        <f aca="false">BR56</f>
        <v>35888.715112731</v>
      </c>
      <c r="BS66" s="100" t="n">
        <f aca="false">BS56</f>
        <v>35888.715112731</v>
      </c>
      <c r="BT66" s="100" t="n">
        <f aca="false">BT56</f>
        <v>35888.715112731</v>
      </c>
      <c r="BU66" s="100" t="n">
        <f aca="false">BU56</f>
        <v>35888.715112731</v>
      </c>
      <c r="BV66" s="100" t="n">
        <f aca="false">BV56</f>
        <v>35888.715112731</v>
      </c>
      <c r="BW66" s="100" t="n">
        <f aca="false">BW56</f>
        <v>33412.9167766344</v>
      </c>
      <c r="BX66" s="100" t="n">
        <f aca="false">BX56</f>
        <v>33412.9167766344</v>
      </c>
      <c r="BY66" s="100" t="n">
        <f aca="false">BY56</f>
        <v>33412.9167766344</v>
      </c>
      <c r="BZ66" s="100" t="n">
        <f aca="false">BZ56</f>
        <v>33412.9167766344</v>
      </c>
      <c r="CA66" s="100" t="n">
        <f aca="false">CA56</f>
        <v>33412.9167766344</v>
      </c>
      <c r="CB66" s="100" t="n">
        <f aca="false">CB56</f>
        <v>33412.9167766344</v>
      </c>
      <c r="CC66" s="100" t="n">
        <f aca="false">CC56</f>
        <v>33412.9167766344</v>
      </c>
      <c r="CD66" s="100" t="n">
        <f aca="false">CD56</f>
        <v>33412.9167766344</v>
      </c>
      <c r="CE66" s="100" t="n">
        <f aca="false">CE56</f>
        <v>33412.9167766344</v>
      </c>
      <c r="CF66" s="100" t="n">
        <f aca="false">CF56</f>
        <v>33412.9167766344</v>
      </c>
      <c r="CG66" s="100" t="n">
        <f aca="false">CG56</f>
        <v>33412.9167766344</v>
      </c>
      <c r="CH66" s="100" t="n">
        <f aca="false">CH56</f>
        <v>33412.9167766344</v>
      </c>
    </row>
    <row r="67" customFormat="false" ht="13.5" hidden="false" customHeight="true" outlineLevel="0" collapsed="false">
      <c r="A67" s="6" t="s">
        <v>541</v>
      </c>
      <c r="C67" s="100" t="n">
        <f aca="false">C62</f>
        <v>-0</v>
      </c>
      <c r="D67" s="100" t="n">
        <f aca="false">D62</f>
        <v>-0</v>
      </c>
      <c r="E67" s="100" t="n">
        <f aca="false">E62</f>
        <v>-0</v>
      </c>
      <c r="F67" s="100" t="n">
        <f aca="false">F62</f>
        <v>-0</v>
      </c>
      <c r="G67" s="100" t="n">
        <f aca="false">G62</f>
        <v>-0</v>
      </c>
      <c r="H67" s="100" t="n">
        <f aca="false">H62</f>
        <v>-0</v>
      </c>
      <c r="I67" s="100" t="n">
        <f aca="false">I62</f>
        <v>-0</v>
      </c>
      <c r="J67" s="100" t="n">
        <f aca="false">J62</f>
        <v>-0</v>
      </c>
      <c r="K67" s="100" t="n">
        <f aca="false">K62</f>
        <v>-0</v>
      </c>
      <c r="L67" s="100" t="n">
        <f aca="false">L62</f>
        <v>-429.617281038237</v>
      </c>
      <c r="M67" s="100" t="n">
        <f aca="false">M62</f>
        <v>-724.696598857767</v>
      </c>
      <c r="N67" s="100" t="n">
        <f aca="false">N62</f>
        <v>-1137.39287480355</v>
      </c>
      <c r="O67" s="100" t="n">
        <f aca="false">O62</f>
        <v>-781.838228368712</v>
      </c>
      <c r="P67" s="100" t="n">
        <f aca="false">P62</f>
        <v>-808.773304370939</v>
      </c>
      <c r="Q67" s="100" t="n">
        <f aca="false">Q62</f>
        <v>-1175.47242037316</v>
      </c>
      <c r="R67" s="100" t="n">
        <f aca="false">R62</f>
        <v>-1542.17153637539</v>
      </c>
      <c r="S67" s="100" t="n">
        <f aca="false">S62</f>
        <v>-1908.87065237762</v>
      </c>
      <c r="T67" s="100" t="n">
        <f aca="false">T62</f>
        <v>-2275.56976837984</v>
      </c>
      <c r="U67" s="100" t="n">
        <f aca="false">U62</f>
        <v>-2302.50484438207</v>
      </c>
      <c r="V67" s="100" t="n">
        <f aca="false">V62</f>
        <v>-2269.4815603843</v>
      </c>
      <c r="W67" s="100" t="n">
        <f aca="false">W62</f>
        <v>-2636.18067638652</v>
      </c>
      <c r="X67" s="100" t="n">
        <f aca="false">X62</f>
        <v>-2887.28062844029</v>
      </c>
      <c r="Y67" s="100" t="n">
        <f aca="false">Y62</f>
        <v>-3138.38058049406</v>
      </c>
      <c r="Z67" s="100" t="n">
        <f aca="false">Z62</f>
        <v>-3347.36864721844</v>
      </c>
      <c r="AA67" s="100" t="n">
        <f aca="false">AA62</f>
        <v>-3220.92752754282</v>
      </c>
      <c r="AB67" s="100" t="n">
        <f aca="false">AB62</f>
        <v>-3080.79196640053</v>
      </c>
      <c r="AC67" s="100" t="n">
        <f aca="false">AC62</f>
        <v>-3290.61336645825</v>
      </c>
      <c r="AD67" s="100" t="n">
        <f aca="false">AD62</f>
        <v>-3500.43476651596</v>
      </c>
      <c r="AE67" s="100" t="n">
        <f aca="false">AE62</f>
        <v>-3710.25616657367</v>
      </c>
      <c r="AF67" s="100" t="n">
        <f aca="false">AF62</f>
        <v>-3920.07756663139</v>
      </c>
      <c r="AG67" s="100" t="n">
        <f aca="false">AG62</f>
        <v>-4129.8989666891</v>
      </c>
      <c r="AH67" s="100" t="n">
        <f aca="false">AH62</f>
        <v>-4339.72036674682</v>
      </c>
      <c r="AI67" s="100" t="n">
        <f aca="false">AI62</f>
        <v>-4549.54176680453</v>
      </c>
      <c r="AJ67" s="100" t="n">
        <f aca="false">AJ62</f>
        <v>-4759.36316686225</v>
      </c>
      <c r="AK67" s="100" t="n">
        <f aca="false">AK62</f>
        <v>-4969.18456691996</v>
      </c>
      <c r="AL67" s="100" t="n">
        <f aca="false">AL62</f>
        <v>-4829.04900577767</v>
      </c>
      <c r="AM67" s="100" t="n">
        <f aca="false">AM62</f>
        <v>-7801.85454361898</v>
      </c>
      <c r="AN67" s="100" t="n">
        <f aca="false">AN62</f>
        <v>-8151.5568770485</v>
      </c>
      <c r="AO67" s="100" t="n">
        <f aca="false">AO62</f>
        <v>-8501.25921047803</v>
      </c>
      <c r="AP67" s="100" t="n">
        <f aca="false">AP62</f>
        <v>-8850.96154390756</v>
      </c>
      <c r="AQ67" s="100" t="n">
        <f aca="false">AQ62</f>
        <v>-9200.66387733707</v>
      </c>
      <c r="AR67" s="100" t="n">
        <f aca="false">AR62</f>
        <v>-9550.3662107666</v>
      </c>
      <c r="AS67" s="100" t="n">
        <f aca="false">AS62</f>
        <v>-9551.75509965549</v>
      </c>
      <c r="AT67" s="100" t="n">
        <f aca="false">AT62</f>
        <v>-9553.14398854437</v>
      </c>
      <c r="AU67" s="100" t="n">
        <f aca="false">AU62</f>
        <v>-9554.53287743326</v>
      </c>
      <c r="AV67" s="100" t="n">
        <f aca="false">AV62</f>
        <v>-9555.92176632215</v>
      </c>
      <c r="AW67" s="100" t="n">
        <f aca="false">AW62</f>
        <v>-9557.31065521104</v>
      </c>
      <c r="AX67" s="100" t="n">
        <f aca="false">AX62</f>
        <v>-9558.69954409993</v>
      </c>
      <c r="AY67" s="100" t="n">
        <f aca="false">AY62</f>
        <v>-8960.49074956562</v>
      </c>
      <c r="AZ67" s="100" t="n">
        <f aca="false">AZ62</f>
        <v>-8961.87963845451</v>
      </c>
      <c r="BA67" s="100" t="n">
        <f aca="false">BA62</f>
        <v>-8963.2685273434</v>
      </c>
      <c r="BB67" s="100" t="n">
        <f aca="false">BB62</f>
        <v>-8964.65741623229</v>
      </c>
      <c r="BC67" s="100" t="n">
        <f aca="false">BC62</f>
        <v>-8966.04630512117</v>
      </c>
      <c r="BD67" s="100" t="n">
        <f aca="false">BD62</f>
        <v>-8967.43519401006</v>
      </c>
      <c r="BE67" s="100" t="n">
        <f aca="false">BE62</f>
        <v>-8968.82408289895</v>
      </c>
      <c r="BF67" s="100" t="n">
        <f aca="false">BF62</f>
        <v>-8970.21297178784</v>
      </c>
      <c r="BG67" s="100" t="n">
        <f aca="false">BG62</f>
        <v>-8971.60186067673</v>
      </c>
      <c r="BH67" s="100" t="n">
        <f aca="false">BH62</f>
        <v>-8972.99074956562</v>
      </c>
      <c r="BI67" s="100" t="n">
        <f aca="false">BI62</f>
        <v>-8974.37963845451</v>
      </c>
      <c r="BJ67" s="100" t="n">
        <f aca="false">BJ62</f>
        <v>-8975.7685273434</v>
      </c>
      <c r="BK67" s="100" t="n">
        <f aca="false">BK62</f>
        <v>-8374.12480230639</v>
      </c>
      <c r="BL67" s="100" t="n">
        <f aca="false">BL62</f>
        <v>-8375.51369119528</v>
      </c>
      <c r="BM67" s="100" t="n">
        <f aca="false">BM62</f>
        <v>-8376.90258008417</v>
      </c>
      <c r="BN67" s="100" t="n">
        <f aca="false">BN62</f>
        <v>-8378.29146897306</v>
      </c>
      <c r="BO67" s="100" t="n">
        <f aca="false">BO62</f>
        <v>-8379.68035786194</v>
      </c>
      <c r="BP67" s="100" t="n">
        <f aca="false">BP62</f>
        <v>-8381.06924675083</v>
      </c>
      <c r="BQ67" s="100" t="n">
        <f aca="false">BQ62</f>
        <v>-8382.45813563972</v>
      </c>
      <c r="BR67" s="100" t="n">
        <f aca="false">BR62</f>
        <v>-8383.84702452861</v>
      </c>
      <c r="BS67" s="100" t="n">
        <f aca="false">BS62</f>
        <v>-8385.2359134175</v>
      </c>
      <c r="BT67" s="100" t="n">
        <f aca="false">BT62</f>
        <v>-8386.62480230639</v>
      </c>
      <c r="BU67" s="100" t="n">
        <f aca="false">BU62</f>
        <v>-8388.01369119528</v>
      </c>
      <c r="BV67" s="100" t="n">
        <f aca="false">BV62</f>
        <v>-8389.40258008417</v>
      </c>
      <c r="BW67" s="100" t="n">
        <f aca="false">BW62</f>
        <v>-7784.22087662938</v>
      </c>
      <c r="BX67" s="100" t="n">
        <f aca="false">BX62</f>
        <v>-7785.60976551827</v>
      </c>
      <c r="BY67" s="100" t="n">
        <f aca="false">BY62</f>
        <v>-7786.99865440716</v>
      </c>
      <c r="BZ67" s="100" t="n">
        <f aca="false">BZ62</f>
        <v>-7788.38754329605</v>
      </c>
      <c r="CA67" s="100" t="n">
        <f aca="false">CA62</f>
        <v>-7789.77643218494</v>
      </c>
      <c r="CB67" s="100" t="n">
        <f aca="false">CB62</f>
        <v>-7791.16532107383</v>
      </c>
      <c r="CC67" s="100" t="n">
        <f aca="false">CC62</f>
        <v>-7792.55420996272</v>
      </c>
      <c r="CD67" s="100" t="n">
        <f aca="false">CD62</f>
        <v>-7793.9430988516</v>
      </c>
      <c r="CE67" s="100" t="n">
        <f aca="false">CE62</f>
        <v>-7795.33198774049</v>
      </c>
      <c r="CF67" s="100" t="n">
        <f aca="false">CF62</f>
        <v>-7796.72087662938</v>
      </c>
      <c r="CG67" s="100" t="n">
        <f aca="false">CG62</f>
        <v>-7798.10976551827</v>
      </c>
      <c r="CH67" s="100" t="n">
        <f aca="false">CH62</f>
        <v>-7799.49865440716</v>
      </c>
    </row>
    <row r="68" customFormat="false" ht="13.5" hidden="false" customHeight="true" outlineLevel="0" collapsed="false">
      <c r="A68" s="6" t="s">
        <v>542</v>
      </c>
      <c r="C68" s="101" t="n">
        <f aca="false">C38*Hipótesis!$F$66/30</f>
        <v>1086.021</v>
      </c>
      <c r="D68" s="101" t="n">
        <f aca="false">D38*Hipótesis!$F$66/30</f>
        <v>2256.606</v>
      </c>
      <c r="E68" s="101" t="n">
        <f aca="false">E38*Hipótesis!$F$66/30</f>
        <v>4700.055375</v>
      </c>
      <c r="F68" s="101" t="n">
        <f aca="false">F38*Hipótesis!$F$66/30</f>
        <v>6057.48375</v>
      </c>
      <c r="G68" s="101" t="n">
        <f aca="false">G38*Hipótesis!$F$66/30</f>
        <v>7330.348125</v>
      </c>
      <c r="H68" s="101" t="n">
        <f aca="false">H38*Hipótesis!$F$66/30</f>
        <v>9378.3825</v>
      </c>
      <c r="I68" s="101" t="n">
        <f aca="false">I38*Hipótesis!$F$66/30</f>
        <v>13185.0629733308</v>
      </c>
      <c r="J68" s="101" t="n">
        <f aca="false">J38*Hipótesis!$F$66/30</f>
        <v>16991.7434466616</v>
      </c>
      <c r="K68" s="101" t="n">
        <f aca="false">K38*Hipótesis!$F$66/30</f>
        <v>20798.4239199924</v>
      </c>
      <c r="L68" s="101" t="n">
        <f aca="false">L38*Hipótesis!$F$66/30</f>
        <v>24605.1043933232</v>
      </c>
      <c r="M68" s="101" t="n">
        <f aca="false">M38*Hipótesis!$F$66/30</f>
        <v>27138.9204916541</v>
      </c>
      <c r="N68" s="101" t="n">
        <f aca="false">N38*Hipótesis!$F$66/30</f>
        <v>30729.7865899849</v>
      </c>
      <c r="O68" s="101" t="n">
        <f aca="false">O38*Hipótesis!$F$66/30</f>
        <v>34320.6526883157</v>
      </c>
      <c r="P68" s="101" t="n">
        <f aca="false">P38*Hipótesis!$F$66/30</f>
        <v>37530.9807866465</v>
      </c>
      <c r="Q68" s="101" t="n">
        <f aca="false">Q38*Hipótesis!$F$66/30</f>
        <v>40741.3088849773</v>
      </c>
      <c r="R68" s="101" t="n">
        <f aca="false">R38*Hipótesis!$F$66/30</f>
        <v>43951.6369833081</v>
      </c>
      <c r="S68" s="101" t="n">
        <f aca="false">S38*Hipótesis!$F$66/30</f>
        <v>47161.9650816389</v>
      </c>
      <c r="T68" s="101" t="n">
        <f aca="false">T38*Hipótesis!$F$66/30</f>
        <v>50372.2931799697</v>
      </c>
      <c r="U68" s="101" t="n">
        <f aca="false">U38*Hipótesis!$F$66/30</f>
        <v>53582.6212783005</v>
      </c>
      <c r="V68" s="101" t="n">
        <f aca="false">V38*Hipótesis!$F$66/30</f>
        <v>56792.9493766314</v>
      </c>
      <c r="W68" s="101" t="n">
        <f aca="false">W38*Hipótesis!$F$66/30</f>
        <v>60003.2774749622</v>
      </c>
      <c r="X68" s="101" t="n">
        <f aca="false">X38*Hipótesis!$F$66/30</f>
        <v>62156.555573293</v>
      </c>
      <c r="Y68" s="101" t="n">
        <f aca="false">Y38*Hipótesis!$F$66/30</f>
        <v>64309.8336716238</v>
      </c>
      <c r="Z68" s="101" t="n">
        <f aca="false">Z38*Hipótesis!$F$66/30</f>
        <v>66068.4797699546</v>
      </c>
      <c r="AA68" s="101" t="n">
        <f aca="false">AA38*Hipótesis!$F$66/30</f>
        <v>67827.1258682854</v>
      </c>
      <c r="AB68" s="101" t="n">
        <f aca="false">AB38*Hipótesis!$F$66/30</f>
        <v>69585.7719666162</v>
      </c>
      <c r="AC68" s="101" t="n">
        <f aca="false">AC38*Hipótesis!$F$66/30</f>
        <v>71344.418064947</v>
      </c>
      <c r="AD68" s="101" t="n">
        <f aca="false">AD38*Hipótesis!$F$66/30</f>
        <v>73103.0641632778</v>
      </c>
      <c r="AE68" s="101" t="n">
        <f aca="false">AE38*Hipótesis!$F$66/30</f>
        <v>74861.7102616087</v>
      </c>
      <c r="AF68" s="101" t="n">
        <f aca="false">AF38*Hipótesis!$F$66/30</f>
        <v>76620.3563599395</v>
      </c>
      <c r="AG68" s="101" t="n">
        <f aca="false">AG38*Hipótesis!$F$66/30</f>
        <v>78379.0024582703</v>
      </c>
      <c r="AH68" s="101" t="n">
        <f aca="false">AH38*Hipótesis!$F$66/30</f>
        <v>80137.6485566011</v>
      </c>
      <c r="AI68" s="101" t="n">
        <f aca="false">AI38*Hipótesis!$F$66/30</f>
        <v>81896.2946549319</v>
      </c>
      <c r="AJ68" s="101" t="n">
        <f aca="false">AJ38*Hipótesis!$F$66/30</f>
        <v>83654.9407532627</v>
      </c>
      <c r="AK68" s="101" t="n">
        <f aca="false">AK38*Hipótesis!$F$66/30</f>
        <v>85413.5868515935</v>
      </c>
      <c r="AL68" s="101" t="n">
        <f aca="false">AL38*Hipótesis!$F$66/30</f>
        <v>87172.2329499243</v>
      </c>
      <c r="AM68" s="101" t="n">
        <f aca="false">AM38*Hipótesis!$F$66/30</f>
        <v>88930.8790482551</v>
      </c>
      <c r="AN68" s="101" t="n">
        <f aca="false">AN38*Hipótesis!$F$66/30</f>
        <v>90689.525146586</v>
      </c>
      <c r="AO68" s="101" t="n">
        <f aca="false">AO38*Hipótesis!$F$66/30</f>
        <v>92448.1712449168</v>
      </c>
      <c r="AP68" s="101" t="n">
        <f aca="false">AP38*Hipótesis!$F$66/30</f>
        <v>94206.8173432476</v>
      </c>
      <c r="AQ68" s="101" t="n">
        <f aca="false">AQ38*Hipótesis!$F$66/30</f>
        <v>95965.4634415784</v>
      </c>
      <c r="AR68" s="101" t="n">
        <f aca="false">AR38*Hipótesis!$F$66/30</f>
        <v>97724.1095399092</v>
      </c>
      <c r="AS68" s="101" t="n">
        <f aca="false">AS38*Hipótesis!$F$66/30</f>
        <v>97724.1095399092</v>
      </c>
      <c r="AT68" s="101" t="n">
        <f aca="false">AT38*Hipótesis!$F$66/30</f>
        <v>97724.1095399092</v>
      </c>
      <c r="AU68" s="101" t="n">
        <f aca="false">AU38*Hipótesis!$F$66/30</f>
        <v>97724.1095399092</v>
      </c>
      <c r="AV68" s="101" t="n">
        <f aca="false">AV38*Hipótesis!$F$66/30</f>
        <v>97724.1095399092</v>
      </c>
      <c r="AW68" s="101" t="n">
        <f aca="false">AW38*Hipótesis!$F$66/30</f>
        <v>97724.1095399092</v>
      </c>
      <c r="AX68" s="101" t="n">
        <f aca="false">AX38*Hipótesis!$F$66/30</f>
        <v>97724.1095399092</v>
      </c>
      <c r="AY68" s="101" t="n">
        <f aca="false">AY38*Hipótesis!$F$66/30</f>
        <v>97724.1095399092</v>
      </c>
      <c r="AZ68" s="101" t="n">
        <f aca="false">AZ38*Hipótesis!$F$66/30</f>
        <v>97724.1095399092</v>
      </c>
      <c r="BA68" s="101" t="n">
        <f aca="false">BA38*Hipótesis!$F$66/30</f>
        <v>97724.1095399092</v>
      </c>
      <c r="BB68" s="101" t="n">
        <f aca="false">BB38*Hipótesis!$F$66/30</f>
        <v>97724.1095399092</v>
      </c>
      <c r="BC68" s="101" t="n">
        <f aca="false">BC38*Hipótesis!$F$66/30</f>
        <v>97724.1095399092</v>
      </c>
      <c r="BD68" s="101" t="n">
        <f aca="false">BD38*Hipótesis!$F$66/30</f>
        <v>97724.1095399092</v>
      </c>
      <c r="BE68" s="101" t="n">
        <f aca="false">BE38*Hipótesis!$F$66/30</f>
        <v>97724.1095399092</v>
      </c>
      <c r="BF68" s="101" t="n">
        <f aca="false">BF38*Hipótesis!$F$66/30</f>
        <v>97724.1095399092</v>
      </c>
      <c r="BG68" s="101" t="n">
        <f aca="false">BG38*Hipótesis!$F$66/30</f>
        <v>97724.1095399092</v>
      </c>
      <c r="BH68" s="101" t="n">
        <f aca="false">BH38*Hipótesis!$F$66/30</f>
        <v>97724.1095399092</v>
      </c>
      <c r="BI68" s="101" t="n">
        <f aca="false">BI38*Hipótesis!$F$66/30</f>
        <v>97724.1095399092</v>
      </c>
      <c r="BJ68" s="101" t="n">
        <f aca="false">BJ38*Hipótesis!$F$66/30</f>
        <v>97724.1095399092</v>
      </c>
      <c r="BK68" s="101" t="n">
        <f aca="false">BK38*Hipótesis!$F$66/30</f>
        <v>97724.1095399092</v>
      </c>
      <c r="BL68" s="101" t="n">
        <f aca="false">BL38*Hipótesis!$F$66/30</f>
        <v>97724.1095399092</v>
      </c>
      <c r="BM68" s="101" t="n">
        <f aca="false">BM38*Hipótesis!$F$66/30</f>
        <v>97724.1095399092</v>
      </c>
      <c r="BN68" s="101" t="n">
        <f aca="false">BN38*Hipótesis!$F$66/30</f>
        <v>97724.1095399092</v>
      </c>
      <c r="BO68" s="101" t="n">
        <f aca="false">BO38*Hipótesis!$F$66/30</f>
        <v>97724.1095399092</v>
      </c>
      <c r="BP68" s="101" t="n">
        <f aca="false">BP38*Hipótesis!$F$66/30</f>
        <v>97724.1095399092</v>
      </c>
      <c r="BQ68" s="101" t="n">
        <f aca="false">BQ38*Hipótesis!$F$66/30</f>
        <v>97724.1095399092</v>
      </c>
      <c r="BR68" s="101" t="n">
        <f aca="false">BR38*Hipótesis!$F$66/30</f>
        <v>97724.1095399092</v>
      </c>
      <c r="BS68" s="101" t="n">
        <f aca="false">BS38*Hipótesis!$F$66/30</f>
        <v>97724.1095399092</v>
      </c>
      <c r="BT68" s="101" t="n">
        <f aca="false">BT38*Hipótesis!$F$66/30</f>
        <v>97724.1095399092</v>
      </c>
      <c r="BU68" s="101" t="n">
        <f aca="false">BU38*Hipótesis!$F$66/30</f>
        <v>97724.1095399092</v>
      </c>
      <c r="BV68" s="101" t="n">
        <f aca="false">BV38*Hipótesis!$F$66/30</f>
        <v>97724.1095399092</v>
      </c>
      <c r="BW68" s="101" t="n">
        <f aca="false">BW38*Hipótesis!$F$66/30</f>
        <v>97724.1095399092</v>
      </c>
      <c r="BX68" s="101" t="n">
        <f aca="false">BX38*Hipótesis!$F$66/30</f>
        <v>97724.1095399092</v>
      </c>
      <c r="BY68" s="101" t="n">
        <f aca="false">BY38*Hipótesis!$F$66/30</f>
        <v>97724.1095399092</v>
      </c>
      <c r="BZ68" s="101" t="n">
        <f aca="false">BZ38*Hipótesis!$F$66/30</f>
        <v>97724.1095399092</v>
      </c>
      <c r="CA68" s="101" t="n">
        <f aca="false">CA38*Hipótesis!$F$66/30</f>
        <v>97724.1095399092</v>
      </c>
      <c r="CB68" s="101" t="n">
        <f aca="false">CB38*Hipótesis!$F$66/30</f>
        <v>97724.1095399092</v>
      </c>
      <c r="CC68" s="101" t="n">
        <f aca="false">CC38*Hipótesis!$F$66/30</f>
        <v>97724.1095399092</v>
      </c>
      <c r="CD68" s="101" t="n">
        <f aca="false">CD38*Hipótesis!$F$66/30</f>
        <v>97724.1095399092</v>
      </c>
      <c r="CE68" s="101" t="n">
        <f aca="false">CE38*Hipótesis!$F$66/30</f>
        <v>97724.1095399092</v>
      </c>
      <c r="CF68" s="101" t="n">
        <f aca="false">CF38*Hipótesis!$F$66/30</f>
        <v>97724.1095399092</v>
      </c>
      <c r="CG68" s="101" t="n">
        <f aca="false">CG38*Hipótesis!$F$66/30</f>
        <v>97724.1095399092</v>
      </c>
      <c r="CH68" s="101" t="n">
        <f aca="false">CH38*Hipótesis!$F$66/30</f>
        <v>97724.1095399092</v>
      </c>
    </row>
    <row r="69" customFormat="false" ht="13.5" hidden="false" customHeight="true" outlineLevel="0" collapsed="false">
      <c r="A69" s="6" t="s">
        <v>543</v>
      </c>
      <c r="C69" s="101" t="n">
        <f aca="false">-C39*Hipótesis!$F$67/30</f>
        <v>92.7333</v>
      </c>
      <c r="D69" s="101" t="n">
        <f aca="false">-D39*Hipótesis!$F$67/30</f>
        <v>199.4301</v>
      </c>
      <c r="E69" s="101" t="n">
        <f aca="false">-E39*Hipótesis!$F$67/30</f>
        <v>492.310220758928</v>
      </c>
      <c r="F69" s="101" t="n">
        <f aca="false">-F39*Hipótesis!$F$67/30</f>
        <v>692.457041517857</v>
      </c>
      <c r="G69" s="101" t="n">
        <f aca="false">-G39*Hipótesis!$F$67/30</f>
        <v>878.640362276786</v>
      </c>
      <c r="H69" s="101" t="n">
        <f aca="false">-H39*Hipótesis!$F$67/30</f>
        <v>1224.82212053571</v>
      </c>
      <c r="I69" s="101" t="n">
        <f aca="false">-I39*Hipótesis!$F$67/30</f>
        <v>1857.98786611626</v>
      </c>
      <c r="J69" s="101" t="n">
        <f aca="false">-J39*Hipótesis!$F$67/30</f>
        <v>2491.15361169682</v>
      </c>
      <c r="K69" s="101" t="n">
        <f aca="false">-K39*Hipótesis!$F$67/30</f>
        <v>3124.31935727737</v>
      </c>
      <c r="L69" s="101" t="n">
        <f aca="false">-L39*Hipótesis!$F$67/30</f>
        <v>3757.48510285792</v>
      </c>
      <c r="M69" s="101" t="n">
        <f aca="false">-M39*Hipótesis!$F$67/30</f>
        <v>4204.46752767954</v>
      </c>
      <c r="N69" s="101" t="n">
        <f aca="false">-N39*Hipótesis!$F$67/30</f>
        <v>4884.17495250116</v>
      </c>
      <c r="O69" s="101" t="n">
        <f aca="false">-O39*Hipótesis!$F$67/30</f>
        <v>5563.88237732278</v>
      </c>
      <c r="P69" s="101" t="n">
        <f aca="false">-P39*Hipótesis!$F$67/30</f>
        <v>6176.6813646444</v>
      </c>
      <c r="Q69" s="101" t="n">
        <f aca="false">-Q39*Hipótesis!$F$67/30</f>
        <v>6789.48035196602</v>
      </c>
      <c r="R69" s="101" t="n">
        <f aca="false">-R39*Hipótesis!$F$67/30</f>
        <v>7402.27933928765</v>
      </c>
      <c r="S69" s="101" t="n">
        <f aca="false">-S39*Hipótesis!$F$67/30</f>
        <v>8015.07832660927</v>
      </c>
      <c r="T69" s="101" t="n">
        <f aca="false">-T39*Hipótesis!$F$67/30</f>
        <v>8627.87731393089</v>
      </c>
      <c r="U69" s="101" t="n">
        <f aca="false">-U39*Hipótesis!$F$67/30</f>
        <v>9240.67630125251</v>
      </c>
      <c r="V69" s="101" t="n">
        <f aca="false">-V39*Hipótesis!$F$67/30</f>
        <v>9853.47528857414</v>
      </c>
      <c r="W69" s="101" t="n">
        <f aca="false">-W39*Hipótesis!$F$67/30</f>
        <v>10466.2742758958</v>
      </c>
      <c r="X69" s="101" t="n">
        <f aca="false">-X39*Hipótesis!$F$67/30</f>
        <v>10846.3482632174</v>
      </c>
      <c r="Y69" s="101" t="n">
        <f aca="false">-Y39*Hipótesis!$F$67/30</f>
        <v>11226.422250539</v>
      </c>
      <c r="Z69" s="101" t="n">
        <f aca="false">-Z39*Hipótesis!$F$67/30</f>
        <v>11513.4062378606</v>
      </c>
      <c r="AA69" s="101" t="n">
        <f aca="false">-AA39*Hipótesis!$F$67/30</f>
        <v>11800.3902251822</v>
      </c>
      <c r="AB69" s="101" t="n">
        <f aca="false">-AB39*Hipótesis!$F$67/30</f>
        <v>12087.3742125039</v>
      </c>
      <c r="AC69" s="101" t="n">
        <f aca="false">-AC39*Hipótesis!$F$67/30</f>
        <v>12374.3581998255</v>
      </c>
      <c r="AD69" s="101" t="n">
        <f aca="false">-AD39*Hipótesis!$F$67/30</f>
        <v>12661.3421871471</v>
      </c>
      <c r="AE69" s="101" t="n">
        <f aca="false">-AE39*Hipótesis!$F$67/30</f>
        <v>12948.3261744687</v>
      </c>
      <c r="AF69" s="101" t="n">
        <f aca="false">-AF39*Hipótesis!$F$67/30</f>
        <v>13235.3101617903</v>
      </c>
      <c r="AG69" s="101" t="n">
        <f aca="false">-AG39*Hipótesis!$F$67/30</f>
        <v>13522.294149112</v>
      </c>
      <c r="AH69" s="101" t="n">
        <f aca="false">-AH39*Hipótesis!$F$67/30</f>
        <v>13809.2781364336</v>
      </c>
      <c r="AI69" s="101" t="n">
        <f aca="false">-AI39*Hipótesis!$F$67/30</f>
        <v>14096.2621237552</v>
      </c>
      <c r="AJ69" s="101" t="n">
        <f aca="false">-AJ39*Hipótesis!$F$67/30</f>
        <v>14383.2461110768</v>
      </c>
      <c r="AK69" s="101" t="n">
        <f aca="false">-AK39*Hipótesis!$F$67/30</f>
        <v>14670.2300983985</v>
      </c>
      <c r="AL69" s="101" t="n">
        <f aca="false">-AL39*Hipótesis!$F$67/30</f>
        <v>14957.2140857201</v>
      </c>
      <c r="AM69" s="101" t="n">
        <f aca="false">-AM39*Hipótesis!$F$67/30</f>
        <v>15244.1980730417</v>
      </c>
      <c r="AN69" s="101" t="n">
        <f aca="false">-AN39*Hipótesis!$F$67/30</f>
        <v>15531.1820603633</v>
      </c>
      <c r="AO69" s="101" t="n">
        <f aca="false">-AO39*Hipótesis!$F$67/30</f>
        <v>15818.1660476849</v>
      </c>
      <c r="AP69" s="101" t="n">
        <f aca="false">-AP39*Hipótesis!$F$67/30</f>
        <v>16105.1500350066</v>
      </c>
      <c r="AQ69" s="101" t="n">
        <f aca="false">-AQ39*Hipótesis!$F$67/30</f>
        <v>16392.1340223282</v>
      </c>
      <c r="AR69" s="101" t="n">
        <f aca="false">-AR39*Hipótesis!$F$67/30</f>
        <v>16679.1180096498</v>
      </c>
      <c r="AS69" s="101" t="n">
        <f aca="false">-AS39*Hipótesis!$F$67/30</f>
        <v>16679.1180096498</v>
      </c>
      <c r="AT69" s="101" t="n">
        <f aca="false">-AT39*Hipótesis!$F$67/30</f>
        <v>16679.1180096498</v>
      </c>
      <c r="AU69" s="101" t="n">
        <f aca="false">-AU39*Hipótesis!$F$67/30</f>
        <v>16679.1180096498</v>
      </c>
      <c r="AV69" s="101" t="n">
        <f aca="false">-AV39*Hipótesis!$F$67/30</f>
        <v>16679.1180096498</v>
      </c>
      <c r="AW69" s="101" t="n">
        <f aca="false">-AW39*Hipótesis!$F$67/30</f>
        <v>16679.1180096498</v>
      </c>
      <c r="AX69" s="101" t="n">
        <f aca="false">-AX39*Hipótesis!$F$67/30</f>
        <v>16679.1180096498</v>
      </c>
      <c r="AY69" s="101" t="n">
        <f aca="false">-AY39*Hipótesis!$F$67/30</f>
        <v>16679.1180096498</v>
      </c>
      <c r="AZ69" s="101" t="n">
        <f aca="false">-AZ39*Hipótesis!$F$67/30</f>
        <v>16679.1180096498</v>
      </c>
      <c r="BA69" s="101" t="n">
        <f aca="false">-BA39*Hipótesis!$F$67/30</f>
        <v>16679.1180096498</v>
      </c>
      <c r="BB69" s="101" t="n">
        <f aca="false">-BB39*Hipótesis!$F$67/30</f>
        <v>16679.1180096498</v>
      </c>
      <c r="BC69" s="101" t="n">
        <f aca="false">-BC39*Hipótesis!$F$67/30</f>
        <v>16679.1180096498</v>
      </c>
      <c r="BD69" s="101" t="n">
        <f aca="false">-BD39*Hipótesis!$F$67/30</f>
        <v>16679.1180096498</v>
      </c>
      <c r="BE69" s="101" t="n">
        <f aca="false">-BE39*Hipótesis!$F$67/30</f>
        <v>16679.1180096498</v>
      </c>
      <c r="BF69" s="101" t="n">
        <f aca="false">-BF39*Hipótesis!$F$67/30</f>
        <v>16679.1180096498</v>
      </c>
      <c r="BG69" s="101" t="n">
        <f aca="false">-BG39*Hipótesis!$F$67/30</f>
        <v>16679.1180096498</v>
      </c>
      <c r="BH69" s="101" t="n">
        <f aca="false">-BH39*Hipótesis!$F$67/30</f>
        <v>16679.1180096498</v>
      </c>
      <c r="BI69" s="101" t="n">
        <f aca="false">-BI39*Hipótesis!$F$67/30</f>
        <v>16679.1180096498</v>
      </c>
      <c r="BJ69" s="101" t="n">
        <f aca="false">-BJ39*Hipótesis!$F$67/30</f>
        <v>16679.1180096498</v>
      </c>
      <c r="BK69" s="101" t="n">
        <f aca="false">-BK39*Hipótesis!$F$67/30</f>
        <v>16679.1180096498</v>
      </c>
      <c r="BL69" s="101" t="n">
        <f aca="false">-BL39*Hipótesis!$F$67/30</f>
        <v>16679.1180096498</v>
      </c>
      <c r="BM69" s="101" t="n">
        <f aca="false">-BM39*Hipótesis!$F$67/30</f>
        <v>16679.1180096498</v>
      </c>
      <c r="BN69" s="101" t="n">
        <f aca="false">-BN39*Hipótesis!$F$67/30</f>
        <v>16679.1180096498</v>
      </c>
      <c r="BO69" s="101" t="n">
        <f aca="false">-BO39*Hipótesis!$F$67/30</f>
        <v>16679.1180096498</v>
      </c>
      <c r="BP69" s="101" t="n">
        <f aca="false">-BP39*Hipótesis!$F$67/30</f>
        <v>16679.1180096498</v>
      </c>
      <c r="BQ69" s="101" t="n">
        <f aca="false">-BQ39*Hipótesis!$F$67/30</f>
        <v>16679.1180096498</v>
      </c>
      <c r="BR69" s="101" t="n">
        <f aca="false">-BR39*Hipótesis!$F$67/30</f>
        <v>16679.1180096498</v>
      </c>
      <c r="BS69" s="101" t="n">
        <f aca="false">-BS39*Hipótesis!$F$67/30</f>
        <v>16679.1180096498</v>
      </c>
      <c r="BT69" s="101" t="n">
        <f aca="false">-BT39*Hipótesis!$F$67/30</f>
        <v>16679.1180096498</v>
      </c>
      <c r="BU69" s="101" t="n">
        <f aca="false">-BU39*Hipótesis!$F$67/30</f>
        <v>16679.1180096498</v>
      </c>
      <c r="BV69" s="101" t="n">
        <f aca="false">-BV39*Hipótesis!$F$67/30</f>
        <v>16679.1180096498</v>
      </c>
      <c r="BW69" s="101" t="n">
        <f aca="false">-BW39*Hipótesis!$F$67/30</f>
        <v>16679.1180096498</v>
      </c>
      <c r="BX69" s="101" t="n">
        <f aca="false">-BX39*Hipótesis!$F$67/30</f>
        <v>16679.1180096498</v>
      </c>
      <c r="BY69" s="101" t="n">
        <f aca="false">-BY39*Hipótesis!$F$67/30</f>
        <v>16679.1180096498</v>
      </c>
      <c r="BZ69" s="101" t="n">
        <f aca="false">-BZ39*Hipótesis!$F$67/30</f>
        <v>16679.1180096498</v>
      </c>
      <c r="CA69" s="101" t="n">
        <f aca="false">-CA39*Hipótesis!$F$67/30</f>
        <v>16679.1180096498</v>
      </c>
      <c r="CB69" s="101" t="n">
        <f aca="false">-CB39*Hipótesis!$F$67/30</f>
        <v>16679.1180096498</v>
      </c>
      <c r="CC69" s="101" t="n">
        <f aca="false">-CC39*Hipótesis!$F$67/30</f>
        <v>16679.1180096498</v>
      </c>
      <c r="CD69" s="101" t="n">
        <f aca="false">-CD39*Hipótesis!$F$67/30</f>
        <v>16679.1180096498</v>
      </c>
      <c r="CE69" s="101" t="n">
        <f aca="false">-CE39*Hipótesis!$F$67/30</f>
        <v>16679.1180096498</v>
      </c>
      <c r="CF69" s="101" t="n">
        <f aca="false">-CF39*Hipótesis!$F$67/30</f>
        <v>16679.1180096498</v>
      </c>
      <c r="CG69" s="101" t="n">
        <f aca="false">-CG39*Hipótesis!$F$67/30</f>
        <v>16679.1180096498</v>
      </c>
      <c r="CH69" s="101" t="n">
        <f aca="false">-CH39*Hipótesis!$F$67/30</f>
        <v>16679.1180096498</v>
      </c>
    </row>
    <row r="70" customFormat="false" ht="13.5" hidden="false" customHeight="true" outlineLevel="0" collapsed="false">
      <c r="A70" s="22" t="s">
        <v>544</v>
      </c>
      <c r="C70" s="101" t="n">
        <f aca="false">C68*(1-Hipótesis!$D$73)-C69</f>
        <v>341.6751</v>
      </c>
      <c r="D70" s="101" t="n">
        <f aca="false">D68*(1-Hipótesis!$D$73)-D69</f>
        <v>703.2123</v>
      </c>
      <c r="E70" s="101" t="n">
        <f aca="false">E68*(1-Hipótesis!$D$73)-E69</f>
        <v>1387.71192924107</v>
      </c>
      <c r="F70" s="101" t="n">
        <f aca="false">F68*(1-Hipótesis!$D$73)-F69</f>
        <v>1730.53645848214</v>
      </c>
      <c r="G70" s="101" t="n">
        <f aca="false">G68*(1-Hipótesis!$D$73)-G69</f>
        <v>2053.49888772321</v>
      </c>
      <c r="H70" s="101" t="n">
        <f aca="false">H68*(1-Hipótesis!$D$73)-H69</f>
        <v>2526.53087946429</v>
      </c>
      <c r="I70" s="101" t="n">
        <f aca="false">I68*(1-Hipótesis!$D$73)-I69</f>
        <v>3416.03732321606</v>
      </c>
      <c r="J70" s="101" t="n">
        <f aca="false">J68*(1-Hipótesis!$D$73)-J69</f>
        <v>4305.54376696783</v>
      </c>
      <c r="K70" s="101" t="n">
        <f aca="false">K68*(1-Hipótesis!$D$73)-K69</f>
        <v>5195.05021071961</v>
      </c>
      <c r="L70" s="101" t="n">
        <f aca="false">L68*(1-Hipótesis!$D$73)-L69</f>
        <v>6084.55665447138</v>
      </c>
      <c r="M70" s="101" t="n">
        <f aca="false">M68*(1-Hipótesis!$D$73)-M69</f>
        <v>6651.10066898209</v>
      </c>
      <c r="N70" s="101" t="n">
        <f aca="false">N68*(1-Hipótesis!$D$73)-N69</f>
        <v>7407.73968349279</v>
      </c>
      <c r="O70" s="101" t="n">
        <f aca="false">O68*(1-Hipótesis!$D$73)-O69</f>
        <v>8164.37869800349</v>
      </c>
      <c r="P70" s="101" t="n">
        <f aca="false">P68*(1-Hipótesis!$D$73)-P69</f>
        <v>8835.71095001419</v>
      </c>
      <c r="Q70" s="101" t="n">
        <f aca="false">Q68*(1-Hipótesis!$D$73)-Q69</f>
        <v>9507.0432020249</v>
      </c>
      <c r="R70" s="101" t="n">
        <f aca="false">R68*(1-Hipótesis!$D$73)-R69</f>
        <v>10178.3754540356</v>
      </c>
      <c r="S70" s="101" t="n">
        <f aca="false">S68*(1-Hipótesis!$D$73)-S69</f>
        <v>10849.7077060463</v>
      </c>
      <c r="T70" s="101" t="n">
        <f aca="false">T68*(1-Hipótesis!$D$73)-T69</f>
        <v>11521.039958057</v>
      </c>
      <c r="U70" s="101" t="n">
        <f aca="false">U68*(1-Hipótesis!$D$73)-U69</f>
        <v>12192.3722100677</v>
      </c>
      <c r="V70" s="101" t="n">
        <f aca="false">V68*(1-Hipótesis!$D$73)-V69</f>
        <v>12863.7044620784</v>
      </c>
      <c r="W70" s="101" t="n">
        <f aca="false">W68*(1-Hipótesis!$D$73)-W69</f>
        <v>13535.0367140891</v>
      </c>
      <c r="X70" s="101" t="n">
        <f aca="false">X68*(1-Hipótesis!$D$73)-X69</f>
        <v>14016.2739660998</v>
      </c>
      <c r="Y70" s="101" t="n">
        <f aca="false">Y68*(1-Hipótesis!$D$73)-Y69</f>
        <v>14497.5112181105</v>
      </c>
      <c r="Z70" s="101" t="n">
        <f aca="false">Z68*(1-Hipótesis!$D$73)-Z69</f>
        <v>14913.9856701212</v>
      </c>
      <c r="AA70" s="101" t="n">
        <f aca="false">AA68*(1-Hipótesis!$D$73)-AA69</f>
        <v>15330.4601221319</v>
      </c>
      <c r="AB70" s="101" t="n">
        <f aca="false">AB68*(1-Hipótesis!$D$73)-AB69</f>
        <v>15746.9345741426</v>
      </c>
      <c r="AC70" s="101" t="n">
        <f aca="false">AC68*(1-Hipótesis!$D$73)-AC69</f>
        <v>16163.4090261533</v>
      </c>
      <c r="AD70" s="101" t="n">
        <f aca="false">AD68*(1-Hipótesis!$D$73)-AD69</f>
        <v>16579.883478164</v>
      </c>
      <c r="AE70" s="101" t="n">
        <f aca="false">AE68*(1-Hipótesis!$D$73)-AE69</f>
        <v>16996.3579301747</v>
      </c>
      <c r="AF70" s="101" t="n">
        <f aca="false">AF68*(1-Hipótesis!$D$73)-AF69</f>
        <v>17412.8323821854</v>
      </c>
      <c r="AG70" s="101" t="n">
        <f aca="false">AG68*(1-Hipótesis!$D$73)-AG69</f>
        <v>17829.3068341961</v>
      </c>
      <c r="AH70" s="101" t="n">
        <f aca="false">AH68*(1-Hipótesis!$D$73)-AH69</f>
        <v>18245.7812862068</v>
      </c>
      <c r="AI70" s="101" t="n">
        <f aca="false">AI68*(1-Hipótesis!$D$73)-AI69</f>
        <v>18662.2557382176</v>
      </c>
      <c r="AJ70" s="101" t="n">
        <f aca="false">AJ68*(1-Hipótesis!$D$73)-AJ69</f>
        <v>19078.7301902283</v>
      </c>
      <c r="AK70" s="101" t="n">
        <f aca="false">AK68*(1-Hipótesis!$D$73)-AK69</f>
        <v>19495.204642239</v>
      </c>
      <c r="AL70" s="101" t="n">
        <f aca="false">AL68*(1-Hipótesis!$D$73)-AL69</f>
        <v>19911.6790942497</v>
      </c>
      <c r="AM70" s="101" t="n">
        <f aca="false">AM68*(1-Hipótesis!$D$73)-AM69</f>
        <v>20328.1535462604</v>
      </c>
      <c r="AN70" s="101" t="n">
        <f aca="false">AN68*(1-Hipótesis!$D$73)-AN69</f>
        <v>20744.6279982711</v>
      </c>
      <c r="AO70" s="101" t="n">
        <f aca="false">AO68*(1-Hipótesis!$D$73)-AO69</f>
        <v>21161.1024502818</v>
      </c>
      <c r="AP70" s="101" t="n">
        <f aca="false">AP68*(1-Hipótesis!$D$73)-AP69</f>
        <v>21577.5769022925</v>
      </c>
      <c r="AQ70" s="101" t="n">
        <f aca="false">AQ68*(1-Hipótesis!$D$73)-AQ69</f>
        <v>21994.0513543032</v>
      </c>
      <c r="AR70" s="101" t="n">
        <f aca="false">AR68*(1-Hipótesis!$D$73)-AR69</f>
        <v>22410.5258063139</v>
      </c>
      <c r="AS70" s="101" t="n">
        <f aca="false">AS68*(1-Hipótesis!$D$73)-AS69</f>
        <v>22410.5258063139</v>
      </c>
      <c r="AT70" s="101" t="n">
        <f aca="false">AT68*(1-Hipótesis!$D$73)-AT69</f>
        <v>22410.5258063139</v>
      </c>
      <c r="AU70" s="101" t="n">
        <f aca="false">AU68*(1-Hipótesis!$D$73)-AU69</f>
        <v>22410.5258063139</v>
      </c>
      <c r="AV70" s="101" t="n">
        <f aca="false">AV68*(1-Hipótesis!$D$73)-AV69</f>
        <v>22410.5258063139</v>
      </c>
      <c r="AW70" s="101" t="n">
        <f aca="false">AW68*(1-Hipótesis!$D$73)-AW69</f>
        <v>22410.5258063139</v>
      </c>
      <c r="AX70" s="101" t="n">
        <f aca="false">AX68*(1-Hipótesis!$D$73)-AX69</f>
        <v>22410.5258063139</v>
      </c>
      <c r="AY70" s="101" t="n">
        <f aca="false">AY68*(1-Hipótesis!$D$73)-AY69</f>
        <v>22410.5258063139</v>
      </c>
      <c r="AZ70" s="101" t="n">
        <f aca="false">AZ68*(1-Hipótesis!$D$73)-AZ69</f>
        <v>22410.5258063139</v>
      </c>
      <c r="BA70" s="101" t="n">
        <f aca="false">BA68*(1-Hipótesis!$D$73)-BA69</f>
        <v>22410.5258063139</v>
      </c>
      <c r="BB70" s="101" t="n">
        <f aca="false">BB68*(1-Hipótesis!$D$73)-BB69</f>
        <v>22410.5258063139</v>
      </c>
      <c r="BC70" s="101" t="n">
        <f aca="false">BC68*(1-Hipótesis!$D$73)-BC69</f>
        <v>22410.5258063139</v>
      </c>
      <c r="BD70" s="101" t="n">
        <f aca="false">BD68*(1-Hipótesis!$D$73)-BD69</f>
        <v>22410.5258063139</v>
      </c>
      <c r="BE70" s="101" t="n">
        <f aca="false">BE68*(1-Hipótesis!$D$73)-BE69</f>
        <v>22410.5258063139</v>
      </c>
      <c r="BF70" s="101" t="n">
        <f aca="false">BF68*(1-Hipótesis!$D$73)-BF69</f>
        <v>22410.5258063139</v>
      </c>
      <c r="BG70" s="101" t="n">
        <f aca="false">BG68*(1-Hipótesis!$D$73)-BG69</f>
        <v>22410.5258063139</v>
      </c>
      <c r="BH70" s="101" t="n">
        <f aca="false">BH68*(1-Hipótesis!$D$73)-BH69</f>
        <v>22410.5258063139</v>
      </c>
      <c r="BI70" s="101" t="n">
        <f aca="false">BI68*(1-Hipótesis!$D$73)-BI69</f>
        <v>22410.5258063139</v>
      </c>
      <c r="BJ70" s="101" t="n">
        <f aca="false">BJ68*(1-Hipótesis!$D$73)-BJ69</f>
        <v>22410.5258063139</v>
      </c>
      <c r="BK70" s="101" t="n">
        <f aca="false">BK68*(1-Hipótesis!$D$73)-BK69</f>
        <v>22410.5258063139</v>
      </c>
      <c r="BL70" s="101" t="n">
        <f aca="false">BL68*(1-Hipótesis!$D$73)-BL69</f>
        <v>22410.5258063139</v>
      </c>
      <c r="BM70" s="101" t="n">
        <f aca="false">BM68*(1-Hipótesis!$D$73)-BM69</f>
        <v>22410.5258063139</v>
      </c>
      <c r="BN70" s="101" t="n">
        <f aca="false">BN68*(1-Hipótesis!$D$73)-BN69</f>
        <v>22410.5258063139</v>
      </c>
      <c r="BO70" s="101" t="n">
        <f aca="false">BO68*(1-Hipótesis!$D$73)-BO69</f>
        <v>22410.5258063139</v>
      </c>
      <c r="BP70" s="101" t="n">
        <f aca="false">BP68*(1-Hipótesis!$D$73)-BP69</f>
        <v>22410.5258063139</v>
      </c>
      <c r="BQ70" s="101" t="n">
        <f aca="false">BQ68*(1-Hipótesis!$D$73)-BQ69</f>
        <v>22410.5258063139</v>
      </c>
      <c r="BR70" s="101" t="n">
        <f aca="false">BR68*(1-Hipótesis!$D$73)-BR69</f>
        <v>22410.5258063139</v>
      </c>
      <c r="BS70" s="101" t="n">
        <f aca="false">BS68*(1-Hipótesis!$D$73)-BS69</f>
        <v>22410.5258063139</v>
      </c>
      <c r="BT70" s="101" t="n">
        <f aca="false">BT68*(1-Hipótesis!$D$73)-BT69</f>
        <v>22410.5258063139</v>
      </c>
      <c r="BU70" s="101" t="n">
        <f aca="false">BU68*(1-Hipótesis!$D$73)-BU69</f>
        <v>22410.5258063139</v>
      </c>
      <c r="BV70" s="101" t="n">
        <f aca="false">BV68*(1-Hipótesis!$D$73)-BV69</f>
        <v>22410.5258063139</v>
      </c>
      <c r="BW70" s="101" t="n">
        <f aca="false">BW68*(1-Hipótesis!$D$73)-BW69</f>
        <v>22410.5258063139</v>
      </c>
      <c r="BX70" s="101" t="n">
        <f aca="false">BX68*(1-Hipótesis!$D$73)-BX69</f>
        <v>22410.5258063139</v>
      </c>
      <c r="BY70" s="101" t="n">
        <f aca="false">BY68*(1-Hipótesis!$D$73)-BY69</f>
        <v>22410.5258063139</v>
      </c>
      <c r="BZ70" s="101" t="n">
        <f aca="false">BZ68*(1-Hipótesis!$D$73)-BZ69</f>
        <v>22410.5258063139</v>
      </c>
      <c r="CA70" s="101" t="n">
        <f aca="false">CA68*(1-Hipótesis!$D$73)-CA69</f>
        <v>22410.5258063139</v>
      </c>
      <c r="CB70" s="101" t="n">
        <f aca="false">CB68*(1-Hipótesis!$D$73)-CB69</f>
        <v>22410.5258063139</v>
      </c>
      <c r="CC70" s="101" t="n">
        <f aca="false">CC68*(1-Hipótesis!$D$73)-CC69</f>
        <v>22410.5258063139</v>
      </c>
      <c r="CD70" s="101" t="n">
        <f aca="false">CD68*(1-Hipótesis!$D$73)-CD69</f>
        <v>22410.5258063139</v>
      </c>
      <c r="CE70" s="101" t="n">
        <f aca="false">CE68*(1-Hipótesis!$D$73)-CE69</f>
        <v>22410.5258063139</v>
      </c>
      <c r="CF70" s="101" t="n">
        <f aca="false">CF68*(1-Hipótesis!$D$73)-CF69</f>
        <v>22410.5258063139</v>
      </c>
      <c r="CG70" s="101" t="n">
        <f aca="false">CG68*(1-Hipótesis!$D$73)-CG69</f>
        <v>22410.5258063139</v>
      </c>
      <c r="CH70" s="101" t="n">
        <f aca="false">CH68*(1-Hipótesis!$D$73)-CH69</f>
        <v>22410.5258063139</v>
      </c>
    </row>
    <row r="71" customFormat="false" ht="13.5" hidden="false" customHeight="true" outlineLevel="0" collapsed="false">
      <c r="A71" s="6" t="s">
        <v>545</v>
      </c>
      <c r="C71" s="100" t="n">
        <f aca="false">-C70</f>
        <v>-341.6751</v>
      </c>
      <c r="D71" s="100" t="n">
        <f aca="false">-(D70-C70)</f>
        <v>-361.5372</v>
      </c>
      <c r="E71" s="100" t="n">
        <f aca="false">-(E70-D70)</f>
        <v>-684.499629241071</v>
      </c>
      <c r="F71" s="100" t="n">
        <f aca="false">-(F70-E70)</f>
        <v>-342.824529241072</v>
      </c>
      <c r="G71" s="100" t="n">
        <f aca="false">-(G70-F70)</f>
        <v>-322.962429241072</v>
      </c>
      <c r="H71" s="100" t="n">
        <f aca="false">-(H70-G70)</f>
        <v>-473.031991741072</v>
      </c>
      <c r="I71" s="100" t="n">
        <f aca="false">-(I70-H70)</f>
        <v>-889.506443751774</v>
      </c>
      <c r="J71" s="100" t="n">
        <f aca="false">-(J70-I70)</f>
        <v>-889.506443751774</v>
      </c>
      <c r="K71" s="100" t="n">
        <f aca="false">-(K70-J70)</f>
        <v>-889.506443751776</v>
      </c>
      <c r="L71" s="100" t="n">
        <f aca="false">-(L70-K70)</f>
        <v>-889.506443751773</v>
      </c>
      <c r="M71" s="100" t="n">
        <f aca="false">-(M70-L70)</f>
        <v>-566.544014510703</v>
      </c>
      <c r="N71" s="100" t="n">
        <f aca="false">-(N70-M70)</f>
        <v>-756.639014510702</v>
      </c>
      <c r="O71" s="100" t="n">
        <f aca="false">-(O70-N70)</f>
        <v>-756.639014510703</v>
      </c>
      <c r="P71" s="100" t="n">
        <f aca="false">-(P70-O70)</f>
        <v>-671.332252010704</v>
      </c>
      <c r="Q71" s="100" t="n">
        <f aca="false">-(Q70-P70)</f>
        <v>-671.332252010701</v>
      </c>
      <c r="R71" s="100" t="n">
        <f aca="false">-(R70-Q70)</f>
        <v>-671.332252010707</v>
      </c>
      <c r="S71" s="100" t="n">
        <f aca="false">-(S70-R70)</f>
        <v>-671.332252010699</v>
      </c>
      <c r="T71" s="100" t="n">
        <f aca="false">-(T70-S70)</f>
        <v>-671.332252010701</v>
      </c>
      <c r="U71" s="100" t="n">
        <f aca="false">-(U70-T70)</f>
        <v>-671.332252010703</v>
      </c>
      <c r="V71" s="100" t="n">
        <f aca="false">-(V70-U70)</f>
        <v>-671.332252010707</v>
      </c>
      <c r="W71" s="100" t="n">
        <f aca="false">-(W70-V70)</f>
        <v>-671.332252010703</v>
      </c>
      <c r="X71" s="100" t="n">
        <f aca="false">-(X70-W70)</f>
        <v>-481.237252010696</v>
      </c>
      <c r="Y71" s="100" t="n">
        <f aca="false">-(Y70-X70)</f>
        <v>-481.237252010711</v>
      </c>
      <c r="Z71" s="100" t="n">
        <f aca="false">-(Z70-Y70)</f>
        <v>-416.474452010703</v>
      </c>
      <c r="AA71" s="100" t="n">
        <f aca="false">-(AA70-Z70)</f>
        <v>-416.474452010698</v>
      </c>
      <c r="AB71" s="100" t="n">
        <f aca="false">-(AB70-AA70)</f>
        <v>-416.474452010705</v>
      </c>
      <c r="AC71" s="100" t="n">
        <f aca="false">-(AC70-AB70)</f>
        <v>-416.474452010703</v>
      </c>
      <c r="AD71" s="100" t="n">
        <f aca="false">-(AD70-AC70)</f>
        <v>-416.474452010703</v>
      </c>
      <c r="AE71" s="100" t="n">
        <f aca="false">-(AE70-AD70)</f>
        <v>-416.474452010698</v>
      </c>
      <c r="AF71" s="100" t="n">
        <f aca="false">-(AF70-AE70)</f>
        <v>-416.474452010705</v>
      </c>
      <c r="AG71" s="100" t="n">
        <f aca="false">-(AG70-AF70)</f>
        <v>-416.474452010702</v>
      </c>
      <c r="AH71" s="100" t="n">
        <f aca="false">-(AH70-AG70)</f>
        <v>-416.474452010705</v>
      </c>
      <c r="AI71" s="100" t="n">
        <f aca="false">-(AI70-AH70)</f>
        <v>-416.474452010705</v>
      </c>
      <c r="AJ71" s="100" t="n">
        <f aca="false">-(AJ70-AI70)</f>
        <v>-416.474452010698</v>
      </c>
      <c r="AK71" s="100" t="n">
        <f aca="false">-(AK70-AJ70)</f>
        <v>-416.474452010702</v>
      </c>
      <c r="AL71" s="100" t="n">
        <f aca="false">-(AL70-AK70)</f>
        <v>-416.474452010705</v>
      </c>
      <c r="AM71" s="100" t="n">
        <f aca="false">-(AM70-AL70)</f>
        <v>-416.474452010702</v>
      </c>
      <c r="AN71" s="100" t="n">
        <f aca="false">-(AN70-AM70)</f>
        <v>-416.474452010709</v>
      </c>
      <c r="AO71" s="100" t="n">
        <f aca="false">-(AO70-AN70)</f>
        <v>-416.474452010702</v>
      </c>
      <c r="AP71" s="100" t="n">
        <f aca="false">-(AP70-AO70)</f>
        <v>-416.474452010702</v>
      </c>
      <c r="AQ71" s="100" t="n">
        <f aca="false">-(AQ70-AP70)</f>
        <v>-416.474452010698</v>
      </c>
      <c r="AR71" s="100" t="n">
        <f aca="false">-(AR70-AQ70)</f>
        <v>-416.474452010705</v>
      </c>
      <c r="AS71" s="100" t="n">
        <f aca="false">-(AS70-AR70)</f>
        <v>-0</v>
      </c>
      <c r="AT71" s="100" t="n">
        <f aca="false">-(AT70-AS70)</f>
        <v>-0</v>
      </c>
      <c r="AU71" s="100" t="n">
        <f aca="false">-(AU70-AT70)</f>
        <v>-0</v>
      </c>
      <c r="AV71" s="100" t="n">
        <f aca="false">-(AV70-AU70)</f>
        <v>-0</v>
      </c>
      <c r="AW71" s="100" t="n">
        <f aca="false">-(AW70-AV70)</f>
        <v>-0</v>
      </c>
      <c r="AX71" s="100" t="n">
        <f aca="false">-(AX70-AW70)</f>
        <v>-0</v>
      </c>
      <c r="AY71" s="100" t="n">
        <f aca="false">-(AY70-AX70)</f>
        <v>-0</v>
      </c>
      <c r="AZ71" s="100" t="n">
        <f aca="false">-(AZ70-AY70)</f>
        <v>-0</v>
      </c>
      <c r="BA71" s="100" t="n">
        <f aca="false">-(BA70-AZ70)</f>
        <v>-0</v>
      </c>
      <c r="BB71" s="100" t="n">
        <f aca="false">-(BB70-BA70)</f>
        <v>-0</v>
      </c>
      <c r="BC71" s="100" t="n">
        <f aca="false">-(BC70-BB70)</f>
        <v>-0</v>
      </c>
      <c r="BD71" s="100" t="n">
        <f aca="false">-(BD70-BC70)</f>
        <v>-0</v>
      </c>
      <c r="BE71" s="100" t="n">
        <f aca="false">-(BE70-BD70)</f>
        <v>-0</v>
      </c>
      <c r="BF71" s="100" t="n">
        <f aca="false">-(BF70-BE70)</f>
        <v>-0</v>
      </c>
      <c r="BG71" s="100" t="n">
        <f aca="false">-(BG70-BF70)</f>
        <v>-0</v>
      </c>
      <c r="BH71" s="100" t="n">
        <f aca="false">-(BH70-BG70)</f>
        <v>-0</v>
      </c>
      <c r="BI71" s="100" t="n">
        <f aca="false">-(BI70-BH70)</f>
        <v>-0</v>
      </c>
      <c r="BJ71" s="100" t="n">
        <f aca="false">-(BJ70-BI70)</f>
        <v>-0</v>
      </c>
      <c r="BK71" s="100" t="n">
        <f aca="false">-(BK70-BJ70)</f>
        <v>-0</v>
      </c>
      <c r="BL71" s="100" t="n">
        <f aca="false">-(BL70-BK70)</f>
        <v>-0</v>
      </c>
      <c r="BM71" s="100" t="n">
        <f aca="false">-(BM70-BL70)</f>
        <v>-0</v>
      </c>
      <c r="BN71" s="100" t="n">
        <f aca="false">-(BN70-BM70)</f>
        <v>-0</v>
      </c>
      <c r="BO71" s="100" t="n">
        <f aca="false">-(BO70-BN70)</f>
        <v>-0</v>
      </c>
      <c r="BP71" s="100" t="n">
        <f aca="false">-(BP70-BO70)</f>
        <v>-0</v>
      </c>
      <c r="BQ71" s="100" t="n">
        <f aca="false">-(BQ70-BP70)</f>
        <v>-0</v>
      </c>
      <c r="BR71" s="100" t="n">
        <f aca="false">-(BR70-BQ70)</f>
        <v>-0</v>
      </c>
      <c r="BS71" s="100" t="n">
        <f aca="false">-(BS70-BR70)</f>
        <v>-0</v>
      </c>
      <c r="BT71" s="100" t="n">
        <f aca="false">-(BT70-BS70)</f>
        <v>-0</v>
      </c>
      <c r="BU71" s="100" t="n">
        <f aca="false">-(BU70-BT70)</f>
        <v>-0</v>
      </c>
      <c r="BV71" s="100" t="n">
        <f aca="false">-(BV70-BU70)</f>
        <v>-0</v>
      </c>
      <c r="BW71" s="100" t="n">
        <f aca="false">-(BW70-BV70)</f>
        <v>-0</v>
      </c>
      <c r="BX71" s="100" t="n">
        <f aca="false">-(BX70-BW70)</f>
        <v>-0</v>
      </c>
      <c r="BY71" s="100" t="n">
        <f aca="false">-(BY70-BX70)</f>
        <v>-0</v>
      </c>
      <c r="BZ71" s="100" t="n">
        <f aca="false">-(BZ70-BY70)</f>
        <v>-0</v>
      </c>
      <c r="CA71" s="100" t="n">
        <f aca="false">-(CA70-BZ70)</f>
        <v>-0</v>
      </c>
      <c r="CB71" s="100" t="n">
        <f aca="false">-(CB70-CA70)</f>
        <v>-0</v>
      </c>
      <c r="CC71" s="100" t="n">
        <f aca="false">-(CC70-CB70)</f>
        <v>-0</v>
      </c>
      <c r="CD71" s="100" t="n">
        <f aca="false">-(CD70-CC70)</f>
        <v>-0</v>
      </c>
      <c r="CE71" s="100" t="n">
        <f aca="false">-(CE70-CD70)</f>
        <v>-0</v>
      </c>
      <c r="CF71" s="100" t="n">
        <f aca="false">-(CF70-CE70)</f>
        <v>-0</v>
      </c>
      <c r="CG71" s="100" t="n">
        <f aca="false">-(CG70-CF70)</f>
        <v>-0</v>
      </c>
      <c r="CH71" s="100" t="n">
        <f aca="false">-(CH70-CG70)</f>
        <v>-0</v>
      </c>
    </row>
    <row r="72" customFormat="false" ht="13.5" hidden="false" customHeight="true" outlineLevel="0" collapsed="false">
      <c r="A72" s="6" t="s">
        <v>546</v>
      </c>
      <c r="C72" s="100" t="n">
        <f aca="false">-CAPEX!$C$22*CAPEX!$C$29</f>
        <v>-29601</v>
      </c>
      <c r="D72" s="100" t="n">
        <f aca="false">-CAPEX!$C$22*CAPEX!$D$29</f>
        <v>-13813.8</v>
      </c>
      <c r="E72" s="100" t="n">
        <f aca="false">-CAPEX!$C$22*CAPEX!$E$29</f>
        <v>-9867</v>
      </c>
      <c r="F72" s="100" t="n">
        <f aca="false">-CAPEX!$C$22*CAPEX!$F$29</f>
        <v>-8880.3</v>
      </c>
      <c r="G72" s="100" t="n">
        <f aca="false">-CAPEX!$C$22*CAPEX!$G$29</f>
        <v>-7893.6</v>
      </c>
      <c r="H72" s="100" t="n">
        <f aca="false">-CAPEX!$C$22*CAPEX!$H$29</f>
        <v>-6906.9</v>
      </c>
      <c r="I72" s="100" t="n">
        <f aca="false">-CAPEX!$C$22*CAPEX!$I$29</f>
        <v>-5920.2</v>
      </c>
      <c r="J72" s="100" t="n">
        <f aca="false">-CAPEX!$C$22*CAPEX!$J$29</f>
        <v>-4933.5</v>
      </c>
      <c r="K72" s="100" t="n">
        <f aca="false">-CAPEX!$C$22*CAPEX!$K$29</f>
        <v>-3946.8</v>
      </c>
      <c r="L72" s="100" t="n">
        <f aca="false">-CAPEX!$C$22*CAPEX!$L$29</f>
        <v>-2960.1</v>
      </c>
      <c r="M72" s="100" t="n">
        <f aca="false">-CAPEX!$C$22*CAPEX!$M$29</f>
        <v>-1973.4</v>
      </c>
      <c r="N72" s="100" t="n">
        <f aca="false">-CAPEX!$C$22*CAPEX!$N$29</f>
        <v>-1973.4</v>
      </c>
      <c r="O72" s="100" t="n">
        <f aca="false">0</f>
        <v>0</v>
      </c>
      <c r="P72" s="100" t="n">
        <f aca="false">0</f>
        <v>0</v>
      </c>
      <c r="Q72" s="100" t="n">
        <f aca="false">0</f>
        <v>0</v>
      </c>
      <c r="R72" s="100" t="n">
        <f aca="false">0</f>
        <v>0</v>
      </c>
      <c r="S72" s="100" t="n">
        <f aca="false">0</f>
        <v>0</v>
      </c>
      <c r="T72" s="100" t="n">
        <f aca="false">0</f>
        <v>0</v>
      </c>
      <c r="U72" s="100" t="n">
        <f aca="false">0</f>
        <v>0</v>
      </c>
      <c r="V72" s="100" t="n">
        <f aca="false">0</f>
        <v>0</v>
      </c>
      <c r="W72" s="100" t="n">
        <f aca="false">0</f>
        <v>0</v>
      </c>
      <c r="X72" s="100" t="n">
        <f aca="false">0</f>
        <v>0</v>
      </c>
      <c r="Y72" s="100" t="n">
        <f aca="false">0</f>
        <v>0</v>
      </c>
      <c r="Z72" s="100" t="n">
        <f aca="false">0</f>
        <v>0</v>
      </c>
      <c r="AA72" s="100" t="n">
        <f aca="false">0</f>
        <v>0</v>
      </c>
      <c r="AB72" s="100" t="n">
        <f aca="false">0</f>
        <v>0</v>
      </c>
      <c r="AC72" s="100" t="n">
        <f aca="false">0</f>
        <v>0</v>
      </c>
      <c r="AD72" s="100" t="n">
        <f aca="false">0</f>
        <v>0</v>
      </c>
      <c r="AE72" s="100" t="n">
        <f aca="false">0</f>
        <v>0</v>
      </c>
      <c r="AF72" s="100" t="n">
        <f aca="false">0</f>
        <v>0</v>
      </c>
      <c r="AG72" s="100" t="n">
        <f aca="false">0</f>
        <v>0</v>
      </c>
      <c r="AH72" s="100" t="n">
        <f aca="false">0</f>
        <v>0</v>
      </c>
      <c r="AI72" s="100" t="n">
        <f aca="false">0</f>
        <v>0</v>
      </c>
      <c r="AJ72" s="100" t="n">
        <f aca="false">0</f>
        <v>0</v>
      </c>
      <c r="AK72" s="100" t="n">
        <f aca="false">0</f>
        <v>0</v>
      </c>
      <c r="AL72" s="100" t="n">
        <f aca="false">0</f>
        <v>0</v>
      </c>
      <c r="AM72" s="100" t="n">
        <f aca="false">0</f>
        <v>0</v>
      </c>
      <c r="AN72" s="100" t="n">
        <f aca="false">0</f>
        <v>0</v>
      </c>
      <c r="AO72" s="100" t="n">
        <f aca="false">0</f>
        <v>0</v>
      </c>
      <c r="AP72" s="100" t="n">
        <f aca="false">0</f>
        <v>0</v>
      </c>
      <c r="AQ72" s="100" t="n">
        <f aca="false">0</f>
        <v>0</v>
      </c>
      <c r="AR72" s="100" t="n">
        <f aca="false">0</f>
        <v>0</v>
      </c>
      <c r="AS72" s="100" t="n">
        <f aca="false">0</f>
        <v>0</v>
      </c>
      <c r="AT72" s="100" t="n">
        <f aca="false">0</f>
        <v>0</v>
      </c>
      <c r="AU72" s="100" t="n">
        <f aca="false">0</f>
        <v>0</v>
      </c>
      <c r="AV72" s="100" t="n">
        <f aca="false">0</f>
        <v>0</v>
      </c>
      <c r="AW72" s="100" t="n">
        <f aca="false">0</f>
        <v>0</v>
      </c>
      <c r="AX72" s="100" t="n">
        <f aca="false">0</f>
        <v>0</v>
      </c>
      <c r="AY72" s="100" t="n">
        <f aca="false">0</f>
        <v>0</v>
      </c>
      <c r="AZ72" s="100" t="n">
        <f aca="false">0</f>
        <v>0</v>
      </c>
      <c r="BA72" s="100" t="n">
        <f aca="false">0</f>
        <v>0</v>
      </c>
      <c r="BB72" s="100" t="n">
        <f aca="false">0</f>
        <v>0</v>
      </c>
      <c r="BC72" s="100" t="n">
        <f aca="false">0</f>
        <v>0</v>
      </c>
      <c r="BD72" s="100" t="n">
        <f aca="false">0</f>
        <v>0</v>
      </c>
      <c r="BE72" s="100" t="n">
        <f aca="false">0</f>
        <v>0</v>
      </c>
      <c r="BF72" s="100" t="n">
        <f aca="false">0</f>
        <v>0</v>
      </c>
      <c r="BG72" s="100" t="n">
        <f aca="false">0</f>
        <v>0</v>
      </c>
      <c r="BH72" s="100" t="n">
        <f aca="false">0</f>
        <v>0</v>
      </c>
      <c r="BI72" s="100" t="n">
        <f aca="false">0</f>
        <v>0</v>
      </c>
      <c r="BJ72" s="100" t="n">
        <f aca="false">0</f>
        <v>0</v>
      </c>
      <c r="BK72" s="100" t="n">
        <f aca="false">0</f>
        <v>0</v>
      </c>
      <c r="BL72" s="100" t="n">
        <f aca="false">0</f>
        <v>0</v>
      </c>
      <c r="BM72" s="100" t="n">
        <f aca="false">0</f>
        <v>0</v>
      </c>
      <c r="BN72" s="100" t="n">
        <f aca="false">0</f>
        <v>0</v>
      </c>
      <c r="BO72" s="100" t="n">
        <f aca="false">0</f>
        <v>0</v>
      </c>
      <c r="BP72" s="100" t="n">
        <f aca="false">0</f>
        <v>0</v>
      </c>
      <c r="BQ72" s="100" t="n">
        <f aca="false">0</f>
        <v>0</v>
      </c>
      <c r="BR72" s="100" t="n">
        <f aca="false">0</f>
        <v>0</v>
      </c>
      <c r="BS72" s="100" t="n">
        <f aca="false">0</f>
        <v>0</v>
      </c>
      <c r="BT72" s="100" t="n">
        <f aca="false">0</f>
        <v>0</v>
      </c>
      <c r="BU72" s="100" t="n">
        <f aca="false">0</f>
        <v>0</v>
      </c>
      <c r="BV72" s="100" t="n">
        <f aca="false">0</f>
        <v>0</v>
      </c>
      <c r="BW72" s="100" t="n">
        <f aca="false">0</f>
        <v>0</v>
      </c>
      <c r="BX72" s="100" t="n">
        <f aca="false">0</f>
        <v>0</v>
      </c>
      <c r="BY72" s="100" t="n">
        <f aca="false">0</f>
        <v>0</v>
      </c>
      <c r="BZ72" s="100" t="n">
        <f aca="false">0</f>
        <v>0</v>
      </c>
      <c r="CA72" s="100" t="n">
        <f aca="false">0</f>
        <v>0</v>
      </c>
      <c r="CB72" s="100" t="n">
        <f aca="false">0</f>
        <v>0</v>
      </c>
      <c r="CC72" s="100" t="n">
        <f aca="false">0</f>
        <v>0</v>
      </c>
      <c r="CD72" s="100" t="n">
        <f aca="false">0</f>
        <v>0</v>
      </c>
      <c r="CE72" s="100" t="n">
        <f aca="false">0</f>
        <v>0</v>
      </c>
      <c r="CF72" s="100" t="n">
        <f aca="false">0</f>
        <v>0</v>
      </c>
      <c r="CG72" s="100" t="n">
        <f aca="false">0</f>
        <v>0</v>
      </c>
      <c r="CH72" s="100" t="n">
        <f aca="false">0</f>
        <v>0</v>
      </c>
    </row>
    <row r="73" customFormat="false" ht="13.5" hidden="false" customHeight="true" outlineLevel="0" collapsed="false">
      <c r="A73" s="6" t="s">
        <v>547</v>
      </c>
      <c r="C73" s="100" t="n">
        <f aca="false">-C36*Hipótesis!$D$68</f>
        <v>-24.1338</v>
      </c>
      <c r="D73" s="100" t="n">
        <f aca="false">-D36*Hipótesis!$D$68</f>
        <v>-50.1468</v>
      </c>
      <c r="E73" s="100" t="n">
        <f aca="false">-E36*Hipótesis!$D$68</f>
        <v>-104.445675</v>
      </c>
      <c r="F73" s="100" t="n">
        <f aca="false">-F36*Hipótesis!$D$68</f>
        <v>-134.61075</v>
      </c>
      <c r="G73" s="100" t="n">
        <f aca="false">-G36*Hipótesis!$D$68</f>
        <v>-162.896625</v>
      </c>
      <c r="H73" s="100" t="n">
        <f aca="false">-H36*Hipótesis!$D$68</f>
        <v>-208.4085</v>
      </c>
      <c r="I73" s="100" t="n">
        <f aca="false">-I36*Hipótesis!$D$68</f>
        <v>-293.001399407351</v>
      </c>
      <c r="J73" s="100" t="n">
        <f aca="false">-J36*Hipótesis!$D$68</f>
        <v>-377.594298814703</v>
      </c>
      <c r="K73" s="100" t="n">
        <f aca="false">-K36*Hipótesis!$D$68</f>
        <v>-462.187198222054</v>
      </c>
      <c r="L73" s="100" t="n">
        <f aca="false">-L36*Hipótesis!$D$68</f>
        <v>-546.780097629405</v>
      </c>
      <c r="M73" s="100" t="n">
        <f aca="false">-M36*Hipótesis!$D$68</f>
        <v>-603.087122036757</v>
      </c>
      <c r="N73" s="100" t="n">
        <f aca="false">-N36*Hipótesis!$D$68</f>
        <v>-682.884146444108</v>
      </c>
      <c r="O73" s="100" t="n">
        <f aca="false">-O36*Hipótesis!$D$68</f>
        <v>-762.68117085146</v>
      </c>
      <c r="P73" s="100" t="n">
        <f aca="false">-P36*Hipótesis!$D$68</f>
        <v>-834.021795258811</v>
      </c>
      <c r="Q73" s="100" t="n">
        <f aca="false">-Q36*Hipótesis!$D$68</f>
        <v>-905.362419666162</v>
      </c>
      <c r="R73" s="100" t="n">
        <f aca="false">-R36*Hipótesis!$D$68</f>
        <v>-976.703044073514</v>
      </c>
      <c r="S73" s="100" t="n">
        <f aca="false">-S36*Hipótesis!$D$68</f>
        <v>-1048.04366848086</v>
      </c>
      <c r="T73" s="100" t="n">
        <f aca="false">-T36*Hipótesis!$D$68</f>
        <v>-1119.38429288822</v>
      </c>
      <c r="U73" s="100" t="n">
        <f aca="false">-U36*Hipótesis!$D$68</f>
        <v>-1190.72491729557</v>
      </c>
      <c r="V73" s="100" t="n">
        <f aca="false">-V36*Hipótesis!$D$68</f>
        <v>-1262.06554170292</v>
      </c>
      <c r="W73" s="100" t="n">
        <f aca="false">-W36*Hipótesis!$D$68</f>
        <v>-1333.40616611027</v>
      </c>
      <c r="X73" s="100" t="n">
        <f aca="false">-X36*Hipótesis!$D$68</f>
        <v>-1381.25679051762</v>
      </c>
      <c r="Y73" s="100" t="n">
        <f aca="false">-Y36*Hipótesis!$D$68</f>
        <v>-1429.10741492497</v>
      </c>
      <c r="Z73" s="100" t="n">
        <f aca="false">-Z36*Hipótesis!$D$68</f>
        <v>-1468.18843933232</v>
      </c>
      <c r="AA73" s="100" t="n">
        <f aca="false">-AA36*Hipótesis!$D$68</f>
        <v>-1507.26946373968</v>
      </c>
      <c r="AB73" s="100" t="n">
        <f aca="false">-AB36*Hipótesis!$D$68</f>
        <v>-1546.35048814703</v>
      </c>
      <c r="AC73" s="100" t="n">
        <f aca="false">-AC36*Hipótesis!$D$68</f>
        <v>-1585.43151255438</v>
      </c>
      <c r="AD73" s="100" t="n">
        <f aca="false">-AD36*Hipótesis!$D$68</f>
        <v>-1624.51253696173</v>
      </c>
      <c r="AE73" s="100" t="n">
        <f aca="false">-AE36*Hipótesis!$D$68</f>
        <v>-1663.59356136908</v>
      </c>
      <c r="AF73" s="100" t="n">
        <f aca="false">-AF36*Hipótesis!$D$68</f>
        <v>-1702.67458577643</v>
      </c>
      <c r="AG73" s="100" t="n">
        <f aca="false">-AG36*Hipótesis!$D$68</f>
        <v>-1741.75561018378</v>
      </c>
      <c r="AH73" s="100" t="n">
        <f aca="false">-AH36*Hipótesis!$D$68</f>
        <v>-1780.83663459114</v>
      </c>
      <c r="AI73" s="100" t="n">
        <f aca="false">-AI36*Hipótesis!$D$68</f>
        <v>-1819.91765899849</v>
      </c>
      <c r="AJ73" s="100" t="n">
        <f aca="false">-AJ36*Hipótesis!$D$68</f>
        <v>-1858.99868340584</v>
      </c>
      <c r="AK73" s="100" t="n">
        <f aca="false">-AK36*Hipótesis!$D$68</f>
        <v>-1898.07970781319</v>
      </c>
      <c r="AL73" s="100" t="n">
        <f aca="false">-AL36*Hipótesis!$D$68</f>
        <v>-1937.16073222054</v>
      </c>
      <c r="AM73" s="100" t="n">
        <f aca="false">-AM36*Hipótesis!$D$68</f>
        <v>-1976.24175662789</v>
      </c>
      <c r="AN73" s="100" t="n">
        <f aca="false">-AN36*Hipótesis!$D$68</f>
        <v>-2015.32278103524</v>
      </c>
      <c r="AO73" s="100" t="n">
        <f aca="false">-AO36*Hipótesis!$D$68</f>
        <v>-2054.4038054426</v>
      </c>
      <c r="AP73" s="100" t="n">
        <f aca="false">-AP36*Hipótesis!$D$68</f>
        <v>-2093.48482984995</v>
      </c>
      <c r="AQ73" s="100" t="n">
        <f aca="false">-AQ36*Hipótesis!$D$68</f>
        <v>-2132.5658542573</v>
      </c>
      <c r="AR73" s="100" t="n">
        <f aca="false">-AR36*Hipótesis!$D$68</f>
        <v>-2171.64687866465</v>
      </c>
      <c r="AS73" s="100" t="n">
        <f aca="false">-AS36*Hipótesis!$D$68</f>
        <v>-2171.64687866465</v>
      </c>
      <c r="AT73" s="100" t="n">
        <f aca="false">-AT36*Hipótesis!$D$68</f>
        <v>-2171.64687866465</v>
      </c>
      <c r="AU73" s="100" t="n">
        <f aca="false">-AU36*Hipótesis!$D$68</f>
        <v>-2171.64687866465</v>
      </c>
      <c r="AV73" s="100" t="n">
        <f aca="false">-AV36*Hipótesis!$D$68</f>
        <v>-2171.64687866465</v>
      </c>
      <c r="AW73" s="100" t="n">
        <f aca="false">-AW36*Hipótesis!$D$68</f>
        <v>-2171.64687866465</v>
      </c>
      <c r="AX73" s="100" t="n">
        <f aca="false">-AX36*Hipótesis!$D$68</f>
        <v>-2171.64687866465</v>
      </c>
      <c r="AY73" s="100" t="n">
        <f aca="false">-AY36*Hipótesis!$D$68</f>
        <v>-2171.64687866465</v>
      </c>
      <c r="AZ73" s="100" t="n">
        <f aca="false">-AZ36*Hipótesis!$D$68</f>
        <v>-2171.64687866465</v>
      </c>
      <c r="BA73" s="100" t="n">
        <f aca="false">-BA36*Hipótesis!$D$68</f>
        <v>-2171.64687866465</v>
      </c>
      <c r="BB73" s="100" t="n">
        <f aca="false">-BB36*Hipótesis!$D$68</f>
        <v>-2171.64687866465</v>
      </c>
      <c r="BC73" s="100" t="n">
        <f aca="false">-BC36*Hipótesis!$D$68</f>
        <v>-2171.64687866465</v>
      </c>
      <c r="BD73" s="100" t="n">
        <f aca="false">-BD36*Hipótesis!$D$68</f>
        <v>-2171.64687866465</v>
      </c>
      <c r="BE73" s="100" t="n">
        <f aca="false">-BE36*Hipótesis!$D$68</f>
        <v>-2171.64687866465</v>
      </c>
      <c r="BF73" s="100" t="n">
        <f aca="false">-BF36*Hipótesis!$D$68</f>
        <v>-2171.64687866465</v>
      </c>
      <c r="BG73" s="100" t="n">
        <f aca="false">-BG36*Hipótesis!$D$68</f>
        <v>-2171.64687866465</v>
      </c>
      <c r="BH73" s="100" t="n">
        <f aca="false">-BH36*Hipótesis!$D$68</f>
        <v>-2171.64687866465</v>
      </c>
      <c r="BI73" s="100" t="n">
        <f aca="false">-BI36*Hipótesis!$D$68</f>
        <v>-2171.64687866465</v>
      </c>
      <c r="BJ73" s="100" t="n">
        <f aca="false">-BJ36*Hipótesis!$D$68</f>
        <v>-2171.64687866465</v>
      </c>
      <c r="BK73" s="100" t="n">
        <f aca="false">-BK36*Hipótesis!$D$68</f>
        <v>-2171.64687866465</v>
      </c>
      <c r="BL73" s="100" t="n">
        <f aca="false">-BL36*Hipótesis!$D$68</f>
        <v>-2171.64687866465</v>
      </c>
      <c r="BM73" s="100" t="n">
        <f aca="false">-BM36*Hipótesis!$D$68</f>
        <v>-2171.64687866465</v>
      </c>
      <c r="BN73" s="100" t="n">
        <f aca="false">-BN36*Hipótesis!$D$68</f>
        <v>-2171.64687866465</v>
      </c>
      <c r="BO73" s="100" t="n">
        <f aca="false">-BO36*Hipótesis!$D$68</f>
        <v>-2171.64687866465</v>
      </c>
      <c r="BP73" s="100" t="n">
        <f aca="false">-BP36*Hipótesis!$D$68</f>
        <v>-2171.64687866465</v>
      </c>
      <c r="BQ73" s="100" t="n">
        <f aca="false">-BQ36*Hipótesis!$D$68</f>
        <v>-2171.64687866465</v>
      </c>
      <c r="BR73" s="100" t="n">
        <f aca="false">-BR36*Hipótesis!$D$68</f>
        <v>-2171.64687866465</v>
      </c>
      <c r="BS73" s="100" t="n">
        <f aca="false">-BS36*Hipótesis!$D$68</f>
        <v>-2171.64687866465</v>
      </c>
      <c r="BT73" s="100" t="n">
        <f aca="false">-BT36*Hipótesis!$D$68</f>
        <v>-2171.64687866465</v>
      </c>
      <c r="BU73" s="100" t="n">
        <f aca="false">-BU36*Hipótesis!$D$68</f>
        <v>-2171.64687866465</v>
      </c>
      <c r="BV73" s="100" t="n">
        <f aca="false">-BV36*Hipótesis!$D$68</f>
        <v>-2171.64687866465</v>
      </c>
      <c r="BW73" s="100" t="n">
        <f aca="false">-BW36*Hipótesis!$D$68</f>
        <v>-2171.64687866465</v>
      </c>
      <c r="BX73" s="100" t="n">
        <f aca="false">-BX36*Hipótesis!$D$68</f>
        <v>-2171.64687866465</v>
      </c>
      <c r="BY73" s="100" t="n">
        <f aca="false">-BY36*Hipótesis!$D$68</f>
        <v>-2171.64687866465</v>
      </c>
      <c r="BZ73" s="100" t="n">
        <f aca="false">-BZ36*Hipótesis!$D$68</f>
        <v>-2171.64687866465</v>
      </c>
      <c r="CA73" s="100" t="n">
        <f aca="false">-CA36*Hipótesis!$D$68</f>
        <v>-2171.64687866465</v>
      </c>
      <c r="CB73" s="100" t="n">
        <f aca="false">-CB36*Hipótesis!$D$68</f>
        <v>-2171.64687866465</v>
      </c>
      <c r="CC73" s="100" t="n">
        <f aca="false">-CC36*Hipótesis!$D$68</f>
        <v>-2171.64687866465</v>
      </c>
      <c r="CD73" s="100" t="n">
        <f aca="false">-CD36*Hipótesis!$D$68</f>
        <v>-2171.64687866465</v>
      </c>
      <c r="CE73" s="100" t="n">
        <f aca="false">-CE36*Hipótesis!$D$68</f>
        <v>-2171.64687866465</v>
      </c>
      <c r="CF73" s="100" t="n">
        <f aca="false">-CF36*Hipótesis!$D$68</f>
        <v>-2171.64687866465</v>
      </c>
      <c r="CG73" s="100" t="n">
        <f aca="false">-CG36*Hipótesis!$D$68</f>
        <v>-2171.64687866465</v>
      </c>
      <c r="CH73" s="100" t="n">
        <f aca="false">-CH36*Hipótesis!$D$68</f>
        <v>-2171.64687866465</v>
      </c>
    </row>
    <row r="74" customFormat="false" ht="13.5" hidden="false" customHeight="true" outlineLevel="0" collapsed="false">
      <c r="A74" s="22" t="s">
        <v>548</v>
      </c>
      <c r="C74" s="100" t="n">
        <f aca="false">C66+C67+C71+C72+C73</f>
        <v>-44653.7128336701</v>
      </c>
      <c r="D74" s="100" t="n">
        <f aca="false">D66+D67+D71+D72+D73</f>
        <v>-27878.7248450653</v>
      </c>
      <c r="E74" s="100" t="n">
        <f aca="false">E66+E67+E71+E72+E73</f>
        <v>-22219.0028977604</v>
      </c>
      <c r="F74" s="100" t="n">
        <f aca="false">F66+F67+F71+F72+F73</f>
        <v>-19795.7056875444</v>
      </c>
      <c r="G74" s="100" t="n">
        <f aca="false">G66+G67+G71+G72+G73</f>
        <v>-17760.9092996032</v>
      </c>
      <c r="H74" s="100" t="n">
        <f aca="false">H66+H67+H71+H72+H73</f>
        <v>-15321.3992772624</v>
      </c>
      <c r="I74" s="100" t="n">
        <f aca="false">I66+I67+I71+I72+I73</f>
        <v>-11758.9581269709</v>
      </c>
      <c r="J74" s="100" t="n">
        <f aca="false">J66+J67+J71+J72+J73</f>
        <v>-7780.04252466876</v>
      </c>
      <c r="K74" s="100" t="n">
        <f aca="false">K66+K67+K71+K72+K73</f>
        <v>-3801.12692236662</v>
      </c>
      <c r="L74" s="100" t="n">
        <f aca="false">L66+L67+L71+L72+L73</f>
        <v>-251.828601102704</v>
      </c>
      <c r="M74" s="100" t="n">
        <f aca="false">M66+M67+M71+M72+M73</f>
        <v>2726.73582467983</v>
      </c>
      <c r="N74" s="100" t="n">
        <f aca="false">N66+N67+N71+N72+N73</f>
        <v>4854.8695676764</v>
      </c>
      <c r="O74" s="100" t="n">
        <f aca="false">O66+O67+O71+O72+O73</f>
        <v>4687.5492330536</v>
      </c>
      <c r="P74" s="100" t="n">
        <f aca="false">P66+P67+P71+P72+P73</f>
        <v>4870.09652342659</v>
      </c>
      <c r="Q74" s="100" t="n">
        <f aca="false">Q66+Q67+Q71+Q72+Q73</f>
        <v>6938.89301129958</v>
      </c>
      <c r="R74" s="100" t="n">
        <f aca="false">R66+R67+R71+R72+R73</f>
        <v>9007.68949917257</v>
      </c>
      <c r="S74" s="100" t="n">
        <f aca="false">S66+S67+S71+S72+S73</f>
        <v>11076.4859870456</v>
      </c>
      <c r="T74" s="100" t="n">
        <f aca="false">T66+T67+T71+T72+T73</f>
        <v>13145.2824749186</v>
      </c>
      <c r="U74" s="100" t="n">
        <f aca="false">U66+U67+U71+U72+U73</f>
        <v>13242.5230027915</v>
      </c>
      <c r="V74" s="100" t="n">
        <f aca="false">V66+V67+V71+V72+V73</f>
        <v>12991.8418906645</v>
      </c>
      <c r="W74" s="100" t="n">
        <f aca="false">W66+W67+W71+W72+W73</f>
        <v>15060.6383785375</v>
      </c>
      <c r="X74" s="100" t="n">
        <f aca="false">X66+X67+X71+X72+X73</f>
        <v>16668.1853257776</v>
      </c>
      <c r="Y74" s="100" t="n">
        <f aca="false">Y66+Y67+Y71+Y72+Y73</f>
        <v>18085.6372730177</v>
      </c>
      <c r="Z74" s="100" t="n">
        <f aca="false">Z66+Z67+Z71+Z72+Z73</f>
        <v>19330.7480237546</v>
      </c>
      <c r="AA74" s="100" t="n">
        <f aca="false">AA66+AA67+AA71+AA72+AA73</f>
        <v>18564.6939608916</v>
      </c>
      <c r="AB74" s="100" t="n">
        <f aca="false">AB66+AB67+AB71+AB72+AB73</f>
        <v>17713.5059394951</v>
      </c>
      <c r="AC74" s="100" t="n">
        <f aca="false">AC66+AC67+AC71+AC72+AC73</f>
        <v>18893.0205568987</v>
      </c>
      <c r="AD74" s="100" t="n">
        <f aca="false">AD66+AD67+AD71+AD72+AD73</f>
        <v>20072.5351743023</v>
      </c>
      <c r="AE74" s="100" t="n">
        <f aca="false">AE66+AE67+AE71+AE72+AE73</f>
        <v>21252.0497917059</v>
      </c>
      <c r="AF74" s="100" t="n">
        <f aca="false">AF66+AF67+AF71+AF72+AF73</f>
        <v>22431.5644091095</v>
      </c>
      <c r="AG74" s="100" t="n">
        <f aca="false">AG66+AG67+AG71+AG72+AG73</f>
        <v>23611.0790265131</v>
      </c>
      <c r="AH74" s="100" t="n">
        <f aca="false">AH66+AH67+AH71+AH72+AH73</f>
        <v>24790.5936439166</v>
      </c>
      <c r="AI74" s="100" t="n">
        <f aca="false">AI66+AI67+AI71+AI72+AI73</f>
        <v>25970.1082613202</v>
      </c>
      <c r="AJ74" s="100" t="n">
        <f aca="false">AJ66+AJ67+AJ71+AJ72+AJ73</f>
        <v>27149.6228787238</v>
      </c>
      <c r="AK74" s="100" t="n">
        <f aca="false">AK66+AK67+AK71+AK72+AK73</f>
        <v>28329.1374961274</v>
      </c>
      <c r="AL74" s="100" t="n">
        <f aca="false">AL66+AL67+AL71+AL72+AL73</f>
        <v>27477.949474731</v>
      </c>
      <c r="AM74" s="100" t="n">
        <f aca="false">AM66+AM67+AM71+AM72+AM73</f>
        <v>23460.754242351</v>
      </c>
      <c r="AN74" s="100" t="n">
        <f aca="false">AN66+AN67+AN71+AN72+AN73</f>
        <v>24500.3879263828</v>
      </c>
      <c r="AO74" s="100" t="n">
        <f aca="false">AO66+AO67+AO71+AO72+AO73</f>
        <v>25540.0216104146</v>
      </c>
      <c r="AP74" s="100" t="n">
        <f aca="false">AP66+AP67+AP71+AP72+AP73</f>
        <v>26579.6552944463</v>
      </c>
      <c r="AQ74" s="100" t="n">
        <f aca="false">AQ66+AQ67+AQ71+AQ72+AQ73</f>
        <v>27619.2889784781</v>
      </c>
      <c r="AR74" s="100" t="n">
        <f aca="false">AR66+AR67+AR71+AR72+AR73</f>
        <v>28658.9226625099</v>
      </c>
      <c r="AS74" s="100" t="n">
        <f aca="false">AS66+AS67+AS71+AS72+AS73</f>
        <v>29074.0082256317</v>
      </c>
      <c r="AT74" s="100" t="n">
        <f aca="false">AT66+AT67+AT71+AT72+AT73</f>
        <v>29072.6193367428</v>
      </c>
      <c r="AU74" s="100" t="n">
        <f aca="false">AU66+AU67+AU71+AU72+AU73</f>
        <v>29071.2304478539</v>
      </c>
      <c r="AV74" s="100" t="n">
        <f aca="false">AV66+AV67+AV71+AV72+AV73</f>
        <v>29069.841558965</v>
      </c>
      <c r="AW74" s="100" t="n">
        <f aca="false">AW66+AW67+AW71+AW72+AW73</f>
        <v>29068.4526700761</v>
      </c>
      <c r="AX74" s="100" t="n">
        <f aca="false">AX66+AX67+AX71+AX72+AX73</f>
        <v>29067.0637811872</v>
      </c>
      <c r="AY74" s="100" t="n">
        <f aca="false">AY66+AY67+AY71+AY72+AY73</f>
        <v>27217.9350923616</v>
      </c>
      <c r="AZ74" s="100" t="n">
        <f aca="false">AZ66+AZ67+AZ71+AZ72+AZ73</f>
        <v>27216.5462034727</v>
      </c>
      <c r="BA74" s="100" t="n">
        <f aca="false">BA66+BA67+BA71+BA72+BA73</f>
        <v>27215.1573145838</v>
      </c>
      <c r="BB74" s="100" t="n">
        <f aca="false">BB66+BB67+BB71+BB72+BB73</f>
        <v>27213.7684256949</v>
      </c>
      <c r="BC74" s="100" t="n">
        <f aca="false">BC66+BC67+BC71+BC72+BC73</f>
        <v>27212.379536806</v>
      </c>
      <c r="BD74" s="100" t="n">
        <f aca="false">BD66+BD67+BD71+BD72+BD73</f>
        <v>27210.9906479171</v>
      </c>
      <c r="BE74" s="100" t="n">
        <f aca="false">BE66+BE67+BE71+BE72+BE73</f>
        <v>27209.6017590282</v>
      </c>
      <c r="BF74" s="100" t="n">
        <f aca="false">BF66+BF67+BF71+BF72+BF73</f>
        <v>27208.2128701393</v>
      </c>
      <c r="BG74" s="100" t="n">
        <f aca="false">BG66+BG67+BG71+BG72+BG73</f>
        <v>27206.8239812504</v>
      </c>
      <c r="BH74" s="100" t="n">
        <f aca="false">BH66+BH67+BH71+BH72+BH73</f>
        <v>27205.4350923616</v>
      </c>
      <c r="BI74" s="100" t="n">
        <f aca="false">BI66+BI67+BI71+BI72+BI73</f>
        <v>27204.0462034727</v>
      </c>
      <c r="BJ74" s="100" t="n">
        <f aca="false">BJ66+BJ67+BJ71+BJ72+BJ73</f>
        <v>27202.6573145838</v>
      </c>
      <c r="BK74" s="100" t="n">
        <f aca="false">BK66+BK67+BK71+BK72+BK73</f>
        <v>25342.94343176</v>
      </c>
      <c r="BL74" s="100" t="n">
        <f aca="false">BL66+BL67+BL71+BL72+BL73</f>
        <v>25341.5545428711</v>
      </c>
      <c r="BM74" s="100" t="n">
        <f aca="false">BM66+BM67+BM71+BM72+BM73</f>
        <v>25340.1656539822</v>
      </c>
      <c r="BN74" s="100" t="n">
        <f aca="false">BN66+BN67+BN71+BN72+BN73</f>
        <v>25338.7767650933</v>
      </c>
      <c r="BO74" s="100" t="n">
        <f aca="false">BO66+BO67+BO71+BO72+BO73</f>
        <v>25337.3878762044</v>
      </c>
      <c r="BP74" s="100" t="n">
        <f aca="false">BP66+BP67+BP71+BP72+BP73</f>
        <v>25335.9989873155</v>
      </c>
      <c r="BQ74" s="100" t="n">
        <f aca="false">BQ66+BQ67+BQ71+BQ72+BQ73</f>
        <v>25334.6100984267</v>
      </c>
      <c r="BR74" s="100" t="n">
        <f aca="false">BR66+BR67+BR71+BR72+BR73</f>
        <v>25333.2212095378</v>
      </c>
      <c r="BS74" s="100" t="n">
        <f aca="false">BS66+BS67+BS71+BS72+BS73</f>
        <v>25331.8323206489</v>
      </c>
      <c r="BT74" s="100" t="n">
        <f aca="false">BT66+BT67+BT71+BT72+BT73</f>
        <v>25330.44343176</v>
      </c>
      <c r="BU74" s="100" t="n">
        <f aca="false">BU66+BU67+BU71+BU72+BU73</f>
        <v>25329.0545428711</v>
      </c>
      <c r="BV74" s="100" t="n">
        <f aca="false">BV66+BV67+BV71+BV72+BV73</f>
        <v>25327.6656539822</v>
      </c>
      <c r="BW74" s="100" t="n">
        <f aca="false">BW66+BW67+BW71+BW72+BW73</f>
        <v>23457.0490213404</v>
      </c>
      <c r="BX74" s="100" t="n">
        <f aca="false">BX66+BX67+BX71+BX72+BX73</f>
        <v>23455.6601324515</v>
      </c>
      <c r="BY74" s="100" t="n">
        <f aca="false">BY66+BY67+BY71+BY72+BY73</f>
        <v>23454.2712435626</v>
      </c>
      <c r="BZ74" s="100" t="n">
        <f aca="false">BZ66+BZ67+BZ71+BZ72+BZ73</f>
        <v>23452.8823546737</v>
      </c>
      <c r="CA74" s="100" t="n">
        <f aca="false">CA66+CA67+CA71+CA72+CA73</f>
        <v>23451.4934657848</v>
      </c>
      <c r="CB74" s="100" t="n">
        <f aca="false">CB66+CB67+CB71+CB72+CB73</f>
        <v>23450.1045768959</v>
      </c>
      <c r="CC74" s="100" t="n">
        <f aca="false">CC66+CC67+CC71+CC72+CC73</f>
        <v>23448.715688007</v>
      </c>
      <c r="CD74" s="100" t="n">
        <f aca="false">CD66+CD67+CD71+CD72+CD73</f>
        <v>23447.3267991181</v>
      </c>
      <c r="CE74" s="100" t="n">
        <f aca="false">CE66+CE67+CE71+CE72+CE73</f>
        <v>23445.9379102293</v>
      </c>
      <c r="CF74" s="100" t="n">
        <f aca="false">CF66+CF67+CF71+CF72+CF73</f>
        <v>23444.5490213404</v>
      </c>
      <c r="CG74" s="100" t="n">
        <f aca="false">CG66+CG67+CG71+CG72+CG73</f>
        <v>23443.1601324515</v>
      </c>
      <c r="CH74" s="100" t="n">
        <f aca="false">CH66+CH67+CH71+CH72+CH73</f>
        <v>23441.7712435626</v>
      </c>
    </row>
    <row r="75" customFormat="false" ht="13.5" hidden="false" customHeight="true" outlineLevel="0" collapsed="false">
      <c r="A75" s="6" t="s">
        <v>549</v>
      </c>
      <c r="C75" s="100" t="n">
        <f aca="false">Hipótesis!$D$122</f>
        <v>200000</v>
      </c>
      <c r="D75" s="100" t="n">
        <f aca="false">0</f>
        <v>0</v>
      </c>
      <c r="E75" s="100" t="n">
        <f aca="false">0</f>
        <v>0</v>
      </c>
      <c r="F75" s="100" t="n">
        <f aca="false">0</f>
        <v>0</v>
      </c>
      <c r="G75" s="100" t="n">
        <f aca="false">0</f>
        <v>0</v>
      </c>
      <c r="H75" s="100" t="n">
        <f aca="false">0</f>
        <v>0</v>
      </c>
      <c r="I75" s="100" t="n">
        <f aca="false">0</f>
        <v>0</v>
      </c>
      <c r="J75" s="100" t="n">
        <f aca="false">0</f>
        <v>0</v>
      </c>
      <c r="K75" s="100" t="n">
        <f aca="false">0</f>
        <v>0</v>
      </c>
      <c r="L75" s="100" t="n">
        <f aca="false">0</f>
        <v>0</v>
      </c>
      <c r="M75" s="100" t="n">
        <f aca="false">0</f>
        <v>0</v>
      </c>
      <c r="N75" s="100" t="n">
        <f aca="false">0</f>
        <v>0</v>
      </c>
      <c r="O75" s="100" t="n">
        <f aca="false">0</f>
        <v>0</v>
      </c>
      <c r="P75" s="100" t="n">
        <f aca="false">0</f>
        <v>0</v>
      </c>
      <c r="Q75" s="100" t="n">
        <f aca="false">0</f>
        <v>0</v>
      </c>
      <c r="R75" s="100" t="n">
        <f aca="false">0</f>
        <v>0</v>
      </c>
      <c r="S75" s="100" t="n">
        <f aca="false">0</f>
        <v>0</v>
      </c>
      <c r="T75" s="100" t="n">
        <f aca="false">0</f>
        <v>0</v>
      </c>
      <c r="U75" s="100" t="n">
        <f aca="false">0</f>
        <v>0</v>
      </c>
      <c r="V75" s="100" t="n">
        <f aca="false">0</f>
        <v>0</v>
      </c>
      <c r="W75" s="100" t="n">
        <f aca="false">0</f>
        <v>0</v>
      </c>
      <c r="X75" s="100" t="n">
        <f aca="false">0</f>
        <v>0</v>
      </c>
      <c r="Y75" s="100" t="n">
        <f aca="false">0</f>
        <v>0</v>
      </c>
      <c r="Z75" s="100" t="n">
        <f aca="false">0</f>
        <v>0</v>
      </c>
      <c r="AA75" s="100" t="n">
        <f aca="false">0</f>
        <v>0</v>
      </c>
      <c r="AB75" s="100" t="n">
        <f aca="false">0</f>
        <v>0</v>
      </c>
      <c r="AC75" s="100" t="n">
        <f aca="false">0</f>
        <v>0</v>
      </c>
      <c r="AD75" s="100" t="n">
        <f aca="false">0</f>
        <v>0</v>
      </c>
      <c r="AE75" s="100" t="n">
        <f aca="false">0</f>
        <v>0</v>
      </c>
      <c r="AF75" s="100" t="n">
        <f aca="false">0</f>
        <v>0</v>
      </c>
      <c r="AG75" s="100" t="n">
        <f aca="false">0</f>
        <v>0</v>
      </c>
      <c r="AH75" s="100" t="n">
        <f aca="false">0</f>
        <v>0</v>
      </c>
      <c r="AI75" s="100" t="n">
        <f aca="false">0</f>
        <v>0</v>
      </c>
      <c r="AJ75" s="100" t="n">
        <f aca="false">0</f>
        <v>0</v>
      </c>
      <c r="AK75" s="100" t="n">
        <f aca="false">0</f>
        <v>0</v>
      </c>
      <c r="AL75" s="100" t="n">
        <f aca="false">0</f>
        <v>0</v>
      </c>
      <c r="AM75" s="100" t="n">
        <f aca="false">0</f>
        <v>0</v>
      </c>
      <c r="AN75" s="100" t="n">
        <f aca="false">0</f>
        <v>0</v>
      </c>
      <c r="AO75" s="100" t="n">
        <f aca="false">0</f>
        <v>0</v>
      </c>
      <c r="AP75" s="100" t="n">
        <f aca="false">0</f>
        <v>0</v>
      </c>
      <c r="AQ75" s="100" t="n">
        <f aca="false">0</f>
        <v>0</v>
      </c>
      <c r="AR75" s="100" t="n">
        <f aca="false">0</f>
        <v>0</v>
      </c>
      <c r="AS75" s="100" t="n">
        <f aca="false">0</f>
        <v>0</v>
      </c>
      <c r="AT75" s="100" t="n">
        <f aca="false">0</f>
        <v>0</v>
      </c>
      <c r="AU75" s="100" t="n">
        <f aca="false">0</f>
        <v>0</v>
      </c>
      <c r="AV75" s="100" t="n">
        <f aca="false">0</f>
        <v>0</v>
      </c>
      <c r="AW75" s="100" t="n">
        <f aca="false">0</f>
        <v>0</v>
      </c>
      <c r="AX75" s="100" t="n">
        <f aca="false">0</f>
        <v>0</v>
      </c>
      <c r="AY75" s="100" t="n">
        <f aca="false">0</f>
        <v>0</v>
      </c>
      <c r="AZ75" s="100" t="n">
        <f aca="false">0</f>
        <v>0</v>
      </c>
      <c r="BA75" s="100" t="n">
        <f aca="false">0</f>
        <v>0</v>
      </c>
      <c r="BB75" s="100" t="n">
        <f aca="false">0</f>
        <v>0</v>
      </c>
      <c r="BC75" s="100" t="n">
        <f aca="false">0</f>
        <v>0</v>
      </c>
      <c r="BD75" s="100" t="n">
        <f aca="false">0</f>
        <v>0</v>
      </c>
      <c r="BE75" s="100" t="n">
        <f aca="false">0</f>
        <v>0</v>
      </c>
      <c r="BF75" s="100" t="n">
        <f aca="false">0</f>
        <v>0</v>
      </c>
      <c r="BG75" s="100" t="n">
        <f aca="false">0</f>
        <v>0</v>
      </c>
      <c r="BH75" s="100" t="n">
        <f aca="false">0</f>
        <v>0</v>
      </c>
      <c r="BI75" s="100" t="n">
        <f aca="false">0</f>
        <v>0</v>
      </c>
      <c r="BJ75" s="100" t="n">
        <f aca="false">0</f>
        <v>0</v>
      </c>
      <c r="BK75" s="100" t="n">
        <f aca="false">0</f>
        <v>0</v>
      </c>
      <c r="BL75" s="100" t="n">
        <f aca="false">0</f>
        <v>0</v>
      </c>
      <c r="BM75" s="100" t="n">
        <f aca="false">0</f>
        <v>0</v>
      </c>
      <c r="BN75" s="100" t="n">
        <f aca="false">0</f>
        <v>0</v>
      </c>
      <c r="BO75" s="100" t="n">
        <f aca="false">0</f>
        <v>0</v>
      </c>
      <c r="BP75" s="100" t="n">
        <f aca="false">0</f>
        <v>0</v>
      </c>
      <c r="BQ75" s="100" t="n">
        <f aca="false">0</f>
        <v>0</v>
      </c>
      <c r="BR75" s="100" t="n">
        <f aca="false">0</f>
        <v>0</v>
      </c>
      <c r="BS75" s="100" t="n">
        <f aca="false">0</f>
        <v>0</v>
      </c>
      <c r="BT75" s="100" t="n">
        <f aca="false">0</f>
        <v>0</v>
      </c>
      <c r="BU75" s="100" t="n">
        <f aca="false">0</f>
        <v>0</v>
      </c>
      <c r="BV75" s="100" t="n">
        <f aca="false">0</f>
        <v>0</v>
      </c>
      <c r="BW75" s="100" t="n">
        <f aca="false">0</f>
        <v>0</v>
      </c>
      <c r="BX75" s="100" t="n">
        <f aca="false">0</f>
        <v>0</v>
      </c>
      <c r="BY75" s="100" t="n">
        <f aca="false">0</f>
        <v>0</v>
      </c>
      <c r="BZ75" s="100" t="n">
        <f aca="false">0</f>
        <v>0</v>
      </c>
      <c r="CA75" s="100" t="n">
        <f aca="false">0</f>
        <v>0</v>
      </c>
      <c r="CB75" s="100" t="n">
        <f aca="false">0</f>
        <v>0</v>
      </c>
      <c r="CC75" s="100" t="n">
        <f aca="false">0</f>
        <v>0</v>
      </c>
      <c r="CD75" s="100" t="n">
        <f aca="false">0</f>
        <v>0</v>
      </c>
      <c r="CE75" s="100" t="n">
        <f aca="false">0</f>
        <v>0</v>
      </c>
      <c r="CF75" s="100" t="n">
        <f aca="false">0</f>
        <v>0</v>
      </c>
      <c r="CG75" s="100" t="n">
        <f aca="false">0</f>
        <v>0</v>
      </c>
      <c r="CH75" s="100" t="n">
        <f aca="false">0</f>
        <v>0</v>
      </c>
    </row>
    <row r="76" customFormat="false" ht="13.5" hidden="false" customHeight="true" outlineLevel="0" collapsed="false">
      <c r="A76" s="6" t="s">
        <v>550</v>
      </c>
      <c r="C76" s="100" t="n">
        <f aca="false">-C106</f>
        <v>-333.333333333333</v>
      </c>
      <c r="D76" s="100" t="n">
        <f aca="false">-D106</f>
        <v>-333.333333333333</v>
      </c>
      <c r="E76" s="100" t="n">
        <f aca="false">-E106</f>
        <v>-333.333333333333</v>
      </c>
      <c r="F76" s="100" t="n">
        <f aca="false">-F106</f>
        <v>-333.333333333333</v>
      </c>
      <c r="G76" s="100" t="n">
        <f aca="false">-G106</f>
        <v>-333.333333333333</v>
      </c>
      <c r="H76" s="100" t="n">
        <f aca="false">-H106</f>
        <v>-333.333333333333</v>
      </c>
      <c r="I76" s="100" t="n">
        <f aca="false">-I106</f>
        <v>-333.333333333333</v>
      </c>
      <c r="J76" s="100" t="n">
        <f aca="false">-J106</f>
        <v>-333.333333333333</v>
      </c>
      <c r="K76" s="100" t="n">
        <f aca="false">-K106</f>
        <v>-363.280667725478</v>
      </c>
      <c r="L76" s="100" t="n">
        <f aca="false">-L106</f>
        <v>-424.816837759668</v>
      </c>
      <c r="M76" s="100" t="n">
        <f aca="false">-M106</f>
        <v>-465.222604535034</v>
      </c>
      <c r="N76" s="100" t="n">
        <f aca="false">-N106</f>
        <v>-521.437045402029</v>
      </c>
      <c r="O76" s="100" t="n">
        <f aca="false">-O106</f>
        <v>-473.107486269023</v>
      </c>
      <c r="P76" s="100" t="n">
        <f aca="false">-P106</f>
        <v>-477.017810834674</v>
      </c>
      <c r="Q76" s="100" t="n">
        <f aca="false">-Q106</f>
        <v>-527.154535400326</v>
      </c>
      <c r="R76" s="100" t="n">
        <f aca="false">-R106</f>
        <v>-577.291259965977</v>
      </c>
      <c r="S76" s="100" t="n">
        <f aca="false">-S106</f>
        <v>-627.427984531628</v>
      </c>
      <c r="T76" s="100" t="n">
        <f aca="false">-T106</f>
        <v>-677.56470909728</v>
      </c>
      <c r="U76" s="100" t="n">
        <f aca="false">-U106</f>
        <v>-681.475033662931</v>
      </c>
      <c r="V76" s="100" t="n">
        <f aca="false">-V106</f>
        <v>-677.227758228582</v>
      </c>
      <c r="W76" s="100" t="n">
        <f aca="false">-W106</f>
        <v>-727.364482794234</v>
      </c>
      <c r="X76" s="100" t="n">
        <f aca="false">-X106</f>
        <v>-761.692533268258</v>
      </c>
      <c r="Y76" s="100" t="n">
        <f aca="false">-Y106</f>
        <v>-796.020583742282</v>
      </c>
      <c r="Z76" s="100" t="n">
        <f aca="false">-Z106</f>
        <v>-824.588924579655</v>
      </c>
      <c r="AA76" s="100" t="n">
        <f aca="false">-AA106</f>
        <v>-2474.1873080837</v>
      </c>
      <c r="AB76" s="100" t="n">
        <f aca="false">-AB106</f>
        <v>-2449.58690136551</v>
      </c>
      <c r="AC76" s="100" t="n">
        <f aca="false">-AC106</f>
        <v>-2472.59968664733</v>
      </c>
      <c r="AD76" s="100" t="n">
        <f aca="false">-AD106</f>
        <v>-2495.61247192915</v>
      </c>
      <c r="AE76" s="100" t="n">
        <f aca="false">-AE106</f>
        <v>-2518.62525721096</v>
      </c>
      <c r="AF76" s="100" t="n">
        <f aca="false">-AF106</f>
        <v>-2541.63804249278</v>
      </c>
      <c r="AG76" s="100" t="n">
        <f aca="false">-AG106</f>
        <v>-2564.6508277746</v>
      </c>
      <c r="AH76" s="100" t="n">
        <f aca="false">-AH106</f>
        <v>-2587.66361305642</v>
      </c>
      <c r="AI76" s="100" t="n">
        <f aca="false">-AI106</f>
        <v>-2610.67639833824</v>
      </c>
      <c r="AJ76" s="100" t="n">
        <f aca="false">-AJ106</f>
        <v>-2633.68918362005</v>
      </c>
      <c r="AK76" s="100" t="n">
        <f aca="false">-AK106</f>
        <v>-2656.70196890187</v>
      </c>
      <c r="AL76" s="100" t="n">
        <f aca="false">-AL106</f>
        <v>-2632.10156218369</v>
      </c>
      <c r="AM76" s="100" t="n">
        <f aca="false">-AM106</f>
        <v>-2606.4398332255</v>
      </c>
      <c r="AN76" s="100" t="n">
        <f aca="false">-AN106</f>
        <v>-2629.45261850732</v>
      </c>
      <c r="AO76" s="100" t="n">
        <f aca="false">-AO106</f>
        <v>-2652.46540378914</v>
      </c>
      <c r="AP76" s="100" t="n">
        <f aca="false">-AP106</f>
        <v>-2675.47818907096</v>
      </c>
      <c r="AQ76" s="100" t="n">
        <f aca="false">-AQ106</f>
        <v>-2698.49097435277</v>
      </c>
      <c r="AR76" s="100" t="n">
        <f aca="false">-AR106</f>
        <v>-2721.50375963459</v>
      </c>
      <c r="AS76" s="100" t="n">
        <f aca="false">-AS106</f>
        <v>-2715.94820407904</v>
      </c>
      <c r="AT76" s="100" t="n">
        <f aca="false">-AT106</f>
        <v>-2710.39264852348</v>
      </c>
      <c r="AU76" s="100" t="n">
        <f aca="false">-AU106</f>
        <v>-2704.83709296793</v>
      </c>
      <c r="AV76" s="100" t="n">
        <f aca="false">-AV106</f>
        <v>-2699.28153741237</v>
      </c>
      <c r="AW76" s="100" t="n">
        <f aca="false">-AW106</f>
        <v>-2693.72598185681</v>
      </c>
      <c r="AX76" s="100" t="n">
        <f aca="false">-AX106</f>
        <v>-2688.17042630126</v>
      </c>
      <c r="AY76" s="100" t="n">
        <f aca="false">-AY106</f>
        <v>-2633.6681210785</v>
      </c>
      <c r="AZ76" s="100" t="n">
        <f aca="false">-AZ106</f>
        <v>-2628.11256552295</v>
      </c>
      <c r="BA76" s="100" t="n">
        <f aca="false">-BA106</f>
        <v>-2622.55700996739</v>
      </c>
      <c r="BB76" s="100" t="n">
        <f aca="false">-BB106</f>
        <v>-2617.00145441184</v>
      </c>
      <c r="BC76" s="100" t="n">
        <f aca="false">-BC106</f>
        <v>-2611.44589885628</v>
      </c>
      <c r="BD76" s="100" t="n">
        <f aca="false">-BD106</f>
        <v>-2605.89034330073</v>
      </c>
      <c r="BE76" s="100" t="n">
        <f aca="false">-BE106</f>
        <v>-2600.33478774517</v>
      </c>
      <c r="BF76" s="100" t="n">
        <f aca="false">-BF106</f>
        <v>-2594.77923218961</v>
      </c>
      <c r="BG76" s="100" t="n">
        <f aca="false">-BG106</f>
        <v>-2589.22367663406</v>
      </c>
      <c r="BH76" s="100" t="n">
        <f aca="false">-BH106</f>
        <v>-2583.6681210785</v>
      </c>
      <c r="BI76" s="100" t="n">
        <f aca="false">-BI106</f>
        <v>-2578.11256552295</v>
      </c>
      <c r="BJ76" s="100" t="n">
        <f aca="false">-BJ106</f>
        <v>-2572.55700996739</v>
      </c>
      <c r="BK76" s="100" t="n">
        <f aca="false">-BK106</f>
        <v>-2517.77430225462</v>
      </c>
      <c r="BL76" s="100" t="n">
        <f aca="false">-BL106</f>
        <v>-2512.21874669907</v>
      </c>
      <c r="BM76" s="100" t="n">
        <f aca="false">-BM106</f>
        <v>-2506.66319114351</v>
      </c>
      <c r="BN76" s="100" t="n">
        <f aca="false">-BN106</f>
        <v>-2501.10763558795</v>
      </c>
      <c r="BO76" s="100" t="n">
        <f aca="false">-BO106</f>
        <v>-2495.5520800324</v>
      </c>
      <c r="BP76" s="100" t="n">
        <f aca="false">-BP106</f>
        <v>-2489.99652447684</v>
      </c>
      <c r="BQ76" s="100" t="n">
        <f aca="false">-BQ106</f>
        <v>-2484.44096892129</v>
      </c>
      <c r="BR76" s="100" t="n">
        <f aca="false">-BR106</f>
        <v>-2478.88541336573</v>
      </c>
      <c r="BS76" s="100" t="n">
        <f aca="false">-BS106</f>
        <v>-2473.32985781018</v>
      </c>
      <c r="BT76" s="100" t="n">
        <f aca="false">-BT106</f>
        <v>-2467.77430225462</v>
      </c>
      <c r="BU76" s="100" t="n">
        <f aca="false">-BU106</f>
        <v>-2462.21874669907</v>
      </c>
      <c r="BV76" s="100" t="n">
        <f aca="false">-BV106</f>
        <v>-2456.66319114351</v>
      </c>
      <c r="BW76" s="100" t="n">
        <f aca="false">-BW106</f>
        <v>-2401.59166886602</v>
      </c>
      <c r="BX76" s="100" t="n">
        <f aca="false">-BX106</f>
        <v>-2396.03611331047</v>
      </c>
      <c r="BY76" s="100" t="n">
        <f aca="false">-BY106</f>
        <v>-2390.48055775491</v>
      </c>
      <c r="BZ76" s="100" t="n">
        <f aca="false">-BZ106</f>
        <v>-2384.92500219935</v>
      </c>
      <c r="CA76" s="100" t="n">
        <f aca="false">-CA106</f>
        <v>-2379.3694466438</v>
      </c>
      <c r="CB76" s="100" t="n">
        <f aca="false">-CB106</f>
        <v>-2373.81389108824</v>
      </c>
      <c r="CC76" s="100" t="n">
        <f aca="false">-CC106</f>
        <v>-2368.25833553269</v>
      </c>
      <c r="CD76" s="100" t="n">
        <f aca="false">-CD106</f>
        <v>-2362.70277997713</v>
      </c>
      <c r="CE76" s="100" t="n">
        <f aca="false">-CE106</f>
        <v>-2357.14722442158</v>
      </c>
      <c r="CF76" s="100" t="n">
        <f aca="false">-CF106</f>
        <v>-2351.59166886602</v>
      </c>
      <c r="CG76" s="100" t="n">
        <f aca="false">-CG106</f>
        <v>-2346.03611331047</v>
      </c>
      <c r="CH76" s="100" t="n">
        <f aca="false">-CH106</f>
        <v>-2340.48055775485</v>
      </c>
    </row>
    <row r="77" customFormat="false" ht="13.5" hidden="false" customHeight="true" outlineLevel="0" collapsed="false">
      <c r="A77" s="6" t="s">
        <v>551</v>
      </c>
      <c r="C77" s="100" t="n">
        <f aca="false">0</f>
        <v>0</v>
      </c>
      <c r="D77" s="100" t="n">
        <f aca="false">C81*Hipótesis!$D$71/12</f>
        <v>-0</v>
      </c>
      <c r="E77" s="100" t="n">
        <f aca="false">D81*Hipótesis!$D$71/12</f>
        <v>0</v>
      </c>
      <c r="F77" s="100" t="n">
        <f aca="false">E81*Hipótesis!$D$71/12</f>
        <v>0</v>
      </c>
      <c r="G77" s="100" t="n">
        <f aca="false">F81*Hipótesis!$D$71/12</f>
        <v>0</v>
      </c>
      <c r="H77" s="100" t="n">
        <f aca="false">G81*Hipótesis!$D$71/12</f>
        <v>0</v>
      </c>
      <c r="I77" s="100" t="n">
        <f aca="false">H81*Hipótesis!$D$71/12</f>
        <v>0</v>
      </c>
      <c r="J77" s="100" t="n">
        <f aca="false">I81*Hipótesis!$D$71/12</f>
        <v>0</v>
      </c>
      <c r="K77" s="100" t="n">
        <f aca="false">J81*Hipótesis!$D$71/12</f>
        <v>0</v>
      </c>
      <c r="L77" s="100" t="n">
        <f aca="false">K81*Hipótesis!$D$71/12</f>
        <v>18.3311780176439</v>
      </c>
      <c r="M77" s="100" t="n">
        <f aca="false">L81*Hipótesis!$D$71/12</f>
        <v>21.5164875116773</v>
      </c>
      <c r="N77" s="100" t="n">
        <f aca="false">M81*Hipótesis!$D$71/12</f>
        <v>11.2498358204422</v>
      </c>
      <c r="O77" s="100" t="n">
        <f aca="false">N81*Hipótesis!$D$71/12</f>
        <v>0</v>
      </c>
      <c r="P77" s="100" t="n">
        <f aca="false">O81*Hipótesis!$D$71/12</f>
        <v>0</v>
      </c>
      <c r="Q77" s="100" t="n">
        <f aca="false">P81*Hipótesis!$D$71/12</f>
        <v>0</v>
      </c>
      <c r="R77" s="100" t="n">
        <f aca="false">Q81*Hipótesis!$D$71/12</f>
        <v>0</v>
      </c>
      <c r="S77" s="100" t="n">
        <f aca="false">R81*Hipótesis!$D$71/12</f>
        <v>0</v>
      </c>
      <c r="T77" s="100" t="n">
        <f aca="false">S81*Hipótesis!$D$71/12</f>
        <v>0</v>
      </c>
      <c r="U77" s="100" t="n">
        <f aca="false">T81*Hipótesis!$D$71/12</f>
        <v>0</v>
      </c>
      <c r="V77" s="100" t="n">
        <f aca="false">U81*Hipótesis!$D$71/12</f>
        <v>0</v>
      </c>
      <c r="W77" s="100" t="n">
        <f aca="false">V81*Hipótesis!$D$71/12</f>
        <v>0</v>
      </c>
      <c r="X77" s="100" t="n">
        <f aca="false">W81*Hipótesis!$D$71/12</f>
        <v>0</v>
      </c>
      <c r="Y77" s="100" t="n">
        <f aca="false">X81*Hipótesis!$D$71/12</f>
        <v>0</v>
      </c>
      <c r="Z77" s="100" t="n">
        <f aca="false">Y81*Hipótesis!$D$71/12</f>
        <v>0</v>
      </c>
      <c r="AA77" s="100" t="n">
        <f aca="false">Z81*Hipótesis!$D$71/12</f>
        <v>0</v>
      </c>
      <c r="AB77" s="100" t="n">
        <f aca="false">AA81*Hipótesis!$D$71/12</f>
        <v>0</v>
      </c>
      <c r="AC77" s="100" t="n">
        <f aca="false">AB81*Hipótesis!$D$71/12</f>
        <v>0</v>
      </c>
      <c r="AD77" s="100" t="n">
        <f aca="false">AC81*Hipótesis!$D$71/12</f>
        <v>0</v>
      </c>
      <c r="AE77" s="100" t="n">
        <f aca="false">AD81*Hipótesis!$D$71/12</f>
        <v>0</v>
      </c>
      <c r="AF77" s="100" t="n">
        <f aca="false">AE81*Hipótesis!$D$71/12</f>
        <v>0</v>
      </c>
      <c r="AG77" s="100" t="n">
        <f aca="false">AF81*Hipótesis!$D$71/12</f>
        <v>0</v>
      </c>
      <c r="AH77" s="100" t="n">
        <f aca="false">AG81*Hipótesis!$D$71/12</f>
        <v>0</v>
      </c>
      <c r="AI77" s="100" t="n">
        <f aca="false">AH81*Hipótesis!$D$71/12</f>
        <v>0</v>
      </c>
      <c r="AJ77" s="100" t="n">
        <f aca="false">AI81*Hipótesis!$D$71/12</f>
        <v>0</v>
      </c>
      <c r="AK77" s="100" t="n">
        <f aca="false">AJ81*Hipótesis!$D$71/12</f>
        <v>0</v>
      </c>
      <c r="AL77" s="100" t="n">
        <f aca="false">AK81*Hipótesis!$D$71/12</f>
        <v>0</v>
      </c>
      <c r="AM77" s="100" t="n">
        <f aca="false">AL81*Hipótesis!$D$71/12</f>
        <v>0</v>
      </c>
      <c r="AN77" s="100" t="n">
        <f aca="false">AM81*Hipótesis!$D$71/12</f>
        <v>0</v>
      </c>
      <c r="AO77" s="100" t="n">
        <f aca="false">AN81*Hipótesis!$D$71/12</f>
        <v>0</v>
      </c>
      <c r="AP77" s="100" t="n">
        <f aca="false">AO81*Hipótesis!$D$71/12</f>
        <v>0</v>
      </c>
      <c r="AQ77" s="100" t="n">
        <f aca="false">AP81*Hipótesis!$D$71/12</f>
        <v>0</v>
      </c>
      <c r="AR77" s="100" t="n">
        <f aca="false">AQ81*Hipótesis!$D$71/12</f>
        <v>0</v>
      </c>
      <c r="AS77" s="100" t="n">
        <f aca="false">AR81*Hipótesis!$D$71/12</f>
        <v>0</v>
      </c>
      <c r="AT77" s="100" t="n">
        <f aca="false">AS81*Hipótesis!$D$71/12</f>
        <v>0</v>
      </c>
      <c r="AU77" s="100" t="n">
        <f aca="false">AT81*Hipótesis!$D$71/12</f>
        <v>0</v>
      </c>
      <c r="AV77" s="100" t="n">
        <f aca="false">AU81*Hipótesis!$D$71/12</f>
        <v>0</v>
      </c>
      <c r="AW77" s="100" t="n">
        <f aca="false">AV81*Hipótesis!$D$71/12</f>
        <v>0</v>
      </c>
      <c r="AX77" s="100" t="n">
        <f aca="false">AW81*Hipótesis!$D$71/12</f>
        <v>0</v>
      </c>
      <c r="AY77" s="100" t="n">
        <f aca="false">AX81*Hipótesis!$D$71/12</f>
        <v>0</v>
      </c>
      <c r="AZ77" s="100" t="n">
        <f aca="false">AY81*Hipótesis!$D$71/12</f>
        <v>0</v>
      </c>
      <c r="BA77" s="100" t="n">
        <f aca="false">AZ81*Hipótesis!$D$71/12</f>
        <v>0</v>
      </c>
      <c r="BB77" s="100" t="n">
        <f aca="false">BA81*Hipótesis!$D$71/12</f>
        <v>0</v>
      </c>
      <c r="BC77" s="100" t="n">
        <f aca="false">BB81*Hipótesis!$D$71/12</f>
        <v>0</v>
      </c>
      <c r="BD77" s="100" t="n">
        <f aca="false">BC81*Hipótesis!$D$71/12</f>
        <v>0</v>
      </c>
      <c r="BE77" s="100" t="n">
        <f aca="false">BD81*Hipótesis!$D$71/12</f>
        <v>0</v>
      </c>
      <c r="BF77" s="100" t="n">
        <f aca="false">BE81*Hipótesis!$D$71/12</f>
        <v>0</v>
      </c>
      <c r="BG77" s="100" t="n">
        <f aca="false">BF81*Hipótesis!$D$71/12</f>
        <v>0</v>
      </c>
      <c r="BH77" s="100" t="n">
        <f aca="false">BG81*Hipótesis!$D$71/12</f>
        <v>0</v>
      </c>
      <c r="BI77" s="100" t="n">
        <f aca="false">BH81*Hipótesis!$D$71/12</f>
        <v>0</v>
      </c>
      <c r="BJ77" s="100" t="n">
        <f aca="false">BI81*Hipótesis!$D$71/12</f>
        <v>0</v>
      </c>
      <c r="BK77" s="100" t="n">
        <f aca="false">BJ81*Hipótesis!$D$71/12</f>
        <v>0</v>
      </c>
      <c r="BL77" s="100" t="n">
        <f aca="false">BK81*Hipótesis!$D$71/12</f>
        <v>0</v>
      </c>
      <c r="BM77" s="100" t="n">
        <f aca="false">BL81*Hipótesis!$D$71/12</f>
        <v>0</v>
      </c>
      <c r="BN77" s="100" t="n">
        <f aca="false">BM81*Hipótesis!$D$71/12</f>
        <v>0</v>
      </c>
      <c r="BO77" s="100" t="n">
        <f aca="false">BN81*Hipótesis!$D$71/12</f>
        <v>0</v>
      </c>
      <c r="BP77" s="100" t="n">
        <f aca="false">BO81*Hipótesis!$D$71/12</f>
        <v>0</v>
      </c>
      <c r="BQ77" s="100" t="n">
        <f aca="false">BP81*Hipótesis!$D$71/12</f>
        <v>0</v>
      </c>
      <c r="BR77" s="100" t="n">
        <f aca="false">BQ81*Hipótesis!$D$71/12</f>
        <v>0</v>
      </c>
      <c r="BS77" s="100" t="n">
        <f aca="false">BR81*Hipótesis!$D$71/12</f>
        <v>0</v>
      </c>
      <c r="BT77" s="100" t="n">
        <f aca="false">BS81*Hipótesis!$D$71/12</f>
        <v>0</v>
      </c>
      <c r="BU77" s="100" t="n">
        <f aca="false">BT81*Hipótesis!$D$71/12</f>
        <v>0</v>
      </c>
      <c r="BV77" s="100" t="n">
        <f aca="false">BU81*Hipótesis!$D$71/12</f>
        <v>0</v>
      </c>
      <c r="BW77" s="100" t="n">
        <f aca="false">BV81*Hipótesis!$D$71/12</f>
        <v>0</v>
      </c>
      <c r="BX77" s="100" t="n">
        <f aca="false">BW81*Hipótesis!$D$71/12</f>
        <v>0</v>
      </c>
      <c r="BY77" s="100" t="n">
        <f aca="false">BX81*Hipótesis!$D$71/12</f>
        <v>0</v>
      </c>
      <c r="BZ77" s="100" t="n">
        <f aca="false">BY81*Hipótesis!$D$71/12</f>
        <v>0</v>
      </c>
      <c r="CA77" s="100" t="n">
        <f aca="false">BZ81*Hipótesis!$D$71/12</f>
        <v>0</v>
      </c>
      <c r="CB77" s="100" t="n">
        <f aca="false">CA81*Hipótesis!$D$71/12</f>
        <v>0</v>
      </c>
      <c r="CC77" s="100" t="n">
        <f aca="false">CB81*Hipótesis!$D$71/12</f>
        <v>0</v>
      </c>
      <c r="CD77" s="100" t="n">
        <f aca="false">CC81*Hipótesis!$D$71/12</f>
        <v>0</v>
      </c>
      <c r="CE77" s="100" t="n">
        <f aca="false">CD81*Hipótesis!$D$71/12</f>
        <v>0</v>
      </c>
      <c r="CF77" s="100" t="n">
        <f aca="false">CE81*Hipótesis!$D$71/12</f>
        <v>0</v>
      </c>
      <c r="CG77" s="100" t="n">
        <f aca="false">CF81*Hipótesis!$D$71/12</f>
        <v>0</v>
      </c>
      <c r="CH77" s="100" t="n">
        <f aca="false">CG81*Hipótesis!$D$71/12</f>
        <v>0</v>
      </c>
    </row>
    <row r="78" customFormat="false" ht="13.5" hidden="false" customHeight="true" outlineLevel="0" collapsed="false">
      <c r="A78" s="22" t="s">
        <v>552</v>
      </c>
      <c r="C78" s="100" t="n">
        <f aca="false">C74+C75+C76-C77</f>
        <v>155012.953832997</v>
      </c>
      <c r="D78" s="100" t="n">
        <f aca="false">D74+D75+D76-D77</f>
        <v>-28212.0581783986</v>
      </c>
      <c r="E78" s="100" t="n">
        <f aca="false">E74+E75+E76-E77</f>
        <v>-22552.3362310937</v>
      </c>
      <c r="F78" s="100" t="n">
        <f aca="false">F74+F75+F76-F77</f>
        <v>-20129.0390208777</v>
      </c>
      <c r="G78" s="100" t="n">
        <f aca="false">G74+G75+G76-G77</f>
        <v>-18094.2426329365</v>
      </c>
      <c r="H78" s="100" t="n">
        <f aca="false">H74+H75+H76-H77</f>
        <v>-15654.7326105957</v>
      </c>
      <c r="I78" s="100" t="n">
        <f aca="false">I74+I75+I76-I77</f>
        <v>-12092.2914603042</v>
      </c>
      <c r="J78" s="100" t="n">
        <f aca="false">J74+J75+J76-J77</f>
        <v>-8113.3758580021</v>
      </c>
      <c r="K78" s="100" t="n">
        <f aca="false">K74+K75+K76-K77</f>
        <v>-4164.40759009209</v>
      </c>
      <c r="L78" s="100" t="n">
        <f aca="false">L74+L75+L76-L77</f>
        <v>-694.976616880016</v>
      </c>
      <c r="M78" s="100" t="n">
        <f aca="false">M74+M75+M76-M77</f>
        <v>2239.99673263311</v>
      </c>
      <c r="N78" s="100" t="n">
        <f aca="false">N74+N75+N76-N77</f>
        <v>4322.18268645393</v>
      </c>
      <c r="O78" s="100" t="n">
        <f aca="false">O74+O75+O76-O77</f>
        <v>4214.44174678458</v>
      </c>
      <c r="P78" s="100" t="n">
        <f aca="false">P74+P75+P76-P77</f>
        <v>4393.07871259192</v>
      </c>
      <c r="Q78" s="100" t="n">
        <f aca="false">Q74+Q75+Q76-Q77</f>
        <v>6411.73847589926</v>
      </c>
      <c r="R78" s="100" t="n">
        <f aca="false">R74+R75+R76-R77</f>
        <v>8430.39823920659</v>
      </c>
      <c r="S78" s="100" t="n">
        <f aca="false">S74+S75+S76-S77</f>
        <v>10449.0580025139</v>
      </c>
      <c r="T78" s="100" t="n">
        <f aca="false">T74+T75+T76-T77</f>
        <v>12467.7177658213</v>
      </c>
      <c r="U78" s="100" t="n">
        <f aca="false">U74+U75+U76-U77</f>
        <v>12561.0479691286</v>
      </c>
      <c r="V78" s="100" t="n">
        <f aca="false">V74+V75+V76-V77</f>
        <v>12314.6141324359</v>
      </c>
      <c r="W78" s="100" t="n">
        <f aca="false">W74+W75+W76-W77</f>
        <v>14333.2738957433</v>
      </c>
      <c r="X78" s="100" t="n">
        <f aca="false">X74+X75+X76-X77</f>
        <v>15906.4927925094</v>
      </c>
      <c r="Y78" s="100" t="n">
        <f aca="false">Y74+Y75+Y76-Y77</f>
        <v>17289.6166892754</v>
      </c>
      <c r="Z78" s="100" t="n">
        <f aca="false">Z74+Z75+Z76-Z77</f>
        <v>18506.159099175</v>
      </c>
      <c r="AA78" s="100" t="n">
        <f aca="false">AA74+AA75+AA76-AA77</f>
        <v>16090.5066528079</v>
      </c>
      <c r="AB78" s="100" t="n">
        <f aca="false">AB74+AB75+AB76-AB77</f>
        <v>15263.9190381296</v>
      </c>
      <c r="AC78" s="100" t="n">
        <f aca="false">AC74+AC75+AC76-AC77</f>
        <v>16420.4208702514</v>
      </c>
      <c r="AD78" s="100" t="n">
        <f aca="false">AD74+AD75+AD76-AD77</f>
        <v>17576.9227023732</v>
      </c>
      <c r="AE78" s="100" t="n">
        <f aca="false">AE74+AE75+AE76-AE77</f>
        <v>18733.4245344949</v>
      </c>
      <c r="AF78" s="100" t="n">
        <f aca="false">AF74+AF75+AF76-AF77</f>
        <v>19889.9263666167</v>
      </c>
      <c r="AG78" s="100" t="n">
        <f aca="false">AG74+AG75+AG76-AG77</f>
        <v>21046.4281987385</v>
      </c>
      <c r="AH78" s="100" t="n">
        <f aca="false">AH74+AH75+AH76-AH77</f>
        <v>22202.9300308602</v>
      </c>
      <c r="AI78" s="100" t="n">
        <f aca="false">AI74+AI75+AI76-AI77</f>
        <v>23359.431862982</v>
      </c>
      <c r="AJ78" s="100" t="n">
        <f aca="false">AJ74+AJ75+AJ76-AJ77</f>
        <v>24515.9336951038</v>
      </c>
      <c r="AK78" s="100" t="n">
        <f aca="false">AK74+AK75+AK76-AK77</f>
        <v>25672.4355272255</v>
      </c>
      <c r="AL78" s="100" t="n">
        <f aca="false">AL74+AL75+AL76-AL77</f>
        <v>24845.8479125473</v>
      </c>
      <c r="AM78" s="100" t="n">
        <f aca="false">AM74+AM75+AM76-AM77</f>
        <v>20854.3144091255</v>
      </c>
      <c r="AN78" s="100" t="n">
        <f aca="false">AN74+AN75+AN76-AN77</f>
        <v>21870.9353078754</v>
      </c>
      <c r="AO78" s="100" t="n">
        <f aca="false">AO74+AO75+AO76-AO77</f>
        <v>22887.5562066254</v>
      </c>
      <c r="AP78" s="100" t="n">
        <f aca="false">AP74+AP75+AP76-AP77</f>
        <v>23904.1771053754</v>
      </c>
      <c r="AQ78" s="100" t="n">
        <f aca="false">AQ74+AQ75+AQ76-AQ77</f>
        <v>24920.7980041253</v>
      </c>
      <c r="AR78" s="100" t="n">
        <f aca="false">AR74+AR75+AR76-AR77</f>
        <v>25937.4189028753</v>
      </c>
      <c r="AS78" s="100" t="n">
        <f aca="false">AS74+AS75+AS76-AS77</f>
        <v>26358.0600215527</v>
      </c>
      <c r="AT78" s="100" t="n">
        <f aca="false">AT74+AT75+AT76-AT77</f>
        <v>26362.2266882193</v>
      </c>
      <c r="AU78" s="100" t="n">
        <f aca="false">AU74+AU75+AU76-AU77</f>
        <v>26366.393354886</v>
      </c>
      <c r="AV78" s="100" t="n">
        <f aca="false">AV74+AV75+AV76-AV77</f>
        <v>26370.5600215527</v>
      </c>
      <c r="AW78" s="100" t="n">
        <f aca="false">AW74+AW75+AW76-AW77</f>
        <v>26374.7266882193</v>
      </c>
      <c r="AX78" s="100" t="n">
        <f aca="false">AX74+AX75+AX76-AX77</f>
        <v>26378.893354886</v>
      </c>
      <c r="AY78" s="100" t="n">
        <f aca="false">AY74+AY75+AY76-AY77</f>
        <v>24584.2669712831</v>
      </c>
      <c r="AZ78" s="100" t="n">
        <f aca="false">AZ74+AZ75+AZ76-AZ77</f>
        <v>24588.4336379497</v>
      </c>
      <c r="BA78" s="100" t="n">
        <f aca="false">BA74+BA75+BA76-BA77</f>
        <v>24592.6003046164</v>
      </c>
      <c r="BB78" s="100" t="n">
        <f aca="false">BB74+BB75+BB76-BB77</f>
        <v>24596.7669712831</v>
      </c>
      <c r="BC78" s="100" t="n">
        <f aca="false">BC74+BC75+BC76-BC77</f>
        <v>24600.9336379497</v>
      </c>
      <c r="BD78" s="100" t="n">
        <f aca="false">BD74+BD75+BD76-BD77</f>
        <v>24605.1003046164</v>
      </c>
      <c r="BE78" s="100" t="n">
        <f aca="false">BE74+BE75+BE76-BE77</f>
        <v>24609.2669712831</v>
      </c>
      <c r="BF78" s="100" t="n">
        <f aca="false">BF74+BF75+BF76-BF77</f>
        <v>24613.4336379497</v>
      </c>
      <c r="BG78" s="100" t="n">
        <f aca="false">BG74+BG75+BG76-BG77</f>
        <v>24617.6003046164</v>
      </c>
      <c r="BH78" s="100" t="n">
        <f aca="false">BH74+BH75+BH76-BH77</f>
        <v>24621.7669712831</v>
      </c>
      <c r="BI78" s="100" t="n">
        <f aca="false">BI74+BI75+BI76-BI77</f>
        <v>24625.9336379497</v>
      </c>
      <c r="BJ78" s="100" t="n">
        <f aca="false">BJ74+BJ75+BJ76-BJ77</f>
        <v>24630.1003046164</v>
      </c>
      <c r="BK78" s="100" t="n">
        <f aca="false">BK74+BK75+BK76-BK77</f>
        <v>22825.1691295054</v>
      </c>
      <c r="BL78" s="100" t="n">
        <f aca="false">BL74+BL75+BL76-BL77</f>
        <v>22829.335796172</v>
      </c>
      <c r="BM78" s="100" t="n">
        <f aca="false">BM74+BM75+BM76-BM77</f>
        <v>22833.5024628387</v>
      </c>
      <c r="BN78" s="100" t="n">
        <f aca="false">BN74+BN75+BN76-BN77</f>
        <v>22837.6691295054</v>
      </c>
      <c r="BO78" s="100" t="n">
        <f aca="false">BO74+BO75+BO76-BO77</f>
        <v>22841.835796172</v>
      </c>
      <c r="BP78" s="100" t="n">
        <f aca="false">BP74+BP75+BP76-BP77</f>
        <v>22846.0024628387</v>
      </c>
      <c r="BQ78" s="100" t="n">
        <f aca="false">BQ74+BQ75+BQ76-BQ77</f>
        <v>22850.1691295054</v>
      </c>
      <c r="BR78" s="100" t="n">
        <f aca="false">BR74+BR75+BR76-BR77</f>
        <v>22854.335796172</v>
      </c>
      <c r="BS78" s="100" t="n">
        <f aca="false">BS74+BS75+BS76-BS77</f>
        <v>22858.5024628387</v>
      </c>
      <c r="BT78" s="100" t="n">
        <f aca="false">BT74+BT75+BT76-BT77</f>
        <v>22862.6691295054</v>
      </c>
      <c r="BU78" s="100" t="n">
        <f aca="false">BU74+BU75+BU76-BU77</f>
        <v>22866.835796172</v>
      </c>
      <c r="BV78" s="100" t="n">
        <f aca="false">BV74+BV75+BV76-BV77</f>
        <v>22871.0024628387</v>
      </c>
      <c r="BW78" s="100" t="n">
        <f aca="false">BW74+BW75+BW76-BW77</f>
        <v>21055.4573524743</v>
      </c>
      <c r="BX78" s="100" t="n">
        <f aca="false">BX74+BX75+BX76-BX77</f>
        <v>21059.624019141</v>
      </c>
      <c r="BY78" s="100" t="n">
        <f aca="false">BY74+BY75+BY76-BY77</f>
        <v>21063.7906858077</v>
      </c>
      <c r="BZ78" s="100" t="n">
        <f aca="false">BZ74+BZ75+BZ76-BZ77</f>
        <v>21067.9573524743</v>
      </c>
      <c r="CA78" s="100" t="n">
        <f aca="false">CA74+CA75+CA76-CA77</f>
        <v>21072.124019141</v>
      </c>
      <c r="CB78" s="100" t="n">
        <f aca="false">CB74+CB75+CB76-CB77</f>
        <v>21076.2906858077</v>
      </c>
      <c r="CC78" s="100" t="n">
        <f aca="false">CC74+CC75+CC76-CC77</f>
        <v>21080.4573524743</v>
      </c>
      <c r="CD78" s="100" t="n">
        <f aca="false">CD74+CD75+CD76-CD77</f>
        <v>21084.624019141</v>
      </c>
      <c r="CE78" s="100" t="n">
        <f aca="false">CE74+CE75+CE76-CE77</f>
        <v>21088.7906858077</v>
      </c>
      <c r="CF78" s="100" t="n">
        <f aca="false">CF74+CF75+CF76-CF77</f>
        <v>21092.9573524743</v>
      </c>
      <c r="CG78" s="100" t="n">
        <f aca="false">CG74+CG75+CG76-CG77</f>
        <v>21097.124019141</v>
      </c>
      <c r="CH78" s="100" t="n">
        <f aca="false">CH74+CH75+CH76-CH77</f>
        <v>21101.2906858077</v>
      </c>
    </row>
    <row r="79" customFormat="false" ht="13.5" hidden="false" customHeight="true" outlineLevel="0" collapsed="false">
      <c r="A79" s="6" t="s">
        <v>553</v>
      </c>
      <c r="C79" s="100" t="n">
        <f aca="false">C78</f>
        <v>155012.953832997</v>
      </c>
      <c r="D79" s="100" t="n">
        <f aca="false">C86+D78</f>
        <v>126800.895654598</v>
      </c>
      <c r="E79" s="100" t="n">
        <f aca="false">D86+E78</f>
        <v>104248.559423504</v>
      </c>
      <c r="F79" s="100" t="n">
        <f aca="false">E86+F78</f>
        <v>84119.5204026265</v>
      </c>
      <c r="G79" s="100" t="n">
        <f aca="false">F86+G78</f>
        <v>66025.27776969</v>
      </c>
      <c r="H79" s="100" t="n">
        <f aca="false">G86+H78</f>
        <v>50370.5451590943</v>
      </c>
      <c r="I79" s="100" t="n">
        <f aca="false">H86+I78</f>
        <v>38278.2536987901</v>
      </c>
      <c r="J79" s="100" t="n">
        <f aca="false">I86+J78</f>
        <v>30164.877840788</v>
      </c>
      <c r="K79" s="100" t="n">
        <f aca="false">J86+K78</f>
        <v>26000.4702506959</v>
      </c>
      <c r="L79" s="100" t="n">
        <f aca="false">K86+L78</f>
        <v>29305.02338312</v>
      </c>
      <c r="M79" s="100" t="n">
        <f aca="false">L86+M78</f>
        <v>32239.9967326331</v>
      </c>
      <c r="N79" s="100" t="n">
        <f aca="false">M86+N78</f>
        <v>34322.1826864539</v>
      </c>
      <c r="O79" s="100" t="n">
        <f aca="false">N86+O78</f>
        <v>36082.1147996875</v>
      </c>
      <c r="P79" s="100" t="n">
        <f aca="false">O86+P78</f>
        <v>40475.1935122794</v>
      </c>
      <c r="Q79" s="100" t="n">
        <f aca="false">P86+Q78</f>
        <v>46886.9319881787</v>
      </c>
      <c r="R79" s="100" t="n">
        <f aca="false">Q86+R78</f>
        <v>55317.3302273853</v>
      </c>
      <c r="S79" s="100" t="n">
        <f aca="false">R86+S78</f>
        <v>65766.3882298992</v>
      </c>
      <c r="T79" s="100" t="n">
        <f aca="false">S86+T78</f>
        <v>78234.1059957205</v>
      </c>
      <c r="U79" s="100" t="n">
        <f aca="false">T86+U78</f>
        <v>90795.1539648491</v>
      </c>
      <c r="V79" s="100" t="n">
        <f aca="false">U86+V78</f>
        <v>103109.768097285</v>
      </c>
      <c r="W79" s="100" t="n">
        <f aca="false">V86+W78</f>
        <v>117443.041993028</v>
      </c>
      <c r="X79" s="100" t="n">
        <f aca="false">W86+X78</f>
        <v>133349.534785538</v>
      </c>
      <c r="Y79" s="100" t="n">
        <f aca="false">X86+Y78</f>
        <v>150639.151474813</v>
      </c>
      <c r="Z79" s="100" t="n">
        <f aca="false">Y86+Z78</f>
        <v>169145.310573988</v>
      </c>
      <c r="AA79" s="100" t="n">
        <f aca="false">Z86+AA78</f>
        <v>185235.817226796</v>
      </c>
      <c r="AB79" s="100" t="n">
        <f aca="false">AA86+AB78</f>
        <v>200499.736264926</v>
      </c>
      <c r="AC79" s="100" t="n">
        <f aca="false">AB86+AC78</f>
        <v>216920.157135177</v>
      </c>
      <c r="AD79" s="100" t="n">
        <f aca="false">AC86+AD78</f>
        <v>234497.07983755</v>
      </c>
      <c r="AE79" s="100" t="n">
        <f aca="false">AD86+AE78</f>
        <v>253230.504372045</v>
      </c>
      <c r="AF79" s="100" t="n">
        <f aca="false">AE86+AF78</f>
        <v>273120.430738662</v>
      </c>
      <c r="AG79" s="100" t="n">
        <f aca="false">AF86+AG78</f>
        <v>294166.8589374</v>
      </c>
      <c r="AH79" s="100" t="n">
        <f aca="false">AG86+AH78</f>
        <v>316369.78896826</v>
      </c>
      <c r="AI79" s="100" t="n">
        <f aca="false">AH86+AI78</f>
        <v>339729.220831242</v>
      </c>
      <c r="AJ79" s="100" t="n">
        <f aca="false">AI86+AJ78</f>
        <v>364245.154526346</v>
      </c>
      <c r="AK79" s="100" t="n">
        <f aca="false">AJ86+AK78</f>
        <v>389917.590053572</v>
      </c>
      <c r="AL79" s="100" t="n">
        <f aca="false">AK86+AL78</f>
        <v>414763.437966119</v>
      </c>
      <c r="AM79" s="100" t="n">
        <f aca="false">AL86+AM78</f>
        <v>435617.752375245</v>
      </c>
      <c r="AN79" s="100" t="n">
        <f aca="false">AM86+AN78</f>
        <v>457488.68768312</v>
      </c>
      <c r="AO79" s="100" t="n">
        <f aca="false">AN86+AO78</f>
        <v>480376.243889745</v>
      </c>
      <c r="AP79" s="100" t="n">
        <f aca="false">AO86+AP78</f>
        <v>504280.420995121</v>
      </c>
      <c r="AQ79" s="100" t="n">
        <f aca="false">AP86+AQ78</f>
        <v>529201.218999246</v>
      </c>
      <c r="AR79" s="100" t="n">
        <f aca="false">AQ86+AR78</f>
        <v>555138.637902121</v>
      </c>
      <c r="AS79" s="100" t="n">
        <f aca="false">AR86+AS78</f>
        <v>581496.697923674</v>
      </c>
      <c r="AT79" s="100" t="n">
        <f aca="false">AS86+AT78</f>
        <v>607858.924611893</v>
      </c>
      <c r="AU79" s="100" t="n">
        <f aca="false">AT86+AU78</f>
        <v>634225.317966779</v>
      </c>
      <c r="AV79" s="100" t="n">
        <f aca="false">AU86+AV78</f>
        <v>660595.877988332</v>
      </c>
      <c r="AW79" s="100" t="n">
        <f aca="false">AV86+AW78</f>
        <v>686970.604676551</v>
      </c>
      <c r="AX79" s="100" t="n">
        <f aca="false">AW86+AX78</f>
        <v>713349.498031437</v>
      </c>
      <c r="AY79" s="100" t="n">
        <f aca="false">AX86+AY78</f>
        <v>606668.133569413</v>
      </c>
      <c r="AZ79" s="100" t="n">
        <f aca="false">AY86+AZ78</f>
        <v>631256.567207363</v>
      </c>
      <c r="BA79" s="100" t="n">
        <f aca="false">AZ86+BA78</f>
        <v>655849.167511979</v>
      </c>
      <c r="BB79" s="100" t="n">
        <f aca="false">BA86+BB78</f>
        <v>680445.934483262</v>
      </c>
      <c r="BC79" s="100" t="n">
        <f aca="false">BB86+BC78</f>
        <v>705046.868121212</v>
      </c>
      <c r="BD79" s="100" t="n">
        <f aca="false">BC86+BD78</f>
        <v>729651.968425828</v>
      </c>
      <c r="BE79" s="100" t="n">
        <f aca="false">BD86+BE78</f>
        <v>754261.235397111</v>
      </c>
      <c r="BF79" s="100" t="n">
        <f aca="false">BE86+BF78</f>
        <v>778874.669035061</v>
      </c>
      <c r="BG79" s="100" t="n">
        <f aca="false">BF86+BG78</f>
        <v>803492.269339677</v>
      </c>
      <c r="BH79" s="100" t="n">
        <f aca="false">BG86+BH78</f>
        <v>828114.03631096</v>
      </c>
      <c r="BI79" s="100" t="n">
        <f aca="false">BH86+BI78</f>
        <v>852739.96994891</v>
      </c>
      <c r="BJ79" s="100" t="n">
        <f aca="false">BI86+BJ78</f>
        <v>877370.070253526</v>
      </c>
      <c r="BK79" s="100" t="n">
        <f aca="false">BJ86+BK78</f>
        <v>771054.172589287</v>
      </c>
      <c r="BL79" s="100" t="n">
        <f aca="false">BK86+BL78</f>
        <v>793883.508385459</v>
      </c>
      <c r="BM79" s="100" t="n">
        <f aca="false">BL86+BM78</f>
        <v>816717.010848298</v>
      </c>
      <c r="BN79" s="100" t="n">
        <f aca="false">BM86+BN78</f>
        <v>839554.679977803</v>
      </c>
      <c r="BO79" s="100" t="n">
        <f aca="false">BN86+BO78</f>
        <v>862396.515773975</v>
      </c>
      <c r="BP79" s="100" t="n">
        <f aca="false">BO86+BP78</f>
        <v>885242.518236814</v>
      </c>
      <c r="BQ79" s="100" t="n">
        <f aca="false">BP86+BQ78</f>
        <v>908092.687366319</v>
      </c>
      <c r="BR79" s="100" t="n">
        <f aca="false">BQ86+BR78</f>
        <v>930947.023162491</v>
      </c>
      <c r="BS79" s="100" t="n">
        <f aca="false">BR86+BS78</f>
        <v>953805.52562533</v>
      </c>
      <c r="BT79" s="100" t="n">
        <f aca="false">BS86+BT78</f>
        <v>976668.194754835</v>
      </c>
      <c r="BU79" s="100" t="n">
        <f aca="false">BT86+BU78</f>
        <v>999535.030551007</v>
      </c>
      <c r="BV79" s="100" t="n">
        <f aca="false">BU86+BV78</f>
        <v>1022406.03301385</v>
      </c>
      <c r="BW79" s="100" t="n">
        <f aca="false">BV86+BW78</f>
        <v>922764.093213108</v>
      </c>
      <c r="BX79" s="100" t="n">
        <f aca="false">BW86+BX78</f>
        <v>943823.717232249</v>
      </c>
      <c r="BY79" s="100" t="n">
        <f aca="false">BX86+BY78</f>
        <v>964887.507918057</v>
      </c>
      <c r="BZ79" s="100" t="n">
        <f aca="false">BY86+BZ78</f>
        <v>985955.465270531</v>
      </c>
      <c r="CA79" s="100" t="n">
        <f aca="false">BZ86+CA78</f>
        <v>1007027.58928967</v>
      </c>
      <c r="CB79" s="100" t="n">
        <f aca="false">CA86+CB78</f>
        <v>1028103.87997548</v>
      </c>
      <c r="CC79" s="100" t="n">
        <f aca="false">CB86+CC78</f>
        <v>1049184.33732795</v>
      </c>
      <c r="CD79" s="100" t="n">
        <f aca="false">CC86+CD78</f>
        <v>1070268.9613471</v>
      </c>
      <c r="CE79" s="100" t="n">
        <f aca="false">CD86+CE78</f>
        <v>1091357.7520329</v>
      </c>
      <c r="CF79" s="100" t="n">
        <f aca="false">CE86+CF78</f>
        <v>1112450.70938538</v>
      </c>
      <c r="CG79" s="100" t="n">
        <f aca="false">CF86+CG78</f>
        <v>1133547.83340452</v>
      </c>
      <c r="CH79" s="100" t="n">
        <f aca="false">CG86+CH78</f>
        <v>1154649.12409033</v>
      </c>
    </row>
    <row r="80" customFormat="false" ht="13.5" hidden="false" customHeight="true" outlineLevel="0" collapsed="false">
      <c r="A80" s="22" t="s">
        <v>554</v>
      </c>
      <c r="C80" s="100" t="n">
        <f aca="false">IF(C79&lt;Hipótesis!$D$72,MIN(Hipótesis!$D$70-0,Hipótesis!$D$72-C79),-MIN(0,MAX(0,C79-Hipótesis!$D$72)))</f>
        <v>-0</v>
      </c>
      <c r="D80" s="100" t="n">
        <f aca="false">IF(D79&lt;Hipótesis!$D$72,MIN(Hipótesis!$D$70-C81,Hipótesis!$D$72-D79),-MIN(C81,MAX(0,D79-Hipótesis!$D$72)))</f>
        <v>0</v>
      </c>
      <c r="E80" s="100" t="n">
        <f aca="false">IF(E79&lt;Hipótesis!$D$72,MIN(Hipótesis!$D$70-D81,Hipótesis!$D$72-E79),-MIN(D81,MAX(0,E79-Hipótesis!$D$72)))</f>
        <v>-0</v>
      </c>
      <c r="F80" s="100" t="n">
        <f aca="false">IF(F79&lt;Hipótesis!$D$72,MIN(Hipótesis!$D$70-E81,Hipótesis!$D$72-F79),-MIN(E81,MAX(0,F79-Hipótesis!$D$72)))</f>
        <v>-0</v>
      </c>
      <c r="G80" s="100" t="n">
        <f aca="false">IF(G79&lt;Hipótesis!$D$72,MIN(Hipótesis!$D$70-F81,Hipótesis!$D$72-G79),-MIN(F81,MAX(0,G79-Hipótesis!$D$72)))</f>
        <v>-0</v>
      </c>
      <c r="H80" s="100" t="n">
        <f aca="false">IF(H79&lt;Hipótesis!$D$72,MIN(Hipótesis!$D$70-G81,Hipótesis!$D$72-H79),-MIN(G81,MAX(0,H79-Hipótesis!$D$72)))</f>
        <v>-0</v>
      </c>
      <c r="I80" s="100" t="n">
        <f aca="false">IF(I79&lt;Hipótesis!$D$72,MIN(Hipótesis!$D$70-H81,Hipótesis!$D$72-I79),-MIN(H81,MAX(0,I79-Hipótesis!$D$72)))</f>
        <v>-0</v>
      </c>
      <c r="J80" s="100" t="n">
        <f aca="false">IF(J79&lt;Hipótesis!$D$72,MIN(Hipótesis!$D$70-I81,Hipótesis!$D$72-J79),-MIN(I81,MAX(0,J79-Hipótesis!$D$72)))</f>
        <v>-0</v>
      </c>
      <c r="K80" s="100" t="n">
        <f aca="false">IF(K79&lt;Hipótesis!$D$72,MIN(Hipótesis!$D$70-J81,Hipótesis!$D$72-K79),-MIN(J81,MAX(0,K79-Hipótesis!$D$72)))</f>
        <v>3999.52974930412</v>
      </c>
      <c r="L80" s="100" t="n">
        <f aca="false">IF(L79&lt;Hipótesis!$D$72,MIN(Hipótesis!$D$70-K81,Hipótesis!$D$72-L79),-MIN(K81,MAX(0,L79-Hipótesis!$D$72)))</f>
        <v>694.976616880016</v>
      </c>
      <c r="M80" s="100" t="n">
        <f aca="false">IF(M79&lt;Hipótesis!$D$72,MIN(Hipótesis!$D$70-L81,Hipótesis!$D$72-M79),-MIN(L81,MAX(0,M79-Hipótesis!$D$72)))</f>
        <v>-2239.99673263311</v>
      </c>
      <c r="N80" s="100" t="n">
        <f aca="false">IF(N79&lt;Hipótesis!$D$72,MIN(Hipótesis!$D$70-M81,Hipótesis!$D$72-N79),-MIN(M81,MAX(0,N79-Hipótesis!$D$72)))</f>
        <v>-2454.50963355102</v>
      </c>
      <c r="O80" s="100" t="n">
        <f aca="false">IF(O79&lt;Hipótesis!$D$72,MIN(Hipótesis!$D$70-N81,Hipótesis!$D$72-O79),-MIN(N81,MAX(0,O79-Hipótesis!$D$72)))</f>
        <v>-0</v>
      </c>
      <c r="P80" s="100" t="n">
        <f aca="false">IF(P79&lt;Hipótesis!$D$72,MIN(Hipótesis!$D$70-O81,Hipótesis!$D$72-P79),-MIN(O81,MAX(0,P79-Hipótesis!$D$72)))</f>
        <v>-0</v>
      </c>
      <c r="Q80" s="100" t="n">
        <f aca="false">IF(Q79&lt;Hipótesis!$D$72,MIN(Hipótesis!$D$70-P81,Hipótesis!$D$72-Q79),-MIN(P81,MAX(0,Q79-Hipótesis!$D$72)))</f>
        <v>-0</v>
      </c>
      <c r="R80" s="100" t="n">
        <f aca="false">IF(R79&lt;Hipótesis!$D$72,MIN(Hipótesis!$D$70-Q81,Hipótesis!$D$72-R79),-MIN(Q81,MAX(0,R79-Hipótesis!$D$72)))</f>
        <v>-0</v>
      </c>
      <c r="S80" s="100" t="n">
        <f aca="false">IF(S79&lt;Hipótesis!$D$72,MIN(Hipótesis!$D$70-R81,Hipótesis!$D$72-S79),-MIN(R81,MAX(0,S79-Hipótesis!$D$72)))</f>
        <v>-0</v>
      </c>
      <c r="T80" s="100" t="n">
        <f aca="false">IF(T79&lt;Hipótesis!$D$72,MIN(Hipótesis!$D$70-S81,Hipótesis!$D$72-T79),-MIN(S81,MAX(0,T79-Hipótesis!$D$72)))</f>
        <v>-0</v>
      </c>
      <c r="U80" s="100" t="n">
        <f aca="false">IF(U79&lt;Hipótesis!$D$72,MIN(Hipótesis!$D$70-T81,Hipótesis!$D$72-U79),-MIN(T81,MAX(0,U79-Hipótesis!$D$72)))</f>
        <v>-0</v>
      </c>
      <c r="V80" s="100" t="n">
        <f aca="false">IF(V79&lt;Hipótesis!$D$72,MIN(Hipótesis!$D$70-U81,Hipótesis!$D$72-V79),-MIN(U81,MAX(0,V79-Hipótesis!$D$72)))</f>
        <v>-0</v>
      </c>
      <c r="W80" s="100" t="n">
        <f aca="false">IF(W79&lt;Hipótesis!$D$72,MIN(Hipótesis!$D$70-V81,Hipótesis!$D$72-W79),-MIN(V81,MAX(0,W79-Hipótesis!$D$72)))</f>
        <v>-0</v>
      </c>
      <c r="X80" s="100" t="n">
        <f aca="false">IF(X79&lt;Hipótesis!$D$72,MIN(Hipótesis!$D$70-W81,Hipótesis!$D$72-X79),-MIN(W81,MAX(0,X79-Hipótesis!$D$72)))</f>
        <v>-0</v>
      </c>
      <c r="Y80" s="100" t="n">
        <f aca="false">IF(Y79&lt;Hipótesis!$D$72,MIN(Hipótesis!$D$70-X81,Hipótesis!$D$72-Y79),-MIN(X81,MAX(0,Y79-Hipótesis!$D$72)))</f>
        <v>-0</v>
      </c>
      <c r="Z80" s="100" t="n">
        <f aca="false">IF(Z79&lt;Hipótesis!$D$72,MIN(Hipótesis!$D$70-Y81,Hipótesis!$D$72-Z79),-MIN(Y81,MAX(0,Z79-Hipótesis!$D$72)))</f>
        <v>-0</v>
      </c>
      <c r="AA80" s="100" t="n">
        <f aca="false">IF(AA79&lt;Hipótesis!$D$72,MIN(Hipótesis!$D$70-Z81,Hipótesis!$D$72-AA79),-MIN(Z81,MAX(0,AA79-Hipótesis!$D$72)))</f>
        <v>-0</v>
      </c>
      <c r="AB80" s="100" t="n">
        <f aca="false">IF(AB79&lt;Hipótesis!$D$72,MIN(Hipótesis!$D$70-AA81,Hipótesis!$D$72-AB79),-MIN(AA81,MAX(0,AB79-Hipótesis!$D$72)))</f>
        <v>-0</v>
      </c>
      <c r="AC80" s="100" t="n">
        <f aca="false">IF(AC79&lt;Hipótesis!$D$72,MIN(Hipótesis!$D$70-AB81,Hipótesis!$D$72-AC79),-MIN(AB81,MAX(0,AC79-Hipótesis!$D$72)))</f>
        <v>-0</v>
      </c>
      <c r="AD80" s="100" t="n">
        <f aca="false">IF(AD79&lt;Hipótesis!$D$72,MIN(Hipótesis!$D$70-AC81,Hipótesis!$D$72-AD79),-MIN(AC81,MAX(0,AD79-Hipótesis!$D$72)))</f>
        <v>-0</v>
      </c>
      <c r="AE80" s="100" t="n">
        <f aca="false">IF(AE79&lt;Hipótesis!$D$72,MIN(Hipótesis!$D$70-AD81,Hipótesis!$D$72-AE79),-MIN(AD81,MAX(0,AE79-Hipótesis!$D$72)))</f>
        <v>-0</v>
      </c>
      <c r="AF80" s="100" t="n">
        <f aca="false">IF(AF79&lt;Hipótesis!$D$72,MIN(Hipótesis!$D$70-AE81,Hipótesis!$D$72-AF79),-MIN(AE81,MAX(0,AF79-Hipótesis!$D$72)))</f>
        <v>-0</v>
      </c>
      <c r="AG80" s="100" t="n">
        <f aca="false">IF(AG79&lt;Hipótesis!$D$72,MIN(Hipótesis!$D$70-AF81,Hipótesis!$D$72-AG79),-MIN(AF81,MAX(0,AG79-Hipótesis!$D$72)))</f>
        <v>-0</v>
      </c>
      <c r="AH80" s="100" t="n">
        <f aca="false">IF(AH79&lt;Hipótesis!$D$72,MIN(Hipótesis!$D$70-AG81,Hipótesis!$D$72-AH79),-MIN(AG81,MAX(0,AH79-Hipótesis!$D$72)))</f>
        <v>-0</v>
      </c>
      <c r="AI80" s="100" t="n">
        <f aca="false">IF(AI79&lt;Hipótesis!$D$72,MIN(Hipótesis!$D$70-AH81,Hipótesis!$D$72-AI79),-MIN(AH81,MAX(0,AI79-Hipótesis!$D$72)))</f>
        <v>-0</v>
      </c>
      <c r="AJ80" s="100" t="n">
        <f aca="false">IF(AJ79&lt;Hipótesis!$D$72,MIN(Hipótesis!$D$70-AI81,Hipótesis!$D$72-AJ79),-MIN(AI81,MAX(0,AJ79-Hipótesis!$D$72)))</f>
        <v>-0</v>
      </c>
      <c r="AK80" s="100" t="n">
        <f aca="false">IF(AK79&lt;Hipótesis!$D$72,MIN(Hipótesis!$D$70-AJ81,Hipótesis!$D$72-AK79),-MIN(AJ81,MAX(0,AK79-Hipótesis!$D$72)))</f>
        <v>-0</v>
      </c>
      <c r="AL80" s="100" t="n">
        <f aca="false">IF(AL79&lt;Hipótesis!$D$72,MIN(Hipótesis!$D$70-AK81,Hipótesis!$D$72-AL79),-MIN(AK81,MAX(0,AL79-Hipótesis!$D$72)))</f>
        <v>-0</v>
      </c>
      <c r="AM80" s="100" t="n">
        <f aca="false">IF(AM79&lt;Hipótesis!$D$72,MIN(Hipótesis!$D$70-AL81,Hipótesis!$D$72-AM79),-MIN(AL81,MAX(0,AM79-Hipótesis!$D$72)))</f>
        <v>-0</v>
      </c>
      <c r="AN80" s="100" t="n">
        <f aca="false">IF(AN79&lt;Hipótesis!$D$72,MIN(Hipótesis!$D$70-AM81,Hipótesis!$D$72-AN79),-MIN(AM81,MAX(0,AN79-Hipótesis!$D$72)))</f>
        <v>-0</v>
      </c>
      <c r="AO80" s="100" t="n">
        <f aca="false">IF(AO79&lt;Hipótesis!$D$72,MIN(Hipótesis!$D$70-AN81,Hipótesis!$D$72-AO79),-MIN(AN81,MAX(0,AO79-Hipótesis!$D$72)))</f>
        <v>-0</v>
      </c>
      <c r="AP80" s="100" t="n">
        <f aca="false">IF(AP79&lt;Hipótesis!$D$72,MIN(Hipótesis!$D$70-AO81,Hipótesis!$D$72-AP79),-MIN(AO81,MAX(0,AP79-Hipótesis!$D$72)))</f>
        <v>-0</v>
      </c>
      <c r="AQ80" s="100" t="n">
        <f aca="false">IF(AQ79&lt;Hipótesis!$D$72,MIN(Hipótesis!$D$70-AP81,Hipótesis!$D$72-AQ79),-MIN(AP81,MAX(0,AQ79-Hipótesis!$D$72)))</f>
        <v>-0</v>
      </c>
      <c r="AR80" s="100" t="n">
        <f aca="false">IF(AR79&lt;Hipótesis!$D$72,MIN(Hipótesis!$D$70-AQ81,Hipótesis!$D$72-AR79),-MIN(AQ81,MAX(0,AR79-Hipótesis!$D$72)))</f>
        <v>-0</v>
      </c>
      <c r="AS80" s="100" t="n">
        <f aca="false">IF(AS79&lt;Hipótesis!$D$72,MIN(Hipótesis!$D$70-AR81,Hipótesis!$D$72-AS79),-MIN(AR81,MAX(0,AS79-Hipótesis!$D$72)))</f>
        <v>-0</v>
      </c>
      <c r="AT80" s="100" t="n">
        <f aca="false">IF(AT79&lt;Hipótesis!$D$72,MIN(Hipótesis!$D$70-AS81,Hipótesis!$D$72-AT79),-MIN(AS81,MAX(0,AT79-Hipótesis!$D$72)))</f>
        <v>-0</v>
      </c>
      <c r="AU80" s="100" t="n">
        <f aca="false">IF(AU79&lt;Hipótesis!$D$72,MIN(Hipótesis!$D$70-AT81,Hipótesis!$D$72-AU79),-MIN(AT81,MAX(0,AU79-Hipótesis!$D$72)))</f>
        <v>-0</v>
      </c>
      <c r="AV80" s="100" t="n">
        <f aca="false">IF(AV79&lt;Hipótesis!$D$72,MIN(Hipótesis!$D$70-AU81,Hipótesis!$D$72-AV79),-MIN(AU81,MAX(0,AV79-Hipótesis!$D$72)))</f>
        <v>-0</v>
      </c>
      <c r="AW80" s="100" t="n">
        <f aca="false">IF(AW79&lt;Hipótesis!$D$72,MIN(Hipótesis!$D$70-AV81,Hipótesis!$D$72-AW79),-MIN(AV81,MAX(0,AW79-Hipótesis!$D$72)))</f>
        <v>-0</v>
      </c>
      <c r="AX80" s="100" t="n">
        <f aca="false">IF(AX79&lt;Hipótesis!$D$72,MIN(Hipótesis!$D$70-AW81,Hipótesis!$D$72-AX79),-MIN(AW81,MAX(0,AX79-Hipótesis!$D$72)))</f>
        <v>-0</v>
      </c>
      <c r="AY80" s="100" t="n">
        <f aca="false">IF(AY79&lt;Hipótesis!$D$72,MIN(Hipótesis!$D$70-AX81,Hipótesis!$D$72-AY79),-MIN(AX81,MAX(0,AY79-Hipótesis!$D$72)))</f>
        <v>-0</v>
      </c>
      <c r="AZ80" s="100" t="n">
        <f aca="false">IF(AZ79&lt;Hipótesis!$D$72,MIN(Hipótesis!$D$70-AY81,Hipótesis!$D$72-AZ79),-MIN(AY81,MAX(0,AZ79-Hipótesis!$D$72)))</f>
        <v>-0</v>
      </c>
      <c r="BA80" s="100" t="n">
        <f aca="false">IF(BA79&lt;Hipótesis!$D$72,MIN(Hipótesis!$D$70-AZ81,Hipótesis!$D$72-BA79),-MIN(AZ81,MAX(0,BA79-Hipótesis!$D$72)))</f>
        <v>-0</v>
      </c>
      <c r="BB80" s="100" t="n">
        <f aca="false">IF(BB79&lt;Hipótesis!$D$72,MIN(Hipótesis!$D$70-BA81,Hipótesis!$D$72-BB79),-MIN(BA81,MAX(0,BB79-Hipótesis!$D$72)))</f>
        <v>-0</v>
      </c>
      <c r="BC80" s="100" t="n">
        <f aca="false">IF(BC79&lt;Hipótesis!$D$72,MIN(Hipótesis!$D$70-BB81,Hipótesis!$D$72-BC79),-MIN(BB81,MAX(0,BC79-Hipótesis!$D$72)))</f>
        <v>-0</v>
      </c>
      <c r="BD80" s="100" t="n">
        <f aca="false">IF(BD79&lt;Hipótesis!$D$72,MIN(Hipótesis!$D$70-BC81,Hipótesis!$D$72-BD79),-MIN(BC81,MAX(0,BD79-Hipótesis!$D$72)))</f>
        <v>-0</v>
      </c>
      <c r="BE80" s="100" t="n">
        <f aca="false">IF(BE79&lt;Hipótesis!$D$72,MIN(Hipótesis!$D$70-BD81,Hipótesis!$D$72-BE79),-MIN(BD81,MAX(0,BE79-Hipótesis!$D$72)))</f>
        <v>-0</v>
      </c>
      <c r="BF80" s="100" t="n">
        <f aca="false">IF(BF79&lt;Hipótesis!$D$72,MIN(Hipótesis!$D$70-BE81,Hipótesis!$D$72-BF79),-MIN(BE81,MAX(0,BF79-Hipótesis!$D$72)))</f>
        <v>-0</v>
      </c>
      <c r="BG80" s="100" t="n">
        <f aca="false">IF(BG79&lt;Hipótesis!$D$72,MIN(Hipótesis!$D$70-BF81,Hipótesis!$D$72-BG79),-MIN(BF81,MAX(0,BG79-Hipótesis!$D$72)))</f>
        <v>-0</v>
      </c>
      <c r="BH80" s="100" t="n">
        <f aca="false">IF(BH79&lt;Hipótesis!$D$72,MIN(Hipótesis!$D$70-BG81,Hipótesis!$D$72-BH79),-MIN(BG81,MAX(0,BH79-Hipótesis!$D$72)))</f>
        <v>-0</v>
      </c>
      <c r="BI80" s="100" t="n">
        <f aca="false">IF(BI79&lt;Hipótesis!$D$72,MIN(Hipótesis!$D$70-BH81,Hipótesis!$D$72-BI79),-MIN(BH81,MAX(0,BI79-Hipótesis!$D$72)))</f>
        <v>-0</v>
      </c>
      <c r="BJ80" s="100" t="n">
        <f aca="false">IF(BJ79&lt;Hipótesis!$D$72,MIN(Hipótesis!$D$70-BI81,Hipótesis!$D$72-BJ79),-MIN(BI81,MAX(0,BJ79-Hipótesis!$D$72)))</f>
        <v>-0</v>
      </c>
      <c r="BK80" s="100" t="n">
        <f aca="false">IF(BK79&lt;Hipótesis!$D$72,MIN(Hipótesis!$D$70-BJ81,Hipótesis!$D$72-BK79),-MIN(BJ81,MAX(0,BK79-Hipótesis!$D$72)))</f>
        <v>-0</v>
      </c>
      <c r="BL80" s="100" t="n">
        <f aca="false">IF(BL79&lt;Hipótesis!$D$72,MIN(Hipótesis!$D$70-BK81,Hipótesis!$D$72-BL79),-MIN(BK81,MAX(0,BL79-Hipótesis!$D$72)))</f>
        <v>-0</v>
      </c>
      <c r="BM80" s="100" t="n">
        <f aca="false">IF(BM79&lt;Hipótesis!$D$72,MIN(Hipótesis!$D$70-BL81,Hipótesis!$D$72-BM79),-MIN(BL81,MAX(0,BM79-Hipótesis!$D$72)))</f>
        <v>-0</v>
      </c>
      <c r="BN80" s="100" t="n">
        <f aca="false">IF(BN79&lt;Hipótesis!$D$72,MIN(Hipótesis!$D$70-BM81,Hipótesis!$D$72-BN79),-MIN(BM81,MAX(0,BN79-Hipótesis!$D$72)))</f>
        <v>-0</v>
      </c>
      <c r="BO80" s="100" t="n">
        <f aca="false">IF(BO79&lt;Hipótesis!$D$72,MIN(Hipótesis!$D$70-BN81,Hipótesis!$D$72-BO79),-MIN(BN81,MAX(0,BO79-Hipótesis!$D$72)))</f>
        <v>-0</v>
      </c>
      <c r="BP80" s="100" t="n">
        <f aca="false">IF(BP79&lt;Hipótesis!$D$72,MIN(Hipótesis!$D$70-BO81,Hipótesis!$D$72-BP79),-MIN(BO81,MAX(0,BP79-Hipótesis!$D$72)))</f>
        <v>-0</v>
      </c>
      <c r="BQ80" s="100" t="n">
        <f aca="false">IF(BQ79&lt;Hipótesis!$D$72,MIN(Hipótesis!$D$70-BP81,Hipótesis!$D$72-BQ79),-MIN(BP81,MAX(0,BQ79-Hipótesis!$D$72)))</f>
        <v>-0</v>
      </c>
      <c r="BR80" s="100" t="n">
        <f aca="false">IF(BR79&lt;Hipótesis!$D$72,MIN(Hipótesis!$D$70-BQ81,Hipótesis!$D$72-BR79),-MIN(BQ81,MAX(0,BR79-Hipótesis!$D$72)))</f>
        <v>-0</v>
      </c>
      <c r="BS80" s="100" t="n">
        <f aca="false">IF(BS79&lt;Hipótesis!$D$72,MIN(Hipótesis!$D$70-BR81,Hipótesis!$D$72-BS79),-MIN(BR81,MAX(0,BS79-Hipótesis!$D$72)))</f>
        <v>-0</v>
      </c>
      <c r="BT80" s="100" t="n">
        <f aca="false">IF(BT79&lt;Hipótesis!$D$72,MIN(Hipótesis!$D$70-BS81,Hipótesis!$D$72-BT79),-MIN(BS81,MAX(0,BT79-Hipótesis!$D$72)))</f>
        <v>-0</v>
      </c>
      <c r="BU80" s="100" t="n">
        <f aca="false">IF(BU79&lt;Hipótesis!$D$72,MIN(Hipótesis!$D$70-BT81,Hipótesis!$D$72-BU79),-MIN(BT81,MAX(0,BU79-Hipótesis!$D$72)))</f>
        <v>-0</v>
      </c>
      <c r="BV80" s="100" t="n">
        <f aca="false">IF(BV79&lt;Hipótesis!$D$72,MIN(Hipótesis!$D$70-BU81,Hipótesis!$D$72-BV79),-MIN(BU81,MAX(0,BV79-Hipótesis!$D$72)))</f>
        <v>-0</v>
      </c>
      <c r="BW80" s="100" t="n">
        <f aca="false">IF(BW79&lt;Hipótesis!$D$72,MIN(Hipótesis!$D$70-BV81,Hipótesis!$D$72-BW79),-MIN(BV81,MAX(0,BW79-Hipótesis!$D$72)))</f>
        <v>-0</v>
      </c>
      <c r="BX80" s="100" t="n">
        <f aca="false">IF(BX79&lt;Hipótesis!$D$72,MIN(Hipótesis!$D$70-BW81,Hipótesis!$D$72-BX79),-MIN(BW81,MAX(0,BX79-Hipótesis!$D$72)))</f>
        <v>-0</v>
      </c>
      <c r="BY80" s="100" t="n">
        <f aca="false">IF(BY79&lt;Hipótesis!$D$72,MIN(Hipótesis!$D$70-BX81,Hipótesis!$D$72-BY79),-MIN(BX81,MAX(0,BY79-Hipótesis!$D$72)))</f>
        <v>-0</v>
      </c>
      <c r="BZ80" s="100" t="n">
        <f aca="false">IF(BZ79&lt;Hipótesis!$D$72,MIN(Hipótesis!$D$70-BY81,Hipótesis!$D$72-BZ79),-MIN(BY81,MAX(0,BZ79-Hipótesis!$D$72)))</f>
        <v>-0</v>
      </c>
      <c r="CA80" s="100" t="n">
        <f aca="false">IF(CA79&lt;Hipótesis!$D$72,MIN(Hipótesis!$D$70-BZ81,Hipótesis!$D$72-CA79),-MIN(BZ81,MAX(0,CA79-Hipótesis!$D$72)))</f>
        <v>-0</v>
      </c>
      <c r="CB80" s="100" t="n">
        <f aca="false">IF(CB79&lt;Hipótesis!$D$72,MIN(Hipótesis!$D$70-CA81,Hipótesis!$D$72-CB79),-MIN(CA81,MAX(0,CB79-Hipótesis!$D$72)))</f>
        <v>-0</v>
      </c>
      <c r="CC80" s="100" t="n">
        <f aca="false">IF(CC79&lt;Hipótesis!$D$72,MIN(Hipótesis!$D$70-CB81,Hipótesis!$D$72-CC79),-MIN(CB81,MAX(0,CC79-Hipótesis!$D$72)))</f>
        <v>-0</v>
      </c>
      <c r="CD80" s="100" t="n">
        <f aca="false">IF(CD79&lt;Hipótesis!$D$72,MIN(Hipótesis!$D$70-CC81,Hipótesis!$D$72-CD79),-MIN(CC81,MAX(0,CD79-Hipótesis!$D$72)))</f>
        <v>-0</v>
      </c>
      <c r="CE80" s="100" t="n">
        <f aca="false">IF(CE79&lt;Hipótesis!$D$72,MIN(Hipótesis!$D$70-CD81,Hipótesis!$D$72-CE79),-MIN(CD81,MAX(0,CE79-Hipótesis!$D$72)))</f>
        <v>-0</v>
      </c>
      <c r="CF80" s="100" t="n">
        <f aca="false">IF(CF79&lt;Hipótesis!$D$72,MIN(Hipótesis!$D$70-CE81,Hipótesis!$D$72-CF79),-MIN(CE81,MAX(0,CF79-Hipótesis!$D$72)))</f>
        <v>-0</v>
      </c>
      <c r="CG80" s="100" t="n">
        <f aca="false">IF(CG79&lt;Hipótesis!$D$72,MIN(Hipótesis!$D$70-CF81,Hipótesis!$D$72-CG79),-MIN(CF81,MAX(0,CG79-Hipótesis!$D$72)))</f>
        <v>-0</v>
      </c>
      <c r="CH80" s="100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46" t="s">
        <v>555</v>
      </c>
      <c r="C81" s="63" t="n">
        <f aca="false">C80</f>
        <v>-0</v>
      </c>
      <c r="D81" s="63" t="n">
        <f aca="false">C81+D80</f>
        <v>0</v>
      </c>
      <c r="E81" s="63" t="n">
        <f aca="false">D81+E80</f>
        <v>0</v>
      </c>
      <c r="F81" s="63" t="n">
        <f aca="false">E81+F80</f>
        <v>0</v>
      </c>
      <c r="G81" s="63" t="n">
        <f aca="false">F81+G80</f>
        <v>0</v>
      </c>
      <c r="H81" s="63" t="n">
        <f aca="false">G81+H80</f>
        <v>0</v>
      </c>
      <c r="I81" s="63" t="n">
        <f aca="false">H81+I80</f>
        <v>0</v>
      </c>
      <c r="J81" s="63" t="n">
        <f aca="false">I81+J80</f>
        <v>0</v>
      </c>
      <c r="K81" s="63" t="n">
        <f aca="false">J81+K80</f>
        <v>3999.52974930412</v>
      </c>
      <c r="L81" s="63" t="n">
        <f aca="false">K81+L80</f>
        <v>4694.50636618414</v>
      </c>
      <c r="M81" s="63" t="n">
        <f aca="false">L81+M80</f>
        <v>2454.50963355102</v>
      </c>
      <c r="N81" s="63" t="n">
        <f aca="false">M81+N80</f>
        <v>0</v>
      </c>
      <c r="O81" s="63" t="n">
        <f aca="false">N81+O80</f>
        <v>0</v>
      </c>
      <c r="P81" s="63" t="n">
        <f aca="false">O81+P80</f>
        <v>0</v>
      </c>
      <c r="Q81" s="63" t="n">
        <f aca="false">P81+Q80</f>
        <v>0</v>
      </c>
      <c r="R81" s="63" t="n">
        <f aca="false">Q81+R80</f>
        <v>0</v>
      </c>
      <c r="S81" s="63" t="n">
        <f aca="false">R81+S80</f>
        <v>0</v>
      </c>
      <c r="T81" s="63" t="n">
        <f aca="false">S81+T80</f>
        <v>0</v>
      </c>
      <c r="U81" s="63" t="n">
        <f aca="false">T81+U80</f>
        <v>0</v>
      </c>
      <c r="V81" s="63" t="n">
        <f aca="false">U81+V80</f>
        <v>0</v>
      </c>
      <c r="W81" s="63" t="n">
        <f aca="false">V81+W80</f>
        <v>0</v>
      </c>
      <c r="X81" s="63" t="n">
        <f aca="false">W81+X80</f>
        <v>0</v>
      </c>
      <c r="Y81" s="63" t="n">
        <f aca="false">X81+Y80</f>
        <v>0</v>
      </c>
      <c r="Z81" s="63" t="n">
        <f aca="false">Y81+Z80</f>
        <v>0</v>
      </c>
      <c r="AA81" s="63" t="n">
        <f aca="false">Z81+AA80</f>
        <v>0</v>
      </c>
      <c r="AB81" s="63" t="n">
        <f aca="false">AA81+AB80</f>
        <v>0</v>
      </c>
      <c r="AC81" s="63" t="n">
        <f aca="false">AB81+AC80</f>
        <v>0</v>
      </c>
      <c r="AD81" s="63" t="n">
        <f aca="false">AC81+AD80</f>
        <v>0</v>
      </c>
      <c r="AE81" s="63" t="n">
        <f aca="false">AD81+AE80</f>
        <v>0</v>
      </c>
      <c r="AF81" s="63" t="n">
        <f aca="false">AE81+AF80</f>
        <v>0</v>
      </c>
      <c r="AG81" s="63" t="n">
        <f aca="false">AF81+AG80</f>
        <v>0</v>
      </c>
      <c r="AH81" s="63" t="n">
        <f aca="false">AG81+AH80</f>
        <v>0</v>
      </c>
      <c r="AI81" s="63" t="n">
        <f aca="false">AH81+AI80</f>
        <v>0</v>
      </c>
      <c r="AJ81" s="63" t="n">
        <f aca="false">AI81+AJ80</f>
        <v>0</v>
      </c>
      <c r="AK81" s="63" t="n">
        <f aca="false">AJ81+AK80</f>
        <v>0</v>
      </c>
      <c r="AL81" s="63" t="n">
        <f aca="false">AK81+AL80</f>
        <v>0</v>
      </c>
      <c r="AM81" s="63" t="n">
        <f aca="false">AL81+AM80</f>
        <v>0</v>
      </c>
      <c r="AN81" s="63" t="n">
        <f aca="false">AM81+AN80</f>
        <v>0</v>
      </c>
      <c r="AO81" s="63" t="n">
        <f aca="false">AN81+AO80</f>
        <v>0</v>
      </c>
      <c r="AP81" s="63" t="n">
        <f aca="false">AO81+AP80</f>
        <v>0</v>
      </c>
      <c r="AQ81" s="63" t="n">
        <f aca="false">AP81+AQ80</f>
        <v>0</v>
      </c>
      <c r="AR81" s="63" t="n">
        <f aca="false">AQ81+AR80</f>
        <v>0</v>
      </c>
      <c r="AS81" s="63" t="n">
        <f aca="false">AR81+AS80</f>
        <v>0</v>
      </c>
      <c r="AT81" s="63" t="n">
        <f aca="false">AS81+AT80</f>
        <v>0</v>
      </c>
      <c r="AU81" s="63" t="n">
        <f aca="false">AT81+AU80</f>
        <v>0</v>
      </c>
      <c r="AV81" s="63" t="n">
        <f aca="false">AU81+AV80</f>
        <v>0</v>
      </c>
      <c r="AW81" s="63" t="n">
        <f aca="false">AV81+AW80</f>
        <v>0</v>
      </c>
      <c r="AX81" s="63" t="n">
        <f aca="false">AW81+AX80</f>
        <v>0</v>
      </c>
      <c r="AY81" s="63" t="n">
        <f aca="false">AX81+AY80</f>
        <v>0</v>
      </c>
      <c r="AZ81" s="63" t="n">
        <f aca="false">AY81+AZ80</f>
        <v>0</v>
      </c>
      <c r="BA81" s="63" t="n">
        <f aca="false">AZ81+BA80</f>
        <v>0</v>
      </c>
      <c r="BB81" s="63" t="n">
        <f aca="false">BA81+BB80</f>
        <v>0</v>
      </c>
      <c r="BC81" s="63" t="n">
        <f aca="false">BB81+BC80</f>
        <v>0</v>
      </c>
      <c r="BD81" s="63" t="n">
        <f aca="false">BC81+BD80</f>
        <v>0</v>
      </c>
      <c r="BE81" s="63" t="n">
        <f aca="false">BD81+BE80</f>
        <v>0</v>
      </c>
      <c r="BF81" s="63" t="n">
        <f aca="false">BE81+BF80</f>
        <v>0</v>
      </c>
      <c r="BG81" s="63" t="n">
        <f aca="false">BF81+BG80</f>
        <v>0</v>
      </c>
      <c r="BH81" s="63" t="n">
        <f aca="false">BG81+BH80</f>
        <v>0</v>
      </c>
      <c r="BI81" s="63" t="n">
        <f aca="false">BH81+BI80</f>
        <v>0</v>
      </c>
      <c r="BJ81" s="63" t="n">
        <f aca="false">BI81+BJ80</f>
        <v>0</v>
      </c>
      <c r="BK81" s="63" t="n">
        <f aca="false">BJ81+BK80</f>
        <v>0</v>
      </c>
      <c r="BL81" s="63" t="n">
        <f aca="false">BK81+BL80</f>
        <v>0</v>
      </c>
      <c r="BM81" s="63" t="n">
        <f aca="false">BL81+BM80</f>
        <v>0</v>
      </c>
      <c r="BN81" s="63" t="n">
        <f aca="false">BM81+BN80</f>
        <v>0</v>
      </c>
      <c r="BO81" s="63" t="n">
        <f aca="false">BN81+BO80</f>
        <v>0</v>
      </c>
      <c r="BP81" s="63" t="n">
        <f aca="false">BO81+BP80</f>
        <v>0</v>
      </c>
      <c r="BQ81" s="63" t="n">
        <f aca="false">BP81+BQ80</f>
        <v>0</v>
      </c>
      <c r="BR81" s="63" t="n">
        <f aca="false">BQ81+BR80</f>
        <v>0</v>
      </c>
      <c r="BS81" s="63" t="n">
        <f aca="false">BR81+BS80</f>
        <v>0</v>
      </c>
      <c r="BT81" s="63" t="n">
        <f aca="false">BS81+BT80</f>
        <v>0</v>
      </c>
      <c r="BU81" s="63" t="n">
        <f aca="false">BT81+BU80</f>
        <v>0</v>
      </c>
      <c r="BV81" s="63" t="n">
        <f aca="false">BU81+BV80</f>
        <v>0</v>
      </c>
      <c r="BW81" s="63" t="n">
        <f aca="false">BV81+BW80</f>
        <v>0</v>
      </c>
      <c r="BX81" s="63" t="n">
        <f aca="false">BW81+BX80</f>
        <v>0</v>
      </c>
      <c r="BY81" s="63" t="n">
        <f aca="false">BX81+BY80</f>
        <v>0</v>
      </c>
      <c r="BZ81" s="63" t="n">
        <f aca="false">BY81+BZ80</f>
        <v>0</v>
      </c>
      <c r="CA81" s="63" t="n">
        <f aca="false">BZ81+CA80</f>
        <v>0</v>
      </c>
      <c r="CB81" s="63" t="n">
        <f aca="false">CA81+CB80</f>
        <v>0</v>
      </c>
      <c r="CC81" s="63" t="n">
        <f aca="false">CB81+CC80</f>
        <v>0</v>
      </c>
      <c r="CD81" s="63" t="n">
        <f aca="false">CC81+CD80</f>
        <v>0</v>
      </c>
      <c r="CE81" s="63" t="n">
        <f aca="false">CD81+CE80</f>
        <v>0</v>
      </c>
      <c r="CF81" s="63" t="n">
        <f aca="false">CE81+CF80</f>
        <v>0</v>
      </c>
      <c r="CG81" s="63" t="n">
        <f aca="false">CF81+CG80</f>
        <v>0</v>
      </c>
      <c r="CH81" s="63" t="n">
        <f aca="false">CG81+CH80</f>
        <v>0</v>
      </c>
    </row>
    <row r="82" customFormat="false" ht="13.5" hidden="false" customHeight="true" outlineLevel="0" collapsed="false">
      <c r="A82" s="6" t="s">
        <v>556</v>
      </c>
      <c r="C82" s="100" t="n">
        <f aca="false">C79+C80</f>
        <v>155012.953832997</v>
      </c>
      <c r="D82" s="100" t="n">
        <f aca="false">D79+D80</f>
        <v>126800.895654598</v>
      </c>
      <c r="E82" s="100" t="n">
        <f aca="false">E79+E80</f>
        <v>104248.559423504</v>
      </c>
      <c r="F82" s="100" t="n">
        <f aca="false">F79+F80</f>
        <v>84119.5204026265</v>
      </c>
      <c r="G82" s="100" t="n">
        <f aca="false">G79+G80</f>
        <v>66025.27776969</v>
      </c>
      <c r="H82" s="100" t="n">
        <f aca="false">H79+H80</f>
        <v>50370.5451590943</v>
      </c>
      <c r="I82" s="100" t="n">
        <f aca="false">I79+I80</f>
        <v>38278.2536987901</v>
      </c>
      <c r="J82" s="100" t="n">
        <f aca="false">J79+J80</f>
        <v>30164.877840788</v>
      </c>
      <c r="K82" s="100" t="n">
        <f aca="false">K79+K80</f>
        <v>30000</v>
      </c>
      <c r="L82" s="100" t="n">
        <f aca="false">L79+L80</f>
        <v>30000</v>
      </c>
      <c r="M82" s="100" t="n">
        <f aca="false">M79+M80</f>
        <v>30000</v>
      </c>
      <c r="N82" s="100" t="n">
        <f aca="false">N79+N80</f>
        <v>31867.6730529029</v>
      </c>
      <c r="O82" s="100" t="n">
        <f aca="false">O79+O80</f>
        <v>36082.1147996875</v>
      </c>
      <c r="P82" s="100" t="n">
        <f aca="false">P79+P80</f>
        <v>40475.1935122794</v>
      </c>
      <c r="Q82" s="100" t="n">
        <f aca="false">Q79+Q80</f>
        <v>46886.9319881787</v>
      </c>
      <c r="R82" s="100" t="n">
        <f aca="false">R79+R80</f>
        <v>55317.3302273853</v>
      </c>
      <c r="S82" s="100" t="n">
        <f aca="false">S79+S80</f>
        <v>65766.3882298992</v>
      </c>
      <c r="T82" s="100" t="n">
        <f aca="false">T79+T80</f>
        <v>78234.1059957205</v>
      </c>
      <c r="U82" s="100" t="n">
        <f aca="false">U79+U80</f>
        <v>90795.1539648491</v>
      </c>
      <c r="V82" s="100" t="n">
        <f aca="false">V79+V80</f>
        <v>103109.768097285</v>
      </c>
      <c r="W82" s="100" t="n">
        <f aca="false">W79+W80</f>
        <v>117443.041993028</v>
      </c>
      <c r="X82" s="100" t="n">
        <f aca="false">X79+X80</f>
        <v>133349.534785538</v>
      </c>
      <c r="Y82" s="100" t="n">
        <f aca="false">Y79+Y80</f>
        <v>150639.151474813</v>
      </c>
      <c r="Z82" s="100" t="n">
        <f aca="false">Z79+Z80</f>
        <v>169145.310573988</v>
      </c>
      <c r="AA82" s="100" t="n">
        <f aca="false">AA79+AA80</f>
        <v>185235.817226796</v>
      </c>
      <c r="AB82" s="100" t="n">
        <f aca="false">AB79+AB80</f>
        <v>200499.736264926</v>
      </c>
      <c r="AC82" s="100" t="n">
        <f aca="false">AC79+AC80</f>
        <v>216920.157135177</v>
      </c>
      <c r="AD82" s="100" t="n">
        <f aca="false">AD79+AD80</f>
        <v>234497.07983755</v>
      </c>
      <c r="AE82" s="100" t="n">
        <f aca="false">AE79+AE80</f>
        <v>253230.504372045</v>
      </c>
      <c r="AF82" s="100" t="n">
        <f aca="false">AF79+AF80</f>
        <v>273120.430738662</v>
      </c>
      <c r="AG82" s="100" t="n">
        <f aca="false">AG79+AG80</f>
        <v>294166.8589374</v>
      </c>
      <c r="AH82" s="100" t="n">
        <f aca="false">AH79+AH80</f>
        <v>316369.78896826</v>
      </c>
      <c r="AI82" s="100" t="n">
        <f aca="false">AI79+AI80</f>
        <v>339729.220831242</v>
      </c>
      <c r="AJ82" s="100" t="n">
        <f aca="false">AJ79+AJ80</f>
        <v>364245.154526346</v>
      </c>
      <c r="AK82" s="100" t="n">
        <f aca="false">AK79+AK80</f>
        <v>389917.590053572</v>
      </c>
      <c r="AL82" s="100" t="n">
        <f aca="false">AL79+AL80</f>
        <v>414763.437966119</v>
      </c>
      <c r="AM82" s="100" t="n">
        <f aca="false">AM79+AM80</f>
        <v>435617.752375245</v>
      </c>
      <c r="AN82" s="100" t="n">
        <f aca="false">AN79+AN80</f>
        <v>457488.68768312</v>
      </c>
      <c r="AO82" s="100" t="n">
        <f aca="false">AO79+AO80</f>
        <v>480376.243889745</v>
      </c>
      <c r="AP82" s="100" t="n">
        <f aca="false">AP79+AP80</f>
        <v>504280.420995121</v>
      </c>
      <c r="AQ82" s="100" t="n">
        <f aca="false">AQ79+AQ80</f>
        <v>529201.218999246</v>
      </c>
      <c r="AR82" s="100" t="n">
        <f aca="false">AR79+AR80</f>
        <v>555138.637902121</v>
      </c>
      <c r="AS82" s="100" t="n">
        <f aca="false">AS79+AS80</f>
        <v>581496.697923674</v>
      </c>
      <c r="AT82" s="100" t="n">
        <f aca="false">AT79+AT80</f>
        <v>607858.924611893</v>
      </c>
      <c r="AU82" s="100" t="n">
        <f aca="false">AU79+AU80</f>
        <v>634225.317966779</v>
      </c>
      <c r="AV82" s="100" t="n">
        <f aca="false">AV79+AV80</f>
        <v>660595.877988332</v>
      </c>
      <c r="AW82" s="100" t="n">
        <f aca="false">AW79+AW80</f>
        <v>686970.604676551</v>
      </c>
      <c r="AX82" s="100" t="n">
        <f aca="false">AX79+AX80</f>
        <v>713349.498031437</v>
      </c>
      <c r="AY82" s="100" t="n">
        <f aca="false">AY79+AY80</f>
        <v>606668.133569413</v>
      </c>
      <c r="AZ82" s="100" t="n">
        <f aca="false">AZ79+AZ80</f>
        <v>631256.567207363</v>
      </c>
      <c r="BA82" s="100" t="n">
        <f aca="false">BA79+BA80</f>
        <v>655849.167511979</v>
      </c>
      <c r="BB82" s="100" t="n">
        <f aca="false">BB79+BB80</f>
        <v>680445.934483262</v>
      </c>
      <c r="BC82" s="100" t="n">
        <f aca="false">BC79+BC80</f>
        <v>705046.868121212</v>
      </c>
      <c r="BD82" s="100" t="n">
        <f aca="false">BD79+BD80</f>
        <v>729651.968425828</v>
      </c>
      <c r="BE82" s="100" t="n">
        <f aca="false">BE79+BE80</f>
        <v>754261.235397111</v>
      </c>
      <c r="BF82" s="100" t="n">
        <f aca="false">BF79+BF80</f>
        <v>778874.669035061</v>
      </c>
      <c r="BG82" s="100" t="n">
        <f aca="false">BG79+BG80</f>
        <v>803492.269339677</v>
      </c>
      <c r="BH82" s="100" t="n">
        <f aca="false">BH79+BH80</f>
        <v>828114.03631096</v>
      </c>
      <c r="BI82" s="100" t="n">
        <f aca="false">BI79+BI80</f>
        <v>852739.96994891</v>
      </c>
      <c r="BJ82" s="100" t="n">
        <f aca="false">BJ79+BJ80</f>
        <v>877370.070253526</v>
      </c>
      <c r="BK82" s="100" t="n">
        <f aca="false">BK79+BK80</f>
        <v>771054.172589287</v>
      </c>
      <c r="BL82" s="100" t="n">
        <f aca="false">BL79+BL80</f>
        <v>793883.508385459</v>
      </c>
      <c r="BM82" s="100" t="n">
        <f aca="false">BM79+BM80</f>
        <v>816717.010848298</v>
      </c>
      <c r="BN82" s="100" t="n">
        <f aca="false">BN79+BN80</f>
        <v>839554.679977803</v>
      </c>
      <c r="BO82" s="100" t="n">
        <f aca="false">BO79+BO80</f>
        <v>862396.515773975</v>
      </c>
      <c r="BP82" s="100" t="n">
        <f aca="false">BP79+BP80</f>
        <v>885242.518236814</v>
      </c>
      <c r="BQ82" s="100" t="n">
        <f aca="false">BQ79+BQ80</f>
        <v>908092.687366319</v>
      </c>
      <c r="BR82" s="100" t="n">
        <f aca="false">BR79+BR80</f>
        <v>930947.023162491</v>
      </c>
      <c r="BS82" s="100" t="n">
        <f aca="false">BS79+BS80</f>
        <v>953805.52562533</v>
      </c>
      <c r="BT82" s="100" t="n">
        <f aca="false">BT79+BT80</f>
        <v>976668.194754835</v>
      </c>
      <c r="BU82" s="100" t="n">
        <f aca="false">BU79+BU80</f>
        <v>999535.030551007</v>
      </c>
      <c r="BV82" s="100" t="n">
        <f aca="false">BV79+BV80</f>
        <v>1022406.03301385</v>
      </c>
      <c r="BW82" s="100" t="n">
        <f aca="false">BW79+BW80</f>
        <v>922764.093213108</v>
      </c>
      <c r="BX82" s="100" t="n">
        <f aca="false">BX79+BX80</f>
        <v>943823.717232249</v>
      </c>
      <c r="BY82" s="100" t="n">
        <f aca="false">BY79+BY80</f>
        <v>964887.507918057</v>
      </c>
      <c r="BZ82" s="100" t="n">
        <f aca="false">BZ79+BZ80</f>
        <v>985955.465270531</v>
      </c>
      <c r="CA82" s="100" t="n">
        <f aca="false">CA79+CA80</f>
        <v>1007027.58928967</v>
      </c>
      <c r="CB82" s="100" t="n">
        <f aca="false">CB79+CB80</f>
        <v>1028103.87997548</v>
      </c>
      <c r="CC82" s="100" t="n">
        <f aca="false">CC79+CC80</f>
        <v>1049184.33732795</v>
      </c>
      <c r="CD82" s="100" t="n">
        <f aca="false">CD79+CD80</f>
        <v>1070268.9613471</v>
      </c>
      <c r="CE82" s="100" t="n">
        <f aca="false">CE79+CE80</f>
        <v>1091357.7520329</v>
      </c>
      <c r="CF82" s="100" t="n">
        <f aca="false">CF79+CF80</f>
        <v>1112450.70938538</v>
      </c>
      <c r="CG82" s="100" t="n">
        <f aca="false">CG79+CG80</f>
        <v>1133547.83340452</v>
      </c>
      <c r="CH82" s="100" t="n">
        <f aca="false">CH79+CH80</f>
        <v>1154649.12409033</v>
      </c>
    </row>
    <row r="83" customFormat="false" ht="13.5" hidden="false" customHeight="true" outlineLevel="0" collapsed="false">
      <c r="A83" s="6" t="s">
        <v>557</v>
      </c>
      <c r="C83" s="100" t="n">
        <f aca="false">-IF(AND(1&gt;=Hipótesis!$D$76,MOD(1,12)=0,C81=0),MIN(Hipótesis!$D$77*MAX(0,SUM(C63:C63)),MAX(0,C82-Hipótesis!$D$80)),0)</f>
        <v>-0</v>
      </c>
      <c r="D83" s="100" t="n">
        <f aca="false">-IF(AND(2&gt;=Hipótesis!$D$76,MOD(2,12)=0,D81=0),MIN(Hipótesis!$D$77*MAX(0,SUM(C63:D63)),MAX(0,D82-Hipótesis!$D$80)),0)</f>
        <v>-0</v>
      </c>
      <c r="E83" s="100" t="n">
        <f aca="false">-IF(AND(3&gt;=Hipótesis!$D$76,MOD(3,12)=0,E81=0),MIN(Hipótesis!$D$77*MAX(0,SUM(C63:E63)),MAX(0,E82-Hipótesis!$D$80)),0)</f>
        <v>-0</v>
      </c>
      <c r="F83" s="100" t="n">
        <f aca="false">-IF(AND(4&gt;=Hipótesis!$D$76,MOD(4,12)=0,F81=0),MIN(Hipótesis!$D$77*MAX(0,SUM(C63:F63)),MAX(0,F82-Hipótesis!$D$80)),0)</f>
        <v>-0</v>
      </c>
      <c r="G83" s="100" t="n">
        <f aca="false">-IF(AND(5&gt;=Hipótesis!$D$76,MOD(5,12)=0,G81=0),MIN(Hipótesis!$D$77*MAX(0,SUM(C63:G63)),MAX(0,G82-Hipótesis!$D$80)),0)</f>
        <v>-0</v>
      </c>
      <c r="H83" s="100" t="n">
        <f aca="false">-IF(AND(6&gt;=Hipótesis!$D$76,MOD(6,12)=0,H81=0),MIN(Hipótesis!$D$77*MAX(0,SUM(C63:H63)),MAX(0,H82-Hipótesis!$D$80)),0)</f>
        <v>-0</v>
      </c>
      <c r="I83" s="100" t="n">
        <f aca="false">-IF(AND(7&gt;=Hipótesis!$D$76,MOD(7,12)=0,I81=0),MIN(Hipótesis!$D$77*MAX(0,SUM(C63:I63)),MAX(0,I82-Hipótesis!$D$80)),0)</f>
        <v>-0</v>
      </c>
      <c r="J83" s="100" t="n">
        <f aca="false">-IF(AND(8&gt;=Hipótesis!$D$76,MOD(8,12)=0,J81=0),MIN(Hipótesis!$D$77*MAX(0,SUM(C63:J63)),MAX(0,J82-Hipótesis!$D$80)),0)</f>
        <v>-0</v>
      </c>
      <c r="K83" s="100" t="n">
        <f aca="false">-IF(AND(9&gt;=Hipótesis!$D$76,MOD(9,12)=0,K81=0),MIN(Hipótesis!$D$77*MAX(0,SUM(C63:K63)),MAX(0,K82-Hipótesis!$D$80)),0)</f>
        <v>-0</v>
      </c>
      <c r="L83" s="100" t="n">
        <f aca="false">-IF(AND(10&gt;=Hipótesis!$D$76,MOD(10,12)=0,L81=0),MIN(Hipótesis!$D$77*MAX(0,SUM(C63:L63)),MAX(0,L82-Hipótesis!$D$80)),0)</f>
        <v>-0</v>
      </c>
      <c r="M83" s="100" t="n">
        <f aca="false">-IF(AND(11&gt;=Hipótesis!$D$76,MOD(11,12)=0,M81=0),MIN(Hipótesis!$D$77*MAX(0,SUM(C63:M63)),MAX(0,M82-Hipótesis!$D$80)),0)</f>
        <v>-0</v>
      </c>
      <c r="N83" s="100" t="n">
        <f aca="false">-IF(AND(12&gt;=Hipótesis!$D$76,MOD(12,12)=0,N81=0),MIN(Hipótesis!$D$77*MAX(0,SUM(C63:N63)),MAX(0,N82-Hipótesis!$D$80)),0)</f>
        <v>-0</v>
      </c>
      <c r="O83" s="100" t="n">
        <f aca="false">-IF(AND(13&gt;=Hipótesis!$D$76,MOD(13,12)=0,O81=0),MIN(Hipótesis!$D$77*MAX(0,SUM(D63:O63)),MAX(0,O82-Hipótesis!$D$80)),0)</f>
        <v>-0</v>
      </c>
      <c r="P83" s="100" t="n">
        <f aca="false">-IF(AND(14&gt;=Hipótesis!$D$76,MOD(14,12)=0,P81=0),MIN(Hipótesis!$D$77*MAX(0,SUM(E63:P63)),MAX(0,P82-Hipótesis!$D$80)),0)</f>
        <v>-0</v>
      </c>
      <c r="Q83" s="100" t="n">
        <f aca="false">-IF(AND(15&gt;=Hipótesis!$D$76,MOD(15,12)=0,Q81=0),MIN(Hipótesis!$D$77*MAX(0,SUM(F63:Q63)),MAX(0,Q82-Hipótesis!$D$80)),0)</f>
        <v>-0</v>
      </c>
      <c r="R83" s="100" t="n">
        <f aca="false">-IF(AND(16&gt;=Hipótesis!$D$76,MOD(16,12)=0,R81=0),MIN(Hipótesis!$D$77*MAX(0,SUM(G63:R63)),MAX(0,R82-Hipótesis!$D$80)),0)</f>
        <v>-0</v>
      </c>
      <c r="S83" s="100" t="n">
        <f aca="false">-IF(AND(17&gt;=Hipótesis!$D$76,MOD(17,12)=0,S81=0),MIN(Hipótesis!$D$77*MAX(0,SUM(H63:S63)),MAX(0,S82-Hipótesis!$D$80)),0)</f>
        <v>-0</v>
      </c>
      <c r="T83" s="100" t="n">
        <f aca="false">-IF(AND(18&gt;=Hipótesis!$D$76,MOD(18,12)=0,T81=0),MIN(Hipótesis!$D$77*MAX(0,SUM(I63:T63)),MAX(0,T82-Hipótesis!$D$80)),0)</f>
        <v>-0</v>
      </c>
      <c r="U83" s="100" t="n">
        <f aca="false">-IF(AND(19&gt;=Hipótesis!$D$76,MOD(19,12)=0,U81=0),MIN(Hipótesis!$D$77*MAX(0,SUM(J63:U63)),MAX(0,U82-Hipótesis!$D$80)),0)</f>
        <v>-0</v>
      </c>
      <c r="V83" s="100" t="n">
        <f aca="false">-IF(AND(20&gt;=Hipótesis!$D$76,MOD(20,12)=0,V81=0),MIN(Hipótesis!$D$77*MAX(0,SUM(K63:V63)),MAX(0,V82-Hipótesis!$D$80)),0)</f>
        <v>-0</v>
      </c>
      <c r="W83" s="100" t="n">
        <f aca="false">-IF(AND(21&gt;=Hipótesis!$D$76,MOD(21,12)=0,W81=0),MIN(Hipótesis!$D$77*MAX(0,SUM(L63:W63)),MAX(0,W82-Hipótesis!$D$80)),0)</f>
        <v>-0</v>
      </c>
      <c r="X83" s="100" t="n">
        <f aca="false">-IF(AND(22&gt;=Hipótesis!$D$76,MOD(22,12)=0,X81=0),MIN(Hipótesis!$D$77*MAX(0,SUM(M63:X63)),MAX(0,X82-Hipótesis!$D$80)),0)</f>
        <v>-0</v>
      </c>
      <c r="Y83" s="100" t="n">
        <f aca="false">-IF(AND(23&gt;=Hipótesis!$D$76,MOD(23,12)=0,Y81=0),MIN(Hipótesis!$D$77*MAX(0,SUM(N63:Y63)),MAX(0,Y82-Hipótesis!$D$80)),0)</f>
        <v>-0</v>
      </c>
      <c r="Z83" s="100" t="n">
        <f aca="false">-IF(AND(24&gt;=Hipótesis!$D$76,MOD(24,12)=0,Z81=0),MIN(Hipótesis!$D$77*MAX(0,SUM(O63:Z63)),MAX(0,Z82-Hipótesis!$D$80)),0)</f>
        <v>-0</v>
      </c>
      <c r="AA83" s="100" t="n">
        <f aca="false">-IF(AND(25&gt;=Hipótesis!$D$76,MOD(25,12)=0,AA81=0),MIN(Hipótesis!$D$77*MAX(0,SUM(P63:AA63)),MAX(0,AA82-Hipótesis!$D$80)),0)</f>
        <v>-0</v>
      </c>
      <c r="AB83" s="100" t="n">
        <f aca="false">-IF(AND(26&gt;=Hipótesis!$D$76,MOD(26,12)=0,AB81=0),MIN(Hipótesis!$D$77*MAX(0,SUM(Q63:AB63)),MAX(0,AB82-Hipótesis!$D$80)),0)</f>
        <v>-0</v>
      </c>
      <c r="AC83" s="100" t="n">
        <f aca="false">-IF(AND(27&gt;=Hipótesis!$D$76,MOD(27,12)=0,AC81=0),MIN(Hipótesis!$D$77*MAX(0,SUM(R63:AC63)),MAX(0,AC82-Hipótesis!$D$80)),0)</f>
        <v>-0</v>
      </c>
      <c r="AD83" s="100" t="n">
        <f aca="false">-IF(AND(28&gt;=Hipótesis!$D$76,MOD(28,12)=0,AD81=0),MIN(Hipótesis!$D$77*MAX(0,SUM(S63:AD63)),MAX(0,AD82-Hipótesis!$D$80)),0)</f>
        <v>-0</v>
      </c>
      <c r="AE83" s="100" t="n">
        <f aca="false">-IF(AND(29&gt;=Hipótesis!$D$76,MOD(29,12)=0,AE81=0),MIN(Hipótesis!$D$77*MAX(0,SUM(T63:AE63)),MAX(0,AE82-Hipótesis!$D$80)),0)</f>
        <v>-0</v>
      </c>
      <c r="AF83" s="100" t="n">
        <f aca="false">-IF(AND(30&gt;=Hipótesis!$D$76,MOD(30,12)=0,AF81=0),MIN(Hipótesis!$D$77*MAX(0,SUM(U63:AF63)),MAX(0,AF82-Hipótesis!$D$80)),0)</f>
        <v>-0</v>
      </c>
      <c r="AG83" s="100" t="n">
        <f aca="false">-IF(AND(31&gt;=Hipótesis!$D$76,MOD(31,12)=0,AG81=0),MIN(Hipótesis!$D$77*MAX(0,SUM(V63:AG63)),MAX(0,AG82-Hipótesis!$D$80)),0)</f>
        <v>-0</v>
      </c>
      <c r="AH83" s="100" t="n">
        <f aca="false">-IF(AND(32&gt;=Hipótesis!$D$76,MOD(32,12)=0,AH81=0),MIN(Hipótesis!$D$77*MAX(0,SUM(W63:AH63)),MAX(0,AH82-Hipótesis!$D$80)),0)</f>
        <v>-0</v>
      </c>
      <c r="AI83" s="100" t="n">
        <f aca="false">-IF(AND(33&gt;=Hipótesis!$D$76,MOD(33,12)=0,AI81=0),MIN(Hipótesis!$D$77*MAX(0,SUM(X63:AI63)),MAX(0,AI82-Hipótesis!$D$80)),0)</f>
        <v>-0</v>
      </c>
      <c r="AJ83" s="100" t="n">
        <f aca="false">-IF(AND(34&gt;=Hipótesis!$D$76,MOD(34,12)=0,AJ81=0),MIN(Hipótesis!$D$77*MAX(0,SUM(Y63:AJ63)),MAX(0,AJ82-Hipótesis!$D$80)),0)</f>
        <v>-0</v>
      </c>
      <c r="AK83" s="100" t="n">
        <f aca="false">-IF(AND(35&gt;=Hipótesis!$D$76,MOD(35,12)=0,AK81=0),MIN(Hipótesis!$D$77*MAX(0,SUM(Z63:AK63)),MAX(0,AK82-Hipótesis!$D$80)),0)</f>
        <v>-0</v>
      </c>
      <c r="AL83" s="100" t="n">
        <f aca="false">-IF(AND(36&gt;=Hipótesis!$D$76,MOD(36,12)=0,AL81=0),MIN(Hipótesis!$D$77*MAX(0,SUM(AA63:AL63)),MAX(0,AL82-Hipótesis!$D$80)),0)</f>
        <v>-0</v>
      </c>
      <c r="AM83" s="100" t="n">
        <f aca="false">-IF(AND(37&gt;=Hipótesis!$D$76,MOD(37,12)=0,AM81=0),MIN(Hipótesis!$D$77*MAX(0,SUM(AB63:AM63)),MAX(0,AM82-Hipótesis!$D$80)),0)</f>
        <v>-0</v>
      </c>
      <c r="AN83" s="100" t="n">
        <f aca="false">-IF(AND(38&gt;=Hipótesis!$D$76,MOD(38,12)=0,AN81=0),MIN(Hipótesis!$D$77*MAX(0,SUM(AC63:AN63)),MAX(0,AN82-Hipótesis!$D$80)),0)</f>
        <v>-0</v>
      </c>
      <c r="AO83" s="100" t="n">
        <f aca="false">-IF(AND(39&gt;=Hipótesis!$D$76,MOD(39,12)=0,AO81=0),MIN(Hipótesis!$D$77*MAX(0,SUM(AD63:AO63)),MAX(0,AO82-Hipótesis!$D$80)),0)</f>
        <v>-0</v>
      </c>
      <c r="AP83" s="100" t="n">
        <f aca="false">-IF(AND(40&gt;=Hipótesis!$D$76,MOD(40,12)=0,AP81=0),MIN(Hipótesis!$D$77*MAX(0,SUM(AE63:AP63)),MAX(0,AP82-Hipótesis!$D$80)),0)</f>
        <v>-0</v>
      </c>
      <c r="AQ83" s="100" t="n">
        <f aca="false">-IF(AND(41&gt;=Hipótesis!$D$76,MOD(41,12)=0,AQ81=0),MIN(Hipótesis!$D$77*MAX(0,SUM(AF63:AQ63)),MAX(0,AQ82-Hipótesis!$D$80)),0)</f>
        <v>-0</v>
      </c>
      <c r="AR83" s="100" t="n">
        <f aca="false">-IF(AND(42&gt;=Hipótesis!$D$76,MOD(42,12)=0,AR81=0),MIN(Hipótesis!$D$77*MAX(0,SUM(AG63:AR63)),MAX(0,AR82-Hipótesis!$D$80)),0)</f>
        <v>-0</v>
      </c>
      <c r="AS83" s="100" t="n">
        <f aca="false">-IF(AND(43&gt;=Hipótesis!$D$76,MOD(43,12)=0,AS81=0),MIN(Hipótesis!$D$77*MAX(0,SUM(AH63:AS63)),MAX(0,AS82-Hipótesis!$D$80)),0)</f>
        <v>-0</v>
      </c>
      <c r="AT83" s="100" t="n">
        <f aca="false">-IF(AND(44&gt;=Hipótesis!$D$76,MOD(44,12)=0,AT81=0),MIN(Hipótesis!$D$77*MAX(0,SUM(AI63:AT63)),MAX(0,AT82-Hipótesis!$D$80)),0)</f>
        <v>-0</v>
      </c>
      <c r="AU83" s="100" t="n">
        <f aca="false">-IF(AND(45&gt;=Hipótesis!$D$76,MOD(45,12)=0,AU81=0),MIN(Hipótesis!$D$77*MAX(0,SUM(AJ63:AU63)),MAX(0,AU82-Hipótesis!$D$80)),0)</f>
        <v>-0</v>
      </c>
      <c r="AV83" s="100" t="n">
        <f aca="false">-IF(AND(46&gt;=Hipótesis!$D$76,MOD(46,12)=0,AV81=0),MIN(Hipótesis!$D$77*MAX(0,SUM(AK63:AV63)),MAX(0,AV82-Hipótesis!$D$80)),0)</f>
        <v>-0</v>
      </c>
      <c r="AW83" s="100" t="n">
        <f aca="false">-IF(AND(47&gt;=Hipótesis!$D$76,MOD(47,12)=0,AW81=0),MIN(Hipótesis!$D$77*MAX(0,SUM(AL63:AW63)),MAX(0,AW82-Hipótesis!$D$80)),0)</f>
        <v>-0</v>
      </c>
      <c r="AX83" s="100" t="n">
        <f aca="false">-IF(AND(48&gt;=Hipótesis!$D$76,MOD(48,12)=0,AX81=0),MIN(Hipótesis!$D$77*MAX(0,SUM(AM63:AX63)),MAX(0,AX82-Hipótesis!$D$80)),0)</f>
        <v>-131265.631433308</v>
      </c>
      <c r="AY83" s="100" t="n">
        <f aca="false">-IF(AND(49&gt;=Hipótesis!$D$76,MOD(49,12)=0,AY81=0),MIN(Hipótesis!$D$77*MAX(0,SUM(AN63:AY63)),MAX(0,AY82-Hipótesis!$D$80)),0)</f>
        <v>-0</v>
      </c>
      <c r="AZ83" s="100" t="n">
        <f aca="false">-IF(AND(50&gt;=Hipótesis!$D$76,MOD(50,12)=0,AZ81=0),MIN(Hipótesis!$D$77*MAX(0,SUM(AO63:AZ63)),MAX(0,AZ82-Hipótesis!$D$80)),0)</f>
        <v>-0</v>
      </c>
      <c r="BA83" s="100" t="n">
        <f aca="false">-IF(AND(51&gt;=Hipótesis!$D$76,MOD(51,12)=0,BA81=0),MIN(Hipótesis!$D$77*MAX(0,SUM(AP63:BA63)),MAX(0,BA82-Hipótesis!$D$80)),0)</f>
        <v>-0</v>
      </c>
      <c r="BB83" s="100" t="n">
        <f aca="false">-IF(AND(52&gt;=Hipótesis!$D$76,MOD(52,12)=0,BB81=0),MIN(Hipótesis!$D$77*MAX(0,SUM(AQ63:BB63)),MAX(0,BB82-Hipótesis!$D$80)),0)</f>
        <v>-0</v>
      </c>
      <c r="BC83" s="100" t="n">
        <f aca="false">-IF(AND(53&gt;=Hipótesis!$D$76,MOD(53,12)=0,BC81=0),MIN(Hipótesis!$D$77*MAX(0,SUM(AR63:BC63)),MAX(0,BC82-Hipótesis!$D$80)),0)</f>
        <v>-0</v>
      </c>
      <c r="BD83" s="100" t="n">
        <f aca="false">-IF(AND(54&gt;=Hipótesis!$D$76,MOD(54,12)=0,BD81=0),MIN(Hipótesis!$D$77*MAX(0,SUM(AS63:BD63)),MAX(0,BD82-Hipótesis!$D$80)),0)</f>
        <v>-0</v>
      </c>
      <c r="BE83" s="100" t="n">
        <f aca="false">-IF(AND(55&gt;=Hipótesis!$D$76,MOD(55,12)=0,BE81=0),MIN(Hipótesis!$D$77*MAX(0,SUM(AT63:BE63)),MAX(0,BE82-Hipótesis!$D$80)),0)</f>
        <v>-0</v>
      </c>
      <c r="BF83" s="100" t="n">
        <f aca="false">-IF(AND(56&gt;=Hipótesis!$D$76,MOD(56,12)=0,BF81=0),MIN(Hipótesis!$D$77*MAX(0,SUM(AU63:BF63)),MAX(0,BF82-Hipótesis!$D$80)),0)</f>
        <v>-0</v>
      </c>
      <c r="BG83" s="100" t="n">
        <f aca="false">-IF(AND(57&gt;=Hipótesis!$D$76,MOD(57,12)=0,BG81=0),MIN(Hipótesis!$D$77*MAX(0,SUM(AV63:BG63)),MAX(0,BG82-Hipótesis!$D$80)),0)</f>
        <v>-0</v>
      </c>
      <c r="BH83" s="100" t="n">
        <f aca="false">-IF(AND(58&gt;=Hipótesis!$D$76,MOD(58,12)=0,BH81=0),MIN(Hipótesis!$D$77*MAX(0,SUM(AW63:BH63)),MAX(0,BH82-Hipótesis!$D$80)),0)</f>
        <v>-0</v>
      </c>
      <c r="BI83" s="100" t="n">
        <f aca="false">-IF(AND(59&gt;=Hipótesis!$D$76,MOD(59,12)=0,BI81=0),MIN(Hipótesis!$D$77*MAX(0,SUM(AX63:BI63)),MAX(0,BI82-Hipótesis!$D$80)),0)</f>
        <v>-0</v>
      </c>
      <c r="BJ83" s="100" t="n">
        <f aca="false">-IF(AND(60&gt;=Hipótesis!$D$76,MOD(60,12)=0,BJ81=0),MIN(Hipótesis!$D$77*MAX(0,SUM(AY63:BJ63)),MAX(0,BJ82-Hipótesis!$D$80)),0)</f>
        <v>-129141.066793745</v>
      </c>
      <c r="BK83" s="100" t="n">
        <f aca="false">-IF(AND(61&gt;=Hipótesis!$D$76,MOD(61,12)=0,BK81=0),MIN(Hipótesis!$D$77*MAX(0,SUM(AZ63:BK63)),MAX(0,BK82-Hipótesis!$D$80)),0)</f>
        <v>-0</v>
      </c>
      <c r="BL83" s="100" t="n">
        <f aca="false">-IF(AND(62&gt;=Hipótesis!$D$76,MOD(62,12)=0,BL81=0),MIN(Hipótesis!$D$77*MAX(0,SUM(BA63:BL63)),MAX(0,BL82-Hipótesis!$D$80)),0)</f>
        <v>-0</v>
      </c>
      <c r="BM83" s="100" t="n">
        <f aca="false">-IF(AND(63&gt;=Hipótesis!$D$76,MOD(63,12)=0,BM81=0),MIN(Hipótesis!$D$77*MAX(0,SUM(BB63:BM63)),MAX(0,BM82-Hipótesis!$D$80)),0)</f>
        <v>-0</v>
      </c>
      <c r="BN83" s="100" t="n">
        <f aca="false">-IF(AND(64&gt;=Hipótesis!$D$76,MOD(64,12)=0,BN81=0),MIN(Hipótesis!$D$77*MAX(0,SUM(BC63:BN63)),MAX(0,BN82-Hipótesis!$D$80)),0)</f>
        <v>-0</v>
      </c>
      <c r="BO83" s="100" t="n">
        <f aca="false">-IF(AND(65&gt;=Hipótesis!$D$76,MOD(65,12)=0,BO81=0),MIN(Hipótesis!$D$77*MAX(0,SUM(BD63:BO63)),MAX(0,BO82-Hipótesis!$D$80)),0)</f>
        <v>-0</v>
      </c>
      <c r="BP83" s="100" t="n">
        <f aca="false">-IF(AND(66&gt;=Hipótesis!$D$76,MOD(66,12)=0,BP81=0),MIN(Hipótesis!$D$77*MAX(0,SUM(BE63:BP63)),MAX(0,BP82-Hipótesis!$D$80)),0)</f>
        <v>-0</v>
      </c>
      <c r="BQ83" s="100" t="n">
        <f aca="false">-IF(AND(67&gt;=Hipótesis!$D$76,MOD(67,12)=0,BQ81=0),MIN(Hipótesis!$D$77*MAX(0,SUM(BF63:BQ63)),MAX(0,BQ82-Hipótesis!$D$80)),0)</f>
        <v>-0</v>
      </c>
      <c r="BR83" s="100" t="n">
        <f aca="false">-IF(AND(68&gt;=Hipótesis!$D$76,MOD(68,12)=0,BR81=0),MIN(Hipótesis!$D$77*MAX(0,SUM(BG63:BR63)),MAX(0,BR82-Hipótesis!$D$80)),0)</f>
        <v>-0</v>
      </c>
      <c r="BS83" s="100" t="n">
        <f aca="false">-IF(AND(69&gt;=Hipótesis!$D$76,MOD(69,12)=0,BS81=0),MIN(Hipótesis!$D$77*MAX(0,SUM(BH63:BS63)),MAX(0,BS82-Hipótesis!$D$80)),0)</f>
        <v>-0</v>
      </c>
      <c r="BT83" s="100" t="n">
        <f aca="false">-IF(AND(70&gt;=Hipótesis!$D$76,MOD(70,12)=0,BT81=0),MIN(Hipótesis!$D$77*MAX(0,SUM(BI63:BT63)),MAX(0,BT82-Hipótesis!$D$80)),0)</f>
        <v>-0</v>
      </c>
      <c r="BU83" s="100" t="n">
        <f aca="false">-IF(AND(71&gt;=Hipótesis!$D$76,MOD(71,12)=0,BU81=0),MIN(Hipótesis!$D$77*MAX(0,SUM(BJ63:BU63)),MAX(0,BU82-Hipótesis!$D$80)),0)</f>
        <v>-0</v>
      </c>
      <c r="BV83" s="100" t="n">
        <f aca="false">-IF(AND(72&gt;=Hipótesis!$D$76,MOD(72,12)=0,BV81=0),MIN(Hipótesis!$D$77*MAX(0,SUM(BK63:BV63)),MAX(0,BV82-Hipótesis!$D$80)),0)</f>
        <v>-120697.397153212</v>
      </c>
      <c r="BW83" s="100" t="n">
        <f aca="false">-IF(AND(73&gt;=Hipótesis!$D$76,MOD(73,12)=0,BW81=0),MIN(Hipótesis!$D$77*MAX(0,SUM(BL63:BW63)),MAX(0,BW82-Hipótesis!$D$80)),0)</f>
        <v>-0</v>
      </c>
      <c r="BX83" s="100" t="n">
        <f aca="false">-IF(AND(74&gt;=Hipótesis!$D$76,MOD(74,12)=0,BX81=0),MIN(Hipótesis!$D$77*MAX(0,SUM(BM63:BX63)),MAX(0,BX82-Hipótesis!$D$80)),0)</f>
        <v>-0</v>
      </c>
      <c r="BY83" s="100" t="n">
        <f aca="false">-IF(AND(75&gt;=Hipótesis!$D$76,MOD(75,12)=0,BY81=0),MIN(Hipótesis!$D$77*MAX(0,SUM(BN63:BY63)),MAX(0,BY82-Hipótesis!$D$80)),0)</f>
        <v>-0</v>
      </c>
      <c r="BZ83" s="100" t="n">
        <f aca="false">-IF(AND(76&gt;=Hipótesis!$D$76,MOD(76,12)=0,BZ81=0),MIN(Hipótesis!$D$77*MAX(0,SUM(BO63:BZ63)),MAX(0,BZ82-Hipótesis!$D$80)),0)</f>
        <v>-0</v>
      </c>
      <c r="CA83" s="100" t="n">
        <f aca="false">-IF(AND(77&gt;=Hipótesis!$D$76,MOD(77,12)=0,CA81=0),MIN(Hipótesis!$D$77*MAX(0,SUM(BP63:CA63)),MAX(0,CA82-Hipótesis!$D$80)),0)</f>
        <v>-0</v>
      </c>
      <c r="CB83" s="100" t="n">
        <f aca="false">-IF(AND(78&gt;=Hipótesis!$D$76,MOD(78,12)=0,CB81=0),MIN(Hipótesis!$D$77*MAX(0,SUM(BQ63:CB63)),MAX(0,CB82-Hipótesis!$D$80)),0)</f>
        <v>-0</v>
      </c>
      <c r="CC83" s="100" t="n">
        <f aca="false">-IF(AND(79&gt;=Hipótesis!$D$76,MOD(79,12)=0,CC81=0),MIN(Hipótesis!$D$77*MAX(0,SUM(BR63:CC63)),MAX(0,CC82-Hipótesis!$D$80)),0)</f>
        <v>-0</v>
      </c>
      <c r="CD83" s="100" t="n">
        <f aca="false">-IF(AND(80&gt;=Hipótesis!$D$76,MOD(80,12)=0,CD81=0),MIN(Hipótesis!$D$77*MAX(0,SUM(BS63:CD63)),MAX(0,CD82-Hipótesis!$D$80)),0)</f>
        <v>-0</v>
      </c>
      <c r="CE83" s="100" t="n">
        <f aca="false">-IF(AND(81&gt;=Hipótesis!$D$76,MOD(81,12)=0,CE81=0),MIN(Hipótesis!$D$77*MAX(0,SUM(BT63:CE63)),MAX(0,CE82-Hipótesis!$D$80)),0)</f>
        <v>-0</v>
      </c>
      <c r="CF83" s="100" t="n">
        <f aca="false">-IF(AND(82&gt;=Hipótesis!$D$76,MOD(82,12)=0,CF81=0),MIN(Hipótesis!$D$77*MAX(0,SUM(BU63:CF63)),MAX(0,CF82-Hipótesis!$D$80)),0)</f>
        <v>-0</v>
      </c>
      <c r="CG83" s="100" t="n">
        <f aca="false">-IF(AND(83&gt;=Hipótesis!$D$76,MOD(83,12)=0,CG81=0),MIN(Hipótesis!$D$77*MAX(0,SUM(BV63:CG63)),MAX(0,CG82-Hipótesis!$D$80)),0)</f>
        <v>-0</v>
      </c>
      <c r="CH83" s="100" t="n">
        <f aca="false">-IF(AND(84&gt;=Hipótesis!$D$76,MOD(84,12)=0,CH81=0),MIN(Hipótesis!$D$77*MAX(0,SUM(BW63:CH63)),MAX(0,CH82-Hipótesis!$D$80)),0)</f>
        <v>-112202.780623463</v>
      </c>
    </row>
    <row r="84" customFormat="false" ht="13.5" hidden="false" customHeight="true" outlineLevel="0" collapsed="false">
      <c r="A84" s="22" t="s">
        <v>558</v>
      </c>
      <c r="C84" s="100" t="n">
        <f aca="false">-IF(AND(1&gt;=Hipótesis!$D$78,MOD(1,12)=0,C96=0,C89=0,C101=0,C81=0),MIN(Hipótesis!$D$79*MAX(0,C112),MAX(0,C82+C83-Hipótesis!$D$80)),0)</f>
        <v>-0</v>
      </c>
      <c r="D84" s="100" t="n">
        <f aca="false">-IF(AND(2&gt;=Hipótesis!$D$78,MOD(2,12)=0,D96=0,D89=0,D101=0,D81=0),MIN(Hipótesis!$D$79*MAX(0,D112),MAX(0,D82+D83-Hipótesis!$D$80)),0)</f>
        <v>-0</v>
      </c>
      <c r="E84" s="100" t="n">
        <f aca="false">-IF(AND(3&gt;=Hipótesis!$D$78,MOD(3,12)=0,E96=0,E89=0,E101=0,E81=0),MIN(Hipótesis!$D$79*MAX(0,E112),MAX(0,E82+E83-Hipótesis!$D$80)),0)</f>
        <v>-0</v>
      </c>
      <c r="F84" s="100" t="n">
        <f aca="false">-IF(AND(4&gt;=Hipótesis!$D$78,MOD(4,12)=0,F96=0,F89=0,F101=0,F81=0),MIN(Hipótesis!$D$79*MAX(0,F112),MAX(0,F82+F83-Hipótesis!$D$80)),0)</f>
        <v>-0</v>
      </c>
      <c r="G84" s="100" t="n">
        <f aca="false">-IF(AND(5&gt;=Hipótesis!$D$78,MOD(5,12)=0,G96=0,G89=0,G101=0,G81=0),MIN(Hipótesis!$D$79*MAX(0,G112),MAX(0,G82+G83-Hipótesis!$D$80)),0)</f>
        <v>-0</v>
      </c>
      <c r="H84" s="100" t="n">
        <f aca="false">-IF(AND(6&gt;=Hipótesis!$D$78,MOD(6,12)=0,H96=0,H89=0,H101=0,H81=0),MIN(Hipótesis!$D$79*MAX(0,H112),MAX(0,H82+H83-Hipótesis!$D$80)),0)</f>
        <v>-0</v>
      </c>
      <c r="I84" s="100" t="n">
        <f aca="false">-IF(AND(7&gt;=Hipótesis!$D$78,MOD(7,12)=0,I96=0,I89=0,I101=0,I81=0),MIN(Hipótesis!$D$79*MAX(0,I112),MAX(0,I82+I83-Hipótesis!$D$80)),0)</f>
        <v>-0</v>
      </c>
      <c r="J84" s="100" t="n">
        <f aca="false">-IF(AND(8&gt;=Hipótesis!$D$78,MOD(8,12)=0,J96=0,J89=0,J101=0,J81=0),MIN(Hipótesis!$D$79*MAX(0,J112),MAX(0,J82+J83-Hipótesis!$D$80)),0)</f>
        <v>-0</v>
      </c>
      <c r="K84" s="100" t="n">
        <f aca="false">-IF(AND(9&gt;=Hipótesis!$D$78,MOD(9,12)=0,K96=0,K89=0,K101=0,K81=0),MIN(Hipótesis!$D$79*MAX(0,K112),MAX(0,K82+K83-Hipótesis!$D$80)),0)</f>
        <v>-0</v>
      </c>
      <c r="L84" s="100" t="n">
        <f aca="false">-IF(AND(10&gt;=Hipótesis!$D$78,MOD(10,12)=0,L96=0,L89=0,L101=0,L81=0),MIN(Hipótesis!$D$79*MAX(0,L112),MAX(0,L82+L83-Hipótesis!$D$80)),0)</f>
        <v>-0</v>
      </c>
      <c r="M84" s="100" t="n">
        <f aca="false">-IF(AND(11&gt;=Hipótesis!$D$78,MOD(11,12)=0,M96=0,M89=0,M101=0,M81=0),MIN(Hipótesis!$D$79*MAX(0,M112),MAX(0,M82+M83-Hipótesis!$D$80)),0)</f>
        <v>-0</v>
      </c>
      <c r="N84" s="100" t="n">
        <f aca="false">-IF(AND(12&gt;=Hipótesis!$D$78,MOD(12,12)=0,N96=0,N89=0,N101=0,N81=0),MIN(Hipótesis!$D$79*MAX(0,N112),MAX(0,N82+N83-Hipótesis!$D$80)),0)</f>
        <v>-0</v>
      </c>
      <c r="O84" s="100" t="n">
        <f aca="false">-IF(AND(13&gt;=Hipótesis!$D$78,MOD(13,12)=0,O96=0,O89=0,O101=0,O81=0),MIN(Hipótesis!$D$79*MAX(0,O112),MAX(0,O82+O83-Hipótesis!$D$80)),0)</f>
        <v>-0</v>
      </c>
      <c r="P84" s="100" t="n">
        <f aca="false">-IF(AND(14&gt;=Hipótesis!$D$78,MOD(14,12)=0,P96=0,P89=0,P101=0,P81=0),MIN(Hipótesis!$D$79*MAX(0,P112),MAX(0,P82+P83-Hipótesis!$D$80)),0)</f>
        <v>-0</v>
      </c>
      <c r="Q84" s="100" t="n">
        <f aca="false">-IF(AND(15&gt;=Hipótesis!$D$78,MOD(15,12)=0,Q96=0,Q89=0,Q101=0,Q81=0),MIN(Hipótesis!$D$79*MAX(0,Q112),MAX(0,Q82+Q83-Hipótesis!$D$80)),0)</f>
        <v>-0</v>
      </c>
      <c r="R84" s="100" t="n">
        <f aca="false">-IF(AND(16&gt;=Hipótesis!$D$78,MOD(16,12)=0,R96=0,R89=0,R101=0,R81=0),MIN(Hipótesis!$D$79*MAX(0,R112),MAX(0,R82+R83-Hipótesis!$D$80)),0)</f>
        <v>-0</v>
      </c>
      <c r="S84" s="100" t="n">
        <f aca="false">-IF(AND(17&gt;=Hipótesis!$D$78,MOD(17,12)=0,S96=0,S89=0,S101=0,S81=0),MIN(Hipótesis!$D$79*MAX(0,S112),MAX(0,S82+S83-Hipótesis!$D$80)),0)</f>
        <v>-0</v>
      </c>
      <c r="T84" s="100" t="n">
        <f aca="false">-IF(AND(18&gt;=Hipótesis!$D$78,MOD(18,12)=0,T96=0,T89=0,T101=0,T81=0),MIN(Hipótesis!$D$79*MAX(0,T112),MAX(0,T82+T83-Hipótesis!$D$80)),0)</f>
        <v>-0</v>
      </c>
      <c r="U84" s="100" t="n">
        <f aca="false">-IF(AND(19&gt;=Hipótesis!$D$78,MOD(19,12)=0,U96=0,U89=0,U101=0,U81=0),MIN(Hipótesis!$D$79*MAX(0,U112),MAX(0,U82+U83-Hipótesis!$D$80)),0)</f>
        <v>-0</v>
      </c>
      <c r="V84" s="100" t="n">
        <f aca="false">-IF(AND(20&gt;=Hipótesis!$D$78,MOD(20,12)=0,V96=0,V89=0,V101=0,V81=0),MIN(Hipótesis!$D$79*MAX(0,V112),MAX(0,V82+V83-Hipótesis!$D$80)),0)</f>
        <v>-0</v>
      </c>
      <c r="W84" s="100" t="n">
        <f aca="false">-IF(AND(21&gt;=Hipótesis!$D$78,MOD(21,12)=0,W96=0,W89=0,W101=0,W81=0),MIN(Hipótesis!$D$79*MAX(0,W112),MAX(0,W82+W83-Hipótesis!$D$80)),0)</f>
        <v>-0</v>
      </c>
      <c r="X84" s="100" t="n">
        <f aca="false">-IF(AND(22&gt;=Hipótesis!$D$78,MOD(22,12)=0,X96=0,X89=0,X101=0,X81=0),MIN(Hipótesis!$D$79*MAX(0,X112),MAX(0,X82+X83-Hipótesis!$D$80)),0)</f>
        <v>-0</v>
      </c>
      <c r="Y84" s="100" t="n">
        <f aca="false">-IF(AND(23&gt;=Hipótesis!$D$78,MOD(23,12)=0,Y96=0,Y89=0,Y101=0,Y81=0),MIN(Hipótesis!$D$79*MAX(0,Y112),MAX(0,Y82+Y83-Hipótesis!$D$80)),0)</f>
        <v>-0</v>
      </c>
      <c r="Z84" s="100" t="n">
        <f aca="false">-IF(AND(24&gt;=Hipótesis!$D$78,MOD(24,12)=0,Z96=0,Z89=0,Z101=0,Z81=0),MIN(Hipótesis!$D$79*MAX(0,Z112),MAX(0,Z82+Z83-Hipótesis!$D$80)),0)</f>
        <v>-0</v>
      </c>
      <c r="AA84" s="100" t="n">
        <f aca="false">-IF(AND(25&gt;=Hipótesis!$D$78,MOD(25,12)=0,AA96=0,AA89=0,AA101=0,AA81=0),MIN(Hipótesis!$D$79*MAX(0,AA112),MAX(0,AA82+AA83-Hipótesis!$D$80)),0)</f>
        <v>-0</v>
      </c>
      <c r="AB84" s="100" t="n">
        <f aca="false">-IF(AND(26&gt;=Hipótesis!$D$78,MOD(26,12)=0,AB96=0,AB89=0,AB101=0,AB81=0),MIN(Hipótesis!$D$79*MAX(0,AB112),MAX(0,AB82+AB83-Hipótesis!$D$80)),0)</f>
        <v>-0</v>
      </c>
      <c r="AC84" s="100" t="n">
        <f aca="false">-IF(AND(27&gt;=Hipótesis!$D$78,MOD(27,12)=0,AC96=0,AC89=0,AC101=0,AC81=0),MIN(Hipótesis!$D$79*MAX(0,AC112),MAX(0,AC82+AC83-Hipótesis!$D$80)),0)</f>
        <v>-0</v>
      </c>
      <c r="AD84" s="100" t="n">
        <f aca="false">-IF(AND(28&gt;=Hipótesis!$D$78,MOD(28,12)=0,AD96=0,AD89=0,AD101=0,AD81=0),MIN(Hipótesis!$D$79*MAX(0,AD112),MAX(0,AD82+AD83-Hipótesis!$D$80)),0)</f>
        <v>-0</v>
      </c>
      <c r="AE84" s="100" t="n">
        <f aca="false">-IF(AND(29&gt;=Hipótesis!$D$78,MOD(29,12)=0,AE96=0,AE89=0,AE101=0,AE81=0),MIN(Hipótesis!$D$79*MAX(0,AE112),MAX(0,AE82+AE83-Hipótesis!$D$80)),0)</f>
        <v>-0</v>
      </c>
      <c r="AF84" s="100" t="n">
        <f aca="false">-IF(AND(30&gt;=Hipótesis!$D$78,MOD(30,12)=0,AF96=0,AF89=0,AF101=0,AF81=0),MIN(Hipótesis!$D$79*MAX(0,AF112),MAX(0,AF82+AF83-Hipótesis!$D$80)),0)</f>
        <v>-0</v>
      </c>
      <c r="AG84" s="100" t="n">
        <f aca="false">-IF(AND(31&gt;=Hipótesis!$D$78,MOD(31,12)=0,AG96=0,AG89=0,AG101=0,AG81=0),MIN(Hipótesis!$D$79*MAX(0,AG112),MAX(0,AG82+AG83-Hipótesis!$D$80)),0)</f>
        <v>-0</v>
      </c>
      <c r="AH84" s="100" t="n">
        <f aca="false">-IF(AND(32&gt;=Hipótesis!$D$78,MOD(32,12)=0,AH96=0,AH89=0,AH101=0,AH81=0),MIN(Hipótesis!$D$79*MAX(0,AH112),MAX(0,AH82+AH83-Hipótesis!$D$80)),0)</f>
        <v>-0</v>
      </c>
      <c r="AI84" s="100" t="n">
        <f aca="false">-IF(AND(33&gt;=Hipótesis!$D$78,MOD(33,12)=0,AI96=0,AI89=0,AI101=0,AI81=0),MIN(Hipótesis!$D$79*MAX(0,AI112),MAX(0,AI82+AI83-Hipótesis!$D$80)),0)</f>
        <v>-0</v>
      </c>
      <c r="AJ84" s="100" t="n">
        <f aca="false">-IF(AND(34&gt;=Hipótesis!$D$78,MOD(34,12)=0,AJ96=0,AJ89=0,AJ101=0,AJ81=0),MIN(Hipótesis!$D$79*MAX(0,AJ112),MAX(0,AJ82+AJ83-Hipótesis!$D$80)),0)</f>
        <v>-0</v>
      </c>
      <c r="AK84" s="100" t="n">
        <f aca="false">-IF(AND(35&gt;=Hipótesis!$D$78,MOD(35,12)=0,AK96=0,AK89=0,AK101=0,AK81=0),MIN(Hipótesis!$D$79*MAX(0,AK112),MAX(0,AK82+AK83-Hipótesis!$D$80)),0)</f>
        <v>-0</v>
      </c>
      <c r="AL84" s="100" t="n">
        <f aca="false">-IF(AND(36&gt;=Hipótesis!$D$78,MOD(36,12)=0,AL96=0,AL89=0,AL101=0,AL81=0),MIN(Hipótesis!$D$79*MAX(0,AL112),MAX(0,AL82+AL83-Hipótesis!$D$80)),0)</f>
        <v>-0</v>
      </c>
      <c r="AM84" s="100" t="n">
        <f aca="false">-IF(AND(37&gt;=Hipótesis!$D$78,MOD(37,12)=0,AM96=0,AM89=0,AM101=0,AM81=0),MIN(Hipótesis!$D$79*MAX(0,AM112),MAX(0,AM82+AM83-Hipótesis!$D$80)),0)</f>
        <v>-0</v>
      </c>
      <c r="AN84" s="100" t="n">
        <f aca="false">-IF(AND(38&gt;=Hipótesis!$D$78,MOD(38,12)=0,AN96=0,AN89=0,AN101=0,AN81=0),MIN(Hipótesis!$D$79*MAX(0,AN112),MAX(0,AN82+AN83-Hipótesis!$D$80)),0)</f>
        <v>-0</v>
      </c>
      <c r="AO84" s="100" t="n">
        <f aca="false">-IF(AND(39&gt;=Hipótesis!$D$78,MOD(39,12)=0,AO96=0,AO89=0,AO101=0,AO81=0),MIN(Hipótesis!$D$79*MAX(0,AO112),MAX(0,AO82+AO83-Hipótesis!$D$80)),0)</f>
        <v>-0</v>
      </c>
      <c r="AP84" s="100" t="n">
        <f aca="false">-IF(AND(40&gt;=Hipótesis!$D$78,MOD(40,12)=0,AP96=0,AP89=0,AP101=0,AP81=0),MIN(Hipótesis!$D$79*MAX(0,AP112),MAX(0,AP82+AP83-Hipótesis!$D$80)),0)</f>
        <v>-0</v>
      </c>
      <c r="AQ84" s="100" t="n">
        <f aca="false">-IF(AND(41&gt;=Hipótesis!$D$78,MOD(41,12)=0,AQ96=0,AQ89=0,AQ101=0,AQ81=0),MIN(Hipótesis!$D$79*MAX(0,AQ112),MAX(0,AQ82+AQ83-Hipótesis!$D$80)),0)</f>
        <v>-0</v>
      </c>
      <c r="AR84" s="100" t="n">
        <f aca="false">-IF(AND(42&gt;=Hipótesis!$D$78,MOD(42,12)=0,AR96=0,AR89=0,AR101=0,AR81=0),MIN(Hipótesis!$D$79*MAX(0,AR112),MAX(0,AR82+AR83-Hipótesis!$D$80)),0)</f>
        <v>-0</v>
      </c>
      <c r="AS84" s="100" t="n">
        <f aca="false">-IF(AND(43&gt;=Hipótesis!$D$78,MOD(43,12)=0,AS96=0,AS89=0,AS101=0,AS81=0),MIN(Hipótesis!$D$79*MAX(0,AS112),MAX(0,AS82+AS83-Hipótesis!$D$80)),0)</f>
        <v>-0</v>
      </c>
      <c r="AT84" s="100" t="n">
        <f aca="false">-IF(AND(44&gt;=Hipótesis!$D$78,MOD(44,12)=0,AT96=0,AT89=0,AT101=0,AT81=0),MIN(Hipótesis!$D$79*MAX(0,AT112),MAX(0,AT82+AT83-Hipótesis!$D$80)),0)</f>
        <v>-0</v>
      </c>
      <c r="AU84" s="100" t="n">
        <f aca="false">-IF(AND(45&gt;=Hipótesis!$D$78,MOD(45,12)=0,AU96=0,AU89=0,AU101=0,AU81=0),MIN(Hipótesis!$D$79*MAX(0,AU112),MAX(0,AU82+AU83-Hipótesis!$D$80)),0)</f>
        <v>-0</v>
      </c>
      <c r="AV84" s="100" t="n">
        <f aca="false">-IF(AND(46&gt;=Hipótesis!$D$78,MOD(46,12)=0,AV96=0,AV89=0,AV101=0,AV81=0),MIN(Hipótesis!$D$79*MAX(0,AV112),MAX(0,AV82+AV83-Hipótesis!$D$80)),0)</f>
        <v>-0</v>
      </c>
      <c r="AW84" s="100" t="n">
        <f aca="false">-IF(AND(47&gt;=Hipótesis!$D$78,MOD(47,12)=0,AW96=0,AW89=0,AW101=0,AW81=0),MIN(Hipótesis!$D$79*MAX(0,AW112),MAX(0,AW82+AW83-Hipótesis!$D$80)),0)</f>
        <v>-0</v>
      </c>
      <c r="AX84" s="100" t="n">
        <f aca="false">-IF(AND(48&gt;=Hipótesis!$D$78,MOD(48,12)=0,AX96=0,AX89=0,AX101=0,AX81=0),MIN(Hipótesis!$D$79*MAX(0,AX112),MAX(0,AX82+AX83-Hipótesis!$D$80)),0)</f>
        <v>-0</v>
      </c>
      <c r="AY84" s="100" t="n">
        <f aca="false">-IF(AND(49&gt;=Hipótesis!$D$78,MOD(49,12)=0,AY96=0,AY89=0,AY101=0,AY81=0),MIN(Hipótesis!$D$79*MAX(0,AY112),MAX(0,AY82+AY83-Hipótesis!$D$80)),0)</f>
        <v>-0</v>
      </c>
      <c r="AZ84" s="100" t="n">
        <f aca="false">-IF(AND(50&gt;=Hipótesis!$D$78,MOD(50,12)=0,AZ96=0,AZ89=0,AZ101=0,AZ81=0),MIN(Hipótesis!$D$79*MAX(0,AZ112),MAX(0,AZ82+AZ83-Hipótesis!$D$80)),0)</f>
        <v>-0</v>
      </c>
      <c r="BA84" s="100" t="n">
        <f aca="false">-IF(AND(51&gt;=Hipótesis!$D$78,MOD(51,12)=0,BA96=0,BA89=0,BA101=0,BA81=0),MIN(Hipótesis!$D$79*MAX(0,BA112),MAX(0,BA82+BA83-Hipótesis!$D$80)),0)</f>
        <v>-0</v>
      </c>
      <c r="BB84" s="100" t="n">
        <f aca="false">-IF(AND(52&gt;=Hipótesis!$D$78,MOD(52,12)=0,BB96=0,BB89=0,BB101=0,BB81=0),MIN(Hipótesis!$D$79*MAX(0,BB112),MAX(0,BB82+BB83-Hipótesis!$D$80)),0)</f>
        <v>-0</v>
      </c>
      <c r="BC84" s="100" t="n">
        <f aca="false">-IF(AND(53&gt;=Hipótesis!$D$78,MOD(53,12)=0,BC96=0,BC89=0,BC101=0,BC81=0),MIN(Hipótesis!$D$79*MAX(0,BC112),MAX(0,BC82+BC83-Hipótesis!$D$80)),0)</f>
        <v>-0</v>
      </c>
      <c r="BD84" s="100" t="n">
        <f aca="false">-IF(AND(54&gt;=Hipótesis!$D$78,MOD(54,12)=0,BD96=0,BD89=0,BD101=0,BD81=0),MIN(Hipótesis!$D$79*MAX(0,BD112),MAX(0,BD82+BD83-Hipótesis!$D$80)),0)</f>
        <v>-0</v>
      </c>
      <c r="BE84" s="100" t="n">
        <f aca="false">-IF(AND(55&gt;=Hipótesis!$D$78,MOD(55,12)=0,BE96=0,BE89=0,BE101=0,BE81=0),MIN(Hipótesis!$D$79*MAX(0,BE112),MAX(0,BE82+BE83-Hipótesis!$D$80)),0)</f>
        <v>-0</v>
      </c>
      <c r="BF84" s="100" t="n">
        <f aca="false">-IF(AND(56&gt;=Hipótesis!$D$78,MOD(56,12)=0,BF96=0,BF89=0,BF101=0,BF81=0),MIN(Hipótesis!$D$79*MAX(0,BF112),MAX(0,BF82+BF83-Hipótesis!$D$80)),0)</f>
        <v>-0</v>
      </c>
      <c r="BG84" s="100" t="n">
        <f aca="false">-IF(AND(57&gt;=Hipótesis!$D$78,MOD(57,12)=0,BG96=0,BG89=0,BG101=0,BG81=0),MIN(Hipótesis!$D$79*MAX(0,BG112),MAX(0,BG82+BG83-Hipótesis!$D$80)),0)</f>
        <v>-0</v>
      </c>
      <c r="BH84" s="100" t="n">
        <f aca="false">-IF(AND(58&gt;=Hipótesis!$D$78,MOD(58,12)=0,BH96=0,BH89=0,BH101=0,BH81=0),MIN(Hipótesis!$D$79*MAX(0,BH112),MAX(0,BH82+BH83-Hipótesis!$D$80)),0)</f>
        <v>-0</v>
      </c>
      <c r="BI84" s="100" t="n">
        <f aca="false">-IF(AND(59&gt;=Hipótesis!$D$78,MOD(59,12)=0,BI96=0,BI89=0,BI101=0,BI81=0),MIN(Hipótesis!$D$79*MAX(0,BI112),MAX(0,BI82+BI83-Hipótesis!$D$80)),0)</f>
        <v>-0</v>
      </c>
      <c r="BJ84" s="100" t="n">
        <f aca="false">-IF(AND(60&gt;=Hipótesis!$D$78,MOD(60,12)=0,BJ96=0,BJ89=0,BJ101=0,BJ81=0),MIN(Hipótesis!$D$79*MAX(0,BJ112),MAX(0,BJ82+BJ83-Hipótesis!$D$80)),0)</f>
        <v>-0</v>
      </c>
      <c r="BK84" s="100" t="n">
        <f aca="false">-IF(AND(61&gt;=Hipótesis!$D$78,MOD(61,12)=0,BK96=0,BK89=0,BK101=0,BK81=0),MIN(Hipótesis!$D$79*MAX(0,BK112),MAX(0,BK82+BK83-Hipótesis!$D$80)),0)</f>
        <v>-0</v>
      </c>
      <c r="BL84" s="100" t="n">
        <f aca="false">-IF(AND(62&gt;=Hipótesis!$D$78,MOD(62,12)=0,BL96=0,BL89=0,BL101=0,BL81=0),MIN(Hipótesis!$D$79*MAX(0,BL112),MAX(0,BL82+BL83-Hipótesis!$D$80)),0)</f>
        <v>-0</v>
      </c>
      <c r="BM84" s="100" t="n">
        <f aca="false">-IF(AND(63&gt;=Hipótesis!$D$78,MOD(63,12)=0,BM96=0,BM89=0,BM101=0,BM81=0),MIN(Hipótesis!$D$79*MAX(0,BM112),MAX(0,BM82+BM83-Hipótesis!$D$80)),0)</f>
        <v>-0</v>
      </c>
      <c r="BN84" s="100" t="n">
        <f aca="false">-IF(AND(64&gt;=Hipótesis!$D$78,MOD(64,12)=0,BN96=0,BN89=0,BN101=0,BN81=0),MIN(Hipótesis!$D$79*MAX(0,BN112),MAX(0,BN82+BN83-Hipótesis!$D$80)),0)</f>
        <v>-0</v>
      </c>
      <c r="BO84" s="100" t="n">
        <f aca="false">-IF(AND(65&gt;=Hipótesis!$D$78,MOD(65,12)=0,BO96=0,BO89=0,BO101=0,BO81=0),MIN(Hipótesis!$D$79*MAX(0,BO112),MAX(0,BO82+BO83-Hipótesis!$D$80)),0)</f>
        <v>-0</v>
      </c>
      <c r="BP84" s="100" t="n">
        <f aca="false">-IF(AND(66&gt;=Hipótesis!$D$78,MOD(66,12)=0,BP96=0,BP89=0,BP101=0,BP81=0),MIN(Hipótesis!$D$79*MAX(0,BP112),MAX(0,BP82+BP83-Hipótesis!$D$80)),0)</f>
        <v>-0</v>
      </c>
      <c r="BQ84" s="100" t="n">
        <f aca="false">-IF(AND(67&gt;=Hipótesis!$D$78,MOD(67,12)=0,BQ96=0,BQ89=0,BQ101=0,BQ81=0),MIN(Hipótesis!$D$79*MAX(0,BQ112),MAX(0,BQ82+BQ83-Hipótesis!$D$80)),0)</f>
        <v>-0</v>
      </c>
      <c r="BR84" s="100" t="n">
        <f aca="false">-IF(AND(68&gt;=Hipótesis!$D$78,MOD(68,12)=0,BR96=0,BR89=0,BR101=0,BR81=0),MIN(Hipótesis!$D$79*MAX(0,BR112),MAX(0,BR82+BR83-Hipótesis!$D$80)),0)</f>
        <v>-0</v>
      </c>
      <c r="BS84" s="100" t="n">
        <f aca="false">-IF(AND(69&gt;=Hipótesis!$D$78,MOD(69,12)=0,BS96=0,BS89=0,BS101=0,BS81=0),MIN(Hipótesis!$D$79*MAX(0,BS112),MAX(0,BS82+BS83-Hipótesis!$D$80)),0)</f>
        <v>-0</v>
      </c>
      <c r="BT84" s="100" t="n">
        <f aca="false">-IF(AND(70&gt;=Hipótesis!$D$78,MOD(70,12)=0,BT96=0,BT89=0,BT101=0,BT81=0),MIN(Hipótesis!$D$79*MAX(0,BT112),MAX(0,BT82+BT83-Hipótesis!$D$80)),0)</f>
        <v>-0</v>
      </c>
      <c r="BU84" s="100" t="n">
        <f aca="false">-IF(AND(71&gt;=Hipótesis!$D$78,MOD(71,12)=0,BU96=0,BU89=0,BU101=0,BU81=0),MIN(Hipótesis!$D$79*MAX(0,BU112),MAX(0,BU82+BU83-Hipótesis!$D$80)),0)</f>
        <v>-0</v>
      </c>
      <c r="BV84" s="100" t="n">
        <f aca="false">-IF(AND(72&gt;=Hipótesis!$D$78,MOD(72,12)=0,BV96=0,BV89=0,BV101=0,BV81=0),MIN(Hipótesis!$D$79*MAX(0,BV112),MAX(0,BV82+BV83-Hipótesis!$D$80)),0)</f>
        <v>-0</v>
      </c>
      <c r="BW84" s="100" t="n">
        <f aca="false">-IF(AND(73&gt;=Hipótesis!$D$78,MOD(73,12)=0,BW96=0,BW89=0,BW101=0,BW81=0),MIN(Hipótesis!$D$79*MAX(0,BW112),MAX(0,BW82+BW83-Hipótesis!$D$80)),0)</f>
        <v>-0</v>
      </c>
      <c r="BX84" s="100" t="n">
        <f aca="false">-IF(AND(74&gt;=Hipótesis!$D$78,MOD(74,12)=0,BX96=0,BX89=0,BX101=0,BX81=0),MIN(Hipótesis!$D$79*MAX(0,BX112),MAX(0,BX82+BX83-Hipótesis!$D$80)),0)</f>
        <v>-0</v>
      </c>
      <c r="BY84" s="100" t="n">
        <f aca="false">-IF(AND(75&gt;=Hipótesis!$D$78,MOD(75,12)=0,BY96=0,BY89=0,BY101=0,BY81=0),MIN(Hipótesis!$D$79*MAX(0,BY112),MAX(0,BY82+BY83-Hipótesis!$D$80)),0)</f>
        <v>-0</v>
      </c>
      <c r="BZ84" s="100" t="n">
        <f aca="false">-IF(AND(76&gt;=Hipótesis!$D$78,MOD(76,12)=0,BZ96=0,BZ89=0,BZ101=0,BZ81=0),MIN(Hipótesis!$D$79*MAX(0,BZ112),MAX(0,BZ82+BZ83-Hipótesis!$D$80)),0)</f>
        <v>-0</v>
      </c>
      <c r="CA84" s="100" t="n">
        <f aca="false">-IF(AND(77&gt;=Hipótesis!$D$78,MOD(77,12)=0,CA96=0,CA89=0,CA101=0,CA81=0),MIN(Hipótesis!$D$79*MAX(0,CA112),MAX(0,CA82+CA83-Hipótesis!$D$80)),0)</f>
        <v>-0</v>
      </c>
      <c r="CB84" s="100" t="n">
        <f aca="false">-IF(AND(78&gt;=Hipótesis!$D$78,MOD(78,12)=0,CB96=0,CB89=0,CB101=0,CB81=0),MIN(Hipótesis!$D$79*MAX(0,CB112),MAX(0,CB82+CB83-Hipótesis!$D$80)),0)</f>
        <v>-0</v>
      </c>
      <c r="CC84" s="100" t="n">
        <f aca="false">-IF(AND(79&gt;=Hipótesis!$D$78,MOD(79,12)=0,CC96=0,CC89=0,CC101=0,CC81=0),MIN(Hipótesis!$D$79*MAX(0,CC112),MAX(0,CC82+CC83-Hipótesis!$D$80)),0)</f>
        <v>-0</v>
      </c>
      <c r="CD84" s="100" t="n">
        <f aca="false">-IF(AND(80&gt;=Hipótesis!$D$78,MOD(80,12)=0,CD96=0,CD89=0,CD101=0,CD81=0),MIN(Hipótesis!$D$79*MAX(0,CD112),MAX(0,CD82+CD83-Hipótesis!$D$80)),0)</f>
        <v>-0</v>
      </c>
      <c r="CE84" s="100" t="n">
        <f aca="false">-IF(AND(81&gt;=Hipótesis!$D$78,MOD(81,12)=0,CE96=0,CE89=0,CE101=0,CE81=0),MIN(Hipótesis!$D$79*MAX(0,CE112),MAX(0,CE82+CE83-Hipótesis!$D$80)),0)</f>
        <v>-0</v>
      </c>
      <c r="CF84" s="100" t="n">
        <f aca="false">-IF(AND(82&gt;=Hipótesis!$D$78,MOD(82,12)=0,CF96=0,CF89=0,CF101=0,CF81=0),MIN(Hipótesis!$D$79*MAX(0,CF112),MAX(0,CF82+CF83-Hipótesis!$D$80)),0)</f>
        <v>-0</v>
      </c>
      <c r="CG84" s="100" t="n">
        <f aca="false">-IF(AND(83&gt;=Hipótesis!$D$78,MOD(83,12)=0,CG96=0,CG89=0,CG101=0,CG81=0),MIN(Hipótesis!$D$79*MAX(0,CG112),MAX(0,CG82+CG83-Hipótesis!$D$80)),0)</f>
        <v>-0</v>
      </c>
      <c r="CH84" s="100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22" t="s">
        <v>559</v>
      </c>
      <c r="C85" s="100" t="n">
        <f aca="false">C78+C80+C83+C84</f>
        <v>155012.953832997</v>
      </c>
      <c r="D85" s="100" t="n">
        <f aca="false">D78+D80+D83+D84</f>
        <v>-28212.0581783986</v>
      </c>
      <c r="E85" s="100" t="n">
        <f aca="false">E78+E80+E83+E84</f>
        <v>-22552.3362310937</v>
      </c>
      <c r="F85" s="100" t="n">
        <f aca="false">F78+F80+F83+F84</f>
        <v>-20129.0390208777</v>
      </c>
      <c r="G85" s="100" t="n">
        <f aca="false">G78+G80+G83+G84</f>
        <v>-18094.2426329365</v>
      </c>
      <c r="H85" s="100" t="n">
        <f aca="false">H78+H80+H83+H84</f>
        <v>-15654.7326105957</v>
      </c>
      <c r="I85" s="100" t="n">
        <f aca="false">I78+I80+I83+I84</f>
        <v>-12092.2914603042</v>
      </c>
      <c r="J85" s="100" t="n">
        <f aca="false">J78+J80+J83+J84</f>
        <v>-8113.3758580021</v>
      </c>
      <c r="K85" s="100" t="n">
        <f aca="false">K78+K80+K83+K84</f>
        <v>-164.877840787972</v>
      </c>
      <c r="L85" s="100" t="n">
        <f aca="false">L78+L80+L83+L84</f>
        <v>0</v>
      </c>
      <c r="M85" s="100" t="n">
        <f aca="false">M78+M80+M83+M84</f>
        <v>0</v>
      </c>
      <c r="N85" s="100" t="n">
        <f aca="false">N78+N80+N83+N84</f>
        <v>1867.67305290291</v>
      </c>
      <c r="O85" s="100" t="n">
        <f aca="false">O78+O80+O83+O84</f>
        <v>4214.44174678458</v>
      </c>
      <c r="P85" s="100" t="n">
        <f aca="false">P78+P80+P83+P84</f>
        <v>4393.07871259192</v>
      </c>
      <c r="Q85" s="100" t="n">
        <f aca="false">Q78+Q80+Q83+Q84</f>
        <v>6411.73847589926</v>
      </c>
      <c r="R85" s="100" t="n">
        <f aca="false">R78+R80+R83+R84</f>
        <v>8430.39823920659</v>
      </c>
      <c r="S85" s="100" t="n">
        <f aca="false">S78+S80+S83+S84</f>
        <v>10449.0580025139</v>
      </c>
      <c r="T85" s="100" t="n">
        <f aca="false">T78+T80+T83+T84</f>
        <v>12467.7177658213</v>
      </c>
      <c r="U85" s="100" t="n">
        <f aca="false">U78+U80+U83+U84</f>
        <v>12561.0479691286</v>
      </c>
      <c r="V85" s="100" t="n">
        <f aca="false">V78+V80+V83+V84</f>
        <v>12314.6141324359</v>
      </c>
      <c r="W85" s="100" t="n">
        <f aca="false">W78+W80+W83+W84</f>
        <v>14333.2738957433</v>
      </c>
      <c r="X85" s="100" t="n">
        <f aca="false">X78+X80+X83+X84</f>
        <v>15906.4927925094</v>
      </c>
      <c r="Y85" s="100" t="n">
        <f aca="false">Y78+Y80+Y83+Y84</f>
        <v>17289.6166892754</v>
      </c>
      <c r="Z85" s="100" t="n">
        <f aca="false">Z78+Z80+Z83+Z84</f>
        <v>18506.159099175</v>
      </c>
      <c r="AA85" s="100" t="n">
        <f aca="false">AA78+AA80+AA83+AA84</f>
        <v>16090.5066528079</v>
      </c>
      <c r="AB85" s="100" t="n">
        <f aca="false">AB78+AB80+AB83+AB84</f>
        <v>15263.9190381296</v>
      </c>
      <c r="AC85" s="100" t="n">
        <f aca="false">AC78+AC80+AC83+AC84</f>
        <v>16420.4208702514</v>
      </c>
      <c r="AD85" s="100" t="n">
        <f aca="false">AD78+AD80+AD83+AD84</f>
        <v>17576.9227023732</v>
      </c>
      <c r="AE85" s="100" t="n">
        <f aca="false">AE78+AE80+AE83+AE84</f>
        <v>18733.4245344949</v>
      </c>
      <c r="AF85" s="100" t="n">
        <f aca="false">AF78+AF80+AF83+AF84</f>
        <v>19889.9263666167</v>
      </c>
      <c r="AG85" s="100" t="n">
        <f aca="false">AG78+AG80+AG83+AG84</f>
        <v>21046.4281987385</v>
      </c>
      <c r="AH85" s="100" t="n">
        <f aca="false">AH78+AH80+AH83+AH84</f>
        <v>22202.9300308602</v>
      </c>
      <c r="AI85" s="100" t="n">
        <f aca="false">AI78+AI80+AI83+AI84</f>
        <v>23359.431862982</v>
      </c>
      <c r="AJ85" s="100" t="n">
        <f aca="false">AJ78+AJ80+AJ83+AJ84</f>
        <v>24515.9336951038</v>
      </c>
      <c r="AK85" s="100" t="n">
        <f aca="false">AK78+AK80+AK83+AK84</f>
        <v>25672.4355272255</v>
      </c>
      <c r="AL85" s="100" t="n">
        <f aca="false">AL78+AL80+AL83+AL84</f>
        <v>24845.8479125473</v>
      </c>
      <c r="AM85" s="100" t="n">
        <f aca="false">AM78+AM80+AM83+AM84</f>
        <v>20854.3144091255</v>
      </c>
      <c r="AN85" s="100" t="n">
        <f aca="false">AN78+AN80+AN83+AN84</f>
        <v>21870.9353078754</v>
      </c>
      <c r="AO85" s="100" t="n">
        <f aca="false">AO78+AO80+AO83+AO84</f>
        <v>22887.5562066254</v>
      </c>
      <c r="AP85" s="100" t="n">
        <f aca="false">AP78+AP80+AP83+AP84</f>
        <v>23904.1771053754</v>
      </c>
      <c r="AQ85" s="100" t="n">
        <f aca="false">AQ78+AQ80+AQ83+AQ84</f>
        <v>24920.7980041253</v>
      </c>
      <c r="AR85" s="100" t="n">
        <f aca="false">AR78+AR80+AR83+AR84</f>
        <v>25937.4189028753</v>
      </c>
      <c r="AS85" s="100" t="n">
        <f aca="false">AS78+AS80+AS83+AS84</f>
        <v>26358.0600215527</v>
      </c>
      <c r="AT85" s="100" t="n">
        <f aca="false">AT78+AT80+AT83+AT84</f>
        <v>26362.2266882193</v>
      </c>
      <c r="AU85" s="100" t="n">
        <f aca="false">AU78+AU80+AU83+AU84</f>
        <v>26366.393354886</v>
      </c>
      <c r="AV85" s="100" t="n">
        <f aca="false">AV78+AV80+AV83+AV84</f>
        <v>26370.5600215527</v>
      </c>
      <c r="AW85" s="100" t="n">
        <f aca="false">AW78+AW80+AW83+AW84</f>
        <v>26374.7266882193</v>
      </c>
      <c r="AX85" s="100" t="n">
        <f aca="false">AX78+AX80+AX83+AX84</f>
        <v>-104886.738078422</v>
      </c>
      <c r="AY85" s="100" t="n">
        <f aca="false">AY78+AY80+AY83+AY84</f>
        <v>24584.2669712831</v>
      </c>
      <c r="AZ85" s="100" t="n">
        <f aca="false">AZ78+AZ80+AZ83+AZ84</f>
        <v>24588.4336379497</v>
      </c>
      <c r="BA85" s="100" t="n">
        <f aca="false">BA78+BA80+BA83+BA84</f>
        <v>24592.6003046164</v>
      </c>
      <c r="BB85" s="100" t="n">
        <f aca="false">BB78+BB80+BB83+BB84</f>
        <v>24596.7669712831</v>
      </c>
      <c r="BC85" s="100" t="n">
        <f aca="false">BC78+BC80+BC83+BC84</f>
        <v>24600.9336379497</v>
      </c>
      <c r="BD85" s="100" t="n">
        <f aca="false">BD78+BD80+BD83+BD84</f>
        <v>24605.1003046164</v>
      </c>
      <c r="BE85" s="100" t="n">
        <f aca="false">BE78+BE80+BE83+BE84</f>
        <v>24609.2669712831</v>
      </c>
      <c r="BF85" s="100" t="n">
        <f aca="false">BF78+BF80+BF83+BF84</f>
        <v>24613.4336379497</v>
      </c>
      <c r="BG85" s="100" t="n">
        <f aca="false">BG78+BG80+BG83+BG84</f>
        <v>24617.6003046164</v>
      </c>
      <c r="BH85" s="100" t="n">
        <f aca="false">BH78+BH80+BH83+BH84</f>
        <v>24621.7669712831</v>
      </c>
      <c r="BI85" s="100" t="n">
        <f aca="false">BI78+BI80+BI83+BI84</f>
        <v>24625.9336379497</v>
      </c>
      <c r="BJ85" s="100" t="n">
        <f aca="false">BJ78+BJ80+BJ83+BJ84</f>
        <v>-104510.966489129</v>
      </c>
      <c r="BK85" s="100" t="n">
        <f aca="false">BK78+BK80+BK83+BK84</f>
        <v>22825.1691295054</v>
      </c>
      <c r="BL85" s="100" t="n">
        <f aca="false">BL78+BL80+BL83+BL84</f>
        <v>22829.335796172</v>
      </c>
      <c r="BM85" s="100" t="n">
        <f aca="false">BM78+BM80+BM83+BM84</f>
        <v>22833.5024628387</v>
      </c>
      <c r="BN85" s="100" t="n">
        <f aca="false">BN78+BN80+BN83+BN84</f>
        <v>22837.6691295054</v>
      </c>
      <c r="BO85" s="100" t="n">
        <f aca="false">BO78+BO80+BO83+BO84</f>
        <v>22841.835796172</v>
      </c>
      <c r="BP85" s="100" t="n">
        <f aca="false">BP78+BP80+BP83+BP84</f>
        <v>22846.0024628387</v>
      </c>
      <c r="BQ85" s="100" t="n">
        <f aca="false">BQ78+BQ80+BQ83+BQ84</f>
        <v>22850.1691295054</v>
      </c>
      <c r="BR85" s="100" t="n">
        <f aca="false">BR78+BR80+BR83+BR84</f>
        <v>22854.335796172</v>
      </c>
      <c r="BS85" s="100" t="n">
        <f aca="false">BS78+BS80+BS83+BS84</f>
        <v>22858.5024628387</v>
      </c>
      <c r="BT85" s="100" t="n">
        <f aca="false">BT78+BT80+BT83+BT84</f>
        <v>22862.6691295054</v>
      </c>
      <c r="BU85" s="100" t="n">
        <f aca="false">BU78+BU80+BU83+BU84</f>
        <v>22866.835796172</v>
      </c>
      <c r="BV85" s="100" t="n">
        <f aca="false">BV78+BV80+BV83+BV84</f>
        <v>-97826.3946903733</v>
      </c>
      <c r="BW85" s="100" t="n">
        <f aca="false">BW78+BW80+BW83+BW84</f>
        <v>21055.4573524743</v>
      </c>
      <c r="BX85" s="100" t="n">
        <f aca="false">BX78+BX80+BX83+BX84</f>
        <v>21059.624019141</v>
      </c>
      <c r="BY85" s="100" t="n">
        <f aca="false">BY78+BY80+BY83+BY84</f>
        <v>21063.7906858077</v>
      </c>
      <c r="BZ85" s="100" t="n">
        <f aca="false">BZ78+BZ80+BZ83+BZ84</f>
        <v>21067.9573524743</v>
      </c>
      <c r="CA85" s="100" t="n">
        <f aca="false">CA78+CA80+CA83+CA84</f>
        <v>21072.124019141</v>
      </c>
      <c r="CB85" s="100" t="n">
        <f aca="false">CB78+CB80+CB83+CB84</f>
        <v>21076.2906858077</v>
      </c>
      <c r="CC85" s="100" t="n">
        <f aca="false">CC78+CC80+CC83+CC84</f>
        <v>21080.4573524743</v>
      </c>
      <c r="CD85" s="100" t="n">
        <f aca="false">CD78+CD80+CD83+CD84</f>
        <v>21084.624019141</v>
      </c>
      <c r="CE85" s="100" t="n">
        <f aca="false">CE78+CE80+CE83+CE84</f>
        <v>21088.7906858077</v>
      </c>
      <c r="CF85" s="100" t="n">
        <f aca="false">CF78+CF80+CF83+CF84</f>
        <v>21092.9573524743</v>
      </c>
      <c r="CG85" s="100" t="n">
        <f aca="false">CG78+CG80+CG83+CG84</f>
        <v>21097.124019141</v>
      </c>
      <c r="CH85" s="100" t="n">
        <f aca="false">CH78+CH80+CH83+CH84</f>
        <v>-91101.4899376554</v>
      </c>
    </row>
    <row r="86" customFormat="false" ht="13.5" hidden="false" customHeight="true" outlineLevel="0" collapsed="false">
      <c r="A86" s="46" t="s">
        <v>560</v>
      </c>
      <c r="C86" s="63" t="n">
        <f aca="false">C85</f>
        <v>155012.953832997</v>
      </c>
      <c r="D86" s="63" t="n">
        <f aca="false">C86+D85</f>
        <v>126800.895654598</v>
      </c>
      <c r="E86" s="63" t="n">
        <f aca="false">D86+E85</f>
        <v>104248.559423504</v>
      </c>
      <c r="F86" s="63" t="n">
        <f aca="false">E86+F85</f>
        <v>84119.5204026265</v>
      </c>
      <c r="G86" s="63" t="n">
        <f aca="false">F86+G85</f>
        <v>66025.27776969</v>
      </c>
      <c r="H86" s="63" t="n">
        <f aca="false">G86+H85</f>
        <v>50370.5451590943</v>
      </c>
      <c r="I86" s="63" t="n">
        <f aca="false">H86+I85</f>
        <v>38278.2536987901</v>
      </c>
      <c r="J86" s="63" t="n">
        <f aca="false">I86+J85</f>
        <v>30164.877840788</v>
      </c>
      <c r="K86" s="63" t="n">
        <f aca="false">J86+K85</f>
        <v>30000</v>
      </c>
      <c r="L86" s="63" t="n">
        <f aca="false">K86+L85</f>
        <v>30000</v>
      </c>
      <c r="M86" s="63" t="n">
        <f aca="false">L86+M85</f>
        <v>30000</v>
      </c>
      <c r="N86" s="63" t="n">
        <f aca="false">M86+N85</f>
        <v>31867.6730529029</v>
      </c>
      <c r="O86" s="63" t="n">
        <f aca="false">N86+O85</f>
        <v>36082.1147996875</v>
      </c>
      <c r="P86" s="63" t="n">
        <f aca="false">O86+P85</f>
        <v>40475.1935122794</v>
      </c>
      <c r="Q86" s="63" t="n">
        <f aca="false">P86+Q85</f>
        <v>46886.9319881787</v>
      </c>
      <c r="R86" s="63" t="n">
        <f aca="false">Q86+R85</f>
        <v>55317.3302273853</v>
      </c>
      <c r="S86" s="63" t="n">
        <f aca="false">R86+S85</f>
        <v>65766.3882298992</v>
      </c>
      <c r="T86" s="63" t="n">
        <f aca="false">S86+T85</f>
        <v>78234.1059957205</v>
      </c>
      <c r="U86" s="63" t="n">
        <f aca="false">T86+U85</f>
        <v>90795.1539648491</v>
      </c>
      <c r="V86" s="63" t="n">
        <f aca="false">U86+V85</f>
        <v>103109.768097285</v>
      </c>
      <c r="W86" s="63" t="n">
        <f aca="false">V86+W85</f>
        <v>117443.041993028</v>
      </c>
      <c r="X86" s="63" t="n">
        <f aca="false">W86+X85</f>
        <v>133349.534785538</v>
      </c>
      <c r="Y86" s="63" t="n">
        <f aca="false">X86+Y85</f>
        <v>150639.151474813</v>
      </c>
      <c r="Z86" s="63" t="n">
        <f aca="false">Y86+Z85</f>
        <v>169145.310573988</v>
      </c>
      <c r="AA86" s="63" t="n">
        <f aca="false">Z86+AA85</f>
        <v>185235.817226796</v>
      </c>
      <c r="AB86" s="63" t="n">
        <f aca="false">AA86+AB85</f>
        <v>200499.736264926</v>
      </c>
      <c r="AC86" s="63" t="n">
        <f aca="false">AB86+AC85</f>
        <v>216920.157135177</v>
      </c>
      <c r="AD86" s="63" t="n">
        <f aca="false">AC86+AD85</f>
        <v>234497.07983755</v>
      </c>
      <c r="AE86" s="63" t="n">
        <f aca="false">AD86+AE85</f>
        <v>253230.504372045</v>
      </c>
      <c r="AF86" s="63" t="n">
        <f aca="false">AE86+AF85</f>
        <v>273120.430738662</v>
      </c>
      <c r="AG86" s="63" t="n">
        <f aca="false">AF86+AG85</f>
        <v>294166.8589374</v>
      </c>
      <c r="AH86" s="63" t="n">
        <f aca="false">AG86+AH85</f>
        <v>316369.78896826</v>
      </c>
      <c r="AI86" s="63" t="n">
        <f aca="false">AH86+AI85</f>
        <v>339729.220831242</v>
      </c>
      <c r="AJ86" s="63" t="n">
        <f aca="false">AI86+AJ85</f>
        <v>364245.154526346</v>
      </c>
      <c r="AK86" s="63" t="n">
        <f aca="false">AJ86+AK85</f>
        <v>389917.590053572</v>
      </c>
      <c r="AL86" s="63" t="n">
        <f aca="false">AK86+AL85</f>
        <v>414763.437966119</v>
      </c>
      <c r="AM86" s="63" t="n">
        <f aca="false">AL86+AM85</f>
        <v>435617.752375245</v>
      </c>
      <c r="AN86" s="63" t="n">
        <f aca="false">AM86+AN85</f>
        <v>457488.68768312</v>
      </c>
      <c r="AO86" s="63" t="n">
        <f aca="false">AN86+AO85</f>
        <v>480376.243889745</v>
      </c>
      <c r="AP86" s="63" t="n">
        <f aca="false">AO86+AP85</f>
        <v>504280.420995121</v>
      </c>
      <c r="AQ86" s="63" t="n">
        <f aca="false">AP86+AQ85</f>
        <v>529201.218999246</v>
      </c>
      <c r="AR86" s="63" t="n">
        <f aca="false">AQ86+AR85</f>
        <v>555138.637902121</v>
      </c>
      <c r="AS86" s="63" t="n">
        <f aca="false">AR86+AS85</f>
        <v>581496.697923674</v>
      </c>
      <c r="AT86" s="63" t="n">
        <f aca="false">AS86+AT85</f>
        <v>607858.924611893</v>
      </c>
      <c r="AU86" s="63" t="n">
        <f aca="false">AT86+AU85</f>
        <v>634225.317966779</v>
      </c>
      <c r="AV86" s="63" t="n">
        <f aca="false">AU86+AV85</f>
        <v>660595.877988332</v>
      </c>
      <c r="AW86" s="63" t="n">
        <f aca="false">AV86+AW85</f>
        <v>686970.604676551</v>
      </c>
      <c r="AX86" s="63" t="n">
        <f aca="false">AW86+AX85</f>
        <v>582083.86659813</v>
      </c>
      <c r="AY86" s="63" t="n">
        <f aca="false">AX86+AY85</f>
        <v>606668.133569413</v>
      </c>
      <c r="AZ86" s="63" t="n">
        <f aca="false">AY86+AZ85</f>
        <v>631256.567207363</v>
      </c>
      <c r="BA86" s="63" t="n">
        <f aca="false">AZ86+BA85</f>
        <v>655849.167511979</v>
      </c>
      <c r="BB86" s="63" t="n">
        <f aca="false">BA86+BB85</f>
        <v>680445.934483262</v>
      </c>
      <c r="BC86" s="63" t="n">
        <f aca="false">BB86+BC85</f>
        <v>705046.868121212</v>
      </c>
      <c r="BD86" s="63" t="n">
        <f aca="false">BC86+BD85</f>
        <v>729651.968425828</v>
      </c>
      <c r="BE86" s="63" t="n">
        <f aca="false">BD86+BE85</f>
        <v>754261.235397111</v>
      </c>
      <c r="BF86" s="63" t="n">
        <f aca="false">BE86+BF85</f>
        <v>778874.669035061</v>
      </c>
      <c r="BG86" s="63" t="n">
        <f aca="false">BF86+BG85</f>
        <v>803492.269339677</v>
      </c>
      <c r="BH86" s="63" t="n">
        <f aca="false">BG86+BH85</f>
        <v>828114.03631096</v>
      </c>
      <c r="BI86" s="63" t="n">
        <f aca="false">BH86+BI85</f>
        <v>852739.96994891</v>
      </c>
      <c r="BJ86" s="63" t="n">
        <f aca="false">BI86+BJ85</f>
        <v>748229.003459781</v>
      </c>
      <c r="BK86" s="63" t="n">
        <f aca="false">BJ86+BK85</f>
        <v>771054.172589287</v>
      </c>
      <c r="BL86" s="63" t="n">
        <f aca="false">BK86+BL85</f>
        <v>793883.508385459</v>
      </c>
      <c r="BM86" s="63" t="n">
        <f aca="false">BL86+BM85</f>
        <v>816717.010848298</v>
      </c>
      <c r="BN86" s="63" t="n">
        <f aca="false">BM86+BN85</f>
        <v>839554.679977803</v>
      </c>
      <c r="BO86" s="63" t="n">
        <f aca="false">BN86+BO85</f>
        <v>862396.515773975</v>
      </c>
      <c r="BP86" s="63" t="n">
        <f aca="false">BO86+BP85</f>
        <v>885242.518236814</v>
      </c>
      <c r="BQ86" s="63" t="n">
        <f aca="false">BP86+BQ85</f>
        <v>908092.687366319</v>
      </c>
      <c r="BR86" s="63" t="n">
        <f aca="false">BQ86+BR85</f>
        <v>930947.023162491</v>
      </c>
      <c r="BS86" s="63" t="n">
        <f aca="false">BR86+BS85</f>
        <v>953805.52562533</v>
      </c>
      <c r="BT86" s="63" t="n">
        <f aca="false">BS86+BT85</f>
        <v>976668.194754835</v>
      </c>
      <c r="BU86" s="63" t="n">
        <f aca="false">BT86+BU85</f>
        <v>999535.030551007</v>
      </c>
      <c r="BV86" s="63" t="n">
        <f aca="false">BU86+BV85</f>
        <v>901708.635860634</v>
      </c>
      <c r="BW86" s="63" t="n">
        <f aca="false">BV86+BW85</f>
        <v>922764.093213108</v>
      </c>
      <c r="BX86" s="63" t="n">
        <f aca="false">BW86+BX85</f>
        <v>943823.717232249</v>
      </c>
      <c r="BY86" s="63" t="n">
        <f aca="false">BX86+BY85</f>
        <v>964887.507918057</v>
      </c>
      <c r="BZ86" s="63" t="n">
        <f aca="false">BY86+BZ85</f>
        <v>985955.465270531</v>
      </c>
      <c r="CA86" s="63" t="n">
        <f aca="false">BZ86+CA85</f>
        <v>1007027.58928967</v>
      </c>
      <c r="CB86" s="63" t="n">
        <f aca="false">CA86+CB85</f>
        <v>1028103.87997548</v>
      </c>
      <c r="CC86" s="63" t="n">
        <f aca="false">CB86+CC85</f>
        <v>1049184.33732795</v>
      </c>
      <c r="CD86" s="63" t="n">
        <f aca="false">CC86+CD85</f>
        <v>1070268.9613471</v>
      </c>
      <c r="CE86" s="63" t="n">
        <f aca="false">CD86+CE85</f>
        <v>1091357.7520329</v>
      </c>
      <c r="CF86" s="63" t="n">
        <f aca="false">CE86+CF85</f>
        <v>1112450.70938538</v>
      </c>
      <c r="CG86" s="63" t="n">
        <f aca="false">CF86+CG85</f>
        <v>1133547.83340452</v>
      </c>
      <c r="CH86" s="63" t="n">
        <f aca="false">CG86+CH85</f>
        <v>1042446.34346686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9" t="s">
        <v>561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</row>
    <row r="89" customFormat="false" ht="13.5" hidden="false" customHeight="true" outlineLevel="0" collapsed="false">
      <c r="A89" s="6" t="s">
        <v>562</v>
      </c>
      <c r="C89" s="100" t="n">
        <f aca="false">IF(Hipótesis!$D$94=5,0,Hipótesis!$D$93)</f>
        <v>0</v>
      </c>
      <c r="D89" s="100" t="n">
        <f aca="false">C89-C90</f>
        <v>0</v>
      </c>
      <c r="E89" s="100" t="n">
        <f aca="false">D89-D90</f>
        <v>0</v>
      </c>
      <c r="F89" s="100" t="n">
        <f aca="false">E89-E90</f>
        <v>0</v>
      </c>
      <c r="G89" s="100" t="n">
        <f aca="false">F89-F90</f>
        <v>0</v>
      </c>
      <c r="H89" s="100" t="n">
        <f aca="false">G89-G90</f>
        <v>0</v>
      </c>
      <c r="I89" s="100" t="n">
        <f aca="false">H89-H90</f>
        <v>0</v>
      </c>
      <c r="J89" s="100" t="n">
        <f aca="false">I89-I90</f>
        <v>0</v>
      </c>
      <c r="K89" s="100" t="n">
        <f aca="false">J89-J90</f>
        <v>0</v>
      </c>
      <c r="L89" s="100" t="n">
        <f aca="false">K89-K90</f>
        <v>0</v>
      </c>
      <c r="M89" s="100" t="n">
        <f aca="false">L89-L90</f>
        <v>0</v>
      </c>
      <c r="N89" s="100" t="n">
        <f aca="false">M89-M90</f>
        <v>0</v>
      </c>
      <c r="O89" s="100" t="n">
        <f aca="false">N89-N90</f>
        <v>0</v>
      </c>
      <c r="P89" s="100" t="n">
        <f aca="false">O89-O90</f>
        <v>0</v>
      </c>
      <c r="Q89" s="100" t="n">
        <f aca="false">P89-P90</f>
        <v>0</v>
      </c>
      <c r="R89" s="100" t="n">
        <f aca="false">Q89-Q90</f>
        <v>0</v>
      </c>
      <c r="S89" s="100" t="n">
        <f aca="false">R89-R90</f>
        <v>0</v>
      </c>
      <c r="T89" s="100" t="n">
        <f aca="false">S89-S90</f>
        <v>0</v>
      </c>
      <c r="U89" s="100" t="n">
        <f aca="false">T89-T90</f>
        <v>0</v>
      </c>
      <c r="V89" s="100" t="n">
        <f aca="false">U89-U90</f>
        <v>0</v>
      </c>
      <c r="W89" s="100" t="n">
        <f aca="false">V89-V90</f>
        <v>0</v>
      </c>
      <c r="X89" s="100" t="n">
        <f aca="false">W89-W90</f>
        <v>0</v>
      </c>
      <c r="Y89" s="100" t="n">
        <f aca="false">X89-X90</f>
        <v>0</v>
      </c>
      <c r="Z89" s="100" t="n">
        <f aca="false">Y89-Y90</f>
        <v>0</v>
      </c>
      <c r="AA89" s="100" t="n">
        <f aca="false">Z89-Z90</f>
        <v>0</v>
      </c>
      <c r="AB89" s="100" t="n">
        <f aca="false">AA89-AA90</f>
        <v>0</v>
      </c>
      <c r="AC89" s="100" t="n">
        <f aca="false">AB89-AB90</f>
        <v>0</v>
      </c>
      <c r="AD89" s="100" t="n">
        <f aca="false">AC89-AC90</f>
        <v>0</v>
      </c>
      <c r="AE89" s="100" t="n">
        <f aca="false">AD89-AD90</f>
        <v>0</v>
      </c>
      <c r="AF89" s="100" t="n">
        <f aca="false">AE89-AE90</f>
        <v>0</v>
      </c>
      <c r="AG89" s="100" t="n">
        <f aca="false">AF89-AF90</f>
        <v>0</v>
      </c>
      <c r="AH89" s="100" t="n">
        <f aca="false">AG89-AG90</f>
        <v>0</v>
      </c>
      <c r="AI89" s="100" t="n">
        <f aca="false">AH89-AH90</f>
        <v>0</v>
      </c>
      <c r="AJ89" s="100" t="n">
        <f aca="false">AI89-AI90</f>
        <v>0</v>
      </c>
      <c r="AK89" s="100" t="n">
        <f aca="false">AJ89-AJ90</f>
        <v>0</v>
      </c>
      <c r="AL89" s="100" t="n">
        <f aca="false">AK89-AK90</f>
        <v>0</v>
      </c>
      <c r="AM89" s="100" t="n">
        <f aca="false">AL89-AL90</f>
        <v>0</v>
      </c>
      <c r="AN89" s="100" t="n">
        <f aca="false">AM89-AM90</f>
        <v>0</v>
      </c>
      <c r="AO89" s="100" t="n">
        <f aca="false">AN89-AN90</f>
        <v>0</v>
      </c>
      <c r="AP89" s="100" t="n">
        <f aca="false">AO89-AO90</f>
        <v>0</v>
      </c>
      <c r="AQ89" s="100" t="n">
        <f aca="false">AP89-AP90</f>
        <v>0</v>
      </c>
      <c r="AR89" s="100" t="n">
        <f aca="false">AQ89-AQ90</f>
        <v>0</v>
      </c>
      <c r="AS89" s="100" t="n">
        <f aca="false">AR89-AR90</f>
        <v>0</v>
      </c>
      <c r="AT89" s="100" t="n">
        <f aca="false">AS89-AS90</f>
        <v>0</v>
      </c>
      <c r="AU89" s="100" t="n">
        <f aca="false">AT89-AT90</f>
        <v>0</v>
      </c>
      <c r="AV89" s="100" t="n">
        <f aca="false">AU89-AU90</f>
        <v>0</v>
      </c>
      <c r="AW89" s="100" t="n">
        <f aca="false">AV89-AV90</f>
        <v>0</v>
      </c>
      <c r="AX89" s="100" t="n">
        <f aca="false">AW89-AW90</f>
        <v>0</v>
      </c>
      <c r="AY89" s="100" t="n">
        <f aca="false">AX89-AX90</f>
        <v>0</v>
      </c>
      <c r="AZ89" s="100" t="n">
        <f aca="false">AY89-AY90</f>
        <v>0</v>
      </c>
      <c r="BA89" s="100" t="n">
        <f aca="false">AZ89-AZ90</f>
        <v>0</v>
      </c>
      <c r="BB89" s="100" t="n">
        <f aca="false">BA89-BA90</f>
        <v>0</v>
      </c>
      <c r="BC89" s="100" t="n">
        <f aca="false">BB89-BB90</f>
        <v>0</v>
      </c>
      <c r="BD89" s="100" t="n">
        <f aca="false">BC89-BC90</f>
        <v>0</v>
      </c>
      <c r="BE89" s="100" t="n">
        <f aca="false">BD89-BD90</f>
        <v>0</v>
      </c>
      <c r="BF89" s="100" t="n">
        <f aca="false">BE89-BE90</f>
        <v>0</v>
      </c>
      <c r="BG89" s="100" t="n">
        <f aca="false">BF89-BF90</f>
        <v>0</v>
      </c>
      <c r="BH89" s="100" t="n">
        <f aca="false">BG89-BG90</f>
        <v>0</v>
      </c>
      <c r="BI89" s="100" t="n">
        <f aca="false">BH89-BH90</f>
        <v>0</v>
      </c>
      <c r="BJ89" s="100" t="n">
        <f aca="false">BI89-BI90</f>
        <v>0</v>
      </c>
      <c r="BK89" s="100" t="n">
        <f aca="false">BJ89-BJ90</f>
        <v>0</v>
      </c>
      <c r="BL89" s="100" t="n">
        <f aca="false">BK89-BK90</f>
        <v>0</v>
      </c>
      <c r="BM89" s="100" t="n">
        <f aca="false">BL89-BL90</f>
        <v>0</v>
      </c>
      <c r="BN89" s="100" t="n">
        <f aca="false">BM89-BM90</f>
        <v>0</v>
      </c>
      <c r="BO89" s="100" t="n">
        <f aca="false">BN89-BN90</f>
        <v>0</v>
      </c>
      <c r="BP89" s="100" t="n">
        <f aca="false">BO89-BO90</f>
        <v>0</v>
      </c>
      <c r="BQ89" s="100" t="n">
        <f aca="false">BP89-BP90</f>
        <v>0</v>
      </c>
      <c r="BR89" s="100" t="n">
        <f aca="false">BQ89-BQ90</f>
        <v>0</v>
      </c>
      <c r="BS89" s="100" t="n">
        <f aca="false">BR89-BR90</f>
        <v>0</v>
      </c>
      <c r="BT89" s="100" t="n">
        <f aca="false">BS89-BS90</f>
        <v>0</v>
      </c>
      <c r="BU89" s="100" t="n">
        <f aca="false">BT89-BT90</f>
        <v>0</v>
      </c>
      <c r="BV89" s="100" t="n">
        <f aca="false">BU89-BU90</f>
        <v>0</v>
      </c>
      <c r="BW89" s="100" t="n">
        <f aca="false">BV89-BV90</f>
        <v>0</v>
      </c>
      <c r="BX89" s="100" t="n">
        <f aca="false">BW89-BW90</f>
        <v>0</v>
      </c>
      <c r="BY89" s="100" t="n">
        <f aca="false">BX89-BX90</f>
        <v>0</v>
      </c>
      <c r="BZ89" s="100" t="n">
        <f aca="false">BY89-BY90</f>
        <v>0</v>
      </c>
      <c r="CA89" s="100" t="n">
        <f aca="false">BZ89-BZ90</f>
        <v>0</v>
      </c>
      <c r="CB89" s="100" t="n">
        <f aca="false">CA89-CA90</f>
        <v>0</v>
      </c>
      <c r="CC89" s="100" t="n">
        <f aca="false">CB89-CB90</f>
        <v>0</v>
      </c>
      <c r="CD89" s="100" t="n">
        <f aca="false">CC89-CC90</f>
        <v>0</v>
      </c>
      <c r="CE89" s="100" t="n">
        <f aca="false">CD89-CD90</f>
        <v>0</v>
      </c>
      <c r="CF89" s="100" t="n">
        <f aca="false">CE89-CE90</f>
        <v>0</v>
      </c>
      <c r="CG89" s="100" t="n">
        <f aca="false">CF89-CF90</f>
        <v>0</v>
      </c>
      <c r="CH89" s="100" t="n">
        <f aca="false">CG89-CG90</f>
        <v>0</v>
      </c>
    </row>
    <row r="90" customFormat="false" ht="13.5" hidden="false" customHeight="true" outlineLevel="0" collapsed="false">
      <c r="A90" s="6" t="s">
        <v>563</v>
      </c>
      <c r="C90" s="100" t="n">
        <f aca="false">IF(1&lt;=Hipótesis!$D$97,0,IF(C89&gt;0,MIN(C89,Hipótesis!$D$93/MAX(Hipótesis!$D$96-Hipótesis!$D$97,1)),0))</f>
        <v>0</v>
      </c>
      <c r="D90" s="100" t="n">
        <f aca="false">IF(2&lt;=Hipótesis!$D$97,0,IF(D89&gt;0,MIN(D89,Hipótesis!$D$93/MAX(Hipótesis!$D$96-Hipótesis!$D$97,1)),0))</f>
        <v>0</v>
      </c>
      <c r="E90" s="100" t="n">
        <f aca="false">IF(3&lt;=Hipótesis!$D$97,0,IF(E89&gt;0,MIN(E89,Hipótesis!$D$93/MAX(Hipótesis!$D$96-Hipótesis!$D$97,1)),0))</f>
        <v>0</v>
      </c>
      <c r="F90" s="100" t="n">
        <f aca="false">IF(4&lt;=Hipótesis!$D$97,0,IF(F89&gt;0,MIN(F89,Hipótesis!$D$93/MAX(Hipótesis!$D$96-Hipótesis!$D$97,1)),0))</f>
        <v>0</v>
      </c>
      <c r="G90" s="100" t="n">
        <f aca="false">IF(5&lt;=Hipótesis!$D$97,0,IF(G89&gt;0,MIN(G89,Hipótesis!$D$93/MAX(Hipótesis!$D$96-Hipótesis!$D$97,1)),0))</f>
        <v>0</v>
      </c>
      <c r="H90" s="100" t="n">
        <f aca="false">IF(6&lt;=Hipótesis!$D$97,0,IF(H89&gt;0,MIN(H89,Hipótesis!$D$93/MAX(Hipótesis!$D$96-Hipótesis!$D$97,1)),0))</f>
        <v>0</v>
      </c>
      <c r="I90" s="100" t="n">
        <f aca="false">IF(7&lt;=Hipótesis!$D$97,0,IF(I89&gt;0,MIN(I89,Hipótesis!$D$93/MAX(Hipótesis!$D$96-Hipótesis!$D$97,1)),0))</f>
        <v>0</v>
      </c>
      <c r="J90" s="100" t="n">
        <f aca="false">IF(8&lt;=Hipótesis!$D$97,0,IF(J89&gt;0,MIN(J89,Hipótesis!$D$93/MAX(Hipótesis!$D$96-Hipótesis!$D$97,1)),0))</f>
        <v>0</v>
      </c>
      <c r="K90" s="100" t="n">
        <f aca="false">IF(9&lt;=Hipótesis!$D$97,0,IF(K89&gt;0,MIN(K89,Hipótesis!$D$93/MAX(Hipótesis!$D$96-Hipótesis!$D$97,1)),0))</f>
        <v>0</v>
      </c>
      <c r="L90" s="100" t="n">
        <f aca="false">IF(10&lt;=Hipótesis!$D$97,0,IF(L89&gt;0,MIN(L89,Hipótesis!$D$93/MAX(Hipótesis!$D$96-Hipótesis!$D$97,1)),0))</f>
        <v>0</v>
      </c>
      <c r="M90" s="100" t="n">
        <f aca="false">IF(11&lt;=Hipótesis!$D$97,0,IF(M89&gt;0,MIN(M89,Hipótesis!$D$93/MAX(Hipótesis!$D$96-Hipótesis!$D$97,1)),0))</f>
        <v>0</v>
      </c>
      <c r="N90" s="100" t="n">
        <f aca="false">IF(12&lt;=Hipótesis!$D$97,0,IF(N89&gt;0,MIN(N89,Hipótesis!$D$93/MAX(Hipótesis!$D$96-Hipótesis!$D$97,1)),0))</f>
        <v>0</v>
      </c>
      <c r="O90" s="100" t="n">
        <f aca="false">IF(13&lt;=Hipótesis!$D$97,0,IF(O89&gt;0,MIN(O89,Hipótesis!$D$93/MAX(Hipótesis!$D$96-Hipótesis!$D$97,1)),0))</f>
        <v>0</v>
      </c>
      <c r="P90" s="100" t="n">
        <f aca="false">IF(14&lt;=Hipótesis!$D$97,0,IF(P89&gt;0,MIN(P89,Hipótesis!$D$93/MAX(Hipótesis!$D$96-Hipótesis!$D$97,1)),0))</f>
        <v>0</v>
      </c>
      <c r="Q90" s="100" t="n">
        <f aca="false">IF(15&lt;=Hipótesis!$D$97,0,IF(Q89&gt;0,MIN(Q89,Hipótesis!$D$93/MAX(Hipótesis!$D$96-Hipótesis!$D$97,1)),0))</f>
        <v>0</v>
      </c>
      <c r="R90" s="100" t="n">
        <f aca="false">IF(16&lt;=Hipótesis!$D$97,0,IF(R89&gt;0,MIN(R89,Hipótesis!$D$93/MAX(Hipótesis!$D$96-Hipótesis!$D$97,1)),0))</f>
        <v>0</v>
      </c>
      <c r="S90" s="100" t="n">
        <f aca="false">IF(17&lt;=Hipótesis!$D$97,0,IF(S89&gt;0,MIN(S89,Hipótesis!$D$93/MAX(Hipótesis!$D$96-Hipótesis!$D$97,1)),0))</f>
        <v>0</v>
      </c>
      <c r="T90" s="100" t="n">
        <f aca="false">IF(18&lt;=Hipótesis!$D$97,0,IF(T89&gt;0,MIN(T89,Hipótesis!$D$93/MAX(Hipótesis!$D$96-Hipótesis!$D$97,1)),0))</f>
        <v>0</v>
      </c>
      <c r="U90" s="100" t="n">
        <f aca="false">IF(19&lt;=Hipótesis!$D$97,0,IF(U89&gt;0,MIN(U89,Hipótesis!$D$93/MAX(Hipótesis!$D$96-Hipótesis!$D$97,1)),0))</f>
        <v>0</v>
      </c>
      <c r="V90" s="100" t="n">
        <f aca="false">IF(20&lt;=Hipótesis!$D$97,0,IF(V89&gt;0,MIN(V89,Hipótesis!$D$93/MAX(Hipótesis!$D$96-Hipótesis!$D$97,1)),0))</f>
        <v>0</v>
      </c>
      <c r="W90" s="100" t="n">
        <f aca="false">IF(21&lt;=Hipótesis!$D$97,0,IF(W89&gt;0,MIN(W89,Hipótesis!$D$93/MAX(Hipótesis!$D$96-Hipótesis!$D$97,1)),0))</f>
        <v>0</v>
      </c>
      <c r="X90" s="100" t="n">
        <f aca="false">IF(22&lt;=Hipótesis!$D$97,0,IF(X89&gt;0,MIN(X89,Hipótesis!$D$93/MAX(Hipótesis!$D$96-Hipótesis!$D$97,1)),0))</f>
        <v>0</v>
      </c>
      <c r="Y90" s="100" t="n">
        <f aca="false">IF(23&lt;=Hipótesis!$D$97,0,IF(Y89&gt;0,MIN(Y89,Hipótesis!$D$93/MAX(Hipótesis!$D$96-Hipótesis!$D$97,1)),0))</f>
        <v>0</v>
      </c>
      <c r="Z90" s="100" t="n">
        <f aca="false">IF(24&lt;=Hipótesis!$D$97,0,IF(Z89&gt;0,MIN(Z89,Hipótesis!$D$93/MAX(Hipótesis!$D$96-Hipótesis!$D$97,1)),0))</f>
        <v>0</v>
      </c>
      <c r="AA90" s="100" t="n">
        <f aca="false">IF(25&lt;=Hipótesis!$D$97,0,IF(AA89&gt;0,MIN(AA89,Hipótesis!$D$93/MAX(Hipótesis!$D$96-Hipótesis!$D$97,1)),0))</f>
        <v>0</v>
      </c>
      <c r="AB90" s="100" t="n">
        <f aca="false">IF(26&lt;=Hipótesis!$D$97,0,IF(AB89&gt;0,MIN(AB89,Hipótesis!$D$93/MAX(Hipótesis!$D$96-Hipótesis!$D$97,1)),0))</f>
        <v>0</v>
      </c>
      <c r="AC90" s="100" t="n">
        <f aca="false">IF(27&lt;=Hipótesis!$D$97,0,IF(AC89&gt;0,MIN(AC89,Hipótesis!$D$93/MAX(Hipótesis!$D$96-Hipótesis!$D$97,1)),0))</f>
        <v>0</v>
      </c>
      <c r="AD90" s="100" t="n">
        <f aca="false">IF(28&lt;=Hipótesis!$D$97,0,IF(AD89&gt;0,MIN(AD89,Hipótesis!$D$93/MAX(Hipótesis!$D$96-Hipótesis!$D$97,1)),0))</f>
        <v>0</v>
      </c>
      <c r="AE90" s="100" t="n">
        <f aca="false">IF(29&lt;=Hipótesis!$D$97,0,IF(AE89&gt;0,MIN(AE89,Hipótesis!$D$93/MAX(Hipótesis!$D$96-Hipótesis!$D$97,1)),0))</f>
        <v>0</v>
      </c>
      <c r="AF90" s="100" t="n">
        <f aca="false">IF(30&lt;=Hipótesis!$D$97,0,IF(AF89&gt;0,MIN(AF89,Hipótesis!$D$93/MAX(Hipótesis!$D$96-Hipótesis!$D$97,1)),0))</f>
        <v>0</v>
      </c>
      <c r="AG90" s="100" t="n">
        <f aca="false">IF(31&lt;=Hipótesis!$D$97,0,IF(AG89&gt;0,MIN(AG89,Hipótesis!$D$93/MAX(Hipótesis!$D$96-Hipótesis!$D$97,1)),0))</f>
        <v>0</v>
      </c>
      <c r="AH90" s="100" t="n">
        <f aca="false">IF(32&lt;=Hipótesis!$D$97,0,IF(AH89&gt;0,MIN(AH89,Hipótesis!$D$93/MAX(Hipótesis!$D$96-Hipótesis!$D$97,1)),0))</f>
        <v>0</v>
      </c>
      <c r="AI90" s="100" t="n">
        <f aca="false">IF(33&lt;=Hipótesis!$D$97,0,IF(AI89&gt;0,MIN(AI89,Hipótesis!$D$93/MAX(Hipótesis!$D$96-Hipótesis!$D$97,1)),0))</f>
        <v>0</v>
      </c>
      <c r="AJ90" s="100" t="n">
        <f aca="false">IF(34&lt;=Hipótesis!$D$97,0,IF(AJ89&gt;0,MIN(AJ89,Hipótesis!$D$93/MAX(Hipótesis!$D$96-Hipótesis!$D$97,1)),0))</f>
        <v>0</v>
      </c>
      <c r="AK90" s="100" t="n">
        <f aca="false">IF(35&lt;=Hipótesis!$D$97,0,IF(AK89&gt;0,MIN(AK89,Hipótesis!$D$93/MAX(Hipótesis!$D$96-Hipótesis!$D$97,1)),0))</f>
        <v>0</v>
      </c>
      <c r="AL90" s="100" t="n">
        <f aca="false">IF(36&lt;=Hipótesis!$D$97,0,IF(AL89&gt;0,MIN(AL89,Hipótesis!$D$93/MAX(Hipótesis!$D$96-Hipótesis!$D$97,1)),0))</f>
        <v>0</v>
      </c>
      <c r="AM90" s="100" t="n">
        <f aca="false">IF(37&lt;=Hipótesis!$D$97,0,IF(AM89&gt;0,MIN(AM89,Hipótesis!$D$93/MAX(Hipótesis!$D$96-Hipótesis!$D$97,1)),0))</f>
        <v>0</v>
      </c>
      <c r="AN90" s="100" t="n">
        <f aca="false">IF(38&lt;=Hipótesis!$D$97,0,IF(AN89&gt;0,MIN(AN89,Hipótesis!$D$93/MAX(Hipótesis!$D$96-Hipótesis!$D$97,1)),0))</f>
        <v>0</v>
      </c>
      <c r="AO90" s="100" t="n">
        <f aca="false">IF(39&lt;=Hipótesis!$D$97,0,IF(AO89&gt;0,MIN(AO89,Hipótesis!$D$93/MAX(Hipótesis!$D$96-Hipótesis!$D$97,1)),0))</f>
        <v>0</v>
      </c>
      <c r="AP90" s="100" t="n">
        <f aca="false">IF(40&lt;=Hipótesis!$D$97,0,IF(AP89&gt;0,MIN(AP89,Hipótesis!$D$93/MAX(Hipótesis!$D$96-Hipótesis!$D$97,1)),0))</f>
        <v>0</v>
      </c>
      <c r="AQ90" s="100" t="n">
        <f aca="false">IF(41&lt;=Hipótesis!$D$97,0,IF(AQ89&gt;0,MIN(AQ89,Hipótesis!$D$93/MAX(Hipótesis!$D$96-Hipótesis!$D$97,1)),0))</f>
        <v>0</v>
      </c>
      <c r="AR90" s="100" t="n">
        <f aca="false">IF(42&lt;=Hipótesis!$D$97,0,IF(AR89&gt;0,MIN(AR89,Hipótesis!$D$93/MAX(Hipótesis!$D$96-Hipótesis!$D$97,1)),0))</f>
        <v>0</v>
      </c>
      <c r="AS90" s="100" t="n">
        <f aca="false">IF(43&lt;=Hipótesis!$D$97,0,IF(AS89&gt;0,MIN(AS89,Hipótesis!$D$93/MAX(Hipótesis!$D$96-Hipótesis!$D$97,1)),0))</f>
        <v>0</v>
      </c>
      <c r="AT90" s="100" t="n">
        <f aca="false">IF(44&lt;=Hipótesis!$D$97,0,IF(AT89&gt;0,MIN(AT89,Hipótesis!$D$93/MAX(Hipótesis!$D$96-Hipótesis!$D$97,1)),0))</f>
        <v>0</v>
      </c>
      <c r="AU90" s="100" t="n">
        <f aca="false">IF(45&lt;=Hipótesis!$D$97,0,IF(AU89&gt;0,MIN(AU89,Hipótesis!$D$93/MAX(Hipótesis!$D$96-Hipótesis!$D$97,1)),0))</f>
        <v>0</v>
      </c>
      <c r="AV90" s="100" t="n">
        <f aca="false">IF(46&lt;=Hipótesis!$D$97,0,IF(AV89&gt;0,MIN(AV89,Hipótesis!$D$93/MAX(Hipótesis!$D$96-Hipótesis!$D$97,1)),0))</f>
        <v>0</v>
      </c>
      <c r="AW90" s="100" t="n">
        <f aca="false">IF(47&lt;=Hipótesis!$D$97,0,IF(AW89&gt;0,MIN(AW89,Hipótesis!$D$93/MAX(Hipótesis!$D$96-Hipótesis!$D$97,1)),0))</f>
        <v>0</v>
      </c>
      <c r="AX90" s="100" t="n">
        <f aca="false">IF(48&lt;=Hipótesis!$D$97,0,IF(AX89&gt;0,MIN(AX89,Hipótesis!$D$93/MAX(Hipótesis!$D$96-Hipótesis!$D$97,1)),0))</f>
        <v>0</v>
      </c>
      <c r="AY90" s="100" t="n">
        <f aca="false">IF(49&lt;=Hipótesis!$D$97,0,IF(AY89&gt;0,MIN(AY89,Hipótesis!$D$93/MAX(Hipótesis!$D$96-Hipótesis!$D$97,1)),0))</f>
        <v>0</v>
      </c>
      <c r="AZ90" s="100" t="n">
        <f aca="false">IF(50&lt;=Hipótesis!$D$97,0,IF(AZ89&gt;0,MIN(AZ89,Hipótesis!$D$93/MAX(Hipótesis!$D$96-Hipótesis!$D$97,1)),0))</f>
        <v>0</v>
      </c>
      <c r="BA90" s="100" t="n">
        <f aca="false">IF(51&lt;=Hipótesis!$D$97,0,IF(BA89&gt;0,MIN(BA89,Hipótesis!$D$93/MAX(Hipótesis!$D$96-Hipótesis!$D$97,1)),0))</f>
        <v>0</v>
      </c>
      <c r="BB90" s="100" t="n">
        <f aca="false">IF(52&lt;=Hipótesis!$D$97,0,IF(BB89&gt;0,MIN(BB89,Hipótesis!$D$93/MAX(Hipótesis!$D$96-Hipótesis!$D$97,1)),0))</f>
        <v>0</v>
      </c>
      <c r="BC90" s="100" t="n">
        <f aca="false">IF(53&lt;=Hipótesis!$D$97,0,IF(BC89&gt;0,MIN(BC89,Hipótesis!$D$93/MAX(Hipótesis!$D$96-Hipótesis!$D$97,1)),0))</f>
        <v>0</v>
      </c>
      <c r="BD90" s="100" t="n">
        <f aca="false">IF(54&lt;=Hipótesis!$D$97,0,IF(BD89&gt;0,MIN(BD89,Hipótesis!$D$93/MAX(Hipótesis!$D$96-Hipótesis!$D$97,1)),0))</f>
        <v>0</v>
      </c>
      <c r="BE90" s="100" t="n">
        <f aca="false">IF(55&lt;=Hipótesis!$D$97,0,IF(BE89&gt;0,MIN(BE89,Hipótesis!$D$93/MAX(Hipótesis!$D$96-Hipótesis!$D$97,1)),0))</f>
        <v>0</v>
      </c>
      <c r="BF90" s="100" t="n">
        <f aca="false">IF(56&lt;=Hipótesis!$D$97,0,IF(BF89&gt;0,MIN(BF89,Hipótesis!$D$93/MAX(Hipótesis!$D$96-Hipótesis!$D$97,1)),0))</f>
        <v>0</v>
      </c>
      <c r="BG90" s="100" t="n">
        <f aca="false">IF(57&lt;=Hipótesis!$D$97,0,IF(BG89&gt;0,MIN(BG89,Hipótesis!$D$93/MAX(Hipótesis!$D$96-Hipótesis!$D$97,1)),0))</f>
        <v>0</v>
      </c>
      <c r="BH90" s="100" t="n">
        <f aca="false">IF(58&lt;=Hipótesis!$D$97,0,IF(BH89&gt;0,MIN(BH89,Hipótesis!$D$93/MAX(Hipótesis!$D$96-Hipótesis!$D$97,1)),0))</f>
        <v>0</v>
      </c>
      <c r="BI90" s="100" t="n">
        <f aca="false">IF(59&lt;=Hipótesis!$D$97,0,IF(BI89&gt;0,MIN(BI89,Hipótesis!$D$93/MAX(Hipótesis!$D$96-Hipótesis!$D$97,1)),0))</f>
        <v>0</v>
      </c>
      <c r="BJ90" s="100" t="n">
        <f aca="false">IF(60&lt;=Hipótesis!$D$97,0,IF(BJ89&gt;0,MIN(BJ89,Hipótesis!$D$93/MAX(Hipótesis!$D$96-Hipótesis!$D$97,1)),0))</f>
        <v>0</v>
      </c>
      <c r="BK90" s="100" t="n">
        <f aca="false">IF(61&lt;=Hipótesis!$D$97,0,IF(BK89&gt;0,MIN(BK89,Hipótesis!$D$93/MAX(Hipótesis!$D$96-Hipótesis!$D$97,1)),0))</f>
        <v>0</v>
      </c>
      <c r="BL90" s="100" t="n">
        <f aca="false">IF(62&lt;=Hipótesis!$D$97,0,IF(BL89&gt;0,MIN(BL89,Hipótesis!$D$93/MAX(Hipótesis!$D$96-Hipótesis!$D$97,1)),0))</f>
        <v>0</v>
      </c>
      <c r="BM90" s="100" t="n">
        <f aca="false">IF(63&lt;=Hipótesis!$D$97,0,IF(BM89&gt;0,MIN(BM89,Hipótesis!$D$93/MAX(Hipótesis!$D$96-Hipótesis!$D$97,1)),0))</f>
        <v>0</v>
      </c>
      <c r="BN90" s="100" t="n">
        <f aca="false">IF(64&lt;=Hipótesis!$D$97,0,IF(BN89&gt;0,MIN(BN89,Hipótesis!$D$93/MAX(Hipótesis!$D$96-Hipótesis!$D$97,1)),0))</f>
        <v>0</v>
      </c>
      <c r="BO90" s="100" t="n">
        <f aca="false">IF(65&lt;=Hipótesis!$D$97,0,IF(BO89&gt;0,MIN(BO89,Hipótesis!$D$93/MAX(Hipótesis!$D$96-Hipótesis!$D$97,1)),0))</f>
        <v>0</v>
      </c>
      <c r="BP90" s="100" t="n">
        <f aca="false">IF(66&lt;=Hipótesis!$D$97,0,IF(BP89&gt;0,MIN(BP89,Hipótesis!$D$93/MAX(Hipótesis!$D$96-Hipótesis!$D$97,1)),0))</f>
        <v>0</v>
      </c>
      <c r="BQ90" s="100" t="n">
        <f aca="false">IF(67&lt;=Hipótesis!$D$97,0,IF(BQ89&gt;0,MIN(BQ89,Hipótesis!$D$93/MAX(Hipótesis!$D$96-Hipótesis!$D$97,1)),0))</f>
        <v>0</v>
      </c>
      <c r="BR90" s="100" t="n">
        <f aca="false">IF(68&lt;=Hipótesis!$D$97,0,IF(BR89&gt;0,MIN(BR89,Hipótesis!$D$93/MAX(Hipótesis!$D$96-Hipótesis!$D$97,1)),0))</f>
        <v>0</v>
      </c>
      <c r="BS90" s="100" t="n">
        <f aca="false">IF(69&lt;=Hipótesis!$D$97,0,IF(BS89&gt;0,MIN(BS89,Hipótesis!$D$93/MAX(Hipótesis!$D$96-Hipótesis!$D$97,1)),0))</f>
        <v>0</v>
      </c>
      <c r="BT90" s="100" t="n">
        <f aca="false">IF(70&lt;=Hipótesis!$D$97,0,IF(BT89&gt;0,MIN(BT89,Hipótesis!$D$93/MAX(Hipótesis!$D$96-Hipótesis!$D$97,1)),0))</f>
        <v>0</v>
      </c>
      <c r="BU90" s="100" t="n">
        <f aca="false">IF(71&lt;=Hipótesis!$D$97,0,IF(BU89&gt;0,MIN(BU89,Hipótesis!$D$93/MAX(Hipótesis!$D$96-Hipótesis!$D$97,1)),0))</f>
        <v>0</v>
      </c>
      <c r="BV90" s="100" t="n">
        <f aca="false">IF(72&lt;=Hipótesis!$D$97,0,IF(BV89&gt;0,MIN(BV89,Hipótesis!$D$93/MAX(Hipótesis!$D$96-Hipótesis!$D$97,1)),0))</f>
        <v>0</v>
      </c>
      <c r="BW90" s="100" t="n">
        <f aca="false">IF(73&lt;=Hipótesis!$D$97,0,IF(BW89&gt;0,MIN(BW89,Hipótesis!$D$93/MAX(Hipótesis!$D$96-Hipótesis!$D$97,1)),0))</f>
        <v>0</v>
      </c>
      <c r="BX90" s="100" t="n">
        <f aca="false">IF(74&lt;=Hipótesis!$D$97,0,IF(BX89&gt;0,MIN(BX89,Hipótesis!$D$93/MAX(Hipótesis!$D$96-Hipótesis!$D$97,1)),0))</f>
        <v>0</v>
      </c>
      <c r="BY90" s="100" t="n">
        <f aca="false">IF(75&lt;=Hipótesis!$D$97,0,IF(BY89&gt;0,MIN(BY89,Hipótesis!$D$93/MAX(Hipótesis!$D$96-Hipótesis!$D$97,1)),0))</f>
        <v>0</v>
      </c>
      <c r="BZ90" s="100" t="n">
        <f aca="false">IF(76&lt;=Hipótesis!$D$97,0,IF(BZ89&gt;0,MIN(BZ89,Hipótesis!$D$93/MAX(Hipótesis!$D$96-Hipótesis!$D$97,1)),0))</f>
        <v>0</v>
      </c>
      <c r="CA90" s="100" t="n">
        <f aca="false">IF(77&lt;=Hipótesis!$D$97,0,IF(CA89&gt;0,MIN(CA89,Hipótesis!$D$93/MAX(Hipótesis!$D$96-Hipótesis!$D$97,1)),0))</f>
        <v>0</v>
      </c>
      <c r="CB90" s="100" t="n">
        <f aca="false">IF(78&lt;=Hipótesis!$D$97,0,IF(CB89&gt;0,MIN(CB89,Hipótesis!$D$93/MAX(Hipótesis!$D$96-Hipótesis!$D$97,1)),0))</f>
        <v>0</v>
      </c>
      <c r="CC90" s="100" t="n">
        <f aca="false">IF(79&lt;=Hipótesis!$D$97,0,IF(CC89&gt;0,MIN(CC89,Hipótesis!$D$93/MAX(Hipótesis!$D$96-Hipótesis!$D$97,1)),0))</f>
        <v>0</v>
      </c>
      <c r="CD90" s="100" t="n">
        <f aca="false">IF(80&lt;=Hipótesis!$D$97,0,IF(CD89&gt;0,MIN(CD89,Hipótesis!$D$93/MAX(Hipótesis!$D$96-Hipótesis!$D$97,1)),0))</f>
        <v>0</v>
      </c>
      <c r="CE90" s="100" t="n">
        <f aca="false">IF(81&lt;=Hipótesis!$D$97,0,IF(CE89&gt;0,MIN(CE89,Hipótesis!$D$93/MAX(Hipótesis!$D$96-Hipótesis!$D$97,1)),0))</f>
        <v>0</v>
      </c>
      <c r="CF90" s="100" t="n">
        <f aca="false">IF(82&lt;=Hipótesis!$D$97,0,IF(CF89&gt;0,MIN(CF89,Hipótesis!$D$93/MAX(Hipótesis!$D$96-Hipótesis!$D$97,1)),0))</f>
        <v>0</v>
      </c>
      <c r="CG90" s="100" t="n">
        <f aca="false">IF(83&lt;=Hipótesis!$D$97,0,IF(CG89&gt;0,MIN(CG89,Hipótesis!$D$93/MAX(Hipótesis!$D$96-Hipótesis!$D$97,1)),0))</f>
        <v>0</v>
      </c>
      <c r="CH90" s="100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6" t="s">
        <v>564</v>
      </c>
      <c r="C91" s="100" t="n">
        <f aca="false">C89*Hipótesis!$D$95/12</f>
        <v>0</v>
      </c>
      <c r="D91" s="100" t="n">
        <f aca="false">D89*Hipótesis!$D$95/12</f>
        <v>0</v>
      </c>
      <c r="E91" s="100" t="n">
        <f aca="false">E89*Hipótesis!$D$95/12</f>
        <v>0</v>
      </c>
      <c r="F91" s="100" t="n">
        <f aca="false">F89*Hipótesis!$D$95/12</f>
        <v>0</v>
      </c>
      <c r="G91" s="100" t="n">
        <f aca="false">G89*Hipótesis!$D$95/12</f>
        <v>0</v>
      </c>
      <c r="H91" s="100" t="n">
        <f aca="false">H89*Hipótesis!$D$95/12</f>
        <v>0</v>
      </c>
      <c r="I91" s="100" t="n">
        <f aca="false">I89*Hipótesis!$D$95/12</f>
        <v>0</v>
      </c>
      <c r="J91" s="100" t="n">
        <f aca="false">J89*Hipótesis!$D$95/12</f>
        <v>0</v>
      </c>
      <c r="K91" s="100" t="n">
        <f aca="false">K89*Hipótesis!$D$95/12</f>
        <v>0</v>
      </c>
      <c r="L91" s="100" t="n">
        <f aca="false">L89*Hipótesis!$D$95/12</f>
        <v>0</v>
      </c>
      <c r="M91" s="100" t="n">
        <f aca="false">M89*Hipótesis!$D$95/12</f>
        <v>0</v>
      </c>
      <c r="N91" s="100" t="n">
        <f aca="false">N89*Hipótesis!$D$95/12</f>
        <v>0</v>
      </c>
      <c r="O91" s="100" t="n">
        <f aca="false">O89*Hipótesis!$D$95/12</f>
        <v>0</v>
      </c>
      <c r="P91" s="100" t="n">
        <f aca="false">P89*Hipótesis!$D$95/12</f>
        <v>0</v>
      </c>
      <c r="Q91" s="100" t="n">
        <f aca="false">Q89*Hipótesis!$D$95/12</f>
        <v>0</v>
      </c>
      <c r="R91" s="100" t="n">
        <f aca="false">R89*Hipótesis!$D$95/12</f>
        <v>0</v>
      </c>
      <c r="S91" s="100" t="n">
        <f aca="false">S89*Hipótesis!$D$95/12</f>
        <v>0</v>
      </c>
      <c r="T91" s="100" t="n">
        <f aca="false">T89*Hipótesis!$D$95/12</f>
        <v>0</v>
      </c>
      <c r="U91" s="100" t="n">
        <f aca="false">U89*Hipótesis!$D$95/12</f>
        <v>0</v>
      </c>
      <c r="V91" s="100" t="n">
        <f aca="false">V89*Hipótesis!$D$95/12</f>
        <v>0</v>
      </c>
      <c r="W91" s="100" t="n">
        <f aca="false">W89*Hipótesis!$D$95/12</f>
        <v>0</v>
      </c>
      <c r="X91" s="100" t="n">
        <f aca="false">X89*Hipótesis!$D$95/12</f>
        <v>0</v>
      </c>
      <c r="Y91" s="100" t="n">
        <f aca="false">Y89*Hipótesis!$D$95/12</f>
        <v>0</v>
      </c>
      <c r="Z91" s="100" t="n">
        <f aca="false">Z89*Hipótesis!$D$95/12</f>
        <v>0</v>
      </c>
      <c r="AA91" s="100" t="n">
        <f aca="false">AA89*Hipótesis!$D$95/12</f>
        <v>0</v>
      </c>
      <c r="AB91" s="100" t="n">
        <f aca="false">AB89*Hipótesis!$D$95/12</f>
        <v>0</v>
      </c>
      <c r="AC91" s="100" t="n">
        <f aca="false">AC89*Hipótesis!$D$95/12</f>
        <v>0</v>
      </c>
      <c r="AD91" s="100" t="n">
        <f aca="false">AD89*Hipótesis!$D$95/12</f>
        <v>0</v>
      </c>
      <c r="AE91" s="100" t="n">
        <f aca="false">AE89*Hipótesis!$D$95/12</f>
        <v>0</v>
      </c>
      <c r="AF91" s="100" t="n">
        <f aca="false">AF89*Hipótesis!$D$95/12</f>
        <v>0</v>
      </c>
      <c r="AG91" s="100" t="n">
        <f aca="false">AG89*Hipótesis!$D$95/12</f>
        <v>0</v>
      </c>
      <c r="AH91" s="100" t="n">
        <f aca="false">AH89*Hipótesis!$D$95/12</f>
        <v>0</v>
      </c>
      <c r="AI91" s="100" t="n">
        <f aca="false">AI89*Hipótesis!$D$95/12</f>
        <v>0</v>
      </c>
      <c r="AJ91" s="100" t="n">
        <f aca="false">AJ89*Hipótesis!$D$95/12</f>
        <v>0</v>
      </c>
      <c r="AK91" s="100" t="n">
        <f aca="false">AK89*Hipótesis!$D$95/12</f>
        <v>0</v>
      </c>
      <c r="AL91" s="100" t="n">
        <f aca="false">AL89*Hipótesis!$D$95/12</f>
        <v>0</v>
      </c>
      <c r="AM91" s="100" t="n">
        <f aca="false">AM89*Hipótesis!$D$95/12</f>
        <v>0</v>
      </c>
      <c r="AN91" s="100" t="n">
        <f aca="false">AN89*Hipótesis!$D$95/12</f>
        <v>0</v>
      </c>
      <c r="AO91" s="100" t="n">
        <f aca="false">AO89*Hipótesis!$D$95/12</f>
        <v>0</v>
      </c>
      <c r="AP91" s="100" t="n">
        <f aca="false">AP89*Hipótesis!$D$95/12</f>
        <v>0</v>
      </c>
      <c r="AQ91" s="100" t="n">
        <f aca="false">AQ89*Hipótesis!$D$95/12</f>
        <v>0</v>
      </c>
      <c r="AR91" s="100" t="n">
        <f aca="false">AR89*Hipótesis!$D$95/12</f>
        <v>0</v>
      </c>
      <c r="AS91" s="100" t="n">
        <f aca="false">AS89*Hipótesis!$D$95/12</f>
        <v>0</v>
      </c>
      <c r="AT91" s="100" t="n">
        <f aca="false">AT89*Hipótesis!$D$95/12</f>
        <v>0</v>
      </c>
      <c r="AU91" s="100" t="n">
        <f aca="false">AU89*Hipótesis!$D$95/12</f>
        <v>0</v>
      </c>
      <c r="AV91" s="100" t="n">
        <f aca="false">AV89*Hipótesis!$D$95/12</f>
        <v>0</v>
      </c>
      <c r="AW91" s="100" t="n">
        <f aca="false">AW89*Hipótesis!$D$95/12</f>
        <v>0</v>
      </c>
      <c r="AX91" s="100" t="n">
        <f aca="false">AX89*Hipótesis!$D$95/12</f>
        <v>0</v>
      </c>
      <c r="AY91" s="100" t="n">
        <f aca="false">AY89*Hipótesis!$D$95/12</f>
        <v>0</v>
      </c>
      <c r="AZ91" s="100" t="n">
        <f aca="false">AZ89*Hipótesis!$D$95/12</f>
        <v>0</v>
      </c>
      <c r="BA91" s="100" t="n">
        <f aca="false">BA89*Hipótesis!$D$95/12</f>
        <v>0</v>
      </c>
      <c r="BB91" s="100" t="n">
        <f aca="false">BB89*Hipótesis!$D$95/12</f>
        <v>0</v>
      </c>
      <c r="BC91" s="100" t="n">
        <f aca="false">BC89*Hipótesis!$D$95/12</f>
        <v>0</v>
      </c>
      <c r="BD91" s="100" t="n">
        <f aca="false">BD89*Hipótesis!$D$95/12</f>
        <v>0</v>
      </c>
      <c r="BE91" s="100" t="n">
        <f aca="false">BE89*Hipótesis!$D$95/12</f>
        <v>0</v>
      </c>
      <c r="BF91" s="100" t="n">
        <f aca="false">BF89*Hipótesis!$D$95/12</f>
        <v>0</v>
      </c>
      <c r="BG91" s="100" t="n">
        <f aca="false">BG89*Hipótesis!$D$95/12</f>
        <v>0</v>
      </c>
      <c r="BH91" s="100" t="n">
        <f aca="false">BH89*Hipótesis!$D$95/12</f>
        <v>0</v>
      </c>
      <c r="BI91" s="100" t="n">
        <f aca="false">BI89*Hipótesis!$D$95/12</f>
        <v>0</v>
      </c>
      <c r="BJ91" s="100" t="n">
        <f aca="false">BJ89*Hipótesis!$D$95/12</f>
        <v>0</v>
      </c>
      <c r="BK91" s="100" t="n">
        <f aca="false">BK89*Hipótesis!$D$95/12</f>
        <v>0</v>
      </c>
      <c r="BL91" s="100" t="n">
        <f aca="false">BL89*Hipótesis!$D$95/12</f>
        <v>0</v>
      </c>
      <c r="BM91" s="100" t="n">
        <f aca="false">BM89*Hipótesis!$D$95/12</f>
        <v>0</v>
      </c>
      <c r="BN91" s="100" t="n">
        <f aca="false">BN89*Hipótesis!$D$95/12</f>
        <v>0</v>
      </c>
      <c r="BO91" s="100" t="n">
        <f aca="false">BO89*Hipótesis!$D$95/12</f>
        <v>0</v>
      </c>
      <c r="BP91" s="100" t="n">
        <f aca="false">BP89*Hipótesis!$D$95/12</f>
        <v>0</v>
      </c>
      <c r="BQ91" s="100" t="n">
        <f aca="false">BQ89*Hipótesis!$D$95/12</f>
        <v>0</v>
      </c>
      <c r="BR91" s="100" t="n">
        <f aca="false">BR89*Hipótesis!$D$95/12</f>
        <v>0</v>
      </c>
      <c r="BS91" s="100" t="n">
        <f aca="false">BS89*Hipótesis!$D$95/12</f>
        <v>0</v>
      </c>
      <c r="BT91" s="100" t="n">
        <f aca="false">BT89*Hipótesis!$D$95/12</f>
        <v>0</v>
      </c>
      <c r="BU91" s="100" t="n">
        <f aca="false">BU89*Hipótesis!$D$95/12</f>
        <v>0</v>
      </c>
      <c r="BV91" s="100" t="n">
        <f aca="false">BV89*Hipótesis!$D$95/12</f>
        <v>0</v>
      </c>
      <c r="BW91" s="100" t="n">
        <f aca="false">BW89*Hipótesis!$D$95/12</f>
        <v>0</v>
      </c>
      <c r="BX91" s="100" t="n">
        <f aca="false">BX89*Hipótesis!$D$95/12</f>
        <v>0</v>
      </c>
      <c r="BY91" s="100" t="n">
        <f aca="false">BY89*Hipótesis!$D$95/12</f>
        <v>0</v>
      </c>
      <c r="BZ91" s="100" t="n">
        <f aca="false">BZ89*Hipótesis!$D$95/12</f>
        <v>0</v>
      </c>
      <c r="CA91" s="100" t="n">
        <f aca="false">CA89*Hipótesis!$D$95/12</f>
        <v>0</v>
      </c>
      <c r="CB91" s="100" t="n">
        <f aca="false">CB89*Hipótesis!$D$95/12</f>
        <v>0</v>
      </c>
      <c r="CC91" s="100" t="n">
        <f aca="false">CC89*Hipótesis!$D$95/12</f>
        <v>0</v>
      </c>
      <c r="CD91" s="100" t="n">
        <f aca="false">CD89*Hipótesis!$D$95/12</f>
        <v>0</v>
      </c>
      <c r="CE91" s="100" t="n">
        <f aca="false">CE89*Hipótesis!$D$95/12</f>
        <v>0</v>
      </c>
      <c r="CF91" s="100" t="n">
        <f aca="false">CF89*Hipótesis!$D$95/12</f>
        <v>0</v>
      </c>
      <c r="CG91" s="100" t="n">
        <f aca="false">CG89*Hipótesis!$D$95/12</f>
        <v>0</v>
      </c>
      <c r="CH91" s="100" t="n">
        <f aca="false">CH89*Hipótesis!$D$95/12</f>
        <v>0</v>
      </c>
    </row>
    <row r="92" customFormat="false" ht="13.5" hidden="false" customHeight="true" outlineLevel="0" collapsed="false">
      <c r="A92" s="6" t="s">
        <v>565</v>
      </c>
      <c r="C92" s="100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00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00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00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00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00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00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00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00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00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00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00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00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00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00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00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00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00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00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00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00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00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00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00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00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00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00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00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00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00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00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00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00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00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00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00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00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00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00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00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00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00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00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00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00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00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00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00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00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00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00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00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00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00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00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00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00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00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00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00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00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00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00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00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00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00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00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00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00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00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00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00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00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00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00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00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00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00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00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00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00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00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00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00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6" t="s">
        <v>566</v>
      </c>
      <c r="C93" s="100" t="n">
        <f aca="false">IF(Hipótesis!$D$94&lt;=2,C92,MIN(C92,MAX(0,Hipótesis!$D$101*Hipótesis!$D$93-0)))</f>
        <v>0</v>
      </c>
      <c r="D93" s="100" t="n">
        <f aca="false">IF(Hipótesis!$D$94&lt;=2,D92,MIN(D92,MAX(0,Hipótesis!$D$101*Hipótesis!$D$93-C94)))</f>
        <v>0</v>
      </c>
      <c r="E93" s="100" t="n">
        <f aca="false">IF(Hipótesis!$D$94&lt;=2,E92,MIN(E92,MAX(0,Hipótesis!$D$101*Hipótesis!$D$93-D94)))</f>
        <v>0</v>
      </c>
      <c r="F93" s="100" t="n">
        <f aca="false">IF(Hipótesis!$D$94&lt;=2,F92,MIN(F92,MAX(0,Hipótesis!$D$101*Hipótesis!$D$93-E94)))</f>
        <v>0</v>
      </c>
      <c r="G93" s="100" t="n">
        <f aca="false">IF(Hipótesis!$D$94&lt;=2,G92,MIN(G92,MAX(0,Hipótesis!$D$101*Hipótesis!$D$93-F94)))</f>
        <v>0</v>
      </c>
      <c r="H93" s="100" t="n">
        <f aca="false">IF(Hipótesis!$D$94&lt;=2,H92,MIN(H92,MAX(0,Hipótesis!$D$101*Hipótesis!$D$93-G94)))</f>
        <v>0</v>
      </c>
      <c r="I93" s="100" t="n">
        <f aca="false">IF(Hipótesis!$D$94&lt;=2,I92,MIN(I92,MAX(0,Hipótesis!$D$101*Hipótesis!$D$93-H94)))</f>
        <v>0</v>
      </c>
      <c r="J93" s="100" t="n">
        <f aca="false">IF(Hipótesis!$D$94&lt;=2,J92,MIN(J92,MAX(0,Hipótesis!$D$101*Hipótesis!$D$93-I94)))</f>
        <v>0</v>
      </c>
      <c r="K93" s="100" t="n">
        <f aca="false">IF(Hipótesis!$D$94&lt;=2,K92,MIN(K92,MAX(0,Hipótesis!$D$101*Hipótesis!$D$93-J94)))</f>
        <v>0</v>
      </c>
      <c r="L93" s="100" t="n">
        <f aca="false">IF(Hipótesis!$D$94&lt;=2,L92,MIN(L92,MAX(0,Hipótesis!$D$101*Hipótesis!$D$93-K94)))</f>
        <v>0</v>
      </c>
      <c r="M93" s="100" t="n">
        <f aca="false">IF(Hipótesis!$D$94&lt;=2,M92,MIN(M92,MAX(0,Hipótesis!$D$101*Hipótesis!$D$93-L94)))</f>
        <v>0</v>
      </c>
      <c r="N93" s="100" t="n">
        <f aca="false">IF(Hipótesis!$D$94&lt;=2,N92,MIN(N92,MAX(0,Hipótesis!$D$101*Hipótesis!$D$93-M94)))</f>
        <v>0</v>
      </c>
      <c r="O93" s="100" t="n">
        <f aca="false">IF(Hipótesis!$D$94&lt;=2,O92,MIN(O92,MAX(0,Hipótesis!$D$101*Hipótesis!$D$93-N94)))</f>
        <v>0</v>
      </c>
      <c r="P93" s="100" t="n">
        <f aca="false">IF(Hipótesis!$D$94&lt;=2,P92,MIN(P92,MAX(0,Hipótesis!$D$101*Hipótesis!$D$93-O94)))</f>
        <v>0</v>
      </c>
      <c r="Q93" s="100" t="n">
        <f aca="false">IF(Hipótesis!$D$94&lt;=2,Q92,MIN(Q92,MAX(0,Hipótesis!$D$101*Hipótesis!$D$93-P94)))</f>
        <v>0</v>
      </c>
      <c r="R93" s="100" t="n">
        <f aca="false">IF(Hipótesis!$D$94&lt;=2,R92,MIN(R92,MAX(0,Hipótesis!$D$101*Hipótesis!$D$93-Q94)))</f>
        <v>0</v>
      </c>
      <c r="S93" s="100" t="n">
        <f aca="false">IF(Hipótesis!$D$94&lt;=2,S92,MIN(S92,MAX(0,Hipótesis!$D$101*Hipótesis!$D$93-R94)))</f>
        <v>0</v>
      </c>
      <c r="T93" s="100" t="n">
        <f aca="false">IF(Hipótesis!$D$94&lt;=2,T92,MIN(T92,MAX(0,Hipótesis!$D$101*Hipótesis!$D$93-S94)))</f>
        <v>0</v>
      </c>
      <c r="U93" s="100" t="n">
        <f aca="false">IF(Hipótesis!$D$94&lt;=2,U92,MIN(U92,MAX(0,Hipótesis!$D$101*Hipótesis!$D$93-T94)))</f>
        <v>0</v>
      </c>
      <c r="V93" s="100" t="n">
        <f aca="false">IF(Hipótesis!$D$94&lt;=2,V92,MIN(V92,MAX(0,Hipótesis!$D$101*Hipótesis!$D$93-U94)))</f>
        <v>0</v>
      </c>
      <c r="W93" s="100" t="n">
        <f aca="false">IF(Hipótesis!$D$94&lt;=2,W92,MIN(W92,MAX(0,Hipótesis!$D$101*Hipótesis!$D$93-V94)))</f>
        <v>0</v>
      </c>
      <c r="X93" s="100" t="n">
        <f aca="false">IF(Hipótesis!$D$94&lt;=2,X92,MIN(X92,MAX(0,Hipótesis!$D$101*Hipótesis!$D$93-W94)))</f>
        <v>0</v>
      </c>
      <c r="Y93" s="100" t="n">
        <f aca="false">IF(Hipótesis!$D$94&lt;=2,Y92,MIN(Y92,MAX(0,Hipótesis!$D$101*Hipótesis!$D$93-X94)))</f>
        <v>0</v>
      </c>
      <c r="Z93" s="100" t="n">
        <f aca="false">IF(Hipótesis!$D$94&lt;=2,Z92,MIN(Z92,MAX(0,Hipótesis!$D$101*Hipótesis!$D$93-Y94)))</f>
        <v>0</v>
      </c>
      <c r="AA93" s="100" t="n">
        <f aca="false">IF(Hipótesis!$D$94&lt;=2,AA92,MIN(AA92,MAX(0,Hipótesis!$D$101*Hipótesis!$D$93-Z94)))</f>
        <v>0</v>
      </c>
      <c r="AB93" s="100" t="n">
        <f aca="false">IF(Hipótesis!$D$94&lt;=2,AB92,MIN(AB92,MAX(0,Hipótesis!$D$101*Hipótesis!$D$93-AA94)))</f>
        <v>0</v>
      </c>
      <c r="AC93" s="100" t="n">
        <f aca="false">IF(Hipótesis!$D$94&lt;=2,AC92,MIN(AC92,MAX(0,Hipótesis!$D$101*Hipótesis!$D$93-AB94)))</f>
        <v>0</v>
      </c>
      <c r="AD93" s="100" t="n">
        <f aca="false">IF(Hipótesis!$D$94&lt;=2,AD92,MIN(AD92,MAX(0,Hipótesis!$D$101*Hipótesis!$D$93-AC94)))</f>
        <v>0</v>
      </c>
      <c r="AE93" s="100" t="n">
        <f aca="false">IF(Hipótesis!$D$94&lt;=2,AE92,MIN(AE92,MAX(0,Hipótesis!$D$101*Hipótesis!$D$93-AD94)))</f>
        <v>0</v>
      </c>
      <c r="AF93" s="100" t="n">
        <f aca="false">IF(Hipótesis!$D$94&lt;=2,AF92,MIN(AF92,MAX(0,Hipótesis!$D$101*Hipótesis!$D$93-AE94)))</f>
        <v>0</v>
      </c>
      <c r="AG93" s="100" t="n">
        <f aca="false">IF(Hipótesis!$D$94&lt;=2,AG92,MIN(AG92,MAX(0,Hipótesis!$D$101*Hipótesis!$D$93-AF94)))</f>
        <v>0</v>
      </c>
      <c r="AH93" s="100" t="n">
        <f aca="false">IF(Hipótesis!$D$94&lt;=2,AH92,MIN(AH92,MAX(0,Hipótesis!$D$101*Hipótesis!$D$93-AG94)))</f>
        <v>0</v>
      </c>
      <c r="AI93" s="100" t="n">
        <f aca="false">IF(Hipótesis!$D$94&lt;=2,AI92,MIN(AI92,MAX(0,Hipótesis!$D$101*Hipótesis!$D$93-AH94)))</f>
        <v>0</v>
      </c>
      <c r="AJ93" s="100" t="n">
        <f aca="false">IF(Hipótesis!$D$94&lt;=2,AJ92,MIN(AJ92,MAX(0,Hipótesis!$D$101*Hipótesis!$D$93-AI94)))</f>
        <v>0</v>
      </c>
      <c r="AK93" s="100" t="n">
        <f aca="false">IF(Hipótesis!$D$94&lt;=2,AK92,MIN(AK92,MAX(0,Hipótesis!$D$101*Hipótesis!$D$93-AJ94)))</f>
        <v>0</v>
      </c>
      <c r="AL93" s="100" t="n">
        <f aca="false">IF(Hipótesis!$D$94&lt;=2,AL92,MIN(AL92,MAX(0,Hipótesis!$D$101*Hipótesis!$D$93-AK94)))</f>
        <v>0</v>
      </c>
      <c r="AM93" s="100" t="n">
        <f aca="false">IF(Hipótesis!$D$94&lt;=2,AM92,MIN(AM92,MAX(0,Hipótesis!$D$101*Hipótesis!$D$93-AL94)))</f>
        <v>0</v>
      </c>
      <c r="AN93" s="100" t="n">
        <f aca="false">IF(Hipótesis!$D$94&lt;=2,AN92,MIN(AN92,MAX(0,Hipótesis!$D$101*Hipótesis!$D$93-AM94)))</f>
        <v>0</v>
      </c>
      <c r="AO93" s="100" t="n">
        <f aca="false">IF(Hipótesis!$D$94&lt;=2,AO92,MIN(AO92,MAX(0,Hipótesis!$D$101*Hipótesis!$D$93-AN94)))</f>
        <v>0</v>
      </c>
      <c r="AP93" s="100" t="n">
        <f aca="false">IF(Hipótesis!$D$94&lt;=2,AP92,MIN(AP92,MAX(0,Hipótesis!$D$101*Hipótesis!$D$93-AO94)))</f>
        <v>0</v>
      </c>
      <c r="AQ93" s="100" t="n">
        <f aca="false">IF(Hipótesis!$D$94&lt;=2,AQ92,MIN(AQ92,MAX(0,Hipótesis!$D$101*Hipótesis!$D$93-AP94)))</f>
        <v>0</v>
      </c>
      <c r="AR93" s="100" t="n">
        <f aca="false">IF(Hipótesis!$D$94&lt;=2,AR92,MIN(AR92,MAX(0,Hipótesis!$D$101*Hipótesis!$D$93-AQ94)))</f>
        <v>0</v>
      </c>
      <c r="AS93" s="100" t="n">
        <f aca="false">IF(Hipótesis!$D$94&lt;=2,AS92,MIN(AS92,MAX(0,Hipótesis!$D$101*Hipótesis!$D$93-AR94)))</f>
        <v>0</v>
      </c>
      <c r="AT93" s="100" t="n">
        <f aca="false">IF(Hipótesis!$D$94&lt;=2,AT92,MIN(AT92,MAX(0,Hipótesis!$D$101*Hipótesis!$D$93-AS94)))</f>
        <v>0</v>
      </c>
      <c r="AU93" s="100" t="n">
        <f aca="false">IF(Hipótesis!$D$94&lt;=2,AU92,MIN(AU92,MAX(0,Hipótesis!$D$101*Hipótesis!$D$93-AT94)))</f>
        <v>0</v>
      </c>
      <c r="AV93" s="100" t="n">
        <f aca="false">IF(Hipótesis!$D$94&lt;=2,AV92,MIN(AV92,MAX(0,Hipótesis!$D$101*Hipótesis!$D$93-AU94)))</f>
        <v>0</v>
      </c>
      <c r="AW93" s="100" t="n">
        <f aca="false">IF(Hipótesis!$D$94&lt;=2,AW92,MIN(AW92,MAX(0,Hipótesis!$D$101*Hipótesis!$D$93-AV94)))</f>
        <v>0</v>
      </c>
      <c r="AX93" s="100" t="n">
        <f aca="false">IF(Hipótesis!$D$94&lt;=2,AX92,MIN(AX92,MAX(0,Hipótesis!$D$101*Hipótesis!$D$93-AW94)))</f>
        <v>0</v>
      </c>
      <c r="AY93" s="100" t="n">
        <f aca="false">IF(Hipótesis!$D$94&lt;=2,AY92,MIN(AY92,MAX(0,Hipótesis!$D$101*Hipótesis!$D$93-AX94)))</f>
        <v>0</v>
      </c>
      <c r="AZ93" s="100" t="n">
        <f aca="false">IF(Hipótesis!$D$94&lt;=2,AZ92,MIN(AZ92,MAX(0,Hipótesis!$D$101*Hipótesis!$D$93-AY94)))</f>
        <v>0</v>
      </c>
      <c r="BA93" s="100" t="n">
        <f aca="false">IF(Hipótesis!$D$94&lt;=2,BA92,MIN(BA92,MAX(0,Hipótesis!$D$101*Hipótesis!$D$93-AZ94)))</f>
        <v>0</v>
      </c>
      <c r="BB93" s="100" t="n">
        <f aca="false">IF(Hipótesis!$D$94&lt;=2,BB92,MIN(BB92,MAX(0,Hipótesis!$D$101*Hipótesis!$D$93-BA94)))</f>
        <v>0</v>
      </c>
      <c r="BC93" s="100" t="n">
        <f aca="false">IF(Hipótesis!$D$94&lt;=2,BC92,MIN(BC92,MAX(0,Hipótesis!$D$101*Hipótesis!$D$93-BB94)))</f>
        <v>0</v>
      </c>
      <c r="BD93" s="100" t="n">
        <f aca="false">IF(Hipótesis!$D$94&lt;=2,BD92,MIN(BD92,MAX(0,Hipótesis!$D$101*Hipótesis!$D$93-BC94)))</f>
        <v>0</v>
      </c>
      <c r="BE93" s="100" t="n">
        <f aca="false">IF(Hipótesis!$D$94&lt;=2,BE92,MIN(BE92,MAX(0,Hipótesis!$D$101*Hipótesis!$D$93-BD94)))</f>
        <v>0</v>
      </c>
      <c r="BF93" s="100" t="n">
        <f aca="false">IF(Hipótesis!$D$94&lt;=2,BF92,MIN(BF92,MAX(0,Hipótesis!$D$101*Hipótesis!$D$93-BE94)))</f>
        <v>0</v>
      </c>
      <c r="BG93" s="100" t="n">
        <f aca="false">IF(Hipótesis!$D$94&lt;=2,BG92,MIN(BG92,MAX(0,Hipótesis!$D$101*Hipótesis!$D$93-BF94)))</f>
        <v>0</v>
      </c>
      <c r="BH93" s="100" t="n">
        <f aca="false">IF(Hipótesis!$D$94&lt;=2,BH92,MIN(BH92,MAX(0,Hipótesis!$D$101*Hipótesis!$D$93-BG94)))</f>
        <v>0</v>
      </c>
      <c r="BI93" s="100" t="n">
        <f aca="false">IF(Hipótesis!$D$94&lt;=2,BI92,MIN(BI92,MAX(0,Hipótesis!$D$101*Hipótesis!$D$93-BH94)))</f>
        <v>0</v>
      </c>
      <c r="BJ93" s="100" t="n">
        <f aca="false">IF(Hipótesis!$D$94&lt;=2,BJ92,MIN(BJ92,MAX(0,Hipótesis!$D$101*Hipótesis!$D$93-BI94)))</f>
        <v>0</v>
      </c>
      <c r="BK93" s="100" t="n">
        <f aca="false">IF(Hipótesis!$D$94&lt;=2,BK92,MIN(BK92,MAX(0,Hipótesis!$D$101*Hipótesis!$D$93-BJ94)))</f>
        <v>0</v>
      </c>
      <c r="BL93" s="100" t="n">
        <f aca="false">IF(Hipótesis!$D$94&lt;=2,BL92,MIN(BL92,MAX(0,Hipótesis!$D$101*Hipótesis!$D$93-BK94)))</f>
        <v>0</v>
      </c>
      <c r="BM93" s="100" t="n">
        <f aca="false">IF(Hipótesis!$D$94&lt;=2,BM92,MIN(BM92,MAX(0,Hipótesis!$D$101*Hipótesis!$D$93-BL94)))</f>
        <v>0</v>
      </c>
      <c r="BN93" s="100" t="n">
        <f aca="false">IF(Hipótesis!$D$94&lt;=2,BN92,MIN(BN92,MAX(0,Hipótesis!$D$101*Hipótesis!$D$93-BM94)))</f>
        <v>0</v>
      </c>
      <c r="BO93" s="100" t="n">
        <f aca="false">IF(Hipótesis!$D$94&lt;=2,BO92,MIN(BO92,MAX(0,Hipótesis!$D$101*Hipótesis!$D$93-BN94)))</f>
        <v>0</v>
      </c>
      <c r="BP93" s="100" t="n">
        <f aca="false">IF(Hipótesis!$D$94&lt;=2,BP92,MIN(BP92,MAX(0,Hipótesis!$D$101*Hipótesis!$D$93-BO94)))</f>
        <v>0</v>
      </c>
      <c r="BQ93" s="100" t="n">
        <f aca="false">IF(Hipótesis!$D$94&lt;=2,BQ92,MIN(BQ92,MAX(0,Hipótesis!$D$101*Hipótesis!$D$93-BP94)))</f>
        <v>0</v>
      </c>
      <c r="BR93" s="100" t="n">
        <f aca="false">IF(Hipótesis!$D$94&lt;=2,BR92,MIN(BR92,MAX(0,Hipótesis!$D$101*Hipótesis!$D$93-BQ94)))</f>
        <v>0</v>
      </c>
      <c r="BS93" s="100" t="n">
        <f aca="false">IF(Hipótesis!$D$94&lt;=2,BS92,MIN(BS92,MAX(0,Hipótesis!$D$101*Hipótesis!$D$93-BR94)))</f>
        <v>0</v>
      </c>
      <c r="BT93" s="100" t="n">
        <f aca="false">IF(Hipótesis!$D$94&lt;=2,BT92,MIN(BT92,MAX(0,Hipótesis!$D$101*Hipótesis!$D$93-BS94)))</f>
        <v>0</v>
      </c>
      <c r="BU93" s="100" t="n">
        <f aca="false">IF(Hipótesis!$D$94&lt;=2,BU92,MIN(BU92,MAX(0,Hipótesis!$D$101*Hipótesis!$D$93-BT94)))</f>
        <v>0</v>
      </c>
      <c r="BV93" s="100" t="n">
        <f aca="false">IF(Hipótesis!$D$94&lt;=2,BV92,MIN(BV92,MAX(0,Hipótesis!$D$101*Hipótesis!$D$93-BU94)))</f>
        <v>0</v>
      </c>
      <c r="BW93" s="100" t="n">
        <f aca="false">IF(Hipótesis!$D$94&lt;=2,BW92,MIN(BW92,MAX(0,Hipótesis!$D$101*Hipótesis!$D$93-BV94)))</f>
        <v>0</v>
      </c>
      <c r="BX93" s="100" t="n">
        <f aca="false">IF(Hipótesis!$D$94&lt;=2,BX92,MIN(BX92,MAX(0,Hipótesis!$D$101*Hipótesis!$D$93-BW94)))</f>
        <v>0</v>
      </c>
      <c r="BY93" s="100" t="n">
        <f aca="false">IF(Hipótesis!$D$94&lt;=2,BY92,MIN(BY92,MAX(0,Hipótesis!$D$101*Hipótesis!$D$93-BX94)))</f>
        <v>0</v>
      </c>
      <c r="BZ93" s="100" t="n">
        <f aca="false">IF(Hipótesis!$D$94&lt;=2,BZ92,MIN(BZ92,MAX(0,Hipótesis!$D$101*Hipótesis!$D$93-BY94)))</f>
        <v>0</v>
      </c>
      <c r="CA93" s="100" t="n">
        <f aca="false">IF(Hipótesis!$D$94&lt;=2,CA92,MIN(CA92,MAX(0,Hipótesis!$D$101*Hipótesis!$D$93-BZ94)))</f>
        <v>0</v>
      </c>
      <c r="CB93" s="100" t="n">
        <f aca="false">IF(Hipótesis!$D$94&lt;=2,CB92,MIN(CB92,MAX(0,Hipótesis!$D$101*Hipótesis!$D$93-CA94)))</f>
        <v>0</v>
      </c>
      <c r="CC93" s="100" t="n">
        <f aca="false">IF(Hipótesis!$D$94&lt;=2,CC92,MIN(CC92,MAX(0,Hipótesis!$D$101*Hipótesis!$D$93-CB94)))</f>
        <v>0</v>
      </c>
      <c r="CD93" s="100" t="n">
        <f aca="false">IF(Hipótesis!$D$94&lt;=2,CD92,MIN(CD92,MAX(0,Hipótesis!$D$101*Hipótesis!$D$93-CC94)))</f>
        <v>0</v>
      </c>
      <c r="CE93" s="100" t="n">
        <f aca="false">IF(Hipótesis!$D$94&lt;=2,CE92,MIN(CE92,MAX(0,Hipótesis!$D$101*Hipótesis!$D$93-CD94)))</f>
        <v>0</v>
      </c>
      <c r="CF93" s="100" t="n">
        <f aca="false">IF(Hipótesis!$D$94&lt;=2,CF92,MIN(CF92,MAX(0,Hipótesis!$D$101*Hipótesis!$D$93-CE94)))</f>
        <v>0</v>
      </c>
      <c r="CG93" s="100" t="n">
        <f aca="false">IF(Hipótesis!$D$94&lt;=2,CG92,MIN(CG92,MAX(0,Hipótesis!$D$101*Hipótesis!$D$93-CF94)))</f>
        <v>0</v>
      </c>
      <c r="CH93" s="100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6" t="s">
        <v>567</v>
      </c>
      <c r="C94" s="100" t="n">
        <f aca="false">C121</f>
        <v>0</v>
      </c>
      <c r="D94" s="100" t="n">
        <f aca="false">C94+D121</f>
        <v>0</v>
      </c>
      <c r="E94" s="100" t="n">
        <f aca="false">D94+E121</f>
        <v>0</v>
      </c>
      <c r="F94" s="100" t="n">
        <f aca="false">E94+F121</f>
        <v>0</v>
      </c>
      <c r="G94" s="100" t="n">
        <f aca="false">F94+G121</f>
        <v>0</v>
      </c>
      <c r="H94" s="100" t="n">
        <f aca="false">G94+H121</f>
        <v>0</v>
      </c>
      <c r="I94" s="100" t="n">
        <f aca="false">H94+I121</f>
        <v>0</v>
      </c>
      <c r="J94" s="100" t="n">
        <f aca="false">I94+J121</f>
        <v>0</v>
      </c>
      <c r="K94" s="100" t="n">
        <f aca="false">J94+K121</f>
        <v>0</v>
      </c>
      <c r="L94" s="100" t="n">
        <f aca="false">K94+L121</f>
        <v>0</v>
      </c>
      <c r="M94" s="100" t="n">
        <f aca="false">L94+M121</f>
        <v>0</v>
      </c>
      <c r="N94" s="100" t="n">
        <f aca="false">M94+N121</f>
        <v>0</v>
      </c>
      <c r="O94" s="100" t="n">
        <f aca="false">N94+O121</f>
        <v>0</v>
      </c>
      <c r="P94" s="100" t="n">
        <f aca="false">O94+P121</f>
        <v>0</v>
      </c>
      <c r="Q94" s="100" t="n">
        <f aca="false">P94+Q121</f>
        <v>0</v>
      </c>
      <c r="R94" s="100" t="n">
        <f aca="false">Q94+R121</f>
        <v>0</v>
      </c>
      <c r="S94" s="100" t="n">
        <f aca="false">R94+S121</f>
        <v>0</v>
      </c>
      <c r="T94" s="100" t="n">
        <f aca="false">S94+T121</f>
        <v>0</v>
      </c>
      <c r="U94" s="100" t="n">
        <f aca="false">T94+U121</f>
        <v>0</v>
      </c>
      <c r="V94" s="100" t="n">
        <f aca="false">U94+V121</f>
        <v>0</v>
      </c>
      <c r="W94" s="100" t="n">
        <f aca="false">V94+W121</f>
        <v>0</v>
      </c>
      <c r="X94" s="100" t="n">
        <f aca="false">W94+X121</f>
        <v>0</v>
      </c>
      <c r="Y94" s="100" t="n">
        <f aca="false">X94+Y121</f>
        <v>0</v>
      </c>
      <c r="Z94" s="100" t="n">
        <f aca="false">Y94+Z121</f>
        <v>0</v>
      </c>
      <c r="AA94" s="100" t="n">
        <f aca="false">Z94+AA121</f>
        <v>0</v>
      </c>
      <c r="AB94" s="100" t="n">
        <f aca="false">AA94+AB121</f>
        <v>0</v>
      </c>
      <c r="AC94" s="100" t="n">
        <f aca="false">AB94+AC121</f>
        <v>0</v>
      </c>
      <c r="AD94" s="100" t="n">
        <f aca="false">AC94+AD121</f>
        <v>0</v>
      </c>
      <c r="AE94" s="100" t="n">
        <f aca="false">AD94+AE121</f>
        <v>0</v>
      </c>
      <c r="AF94" s="100" t="n">
        <f aca="false">AE94+AF121</f>
        <v>0</v>
      </c>
      <c r="AG94" s="100" t="n">
        <f aca="false">AF94+AG121</f>
        <v>0</v>
      </c>
      <c r="AH94" s="100" t="n">
        <f aca="false">AG94+AH121</f>
        <v>0</v>
      </c>
      <c r="AI94" s="100" t="n">
        <f aca="false">AH94+AI121</f>
        <v>0</v>
      </c>
      <c r="AJ94" s="100" t="n">
        <f aca="false">AI94+AJ121</f>
        <v>0</v>
      </c>
      <c r="AK94" s="100" t="n">
        <f aca="false">AJ94+AK121</f>
        <v>0</v>
      </c>
      <c r="AL94" s="100" t="n">
        <f aca="false">AK94+AL121</f>
        <v>0</v>
      </c>
      <c r="AM94" s="100" t="n">
        <f aca="false">AL94+AM121</f>
        <v>0</v>
      </c>
      <c r="AN94" s="100" t="n">
        <f aca="false">AM94+AN121</f>
        <v>0</v>
      </c>
      <c r="AO94" s="100" t="n">
        <f aca="false">AN94+AO121</f>
        <v>0</v>
      </c>
      <c r="AP94" s="100" t="n">
        <f aca="false">AO94+AP121</f>
        <v>0</v>
      </c>
      <c r="AQ94" s="100" t="n">
        <f aca="false">AP94+AQ121</f>
        <v>0</v>
      </c>
      <c r="AR94" s="100" t="n">
        <f aca="false">AQ94+AR121</f>
        <v>0</v>
      </c>
      <c r="AS94" s="100" t="n">
        <f aca="false">AR94+AS121</f>
        <v>0</v>
      </c>
      <c r="AT94" s="100" t="n">
        <f aca="false">AS94+AT121</f>
        <v>0</v>
      </c>
      <c r="AU94" s="100" t="n">
        <f aca="false">AT94+AU121</f>
        <v>0</v>
      </c>
      <c r="AV94" s="100" t="n">
        <f aca="false">AU94+AV121</f>
        <v>0</v>
      </c>
      <c r="AW94" s="100" t="n">
        <f aca="false">AV94+AW121</f>
        <v>0</v>
      </c>
      <c r="AX94" s="100" t="n">
        <f aca="false">AW94+AX121</f>
        <v>332927.320084782</v>
      </c>
      <c r="AY94" s="100" t="n">
        <f aca="false">AX94+AY121</f>
        <v>332927.320084782</v>
      </c>
      <c r="AZ94" s="100" t="n">
        <f aca="false">AY94+AZ121</f>
        <v>332927.320084782</v>
      </c>
      <c r="BA94" s="100" t="n">
        <f aca="false">AZ94+BA121</f>
        <v>332927.320084782</v>
      </c>
      <c r="BB94" s="100" t="n">
        <f aca="false">BA94+BB121</f>
        <v>332927.320084782</v>
      </c>
      <c r="BC94" s="100" t="n">
        <f aca="false">BB94+BC121</f>
        <v>332927.320084782</v>
      </c>
      <c r="BD94" s="100" t="n">
        <f aca="false">BC94+BD121</f>
        <v>332927.320084782</v>
      </c>
      <c r="BE94" s="100" t="n">
        <f aca="false">BD94+BE121</f>
        <v>332927.320084782</v>
      </c>
      <c r="BF94" s="100" t="n">
        <f aca="false">BE94+BF121</f>
        <v>332927.320084782</v>
      </c>
      <c r="BG94" s="100" t="n">
        <f aca="false">BF94+BG121</f>
        <v>332927.320084782</v>
      </c>
      <c r="BH94" s="100" t="n">
        <f aca="false">BG94+BH121</f>
        <v>332927.320084782</v>
      </c>
      <c r="BI94" s="100" t="n">
        <f aca="false">BH94+BI121</f>
        <v>332927.320084782</v>
      </c>
      <c r="BJ94" s="100" t="n">
        <f aca="false">BI94+BJ121</f>
        <v>332927.320084782</v>
      </c>
      <c r="BK94" s="100" t="n">
        <f aca="false">BJ94+BK121</f>
        <v>332927.320084782</v>
      </c>
      <c r="BL94" s="100" t="n">
        <f aca="false">BK94+BL121</f>
        <v>332927.320084782</v>
      </c>
      <c r="BM94" s="100" t="n">
        <f aca="false">BL94+BM121</f>
        <v>332927.320084782</v>
      </c>
      <c r="BN94" s="100" t="n">
        <f aca="false">BM94+BN121</f>
        <v>332927.320084782</v>
      </c>
      <c r="BO94" s="100" t="n">
        <f aca="false">BN94+BO121</f>
        <v>332927.320084782</v>
      </c>
      <c r="BP94" s="100" t="n">
        <f aca="false">BO94+BP121</f>
        <v>332927.320084782</v>
      </c>
      <c r="BQ94" s="100" t="n">
        <f aca="false">BP94+BQ121</f>
        <v>332927.320084782</v>
      </c>
      <c r="BR94" s="100" t="n">
        <f aca="false">BQ94+BR121</f>
        <v>332927.320084782</v>
      </c>
      <c r="BS94" s="100" t="n">
        <f aca="false">BR94+BS121</f>
        <v>332927.320084782</v>
      </c>
      <c r="BT94" s="100" t="n">
        <f aca="false">BS94+BT121</f>
        <v>332927.320084782</v>
      </c>
      <c r="BU94" s="100" t="n">
        <f aca="false">BT94+BU121</f>
        <v>332927.320084782</v>
      </c>
      <c r="BV94" s="100" t="n">
        <f aca="false">BU94+BV121</f>
        <v>332927.320084782</v>
      </c>
      <c r="BW94" s="100" t="n">
        <f aca="false">BV94+BW121</f>
        <v>332927.320084782</v>
      </c>
      <c r="BX94" s="100" t="n">
        <f aca="false">BW94+BX121</f>
        <v>332927.320084782</v>
      </c>
      <c r="BY94" s="100" t="n">
        <f aca="false">BX94+BY121</f>
        <v>332927.320084782</v>
      </c>
      <c r="BZ94" s="100" t="n">
        <f aca="false">BY94+BZ121</f>
        <v>332927.320084782</v>
      </c>
      <c r="CA94" s="100" t="n">
        <f aca="false">BZ94+CA121</f>
        <v>332927.320084782</v>
      </c>
      <c r="CB94" s="100" t="n">
        <f aca="false">CA94+CB121</f>
        <v>332927.320084782</v>
      </c>
      <c r="CC94" s="100" t="n">
        <f aca="false">CB94+CC121</f>
        <v>332927.320084782</v>
      </c>
      <c r="CD94" s="100" t="n">
        <f aca="false">CC94+CD121</f>
        <v>332927.320084782</v>
      </c>
      <c r="CE94" s="100" t="n">
        <f aca="false">CD94+CE121</f>
        <v>332927.320084782</v>
      </c>
      <c r="CF94" s="100" t="n">
        <f aca="false">CE94+CF121</f>
        <v>332927.320084782</v>
      </c>
      <c r="CG94" s="100" t="n">
        <f aca="false">CF94+CG121</f>
        <v>332927.320084782</v>
      </c>
      <c r="CH94" s="100" t="n">
        <f aca="false">CG94+CH121</f>
        <v>332927.320084782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6" t="s">
        <v>568</v>
      </c>
      <c r="C96" s="100" t="n">
        <f aca="false">Hipótesis!$D$105</f>
        <v>100000</v>
      </c>
      <c r="D96" s="100" t="n">
        <f aca="false">C96-C97</f>
        <v>100000</v>
      </c>
      <c r="E96" s="100" t="n">
        <f aca="false">D96-D97</f>
        <v>100000</v>
      </c>
      <c r="F96" s="100" t="n">
        <f aca="false">E96-E97</f>
        <v>100000</v>
      </c>
      <c r="G96" s="100" t="n">
        <f aca="false">F96-F97</f>
        <v>100000</v>
      </c>
      <c r="H96" s="100" t="n">
        <f aca="false">G96-G97</f>
        <v>100000</v>
      </c>
      <c r="I96" s="100" t="n">
        <f aca="false">H96-H97</f>
        <v>100000</v>
      </c>
      <c r="J96" s="100" t="n">
        <f aca="false">I96-I97</f>
        <v>100000</v>
      </c>
      <c r="K96" s="100" t="n">
        <f aca="false">J96-J97</f>
        <v>100000</v>
      </c>
      <c r="L96" s="100" t="n">
        <f aca="false">K96-K97</f>
        <v>100000</v>
      </c>
      <c r="M96" s="100" t="n">
        <f aca="false">L96-L97</f>
        <v>100000</v>
      </c>
      <c r="N96" s="100" t="n">
        <f aca="false">M96-M97</f>
        <v>100000</v>
      </c>
      <c r="O96" s="100" t="n">
        <f aca="false">N96-N97</f>
        <v>100000</v>
      </c>
      <c r="P96" s="100" t="n">
        <f aca="false">O96-O97</f>
        <v>100000</v>
      </c>
      <c r="Q96" s="100" t="n">
        <f aca="false">P96-P97</f>
        <v>100000</v>
      </c>
      <c r="R96" s="100" t="n">
        <f aca="false">Q96-Q97</f>
        <v>100000</v>
      </c>
      <c r="S96" s="100" t="n">
        <f aca="false">R96-R97</f>
        <v>100000</v>
      </c>
      <c r="T96" s="100" t="n">
        <f aca="false">S96-S97</f>
        <v>100000</v>
      </c>
      <c r="U96" s="100" t="n">
        <f aca="false">T96-T97</f>
        <v>100000</v>
      </c>
      <c r="V96" s="100" t="n">
        <f aca="false">U96-U97</f>
        <v>100000</v>
      </c>
      <c r="W96" s="100" t="n">
        <f aca="false">V96-V97</f>
        <v>100000</v>
      </c>
      <c r="X96" s="100" t="n">
        <f aca="false">W96-W97</f>
        <v>100000</v>
      </c>
      <c r="Y96" s="100" t="n">
        <f aca="false">X96-X97</f>
        <v>100000</v>
      </c>
      <c r="Z96" s="100" t="n">
        <f aca="false">Y96-Y97</f>
        <v>100000</v>
      </c>
      <c r="AA96" s="100" t="n">
        <f aca="false">Z96-Z97</f>
        <v>100000</v>
      </c>
      <c r="AB96" s="100" t="n">
        <f aca="false">AA96-AA97</f>
        <v>98333.3333333333</v>
      </c>
      <c r="AC96" s="100" t="n">
        <f aca="false">AB96-AB97</f>
        <v>96666.6666666667</v>
      </c>
      <c r="AD96" s="100" t="n">
        <f aca="false">AC96-AC97</f>
        <v>95000</v>
      </c>
      <c r="AE96" s="100" t="n">
        <f aca="false">AD96-AD97</f>
        <v>93333.3333333333</v>
      </c>
      <c r="AF96" s="100" t="n">
        <f aca="false">AE96-AE97</f>
        <v>91666.6666666666</v>
      </c>
      <c r="AG96" s="100" t="n">
        <f aca="false">AF96-AF97</f>
        <v>90000</v>
      </c>
      <c r="AH96" s="100" t="n">
        <f aca="false">AG96-AG97</f>
        <v>88333.3333333333</v>
      </c>
      <c r="AI96" s="100" t="n">
        <f aca="false">AH96-AH97</f>
        <v>86666.6666666666</v>
      </c>
      <c r="AJ96" s="100" t="n">
        <f aca="false">AI96-AI97</f>
        <v>85000</v>
      </c>
      <c r="AK96" s="100" t="n">
        <f aca="false">AJ96-AJ97</f>
        <v>83333.3333333333</v>
      </c>
      <c r="AL96" s="100" t="n">
        <f aca="false">AK96-AK97</f>
        <v>81666.6666666666</v>
      </c>
      <c r="AM96" s="100" t="n">
        <f aca="false">AL96-AL97</f>
        <v>79999.9999999999</v>
      </c>
      <c r="AN96" s="100" t="n">
        <f aca="false">AM96-AM97</f>
        <v>78333.3333333333</v>
      </c>
      <c r="AO96" s="100" t="n">
        <f aca="false">AN96-AN97</f>
        <v>76666.6666666666</v>
      </c>
      <c r="AP96" s="100" t="n">
        <f aca="false">AO96-AO97</f>
        <v>74999.9999999999</v>
      </c>
      <c r="AQ96" s="100" t="n">
        <f aca="false">AP96-AP97</f>
        <v>73333.3333333333</v>
      </c>
      <c r="AR96" s="100" t="n">
        <f aca="false">AQ96-AQ97</f>
        <v>71666.6666666666</v>
      </c>
      <c r="AS96" s="100" t="n">
        <f aca="false">AR96-AR97</f>
        <v>69999.9999999999</v>
      </c>
      <c r="AT96" s="100" t="n">
        <f aca="false">AS96-AS97</f>
        <v>68333.3333333332</v>
      </c>
      <c r="AU96" s="100" t="n">
        <f aca="false">AT96-AT97</f>
        <v>66666.6666666666</v>
      </c>
      <c r="AV96" s="100" t="n">
        <f aca="false">AU96-AU97</f>
        <v>64999.9999999999</v>
      </c>
      <c r="AW96" s="100" t="n">
        <f aca="false">AV96-AV97</f>
        <v>63333.3333333332</v>
      </c>
      <c r="AX96" s="100" t="n">
        <f aca="false">AW96-AW97</f>
        <v>61666.6666666666</v>
      </c>
      <c r="AY96" s="100" t="n">
        <f aca="false">AX96-AX97</f>
        <v>59999.9999999999</v>
      </c>
      <c r="AZ96" s="100" t="n">
        <f aca="false">AY96-AY97</f>
        <v>58333.3333333333</v>
      </c>
      <c r="BA96" s="100" t="n">
        <f aca="false">AZ96-AZ97</f>
        <v>56666.6666666666</v>
      </c>
      <c r="BB96" s="100" t="n">
        <f aca="false">BA96-BA97</f>
        <v>54999.9999999999</v>
      </c>
      <c r="BC96" s="100" t="n">
        <f aca="false">BB96-BB97</f>
        <v>53333.3333333333</v>
      </c>
      <c r="BD96" s="100" t="n">
        <f aca="false">BC96-BC97</f>
        <v>51666.6666666666</v>
      </c>
      <c r="BE96" s="100" t="n">
        <f aca="false">BD96-BD97</f>
        <v>49999.9999999999</v>
      </c>
      <c r="BF96" s="100" t="n">
        <f aca="false">BE96-BE97</f>
        <v>48333.3333333333</v>
      </c>
      <c r="BG96" s="100" t="n">
        <f aca="false">BF96-BF97</f>
        <v>46666.6666666666</v>
      </c>
      <c r="BH96" s="100" t="n">
        <f aca="false">BG96-BG97</f>
        <v>44999.9999999999</v>
      </c>
      <c r="BI96" s="100" t="n">
        <f aca="false">BH96-BH97</f>
        <v>43333.3333333333</v>
      </c>
      <c r="BJ96" s="100" t="n">
        <f aca="false">BI96-BI97</f>
        <v>41666.6666666666</v>
      </c>
      <c r="BK96" s="100" t="n">
        <f aca="false">BJ96-BJ97</f>
        <v>39999.9999999999</v>
      </c>
      <c r="BL96" s="100" t="n">
        <f aca="false">BK96-BK97</f>
        <v>38333.3333333333</v>
      </c>
      <c r="BM96" s="100" t="n">
        <f aca="false">BL96-BL97</f>
        <v>36666.6666666666</v>
      </c>
      <c r="BN96" s="100" t="n">
        <f aca="false">BM96-BM97</f>
        <v>35000</v>
      </c>
      <c r="BO96" s="100" t="n">
        <f aca="false">BN96-BN97</f>
        <v>33333.3333333333</v>
      </c>
      <c r="BP96" s="100" t="n">
        <f aca="false">BO96-BO97</f>
        <v>31666.6666666666</v>
      </c>
      <c r="BQ96" s="100" t="n">
        <f aca="false">BP96-BP97</f>
        <v>30000</v>
      </c>
      <c r="BR96" s="100" t="n">
        <f aca="false">BQ96-BQ97</f>
        <v>28333.3333333333</v>
      </c>
      <c r="BS96" s="100" t="n">
        <f aca="false">BR96-BR97</f>
        <v>26666.6666666666</v>
      </c>
      <c r="BT96" s="100" t="n">
        <f aca="false">BS96-BS97</f>
        <v>24999.9999999999</v>
      </c>
      <c r="BU96" s="100" t="n">
        <f aca="false">BT96-BT97</f>
        <v>23333.3333333333</v>
      </c>
      <c r="BV96" s="100" t="n">
        <f aca="false">BU96-BU97</f>
        <v>21666.6666666666</v>
      </c>
      <c r="BW96" s="100" t="n">
        <f aca="false">BV96-BV97</f>
        <v>19999.9999999999</v>
      </c>
      <c r="BX96" s="100" t="n">
        <f aca="false">BW96-BW97</f>
        <v>18333.3333333333</v>
      </c>
      <c r="BY96" s="100" t="n">
        <f aca="false">BX96-BX97</f>
        <v>16666.6666666666</v>
      </c>
      <c r="BZ96" s="100" t="n">
        <f aca="false">BY96-BY97</f>
        <v>14999.9999999999</v>
      </c>
      <c r="CA96" s="100" t="n">
        <f aca="false">BZ96-BZ97</f>
        <v>13333.3333333333</v>
      </c>
      <c r="CB96" s="100" t="n">
        <f aca="false">CA96-CA97</f>
        <v>11666.6666666666</v>
      </c>
      <c r="CC96" s="100" t="n">
        <f aca="false">CB96-CB97</f>
        <v>9999.99999999994</v>
      </c>
      <c r="CD96" s="100" t="n">
        <f aca="false">CC96-CC97</f>
        <v>8333.33333333328</v>
      </c>
      <c r="CE96" s="100" t="n">
        <f aca="false">CD96-CD97</f>
        <v>6666.66666666661</v>
      </c>
      <c r="CF96" s="100" t="n">
        <f aca="false">CE96-CE97</f>
        <v>4999.99999999994</v>
      </c>
      <c r="CG96" s="100" t="n">
        <f aca="false">CF96-CF97</f>
        <v>3333.33333333328</v>
      </c>
      <c r="CH96" s="100" t="n">
        <f aca="false">CG96-CG97</f>
        <v>1666.66666666661</v>
      </c>
    </row>
    <row r="97" customFormat="false" ht="13.5" hidden="false" customHeight="true" outlineLevel="0" collapsed="false">
      <c r="A97" s="6" t="s">
        <v>569</v>
      </c>
      <c r="C97" s="100" t="n">
        <f aca="false">IF(1&lt;=Hipótesis!$D$109,0,IF(C96&gt;0,MIN(C96,Hipótesis!$D$105/MAX(Hipótesis!$D$108-Hipótesis!$D$109,1)),0))</f>
        <v>0</v>
      </c>
      <c r="D97" s="100" t="n">
        <f aca="false">IF(2&lt;=Hipótesis!$D$109,0,IF(D96&gt;0,MIN(D96,Hipótesis!$D$105/MAX(Hipótesis!$D$108-Hipótesis!$D$109,1)),0))</f>
        <v>0</v>
      </c>
      <c r="E97" s="100" t="n">
        <f aca="false">IF(3&lt;=Hipótesis!$D$109,0,IF(E96&gt;0,MIN(E96,Hipótesis!$D$105/MAX(Hipótesis!$D$108-Hipótesis!$D$109,1)),0))</f>
        <v>0</v>
      </c>
      <c r="F97" s="100" t="n">
        <f aca="false">IF(4&lt;=Hipótesis!$D$109,0,IF(F96&gt;0,MIN(F96,Hipótesis!$D$105/MAX(Hipótesis!$D$108-Hipótesis!$D$109,1)),0))</f>
        <v>0</v>
      </c>
      <c r="G97" s="100" t="n">
        <f aca="false">IF(5&lt;=Hipótesis!$D$109,0,IF(G96&gt;0,MIN(G96,Hipótesis!$D$105/MAX(Hipótesis!$D$108-Hipótesis!$D$109,1)),0))</f>
        <v>0</v>
      </c>
      <c r="H97" s="100" t="n">
        <f aca="false">IF(6&lt;=Hipótesis!$D$109,0,IF(H96&gt;0,MIN(H96,Hipótesis!$D$105/MAX(Hipótesis!$D$108-Hipótesis!$D$109,1)),0))</f>
        <v>0</v>
      </c>
      <c r="I97" s="100" t="n">
        <f aca="false">IF(7&lt;=Hipótesis!$D$109,0,IF(I96&gt;0,MIN(I96,Hipótesis!$D$105/MAX(Hipótesis!$D$108-Hipótesis!$D$109,1)),0))</f>
        <v>0</v>
      </c>
      <c r="J97" s="100" t="n">
        <f aca="false">IF(8&lt;=Hipótesis!$D$109,0,IF(J96&gt;0,MIN(J96,Hipótesis!$D$105/MAX(Hipótesis!$D$108-Hipótesis!$D$109,1)),0))</f>
        <v>0</v>
      </c>
      <c r="K97" s="100" t="n">
        <f aca="false">IF(9&lt;=Hipótesis!$D$109,0,IF(K96&gt;0,MIN(K96,Hipótesis!$D$105/MAX(Hipótesis!$D$108-Hipótesis!$D$109,1)),0))</f>
        <v>0</v>
      </c>
      <c r="L97" s="100" t="n">
        <f aca="false">IF(10&lt;=Hipótesis!$D$109,0,IF(L96&gt;0,MIN(L96,Hipótesis!$D$105/MAX(Hipótesis!$D$108-Hipótesis!$D$109,1)),0))</f>
        <v>0</v>
      </c>
      <c r="M97" s="100" t="n">
        <f aca="false">IF(11&lt;=Hipótesis!$D$109,0,IF(M96&gt;0,MIN(M96,Hipótesis!$D$105/MAX(Hipótesis!$D$108-Hipótesis!$D$109,1)),0))</f>
        <v>0</v>
      </c>
      <c r="N97" s="100" t="n">
        <f aca="false">IF(12&lt;=Hipótesis!$D$109,0,IF(N96&gt;0,MIN(N96,Hipótesis!$D$105/MAX(Hipótesis!$D$108-Hipótesis!$D$109,1)),0))</f>
        <v>0</v>
      </c>
      <c r="O97" s="100" t="n">
        <f aca="false">IF(13&lt;=Hipótesis!$D$109,0,IF(O96&gt;0,MIN(O96,Hipótesis!$D$105/MAX(Hipótesis!$D$108-Hipótesis!$D$109,1)),0))</f>
        <v>0</v>
      </c>
      <c r="P97" s="100" t="n">
        <f aca="false">IF(14&lt;=Hipótesis!$D$109,0,IF(P96&gt;0,MIN(P96,Hipótesis!$D$105/MAX(Hipótesis!$D$108-Hipótesis!$D$109,1)),0))</f>
        <v>0</v>
      </c>
      <c r="Q97" s="100" t="n">
        <f aca="false">IF(15&lt;=Hipótesis!$D$109,0,IF(Q96&gt;0,MIN(Q96,Hipótesis!$D$105/MAX(Hipótesis!$D$108-Hipótesis!$D$109,1)),0))</f>
        <v>0</v>
      </c>
      <c r="R97" s="100" t="n">
        <f aca="false">IF(16&lt;=Hipótesis!$D$109,0,IF(R96&gt;0,MIN(R96,Hipótesis!$D$105/MAX(Hipótesis!$D$108-Hipótesis!$D$109,1)),0))</f>
        <v>0</v>
      </c>
      <c r="S97" s="100" t="n">
        <f aca="false">IF(17&lt;=Hipótesis!$D$109,0,IF(S96&gt;0,MIN(S96,Hipótesis!$D$105/MAX(Hipótesis!$D$108-Hipótesis!$D$109,1)),0))</f>
        <v>0</v>
      </c>
      <c r="T97" s="100" t="n">
        <f aca="false">IF(18&lt;=Hipótesis!$D$109,0,IF(T96&gt;0,MIN(T96,Hipótesis!$D$105/MAX(Hipótesis!$D$108-Hipótesis!$D$109,1)),0))</f>
        <v>0</v>
      </c>
      <c r="U97" s="100" t="n">
        <f aca="false">IF(19&lt;=Hipótesis!$D$109,0,IF(U96&gt;0,MIN(U96,Hipótesis!$D$105/MAX(Hipótesis!$D$108-Hipótesis!$D$109,1)),0))</f>
        <v>0</v>
      </c>
      <c r="V97" s="100" t="n">
        <f aca="false">IF(20&lt;=Hipótesis!$D$109,0,IF(V96&gt;0,MIN(V96,Hipótesis!$D$105/MAX(Hipótesis!$D$108-Hipótesis!$D$109,1)),0))</f>
        <v>0</v>
      </c>
      <c r="W97" s="100" t="n">
        <f aca="false">IF(21&lt;=Hipótesis!$D$109,0,IF(W96&gt;0,MIN(W96,Hipótesis!$D$105/MAX(Hipótesis!$D$108-Hipótesis!$D$109,1)),0))</f>
        <v>0</v>
      </c>
      <c r="X97" s="100" t="n">
        <f aca="false">IF(22&lt;=Hipótesis!$D$109,0,IF(X96&gt;0,MIN(X96,Hipótesis!$D$105/MAX(Hipótesis!$D$108-Hipótesis!$D$109,1)),0))</f>
        <v>0</v>
      </c>
      <c r="Y97" s="100" t="n">
        <f aca="false">IF(23&lt;=Hipótesis!$D$109,0,IF(Y96&gt;0,MIN(Y96,Hipótesis!$D$105/MAX(Hipótesis!$D$108-Hipótesis!$D$109,1)),0))</f>
        <v>0</v>
      </c>
      <c r="Z97" s="100" t="n">
        <f aca="false">IF(24&lt;=Hipótesis!$D$109,0,IF(Z96&gt;0,MIN(Z96,Hipótesis!$D$105/MAX(Hipótesis!$D$108-Hipótesis!$D$109,1)),0))</f>
        <v>0</v>
      </c>
      <c r="AA97" s="100" t="n">
        <f aca="false">IF(25&lt;=Hipótesis!$D$109,0,IF(AA96&gt;0,MIN(AA96,Hipótesis!$D$105/MAX(Hipótesis!$D$108-Hipótesis!$D$109,1)),0))</f>
        <v>1666.66666666667</v>
      </c>
      <c r="AB97" s="100" t="n">
        <f aca="false">IF(26&lt;=Hipótesis!$D$109,0,IF(AB96&gt;0,MIN(AB96,Hipótesis!$D$105/MAX(Hipótesis!$D$108-Hipótesis!$D$109,1)),0))</f>
        <v>1666.66666666667</v>
      </c>
      <c r="AC97" s="100" t="n">
        <f aca="false">IF(27&lt;=Hipótesis!$D$109,0,IF(AC96&gt;0,MIN(AC96,Hipótesis!$D$105/MAX(Hipótesis!$D$108-Hipótesis!$D$109,1)),0))</f>
        <v>1666.66666666667</v>
      </c>
      <c r="AD97" s="100" t="n">
        <f aca="false">IF(28&lt;=Hipótesis!$D$109,0,IF(AD96&gt;0,MIN(AD96,Hipótesis!$D$105/MAX(Hipótesis!$D$108-Hipótesis!$D$109,1)),0))</f>
        <v>1666.66666666667</v>
      </c>
      <c r="AE97" s="100" t="n">
        <f aca="false">IF(29&lt;=Hipótesis!$D$109,0,IF(AE96&gt;0,MIN(AE96,Hipótesis!$D$105/MAX(Hipótesis!$D$108-Hipótesis!$D$109,1)),0))</f>
        <v>1666.66666666667</v>
      </c>
      <c r="AF97" s="100" t="n">
        <f aca="false">IF(30&lt;=Hipótesis!$D$109,0,IF(AF96&gt;0,MIN(AF96,Hipótesis!$D$105/MAX(Hipótesis!$D$108-Hipótesis!$D$109,1)),0))</f>
        <v>1666.66666666667</v>
      </c>
      <c r="AG97" s="100" t="n">
        <f aca="false">IF(31&lt;=Hipótesis!$D$109,0,IF(AG96&gt;0,MIN(AG96,Hipótesis!$D$105/MAX(Hipótesis!$D$108-Hipótesis!$D$109,1)),0))</f>
        <v>1666.66666666667</v>
      </c>
      <c r="AH97" s="100" t="n">
        <f aca="false">IF(32&lt;=Hipótesis!$D$109,0,IF(AH96&gt;0,MIN(AH96,Hipótesis!$D$105/MAX(Hipótesis!$D$108-Hipótesis!$D$109,1)),0))</f>
        <v>1666.66666666667</v>
      </c>
      <c r="AI97" s="100" t="n">
        <f aca="false">IF(33&lt;=Hipótesis!$D$109,0,IF(AI96&gt;0,MIN(AI96,Hipótesis!$D$105/MAX(Hipótesis!$D$108-Hipótesis!$D$109,1)),0))</f>
        <v>1666.66666666667</v>
      </c>
      <c r="AJ97" s="100" t="n">
        <f aca="false">IF(34&lt;=Hipótesis!$D$109,0,IF(AJ96&gt;0,MIN(AJ96,Hipótesis!$D$105/MAX(Hipótesis!$D$108-Hipótesis!$D$109,1)),0))</f>
        <v>1666.66666666667</v>
      </c>
      <c r="AK97" s="100" t="n">
        <f aca="false">IF(35&lt;=Hipótesis!$D$109,0,IF(AK96&gt;0,MIN(AK96,Hipótesis!$D$105/MAX(Hipótesis!$D$108-Hipótesis!$D$109,1)),0))</f>
        <v>1666.66666666667</v>
      </c>
      <c r="AL97" s="100" t="n">
        <f aca="false">IF(36&lt;=Hipótesis!$D$109,0,IF(AL96&gt;0,MIN(AL96,Hipótesis!$D$105/MAX(Hipótesis!$D$108-Hipótesis!$D$109,1)),0))</f>
        <v>1666.66666666667</v>
      </c>
      <c r="AM97" s="100" t="n">
        <f aca="false">IF(37&lt;=Hipótesis!$D$109,0,IF(AM96&gt;0,MIN(AM96,Hipótesis!$D$105/MAX(Hipótesis!$D$108-Hipótesis!$D$109,1)),0))</f>
        <v>1666.66666666667</v>
      </c>
      <c r="AN97" s="100" t="n">
        <f aca="false">IF(38&lt;=Hipótesis!$D$109,0,IF(AN96&gt;0,MIN(AN96,Hipótesis!$D$105/MAX(Hipótesis!$D$108-Hipótesis!$D$109,1)),0))</f>
        <v>1666.66666666667</v>
      </c>
      <c r="AO97" s="100" t="n">
        <f aca="false">IF(39&lt;=Hipótesis!$D$109,0,IF(AO96&gt;0,MIN(AO96,Hipótesis!$D$105/MAX(Hipótesis!$D$108-Hipótesis!$D$109,1)),0))</f>
        <v>1666.66666666667</v>
      </c>
      <c r="AP97" s="100" t="n">
        <f aca="false">IF(40&lt;=Hipótesis!$D$109,0,IF(AP96&gt;0,MIN(AP96,Hipótesis!$D$105/MAX(Hipótesis!$D$108-Hipótesis!$D$109,1)),0))</f>
        <v>1666.66666666667</v>
      </c>
      <c r="AQ97" s="100" t="n">
        <f aca="false">IF(41&lt;=Hipótesis!$D$109,0,IF(AQ96&gt;0,MIN(AQ96,Hipótesis!$D$105/MAX(Hipótesis!$D$108-Hipótesis!$D$109,1)),0))</f>
        <v>1666.66666666667</v>
      </c>
      <c r="AR97" s="100" t="n">
        <f aca="false">IF(42&lt;=Hipótesis!$D$109,0,IF(AR96&gt;0,MIN(AR96,Hipótesis!$D$105/MAX(Hipótesis!$D$108-Hipótesis!$D$109,1)),0))</f>
        <v>1666.66666666667</v>
      </c>
      <c r="AS97" s="100" t="n">
        <f aca="false">IF(43&lt;=Hipótesis!$D$109,0,IF(AS96&gt;0,MIN(AS96,Hipótesis!$D$105/MAX(Hipótesis!$D$108-Hipótesis!$D$109,1)),0))</f>
        <v>1666.66666666667</v>
      </c>
      <c r="AT97" s="100" t="n">
        <f aca="false">IF(44&lt;=Hipótesis!$D$109,0,IF(AT96&gt;0,MIN(AT96,Hipótesis!$D$105/MAX(Hipótesis!$D$108-Hipótesis!$D$109,1)),0))</f>
        <v>1666.66666666667</v>
      </c>
      <c r="AU97" s="100" t="n">
        <f aca="false">IF(45&lt;=Hipótesis!$D$109,0,IF(AU96&gt;0,MIN(AU96,Hipótesis!$D$105/MAX(Hipótesis!$D$108-Hipótesis!$D$109,1)),0))</f>
        <v>1666.66666666667</v>
      </c>
      <c r="AV97" s="100" t="n">
        <f aca="false">IF(46&lt;=Hipótesis!$D$109,0,IF(AV96&gt;0,MIN(AV96,Hipótesis!$D$105/MAX(Hipótesis!$D$108-Hipótesis!$D$109,1)),0))</f>
        <v>1666.66666666667</v>
      </c>
      <c r="AW97" s="100" t="n">
        <f aca="false">IF(47&lt;=Hipótesis!$D$109,0,IF(AW96&gt;0,MIN(AW96,Hipótesis!$D$105/MAX(Hipótesis!$D$108-Hipótesis!$D$109,1)),0))</f>
        <v>1666.66666666667</v>
      </c>
      <c r="AX97" s="100" t="n">
        <f aca="false">IF(48&lt;=Hipótesis!$D$109,0,IF(AX96&gt;0,MIN(AX96,Hipótesis!$D$105/MAX(Hipótesis!$D$108-Hipótesis!$D$109,1)),0))</f>
        <v>1666.66666666667</v>
      </c>
      <c r="AY97" s="100" t="n">
        <f aca="false">IF(49&lt;=Hipótesis!$D$109,0,IF(AY96&gt;0,MIN(AY96,Hipótesis!$D$105/MAX(Hipótesis!$D$108-Hipótesis!$D$109,1)),0))</f>
        <v>1666.66666666667</v>
      </c>
      <c r="AZ97" s="100" t="n">
        <f aca="false">IF(50&lt;=Hipótesis!$D$109,0,IF(AZ96&gt;0,MIN(AZ96,Hipótesis!$D$105/MAX(Hipótesis!$D$108-Hipótesis!$D$109,1)),0))</f>
        <v>1666.66666666667</v>
      </c>
      <c r="BA97" s="100" t="n">
        <f aca="false">IF(51&lt;=Hipótesis!$D$109,0,IF(BA96&gt;0,MIN(BA96,Hipótesis!$D$105/MAX(Hipótesis!$D$108-Hipótesis!$D$109,1)),0))</f>
        <v>1666.66666666667</v>
      </c>
      <c r="BB97" s="100" t="n">
        <f aca="false">IF(52&lt;=Hipótesis!$D$109,0,IF(BB96&gt;0,MIN(BB96,Hipótesis!$D$105/MAX(Hipótesis!$D$108-Hipótesis!$D$109,1)),0))</f>
        <v>1666.66666666667</v>
      </c>
      <c r="BC97" s="100" t="n">
        <f aca="false">IF(53&lt;=Hipótesis!$D$109,0,IF(BC96&gt;0,MIN(BC96,Hipótesis!$D$105/MAX(Hipótesis!$D$108-Hipótesis!$D$109,1)),0))</f>
        <v>1666.66666666667</v>
      </c>
      <c r="BD97" s="100" t="n">
        <f aca="false">IF(54&lt;=Hipótesis!$D$109,0,IF(BD96&gt;0,MIN(BD96,Hipótesis!$D$105/MAX(Hipótesis!$D$108-Hipótesis!$D$109,1)),0))</f>
        <v>1666.66666666667</v>
      </c>
      <c r="BE97" s="100" t="n">
        <f aca="false">IF(55&lt;=Hipótesis!$D$109,0,IF(BE96&gt;0,MIN(BE96,Hipótesis!$D$105/MAX(Hipótesis!$D$108-Hipótesis!$D$109,1)),0))</f>
        <v>1666.66666666667</v>
      </c>
      <c r="BF97" s="100" t="n">
        <f aca="false">IF(56&lt;=Hipótesis!$D$109,0,IF(BF96&gt;0,MIN(BF96,Hipótesis!$D$105/MAX(Hipótesis!$D$108-Hipótesis!$D$109,1)),0))</f>
        <v>1666.66666666667</v>
      </c>
      <c r="BG97" s="100" t="n">
        <f aca="false">IF(57&lt;=Hipótesis!$D$109,0,IF(BG96&gt;0,MIN(BG96,Hipótesis!$D$105/MAX(Hipótesis!$D$108-Hipótesis!$D$109,1)),0))</f>
        <v>1666.66666666667</v>
      </c>
      <c r="BH97" s="100" t="n">
        <f aca="false">IF(58&lt;=Hipótesis!$D$109,0,IF(BH96&gt;0,MIN(BH96,Hipótesis!$D$105/MAX(Hipótesis!$D$108-Hipótesis!$D$109,1)),0))</f>
        <v>1666.66666666667</v>
      </c>
      <c r="BI97" s="100" t="n">
        <f aca="false">IF(59&lt;=Hipótesis!$D$109,0,IF(BI96&gt;0,MIN(BI96,Hipótesis!$D$105/MAX(Hipótesis!$D$108-Hipótesis!$D$109,1)),0))</f>
        <v>1666.66666666667</v>
      </c>
      <c r="BJ97" s="100" t="n">
        <f aca="false">IF(60&lt;=Hipótesis!$D$109,0,IF(BJ96&gt;0,MIN(BJ96,Hipótesis!$D$105/MAX(Hipótesis!$D$108-Hipótesis!$D$109,1)),0))</f>
        <v>1666.66666666667</v>
      </c>
      <c r="BK97" s="100" t="n">
        <f aca="false">IF(61&lt;=Hipótesis!$D$109,0,IF(BK96&gt;0,MIN(BK96,Hipótesis!$D$105/MAX(Hipótesis!$D$108-Hipótesis!$D$109,1)),0))</f>
        <v>1666.66666666667</v>
      </c>
      <c r="BL97" s="100" t="n">
        <f aca="false">IF(62&lt;=Hipótesis!$D$109,0,IF(BL96&gt;0,MIN(BL96,Hipótesis!$D$105/MAX(Hipótesis!$D$108-Hipótesis!$D$109,1)),0))</f>
        <v>1666.66666666667</v>
      </c>
      <c r="BM97" s="100" t="n">
        <f aca="false">IF(63&lt;=Hipótesis!$D$109,0,IF(BM96&gt;0,MIN(BM96,Hipótesis!$D$105/MAX(Hipótesis!$D$108-Hipótesis!$D$109,1)),0))</f>
        <v>1666.66666666667</v>
      </c>
      <c r="BN97" s="100" t="n">
        <f aca="false">IF(64&lt;=Hipótesis!$D$109,0,IF(BN96&gt;0,MIN(BN96,Hipótesis!$D$105/MAX(Hipótesis!$D$108-Hipótesis!$D$109,1)),0))</f>
        <v>1666.66666666667</v>
      </c>
      <c r="BO97" s="100" t="n">
        <f aca="false">IF(65&lt;=Hipótesis!$D$109,0,IF(BO96&gt;0,MIN(BO96,Hipótesis!$D$105/MAX(Hipótesis!$D$108-Hipótesis!$D$109,1)),0))</f>
        <v>1666.66666666667</v>
      </c>
      <c r="BP97" s="100" t="n">
        <f aca="false">IF(66&lt;=Hipótesis!$D$109,0,IF(BP96&gt;0,MIN(BP96,Hipótesis!$D$105/MAX(Hipótesis!$D$108-Hipótesis!$D$109,1)),0))</f>
        <v>1666.66666666667</v>
      </c>
      <c r="BQ97" s="100" t="n">
        <f aca="false">IF(67&lt;=Hipótesis!$D$109,0,IF(BQ96&gt;0,MIN(BQ96,Hipótesis!$D$105/MAX(Hipótesis!$D$108-Hipótesis!$D$109,1)),0))</f>
        <v>1666.66666666667</v>
      </c>
      <c r="BR97" s="100" t="n">
        <f aca="false">IF(68&lt;=Hipótesis!$D$109,0,IF(BR96&gt;0,MIN(BR96,Hipótesis!$D$105/MAX(Hipótesis!$D$108-Hipótesis!$D$109,1)),0))</f>
        <v>1666.66666666667</v>
      </c>
      <c r="BS97" s="100" t="n">
        <f aca="false">IF(69&lt;=Hipótesis!$D$109,0,IF(BS96&gt;0,MIN(BS96,Hipótesis!$D$105/MAX(Hipótesis!$D$108-Hipótesis!$D$109,1)),0))</f>
        <v>1666.66666666667</v>
      </c>
      <c r="BT97" s="100" t="n">
        <f aca="false">IF(70&lt;=Hipótesis!$D$109,0,IF(BT96&gt;0,MIN(BT96,Hipótesis!$D$105/MAX(Hipótesis!$D$108-Hipótesis!$D$109,1)),0))</f>
        <v>1666.66666666667</v>
      </c>
      <c r="BU97" s="100" t="n">
        <f aca="false">IF(71&lt;=Hipótesis!$D$109,0,IF(BU96&gt;0,MIN(BU96,Hipótesis!$D$105/MAX(Hipótesis!$D$108-Hipótesis!$D$109,1)),0))</f>
        <v>1666.66666666667</v>
      </c>
      <c r="BV97" s="100" t="n">
        <f aca="false">IF(72&lt;=Hipótesis!$D$109,0,IF(BV96&gt;0,MIN(BV96,Hipótesis!$D$105/MAX(Hipótesis!$D$108-Hipótesis!$D$109,1)),0))</f>
        <v>1666.66666666667</v>
      </c>
      <c r="BW97" s="100" t="n">
        <f aca="false">IF(73&lt;=Hipótesis!$D$109,0,IF(BW96&gt;0,MIN(BW96,Hipótesis!$D$105/MAX(Hipótesis!$D$108-Hipótesis!$D$109,1)),0))</f>
        <v>1666.66666666667</v>
      </c>
      <c r="BX97" s="100" t="n">
        <f aca="false">IF(74&lt;=Hipótesis!$D$109,0,IF(BX96&gt;0,MIN(BX96,Hipótesis!$D$105/MAX(Hipótesis!$D$108-Hipótesis!$D$109,1)),0))</f>
        <v>1666.66666666667</v>
      </c>
      <c r="BY97" s="100" t="n">
        <f aca="false">IF(75&lt;=Hipótesis!$D$109,0,IF(BY96&gt;0,MIN(BY96,Hipótesis!$D$105/MAX(Hipótesis!$D$108-Hipótesis!$D$109,1)),0))</f>
        <v>1666.66666666667</v>
      </c>
      <c r="BZ97" s="100" t="n">
        <f aca="false">IF(76&lt;=Hipótesis!$D$109,0,IF(BZ96&gt;0,MIN(BZ96,Hipótesis!$D$105/MAX(Hipótesis!$D$108-Hipótesis!$D$109,1)),0))</f>
        <v>1666.66666666667</v>
      </c>
      <c r="CA97" s="100" t="n">
        <f aca="false">IF(77&lt;=Hipótesis!$D$109,0,IF(CA96&gt;0,MIN(CA96,Hipótesis!$D$105/MAX(Hipótesis!$D$108-Hipótesis!$D$109,1)),0))</f>
        <v>1666.66666666667</v>
      </c>
      <c r="CB97" s="100" t="n">
        <f aca="false">IF(78&lt;=Hipótesis!$D$109,0,IF(CB96&gt;0,MIN(CB96,Hipótesis!$D$105/MAX(Hipótesis!$D$108-Hipótesis!$D$109,1)),0))</f>
        <v>1666.66666666667</v>
      </c>
      <c r="CC97" s="100" t="n">
        <f aca="false">IF(79&lt;=Hipótesis!$D$109,0,IF(CC96&gt;0,MIN(CC96,Hipótesis!$D$105/MAX(Hipótesis!$D$108-Hipótesis!$D$109,1)),0))</f>
        <v>1666.66666666667</v>
      </c>
      <c r="CD97" s="100" t="n">
        <f aca="false">IF(80&lt;=Hipótesis!$D$109,0,IF(CD96&gt;0,MIN(CD96,Hipótesis!$D$105/MAX(Hipótesis!$D$108-Hipótesis!$D$109,1)),0))</f>
        <v>1666.66666666667</v>
      </c>
      <c r="CE97" s="100" t="n">
        <f aca="false">IF(81&lt;=Hipótesis!$D$109,0,IF(CE96&gt;0,MIN(CE96,Hipótesis!$D$105/MAX(Hipótesis!$D$108-Hipótesis!$D$109,1)),0))</f>
        <v>1666.66666666667</v>
      </c>
      <c r="CF97" s="100" t="n">
        <f aca="false">IF(82&lt;=Hipótesis!$D$109,0,IF(CF96&gt;0,MIN(CF96,Hipótesis!$D$105/MAX(Hipótesis!$D$108-Hipótesis!$D$109,1)),0))</f>
        <v>1666.66666666667</v>
      </c>
      <c r="CG97" s="100" t="n">
        <f aca="false">IF(83&lt;=Hipótesis!$D$109,0,IF(CG96&gt;0,MIN(CG96,Hipótesis!$D$105/MAX(Hipótesis!$D$108-Hipótesis!$D$109,1)),0))</f>
        <v>1666.66666666667</v>
      </c>
      <c r="CH97" s="100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6" t="s">
        <v>570</v>
      </c>
      <c r="C98" s="100" t="n">
        <f aca="false">C96*Hipótesis!$D$106/12+IF(C96&gt;0,Hipótesis!$D$107*MAX(0,C56),0)</f>
        <v>333.333333333333</v>
      </c>
      <c r="D98" s="100" t="n">
        <f aca="false">D96*Hipótesis!$D$106/12+IF(D96&gt;0,Hipótesis!$D$107*MAX(0,D56),0)</f>
        <v>333.333333333333</v>
      </c>
      <c r="E98" s="100" t="n">
        <f aca="false">E96*Hipótesis!$D$106/12+IF(E96&gt;0,Hipótesis!$D$107*MAX(0,E56),0)</f>
        <v>333.333333333333</v>
      </c>
      <c r="F98" s="100" t="n">
        <f aca="false">F96*Hipótesis!$D$106/12+IF(F96&gt;0,Hipótesis!$D$107*MAX(0,F56),0)</f>
        <v>333.333333333333</v>
      </c>
      <c r="G98" s="100" t="n">
        <f aca="false">G96*Hipótesis!$D$106/12+IF(G96&gt;0,Hipótesis!$D$107*MAX(0,G56),0)</f>
        <v>333.333333333333</v>
      </c>
      <c r="H98" s="100" t="n">
        <f aca="false">H96*Hipótesis!$D$106/12+IF(H96&gt;0,Hipótesis!$D$107*MAX(0,H56),0)</f>
        <v>333.333333333333</v>
      </c>
      <c r="I98" s="100" t="n">
        <f aca="false">I96*Hipótesis!$D$106/12+IF(I96&gt;0,Hipótesis!$D$107*MAX(0,I56),0)</f>
        <v>333.333333333333</v>
      </c>
      <c r="J98" s="100" t="n">
        <f aca="false">J96*Hipótesis!$D$106/12+IF(J96&gt;0,Hipótesis!$D$107*MAX(0,J56),0)</f>
        <v>333.333333333333</v>
      </c>
      <c r="K98" s="100" t="n">
        <f aca="false">K96*Hipótesis!$D$106/12+IF(K96&gt;0,Hipótesis!$D$107*MAX(0,K56),0)</f>
        <v>363.280667725478</v>
      </c>
      <c r="L98" s="100" t="n">
        <f aca="false">L96*Hipótesis!$D$106/12+IF(L96&gt;0,Hipótesis!$D$107*MAX(0,L56),0)</f>
        <v>424.816837759668</v>
      </c>
      <c r="M98" s="100" t="n">
        <f aca="false">M96*Hipótesis!$D$106/12+IF(M96&gt;0,Hipótesis!$D$107*MAX(0,M56),0)</f>
        <v>465.222604535034</v>
      </c>
      <c r="N98" s="100" t="n">
        <f aca="false">N96*Hipótesis!$D$106/12+IF(N96&gt;0,Hipótesis!$D$107*MAX(0,N56),0)</f>
        <v>521.437045402029</v>
      </c>
      <c r="O98" s="100" t="n">
        <f aca="false">O96*Hipótesis!$D$106/12+IF(O96&gt;0,Hipótesis!$D$107*MAX(0,O56),0)</f>
        <v>473.107486269023</v>
      </c>
      <c r="P98" s="100" t="n">
        <f aca="false">P96*Hipótesis!$D$106/12+IF(P96&gt;0,Hipótesis!$D$107*MAX(0,P56),0)</f>
        <v>477.017810834674</v>
      </c>
      <c r="Q98" s="100" t="n">
        <f aca="false">Q96*Hipótesis!$D$106/12+IF(Q96&gt;0,Hipótesis!$D$107*MAX(0,Q56),0)</f>
        <v>527.154535400326</v>
      </c>
      <c r="R98" s="100" t="n">
        <f aca="false">R96*Hipótesis!$D$106/12+IF(R96&gt;0,Hipótesis!$D$107*MAX(0,R56),0)</f>
        <v>577.291259965977</v>
      </c>
      <c r="S98" s="100" t="n">
        <f aca="false">S96*Hipótesis!$D$106/12+IF(S96&gt;0,Hipótesis!$D$107*MAX(0,S56),0)</f>
        <v>627.427984531628</v>
      </c>
      <c r="T98" s="100" t="n">
        <f aca="false">T96*Hipótesis!$D$106/12+IF(T96&gt;0,Hipótesis!$D$107*MAX(0,T56),0)</f>
        <v>677.56470909728</v>
      </c>
      <c r="U98" s="100" t="n">
        <f aca="false">U96*Hipótesis!$D$106/12+IF(U96&gt;0,Hipótesis!$D$107*MAX(0,U56),0)</f>
        <v>681.475033662931</v>
      </c>
      <c r="V98" s="100" t="n">
        <f aca="false">V96*Hipótesis!$D$106/12+IF(V96&gt;0,Hipótesis!$D$107*MAX(0,V56),0)</f>
        <v>677.227758228582</v>
      </c>
      <c r="W98" s="100" t="n">
        <f aca="false">W96*Hipótesis!$D$106/12+IF(W96&gt;0,Hipótesis!$D$107*MAX(0,W56),0)</f>
        <v>727.364482794234</v>
      </c>
      <c r="X98" s="100" t="n">
        <f aca="false">X96*Hipótesis!$D$106/12+IF(X96&gt;0,Hipótesis!$D$107*MAX(0,X56),0)</f>
        <v>761.692533268258</v>
      </c>
      <c r="Y98" s="100" t="n">
        <f aca="false">Y96*Hipótesis!$D$106/12+IF(Y96&gt;0,Hipótesis!$D$107*MAX(0,Y56),0)</f>
        <v>796.020583742282</v>
      </c>
      <c r="Z98" s="100" t="n">
        <f aca="false">Z96*Hipótesis!$D$106/12+IF(Z96&gt;0,Hipótesis!$D$107*MAX(0,Z56),0)</f>
        <v>824.588924579655</v>
      </c>
      <c r="AA98" s="100" t="n">
        <f aca="false">AA96*Hipótesis!$D$106/12+IF(AA96&gt;0,Hipótesis!$D$107*MAX(0,AA56),0)</f>
        <v>807.520641417028</v>
      </c>
      <c r="AB98" s="100" t="n">
        <f aca="false">AB96*Hipótesis!$D$106/12+IF(AB96&gt;0,Hipótesis!$D$107*MAX(0,AB56),0)</f>
        <v>782.920234698846</v>
      </c>
      <c r="AC98" s="100" t="n">
        <f aca="false">AC96*Hipótesis!$D$106/12+IF(AC96&gt;0,Hipótesis!$D$107*MAX(0,AC56),0)</f>
        <v>805.933019980663</v>
      </c>
      <c r="AD98" s="100" t="n">
        <f aca="false">AD96*Hipótesis!$D$106/12+IF(AD96&gt;0,Hipótesis!$D$107*MAX(0,AD56),0)</f>
        <v>828.945805262481</v>
      </c>
      <c r="AE98" s="100" t="n">
        <f aca="false">AE96*Hipótesis!$D$106/12+IF(AE96&gt;0,Hipótesis!$D$107*MAX(0,AE56),0)</f>
        <v>851.958590544298</v>
      </c>
      <c r="AF98" s="100" t="n">
        <f aca="false">AF96*Hipótesis!$D$106/12+IF(AF96&gt;0,Hipótesis!$D$107*MAX(0,AF56),0)</f>
        <v>874.971375826116</v>
      </c>
      <c r="AG98" s="100" t="n">
        <f aca="false">AG96*Hipótesis!$D$106/12+IF(AG96&gt;0,Hipótesis!$D$107*MAX(0,AG56),0)</f>
        <v>897.984161107933</v>
      </c>
      <c r="AH98" s="100" t="n">
        <f aca="false">AH96*Hipótesis!$D$106/12+IF(AH96&gt;0,Hipótesis!$D$107*MAX(0,AH56),0)</f>
        <v>920.99694638975</v>
      </c>
      <c r="AI98" s="100" t="n">
        <f aca="false">AI96*Hipótesis!$D$106/12+IF(AI96&gt;0,Hipótesis!$D$107*MAX(0,AI56),0)</f>
        <v>944.009731671568</v>
      </c>
      <c r="AJ98" s="100" t="n">
        <f aca="false">AJ96*Hipótesis!$D$106/12+IF(AJ96&gt;0,Hipótesis!$D$107*MAX(0,AJ56),0)</f>
        <v>967.022516953385</v>
      </c>
      <c r="AK98" s="100" t="n">
        <f aca="false">AK96*Hipótesis!$D$106/12+IF(AK96&gt;0,Hipótesis!$D$107*MAX(0,AK56),0)</f>
        <v>990.035302235203</v>
      </c>
      <c r="AL98" s="100" t="n">
        <f aca="false">AL96*Hipótesis!$D$106/12+IF(AL96&gt;0,Hipótesis!$D$107*MAX(0,AL56),0)</f>
        <v>965.43489551702</v>
      </c>
      <c r="AM98" s="100" t="n">
        <f aca="false">AM96*Hipótesis!$D$106/12+IF(AM96&gt;0,Hipótesis!$D$107*MAX(0,AM56),0)</f>
        <v>939.773166558838</v>
      </c>
      <c r="AN98" s="100" t="n">
        <f aca="false">AN96*Hipótesis!$D$106/12+IF(AN96&gt;0,Hipótesis!$D$107*MAX(0,AN56),0)</f>
        <v>962.785951840655</v>
      </c>
      <c r="AO98" s="100" t="n">
        <f aca="false">AO96*Hipótesis!$D$106/12+IF(AO96&gt;0,Hipótesis!$D$107*MAX(0,AO56),0)</f>
        <v>985.798737122473</v>
      </c>
      <c r="AP98" s="100" t="n">
        <f aca="false">AP96*Hipótesis!$D$106/12+IF(AP96&gt;0,Hipótesis!$D$107*MAX(0,AP56),0)</f>
        <v>1008.81152240429</v>
      </c>
      <c r="AQ98" s="100" t="n">
        <f aca="false">AQ96*Hipótesis!$D$106/12+IF(AQ96&gt;0,Hipótesis!$D$107*MAX(0,AQ56),0)</f>
        <v>1031.82430768611</v>
      </c>
      <c r="AR98" s="100" t="n">
        <f aca="false">AR96*Hipótesis!$D$106/12+IF(AR96&gt;0,Hipótesis!$D$107*MAX(0,AR56),0)</f>
        <v>1054.83709296793</v>
      </c>
      <c r="AS98" s="100" t="n">
        <f aca="false">AS96*Hipótesis!$D$106/12+IF(AS96&gt;0,Hipótesis!$D$107*MAX(0,AS56),0)</f>
        <v>1049.28153741237</v>
      </c>
      <c r="AT98" s="100" t="n">
        <f aca="false">AT96*Hipótesis!$D$106/12+IF(AT96&gt;0,Hipótesis!$D$107*MAX(0,AT56),0)</f>
        <v>1043.72598185681</v>
      </c>
      <c r="AU98" s="100" t="n">
        <f aca="false">AU96*Hipótesis!$D$106/12+IF(AU96&gt;0,Hipótesis!$D$107*MAX(0,AU56),0)</f>
        <v>1038.17042630126</v>
      </c>
      <c r="AV98" s="100" t="n">
        <f aca="false">AV96*Hipótesis!$D$106/12+IF(AV96&gt;0,Hipótesis!$D$107*MAX(0,AV56),0)</f>
        <v>1032.6148707457</v>
      </c>
      <c r="AW98" s="100" t="n">
        <f aca="false">AW96*Hipótesis!$D$106/12+IF(AW96&gt;0,Hipótesis!$D$107*MAX(0,AW56),0)</f>
        <v>1027.05931519015</v>
      </c>
      <c r="AX98" s="100" t="n">
        <f aca="false">AX96*Hipótesis!$D$106/12+IF(AX96&gt;0,Hipótesis!$D$107*MAX(0,AX56),0)</f>
        <v>1021.50375963459</v>
      </c>
      <c r="AY98" s="100" t="n">
        <f aca="false">AY96*Hipótesis!$D$106/12+IF(AY96&gt;0,Hipótesis!$D$107*MAX(0,AY56),0)</f>
        <v>967.001454411836</v>
      </c>
      <c r="AZ98" s="100" t="n">
        <f aca="false">AZ96*Hipótesis!$D$106/12+IF(AZ96&gt;0,Hipótesis!$D$107*MAX(0,AZ56),0)</f>
        <v>961.445898856281</v>
      </c>
      <c r="BA98" s="100" t="n">
        <f aca="false">BA96*Hipótesis!$D$106/12+IF(BA96&gt;0,Hipótesis!$D$107*MAX(0,BA56),0)</f>
        <v>955.890343300725</v>
      </c>
      <c r="BB98" s="100" t="n">
        <f aca="false">BB96*Hipótesis!$D$106/12+IF(BB96&gt;0,Hipótesis!$D$107*MAX(0,BB56),0)</f>
        <v>950.33478774517</v>
      </c>
      <c r="BC98" s="100" t="n">
        <f aca="false">BC96*Hipótesis!$D$106/12+IF(BC96&gt;0,Hipótesis!$D$107*MAX(0,BC56),0)</f>
        <v>944.779232189614</v>
      </c>
      <c r="BD98" s="100" t="n">
        <f aca="false">BD96*Hipótesis!$D$106/12+IF(BD96&gt;0,Hipótesis!$D$107*MAX(0,BD56),0)</f>
        <v>939.223676634058</v>
      </c>
      <c r="BE98" s="100" t="n">
        <f aca="false">BE96*Hipótesis!$D$106/12+IF(BE96&gt;0,Hipótesis!$D$107*MAX(0,BE56),0)</f>
        <v>933.668121078503</v>
      </c>
      <c r="BF98" s="100" t="n">
        <f aca="false">BF96*Hipótesis!$D$106/12+IF(BF96&gt;0,Hipótesis!$D$107*MAX(0,BF56),0)</f>
        <v>928.112565522947</v>
      </c>
      <c r="BG98" s="100" t="n">
        <f aca="false">BG96*Hipótesis!$D$106/12+IF(BG96&gt;0,Hipótesis!$D$107*MAX(0,BG56),0)</f>
        <v>922.557009967392</v>
      </c>
      <c r="BH98" s="100" t="n">
        <f aca="false">BH96*Hipótesis!$D$106/12+IF(BH96&gt;0,Hipótesis!$D$107*MAX(0,BH56),0)</f>
        <v>917.001454411836</v>
      </c>
      <c r="BI98" s="100" t="n">
        <f aca="false">BI96*Hipótesis!$D$106/12+IF(BI96&gt;0,Hipótesis!$D$107*MAX(0,BI56),0)</f>
        <v>911.445898856281</v>
      </c>
      <c r="BJ98" s="100" t="n">
        <f aca="false">BJ96*Hipótesis!$D$106/12+IF(BJ96&gt;0,Hipótesis!$D$107*MAX(0,BJ56),0)</f>
        <v>905.890343300725</v>
      </c>
      <c r="BK98" s="100" t="n">
        <f aca="false">BK96*Hipótesis!$D$106/12+IF(BK96&gt;0,Hipótesis!$D$107*MAX(0,BK56),0)</f>
        <v>851.107635587954</v>
      </c>
      <c r="BL98" s="100" t="n">
        <f aca="false">BL96*Hipótesis!$D$106/12+IF(BL96&gt;0,Hipótesis!$D$107*MAX(0,BL56),0)</f>
        <v>845.552080032398</v>
      </c>
      <c r="BM98" s="100" t="n">
        <f aca="false">BM96*Hipótesis!$D$106/12+IF(BM96&gt;0,Hipótesis!$D$107*MAX(0,BM56),0)</f>
        <v>839.996524476843</v>
      </c>
      <c r="BN98" s="100" t="n">
        <f aca="false">BN96*Hipótesis!$D$106/12+IF(BN96&gt;0,Hipótesis!$D$107*MAX(0,BN56),0)</f>
        <v>834.440968921287</v>
      </c>
      <c r="BO98" s="100" t="n">
        <f aca="false">BO96*Hipótesis!$D$106/12+IF(BO96&gt;0,Hipótesis!$D$107*MAX(0,BO56),0)</f>
        <v>828.885413365731</v>
      </c>
      <c r="BP98" s="100" t="n">
        <f aca="false">BP96*Hipótesis!$D$106/12+IF(BP96&gt;0,Hipótesis!$D$107*MAX(0,BP56),0)</f>
        <v>823.329857810176</v>
      </c>
      <c r="BQ98" s="100" t="n">
        <f aca="false">BQ96*Hipótesis!$D$106/12+IF(BQ96&gt;0,Hipótesis!$D$107*MAX(0,BQ56),0)</f>
        <v>817.77430225462</v>
      </c>
      <c r="BR98" s="100" t="n">
        <f aca="false">BR96*Hipótesis!$D$106/12+IF(BR96&gt;0,Hipótesis!$D$107*MAX(0,BR56),0)</f>
        <v>812.218746699065</v>
      </c>
      <c r="BS98" s="100" t="n">
        <f aca="false">BS96*Hipótesis!$D$106/12+IF(BS96&gt;0,Hipótesis!$D$107*MAX(0,BS56),0)</f>
        <v>806.663191143509</v>
      </c>
      <c r="BT98" s="100" t="n">
        <f aca="false">BT96*Hipótesis!$D$106/12+IF(BT96&gt;0,Hipótesis!$D$107*MAX(0,BT56),0)</f>
        <v>801.107635587954</v>
      </c>
      <c r="BU98" s="100" t="n">
        <f aca="false">BU96*Hipótesis!$D$106/12+IF(BU96&gt;0,Hipótesis!$D$107*MAX(0,BU56),0)</f>
        <v>795.552080032398</v>
      </c>
      <c r="BV98" s="100" t="n">
        <f aca="false">BV96*Hipótesis!$D$106/12+IF(BV96&gt;0,Hipótesis!$D$107*MAX(0,BV56),0)</f>
        <v>789.996524476843</v>
      </c>
      <c r="BW98" s="100" t="n">
        <f aca="false">BW96*Hipótesis!$D$106/12+IF(BW96&gt;0,Hipótesis!$D$107*MAX(0,BW56),0)</f>
        <v>734.925002199355</v>
      </c>
      <c r="BX98" s="100" t="n">
        <f aca="false">BX96*Hipótesis!$D$106/12+IF(BX96&gt;0,Hipótesis!$D$107*MAX(0,BX56),0)</f>
        <v>729.369446643799</v>
      </c>
      <c r="BY98" s="100" t="n">
        <f aca="false">BY96*Hipótesis!$D$106/12+IF(BY96&gt;0,Hipótesis!$D$107*MAX(0,BY56),0)</f>
        <v>723.813891088243</v>
      </c>
      <c r="BZ98" s="100" t="n">
        <f aca="false">BZ96*Hipótesis!$D$106/12+IF(BZ96&gt;0,Hipótesis!$D$107*MAX(0,BZ56),0)</f>
        <v>718.258335532688</v>
      </c>
      <c r="CA98" s="100" t="n">
        <f aca="false">CA96*Hipótesis!$D$106/12+IF(CA96&gt;0,Hipótesis!$D$107*MAX(0,CA56),0)</f>
        <v>712.702779977132</v>
      </c>
      <c r="CB98" s="100" t="n">
        <f aca="false">CB96*Hipótesis!$D$106/12+IF(CB96&gt;0,Hipótesis!$D$107*MAX(0,CB56),0)</f>
        <v>707.147224421577</v>
      </c>
      <c r="CC98" s="100" t="n">
        <f aca="false">CC96*Hipótesis!$D$106/12+IF(CC96&gt;0,Hipótesis!$D$107*MAX(0,CC56),0)</f>
        <v>701.591668866021</v>
      </c>
      <c r="CD98" s="100" t="n">
        <f aca="false">CD96*Hipótesis!$D$106/12+IF(CD96&gt;0,Hipótesis!$D$107*MAX(0,CD56),0)</f>
        <v>696.036113310466</v>
      </c>
      <c r="CE98" s="100" t="n">
        <f aca="false">CE96*Hipótesis!$D$106/12+IF(CE96&gt;0,Hipótesis!$D$107*MAX(0,CE56),0)</f>
        <v>690.48055775491</v>
      </c>
      <c r="CF98" s="100" t="n">
        <f aca="false">CF96*Hipótesis!$D$106/12+IF(CF96&gt;0,Hipótesis!$D$107*MAX(0,CF56),0)</f>
        <v>684.925002199355</v>
      </c>
      <c r="CG98" s="100" t="n">
        <f aca="false">CG96*Hipótesis!$D$106/12+IF(CG96&gt;0,Hipótesis!$D$107*MAX(0,CG56),0)</f>
        <v>679.369446643799</v>
      </c>
      <c r="CH98" s="100" t="n">
        <f aca="false">CH96*Hipótesis!$D$106/12+IF(CH96&gt;0,Hipótesis!$D$107*MAX(0,CH56),0)</f>
        <v>673.813891088243</v>
      </c>
    </row>
    <row r="99" customFormat="false" ht="13.5" hidden="false" customHeight="true" outlineLevel="0" collapsed="false">
      <c r="A99" s="6" t="s">
        <v>571</v>
      </c>
      <c r="C99" s="100" t="n">
        <f aca="false">C97+C98</f>
        <v>333.333333333333</v>
      </c>
      <c r="D99" s="100" t="n">
        <f aca="false">D97+D98</f>
        <v>333.333333333333</v>
      </c>
      <c r="E99" s="100" t="n">
        <f aca="false">E97+E98</f>
        <v>333.333333333333</v>
      </c>
      <c r="F99" s="100" t="n">
        <f aca="false">F97+F98</f>
        <v>333.333333333333</v>
      </c>
      <c r="G99" s="100" t="n">
        <f aca="false">G97+G98</f>
        <v>333.333333333333</v>
      </c>
      <c r="H99" s="100" t="n">
        <f aca="false">H97+H98</f>
        <v>333.333333333333</v>
      </c>
      <c r="I99" s="100" t="n">
        <f aca="false">I97+I98</f>
        <v>333.333333333333</v>
      </c>
      <c r="J99" s="100" t="n">
        <f aca="false">J97+J98</f>
        <v>333.333333333333</v>
      </c>
      <c r="K99" s="100" t="n">
        <f aca="false">K97+K98</f>
        <v>363.280667725478</v>
      </c>
      <c r="L99" s="100" t="n">
        <f aca="false">L97+L98</f>
        <v>424.816837759668</v>
      </c>
      <c r="M99" s="100" t="n">
        <f aca="false">M97+M98</f>
        <v>465.222604535034</v>
      </c>
      <c r="N99" s="100" t="n">
        <f aca="false">N97+N98</f>
        <v>521.437045402029</v>
      </c>
      <c r="O99" s="100" t="n">
        <f aca="false">O97+O98</f>
        <v>473.107486269023</v>
      </c>
      <c r="P99" s="100" t="n">
        <f aca="false">P97+P98</f>
        <v>477.017810834674</v>
      </c>
      <c r="Q99" s="100" t="n">
        <f aca="false">Q97+Q98</f>
        <v>527.154535400326</v>
      </c>
      <c r="R99" s="100" t="n">
        <f aca="false">R97+R98</f>
        <v>577.291259965977</v>
      </c>
      <c r="S99" s="100" t="n">
        <f aca="false">S97+S98</f>
        <v>627.427984531628</v>
      </c>
      <c r="T99" s="100" t="n">
        <f aca="false">T97+T98</f>
        <v>677.56470909728</v>
      </c>
      <c r="U99" s="100" t="n">
        <f aca="false">U97+U98</f>
        <v>681.475033662931</v>
      </c>
      <c r="V99" s="100" t="n">
        <f aca="false">V97+V98</f>
        <v>677.227758228582</v>
      </c>
      <c r="W99" s="100" t="n">
        <f aca="false">W97+W98</f>
        <v>727.364482794234</v>
      </c>
      <c r="X99" s="100" t="n">
        <f aca="false">X97+X98</f>
        <v>761.692533268258</v>
      </c>
      <c r="Y99" s="100" t="n">
        <f aca="false">Y97+Y98</f>
        <v>796.020583742282</v>
      </c>
      <c r="Z99" s="100" t="n">
        <f aca="false">Z97+Z98</f>
        <v>824.588924579655</v>
      </c>
      <c r="AA99" s="100" t="n">
        <f aca="false">AA97+AA98</f>
        <v>2474.1873080837</v>
      </c>
      <c r="AB99" s="100" t="n">
        <f aca="false">AB97+AB98</f>
        <v>2449.58690136551</v>
      </c>
      <c r="AC99" s="100" t="n">
        <f aca="false">AC97+AC98</f>
        <v>2472.59968664733</v>
      </c>
      <c r="AD99" s="100" t="n">
        <f aca="false">AD97+AD98</f>
        <v>2495.61247192915</v>
      </c>
      <c r="AE99" s="100" t="n">
        <f aca="false">AE97+AE98</f>
        <v>2518.62525721096</v>
      </c>
      <c r="AF99" s="100" t="n">
        <f aca="false">AF97+AF98</f>
        <v>2541.63804249278</v>
      </c>
      <c r="AG99" s="100" t="n">
        <f aca="false">AG97+AG98</f>
        <v>2564.6508277746</v>
      </c>
      <c r="AH99" s="100" t="n">
        <f aca="false">AH97+AH98</f>
        <v>2587.66361305642</v>
      </c>
      <c r="AI99" s="100" t="n">
        <f aca="false">AI97+AI98</f>
        <v>2610.67639833824</v>
      </c>
      <c r="AJ99" s="100" t="n">
        <f aca="false">AJ97+AJ98</f>
        <v>2633.68918362005</v>
      </c>
      <c r="AK99" s="100" t="n">
        <f aca="false">AK97+AK98</f>
        <v>2656.70196890187</v>
      </c>
      <c r="AL99" s="100" t="n">
        <f aca="false">AL97+AL98</f>
        <v>2632.10156218369</v>
      </c>
      <c r="AM99" s="100" t="n">
        <f aca="false">AM97+AM98</f>
        <v>2606.4398332255</v>
      </c>
      <c r="AN99" s="100" t="n">
        <f aca="false">AN97+AN98</f>
        <v>2629.45261850732</v>
      </c>
      <c r="AO99" s="100" t="n">
        <f aca="false">AO97+AO98</f>
        <v>2652.46540378914</v>
      </c>
      <c r="AP99" s="100" t="n">
        <f aca="false">AP97+AP98</f>
        <v>2675.47818907096</v>
      </c>
      <c r="AQ99" s="100" t="n">
        <f aca="false">AQ97+AQ98</f>
        <v>2698.49097435277</v>
      </c>
      <c r="AR99" s="100" t="n">
        <f aca="false">AR97+AR98</f>
        <v>2721.50375963459</v>
      </c>
      <c r="AS99" s="100" t="n">
        <f aca="false">AS97+AS98</f>
        <v>2715.94820407904</v>
      </c>
      <c r="AT99" s="100" t="n">
        <f aca="false">AT97+AT98</f>
        <v>2710.39264852348</v>
      </c>
      <c r="AU99" s="100" t="n">
        <f aca="false">AU97+AU98</f>
        <v>2704.83709296793</v>
      </c>
      <c r="AV99" s="100" t="n">
        <f aca="false">AV97+AV98</f>
        <v>2699.28153741237</v>
      </c>
      <c r="AW99" s="100" t="n">
        <f aca="false">AW97+AW98</f>
        <v>2693.72598185681</v>
      </c>
      <c r="AX99" s="100" t="n">
        <f aca="false">AX97+AX98</f>
        <v>2688.17042630126</v>
      </c>
      <c r="AY99" s="100" t="n">
        <f aca="false">AY97+AY98</f>
        <v>2633.6681210785</v>
      </c>
      <c r="AZ99" s="100" t="n">
        <f aca="false">AZ97+AZ98</f>
        <v>2628.11256552295</v>
      </c>
      <c r="BA99" s="100" t="n">
        <f aca="false">BA97+BA98</f>
        <v>2622.55700996739</v>
      </c>
      <c r="BB99" s="100" t="n">
        <f aca="false">BB97+BB98</f>
        <v>2617.00145441184</v>
      </c>
      <c r="BC99" s="100" t="n">
        <f aca="false">BC97+BC98</f>
        <v>2611.44589885628</v>
      </c>
      <c r="BD99" s="100" t="n">
        <f aca="false">BD97+BD98</f>
        <v>2605.89034330073</v>
      </c>
      <c r="BE99" s="100" t="n">
        <f aca="false">BE97+BE98</f>
        <v>2600.33478774517</v>
      </c>
      <c r="BF99" s="100" t="n">
        <f aca="false">BF97+BF98</f>
        <v>2594.77923218961</v>
      </c>
      <c r="BG99" s="100" t="n">
        <f aca="false">BG97+BG98</f>
        <v>2589.22367663406</v>
      </c>
      <c r="BH99" s="100" t="n">
        <f aca="false">BH97+BH98</f>
        <v>2583.6681210785</v>
      </c>
      <c r="BI99" s="100" t="n">
        <f aca="false">BI97+BI98</f>
        <v>2578.11256552295</v>
      </c>
      <c r="BJ99" s="100" t="n">
        <f aca="false">BJ97+BJ98</f>
        <v>2572.55700996739</v>
      </c>
      <c r="BK99" s="100" t="n">
        <f aca="false">BK97+BK98</f>
        <v>2517.77430225462</v>
      </c>
      <c r="BL99" s="100" t="n">
        <f aca="false">BL97+BL98</f>
        <v>2512.21874669907</v>
      </c>
      <c r="BM99" s="100" t="n">
        <f aca="false">BM97+BM98</f>
        <v>2506.66319114351</v>
      </c>
      <c r="BN99" s="100" t="n">
        <f aca="false">BN97+BN98</f>
        <v>2501.10763558795</v>
      </c>
      <c r="BO99" s="100" t="n">
        <f aca="false">BO97+BO98</f>
        <v>2495.5520800324</v>
      </c>
      <c r="BP99" s="100" t="n">
        <f aca="false">BP97+BP98</f>
        <v>2489.99652447684</v>
      </c>
      <c r="BQ99" s="100" t="n">
        <f aca="false">BQ97+BQ98</f>
        <v>2484.44096892129</v>
      </c>
      <c r="BR99" s="100" t="n">
        <f aca="false">BR97+BR98</f>
        <v>2478.88541336573</v>
      </c>
      <c r="BS99" s="100" t="n">
        <f aca="false">BS97+BS98</f>
        <v>2473.32985781018</v>
      </c>
      <c r="BT99" s="100" t="n">
        <f aca="false">BT97+BT98</f>
        <v>2467.77430225462</v>
      </c>
      <c r="BU99" s="100" t="n">
        <f aca="false">BU97+BU98</f>
        <v>2462.21874669907</v>
      </c>
      <c r="BV99" s="100" t="n">
        <f aca="false">BV97+BV98</f>
        <v>2456.66319114351</v>
      </c>
      <c r="BW99" s="100" t="n">
        <f aca="false">BW97+BW98</f>
        <v>2401.59166886602</v>
      </c>
      <c r="BX99" s="100" t="n">
        <f aca="false">BX97+BX98</f>
        <v>2396.03611331047</v>
      </c>
      <c r="BY99" s="100" t="n">
        <f aca="false">BY97+BY98</f>
        <v>2390.48055775491</v>
      </c>
      <c r="BZ99" s="100" t="n">
        <f aca="false">BZ97+BZ98</f>
        <v>2384.92500219935</v>
      </c>
      <c r="CA99" s="100" t="n">
        <f aca="false">CA97+CA98</f>
        <v>2379.3694466438</v>
      </c>
      <c r="CB99" s="100" t="n">
        <f aca="false">CB97+CB98</f>
        <v>2373.81389108824</v>
      </c>
      <c r="CC99" s="100" t="n">
        <f aca="false">CC97+CC98</f>
        <v>2368.25833553269</v>
      </c>
      <c r="CD99" s="100" t="n">
        <f aca="false">CD97+CD98</f>
        <v>2362.70277997713</v>
      </c>
      <c r="CE99" s="100" t="n">
        <f aca="false">CE97+CE98</f>
        <v>2357.14722442158</v>
      </c>
      <c r="CF99" s="100" t="n">
        <f aca="false">CF97+CF98</f>
        <v>2351.59166886602</v>
      </c>
      <c r="CG99" s="100" t="n">
        <f aca="false">CG97+CG98</f>
        <v>2346.03611331047</v>
      </c>
      <c r="CH99" s="100" t="n">
        <f aca="false">CH97+CH98</f>
        <v>2340.48055775485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6" t="s">
        <v>572</v>
      </c>
      <c r="C101" s="100" t="n">
        <f aca="false">Hipótesis!$D$113*(1-Hipótesis!$D$117)</f>
        <v>0</v>
      </c>
      <c r="D101" s="100" t="n">
        <f aca="false">C101-C102</f>
        <v>0</v>
      </c>
      <c r="E101" s="100" t="n">
        <f aca="false">D101-D102</f>
        <v>0</v>
      </c>
      <c r="F101" s="100" t="n">
        <f aca="false">E101-E102</f>
        <v>0</v>
      </c>
      <c r="G101" s="100" t="n">
        <f aca="false">F101-F102</f>
        <v>0</v>
      </c>
      <c r="H101" s="100" t="n">
        <f aca="false">G101-G102</f>
        <v>0</v>
      </c>
      <c r="I101" s="100" t="n">
        <f aca="false">H101-H102</f>
        <v>0</v>
      </c>
      <c r="J101" s="100" t="n">
        <f aca="false">I101-I102</f>
        <v>0</v>
      </c>
      <c r="K101" s="100" t="n">
        <f aca="false">J101-J102</f>
        <v>0</v>
      </c>
      <c r="L101" s="100" t="n">
        <f aca="false">K101-K102</f>
        <v>0</v>
      </c>
      <c r="M101" s="100" t="n">
        <f aca="false">L101-L102</f>
        <v>0</v>
      </c>
      <c r="N101" s="100" t="n">
        <f aca="false">M101-M102</f>
        <v>0</v>
      </c>
      <c r="O101" s="100" t="n">
        <f aca="false">N101-N102</f>
        <v>0</v>
      </c>
      <c r="P101" s="100" t="n">
        <f aca="false">O101-O102</f>
        <v>0</v>
      </c>
      <c r="Q101" s="100" t="n">
        <f aca="false">P101-P102</f>
        <v>0</v>
      </c>
      <c r="R101" s="100" t="n">
        <f aca="false">Q101-Q102</f>
        <v>0</v>
      </c>
      <c r="S101" s="100" t="n">
        <f aca="false">R101-R102</f>
        <v>0</v>
      </c>
      <c r="T101" s="100" t="n">
        <f aca="false">S101-S102</f>
        <v>0</v>
      </c>
      <c r="U101" s="100" t="n">
        <f aca="false">T101-T102</f>
        <v>0</v>
      </c>
      <c r="V101" s="100" t="n">
        <f aca="false">U101-U102</f>
        <v>0</v>
      </c>
      <c r="W101" s="100" t="n">
        <f aca="false">V101-V102</f>
        <v>0</v>
      </c>
      <c r="X101" s="100" t="n">
        <f aca="false">W101-W102</f>
        <v>0</v>
      </c>
      <c r="Y101" s="100" t="n">
        <f aca="false">X101-X102</f>
        <v>0</v>
      </c>
      <c r="Z101" s="100" t="n">
        <f aca="false">Y101-Y102</f>
        <v>0</v>
      </c>
      <c r="AA101" s="100" t="n">
        <f aca="false">Z101-Z102</f>
        <v>0</v>
      </c>
      <c r="AB101" s="100" t="n">
        <f aca="false">AA101-AA102</f>
        <v>0</v>
      </c>
      <c r="AC101" s="100" t="n">
        <f aca="false">AB101-AB102</f>
        <v>0</v>
      </c>
      <c r="AD101" s="100" t="n">
        <f aca="false">AC101-AC102</f>
        <v>0</v>
      </c>
      <c r="AE101" s="100" t="n">
        <f aca="false">AD101-AD102</f>
        <v>0</v>
      </c>
      <c r="AF101" s="100" t="n">
        <f aca="false">AE101-AE102</f>
        <v>0</v>
      </c>
      <c r="AG101" s="100" t="n">
        <f aca="false">AF101-AF102</f>
        <v>0</v>
      </c>
      <c r="AH101" s="100" t="n">
        <f aca="false">AG101-AG102</f>
        <v>0</v>
      </c>
      <c r="AI101" s="100" t="n">
        <f aca="false">AH101-AH102</f>
        <v>0</v>
      </c>
      <c r="AJ101" s="100" t="n">
        <f aca="false">AI101-AI102</f>
        <v>0</v>
      </c>
      <c r="AK101" s="100" t="n">
        <f aca="false">AJ101-AJ102</f>
        <v>0</v>
      </c>
      <c r="AL101" s="100" t="n">
        <f aca="false">AK101-AK102</f>
        <v>0</v>
      </c>
      <c r="AM101" s="100" t="n">
        <f aca="false">AL101-AL102</f>
        <v>0</v>
      </c>
      <c r="AN101" s="100" t="n">
        <f aca="false">AM101-AM102</f>
        <v>0</v>
      </c>
      <c r="AO101" s="100" t="n">
        <f aca="false">AN101-AN102</f>
        <v>0</v>
      </c>
      <c r="AP101" s="100" t="n">
        <f aca="false">AO101-AO102</f>
        <v>0</v>
      </c>
      <c r="AQ101" s="100" t="n">
        <f aca="false">AP101-AP102</f>
        <v>0</v>
      </c>
      <c r="AR101" s="100" t="n">
        <f aca="false">AQ101-AQ102</f>
        <v>0</v>
      </c>
      <c r="AS101" s="100" t="n">
        <f aca="false">AR101-AR102</f>
        <v>0</v>
      </c>
      <c r="AT101" s="100" t="n">
        <f aca="false">AS101-AS102</f>
        <v>0</v>
      </c>
      <c r="AU101" s="100" t="n">
        <f aca="false">AT101-AT102</f>
        <v>0</v>
      </c>
      <c r="AV101" s="100" t="n">
        <f aca="false">AU101-AU102</f>
        <v>0</v>
      </c>
      <c r="AW101" s="100" t="n">
        <f aca="false">AV101-AV102</f>
        <v>0</v>
      </c>
      <c r="AX101" s="100" t="n">
        <f aca="false">AW101-AW102</f>
        <v>0</v>
      </c>
      <c r="AY101" s="100" t="n">
        <f aca="false">AX101-AX102</f>
        <v>0</v>
      </c>
      <c r="AZ101" s="100" t="n">
        <f aca="false">AY101-AY102</f>
        <v>0</v>
      </c>
      <c r="BA101" s="100" t="n">
        <f aca="false">AZ101-AZ102</f>
        <v>0</v>
      </c>
      <c r="BB101" s="100" t="n">
        <f aca="false">BA101-BA102</f>
        <v>0</v>
      </c>
      <c r="BC101" s="100" t="n">
        <f aca="false">BB101-BB102</f>
        <v>0</v>
      </c>
      <c r="BD101" s="100" t="n">
        <f aca="false">BC101-BC102</f>
        <v>0</v>
      </c>
      <c r="BE101" s="100" t="n">
        <f aca="false">BD101-BD102</f>
        <v>0</v>
      </c>
      <c r="BF101" s="100" t="n">
        <f aca="false">BE101-BE102</f>
        <v>0</v>
      </c>
      <c r="BG101" s="100" t="n">
        <f aca="false">BF101-BF102</f>
        <v>0</v>
      </c>
      <c r="BH101" s="100" t="n">
        <f aca="false">BG101-BG102</f>
        <v>0</v>
      </c>
      <c r="BI101" s="100" t="n">
        <f aca="false">BH101-BH102</f>
        <v>0</v>
      </c>
      <c r="BJ101" s="100" t="n">
        <f aca="false">BI101-BI102</f>
        <v>0</v>
      </c>
      <c r="BK101" s="100" t="n">
        <f aca="false">BJ101-BJ102</f>
        <v>0</v>
      </c>
      <c r="BL101" s="100" t="n">
        <f aca="false">BK101-BK102</f>
        <v>0</v>
      </c>
      <c r="BM101" s="100" t="n">
        <f aca="false">BL101-BL102</f>
        <v>0</v>
      </c>
      <c r="BN101" s="100" t="n">
        <f aca="false">BM101-BM102</f>
        <v>0</v>
      </c>
      <c r="BO101" s="100" t="n">
        <f aca="false">BN101-BN102</f>
        <v>0</v>
      </c>
      <c r="BP101" s="100" t="n">
        <f aca="false">BO101-BO102</f>
        <v>0</v>
      </c>
      <c r="BQ101" s="100" t="n">
        <f aca="false">BP101-BP102</f>
        <v>0</v>
      </c>
      <c r="BR101" s="100" t="n">
        <f aca="false">BQ101-BQ102</f>
        <v>0</v>
      </c>
      <c r="BS101" s="100" t="n">
        <f aca="false">BR101-BR102</f>
        <v>0</v>
      </c>
      <c r="BT101" s="100" t="n">
        <f aca="false">BS101-BS102</f>
        <v>0</v>
      </c>
      <c r="BU101" s="100" t="n">
        <f aca="false">BT101-BT102</f>
        <v>0</v>
      </c>
      <c r="BV101" s="100" t="n">
        <f aca="false">BU101-BU102</f>
        <v>0</v>
      </c>
      <c r="BW101" s="100" t="n">
        <f aca="false">BV101-BV102</f>
        <v>0</v>
      </c>
      <c r="BX101" s="100" t="n">
        <f aca="false">BW101-BW102</f>
        <v>0</v>
      </c>
      <c r="BY101" s="100" t="n">
        <f aca="false">BX101-BX102</f>
        <v>0</v>
      </c>
      <c r="BZ101" s="100" t="n">
        <f aca="false">BY101-BY102</f>
        <v>0</v>
      </c>
      <c r="CA101" s="100" t="n">
        <f aca="false">BZ101-BZ102</f>
        <v>0</v>
      </c>
      <c r="CB101" s="100" t="n">
        <f aca="false">CA101-CA102</f>
        <v>0</v>
      </c>
      <c r="CC101" s="100" t="n">
        <f aca="false">CB101-CB102</f>
        <v>0</v>
      </c>
      <c r="CD101" s="100" t="n">
        <f aca="false">CC101-CC102</f>
        <v>0</v>
      </c>
      <c r="CE101" s="100" t="n">
        <f aca="false">CD101-CD102</f>
        <v>0</v>
      </c>
      <c r="CF101" s="100" t="n">
        <f aca="false">CE101-CE102</f>
        <v>0</v>
      </c>
      <c r="CG101" s="100" t="n">
        <f aca="false">CF101-CF102</f>
        <v>0</v>
      </c>
      <c r="CH101" s="100" t="n">
        <f aca="false">CG101-CG102</f>
        <v>0</v>
      </c>
    </row>
    <row r="102" customFormat="false" ht="13.5" hidden="false" customHeight="true" outlineLevel="0" collapsed="false">
      <c r="A102" s="6" t="s">
        <v>573</v>
      </c>
      <c r="C102" s="100" t="n">
        <f aca="false">IF(1&lt;=Hipótesis!$D$116,0,IF(C101&gt;0,MIN(C101,Hipótesis!$D$113*(1-Hipótesis!$D$117)/MAX(Hipótesis!$D$115-Hipótesis!$D$116,1)),0))</f>
        <v>0</v>
      </c>
      <c r="D102" s="100" t="n">
        <f aca="false">IF(2&lt;=Hipótesis!$D$116,0,IF(D101&gt;0,MIN(D101,Hipótesis!$D$113*(1-Hipótesis!$D$117)/MAX(Hipótesis!$D$115-Hipótesis!$D$116,1)),0))</f>
        <v>0</v>
      </c>
      <c r="E102" s="100" t="n">
        <f aca="false">IF(3&lt;=Hipótesis!$D$116,0,IF(E101&gt;0,MIN(E101,Hipótesis!$D$113*(1-Hipótesis!$D$117)/MAX(Hipótesis!$D$115-Hipótesis!$D$116,1)),0))</f>
        <v>0</v>
      </c>
      <c r="F102" s="100" t="n">
        <f aca="false">IF(4&lt;=Hipótesis!$D$116,0,IF(F101&gt;0,MIN(F101,Hipótesis!$D$113*(1-Hipótesis!$D$117)/MAX(Hipótesis!$D$115-Hipótesis!$D$116,1)),0))</f>
        <v>0</v>
      </c>
      <c r="G102" s="100" t="n">
        <f aca="false">IF(5&lt;=Hipótesis!$D$116,0,IF(G101&gt;0,MIN(G101,Hipótesis!$D$113*(1-Hipótesis!$D$117)/MAX(Hipótesis!$D$115-Hipótesis!$D$116,1)),0))</f>
        <v>0</v>
      </c>
      <c r="H102" s="100" t="n">
        <f aca="false">IF(6&lt;=Hipótesis!$D$116,0,IF(H101&gt;0,MIN(H101,Hipótesis!$D$113*(1-Hipótesis!$D$117)/MAX(Hipótesis!$D$115-Hipótesis!$D$116,1)),0))</f>
        <v>0</v>
      </c>
      <c r="I102" s="100" t="n">
        <f aca="false">IF(7&lt;=Hipótesis!$D$116,0,IF(I101&gt;0,MIN(I101,Hipótesis!$D$113*(1-Hipótesis!$D$117)/MAX(Hipótesis!$D$115-Hipótesis!$D$116,1)),0))</f>
        <v>0</v>
      </c>
      <c r="J102" s="100" t="n">
        <f aca="false">IF(8&lt;=Hipótesis!$D$116,0,IF(J101&gt;0,MIN(J101,Hipótesis!$D$113*(1-Hipótesis!$D$117)/MAX(Hipótesis!$D$115-Hipótesis!$D$116,1)),0))</f>
        <v>0</v>
      </c>
      <c r="K102" s="100" t="n">
        <f aca="false">IF(9&lt;=Hipótesis!$D$116,0,IF(K101&gt;0,MIN(K101,Hipótesis!$D$113*(1-Hipótesis!$D$117)/MAX(Hipótesis!$D$115-Hipótesis!$D$116,1)),0))</f>
        <v>0</v>
      </c>
      <c r="L102" s="100" t="n">
        <f aca="false">IF(10&lt;=Hipótesis!$D$116,0,IF(L101&gt;0,MIN(L101,Hipótesis!$D$113*(1-Hipótesis!$D$117)/MAX(Hipótesis!$D$115-Hipótesis!$D$116,1)),0))</f>
        <v>0</v>
      </c>
      <c r="M102" s="100" t="n">
        <f aca="false">IF(11&lt;=Hipótesis!$D$116,0,IF(M101&gt;0,MIN(M101,Hipótesis!$D$113*(1-Hipótesis!$D$117)/MAX(Hipótesis!$D$115-Hipótesis!$D$116,1)),0))</f>
        <v>0</v>
      </c>
      <c r="N102" s="100" t="n">
        <f aca="false">IF(12&lt;=Hipótesis!$D$116,0,IF(N101&gt;0,MIN(N101,Hipótesis!$D$113*(1-Hipótesis!$D$117)/MAX(Hipótesis!$D$115-Hipótesis!$D$116,1)),0))</f>
        <v>0</v>
      </c>
      <c r="O102" s="100" t="n">
        <f aca="false">IF(13&lt;=Hipótesis!$D$116,0,IF(O101&gt;0,MIN(O101,Hipótesis!$D$113*(1-Hipótesis!$D$117)/MAX(Hipótesis!$D$115-Hipótesis!$D$116,1)),0))</f>
        <v>0</v>
      </c>
      <c r="P102" s="100" t="n">
        <f aca="false">IF(14&lt;=Hipótesis!$D$116,0,IF(P101&gt;0,MIN(P101,Hipótesis!$D$113*(1-Hipótesis!$D$117)/MAX(Hipótesis!$D$115-Hipótesis!$D$116,1)),0))</f>
        <v>0</v>
      </c>
      <c r="Q102" s="100" t="n">
        <f aca="false">IF(15&lt;=Hipótesis!$D$116,0,IF(Q101&gt;0,MIN(Q101,Hipótesis!$D$113*(1-Hipótesis!$D$117)/MAX(Hipótesis!$D$115-Hipótesis!$D$116,1)),0))</f>
        <v>0</v>
      </c>
      <c r="R102" s="100" t="n">
        <f aca="false">IF(16&lt;=Hipótesis!$D$116,0,IF(R101&gt;0,MIN(R101,Hipótesis!$D$113*(1-Hipótesis!$D$117)/MAX(Hipótesis!$D$115-Hipótesis!$D$116,1)),0))</f>
        <v>0</v>
      </c>
      <c r="S102" s="100" t="n">
        <f aca="false">IF(17&lt;=Hipótesis!$D$116,0,IF(S101&gt;0,MIN(S101,Hipótesis!$D$113*(1-Hipótesis!$D$117)/MAX(Hipótesis!$D$115-Hipótesis!$D$116,1)),0))</f>
        <v>0</v>
      </c>
      <c r="T102" s="100" t="n">
        <f aca="false">IF(18&lt;=Hipótesis!$D$116,0,IF(T101&gt;0,MIN(T101,Hipótesis!$D$113*(1-Hipótesis!$D$117)/MAX(Hipótesis!$D$115-Hipótesis!$D$116,1)),0))</f>
        <v>0</v>
      </c>
      <c r="U102" s="100" t="n">
        <f aca="false">IF(19&lt;=Hipótesis!$D$116,0,IF(U101&gt;0,MIN(U101,Hipótesis!$D$113*(1-Hipótesis!$D$117)/MAX(Hipótesis!$D$115-Hipótesis!$D$116,1)),0))</f>
        <v>0</v>
      </c>
      <c r="V102" s="100" t="n">
        <f aca="false">IF(20&lt;=Hipótesis!$D$116,0,IF(V101&gt;0,MIN(V101,Hipótesis!$D$113*(1-Hipótesis!$D$117)/MAX(Hipótesis!$D$115-Hipótesis!$D$116,1)),0))</f>
        <v>0</v>
      </c>
      <c r="W102" s="100" t="n">
        <f aca="false">IF(21&lt;=Hipótesis!$D$116,0,IF(W101&gt;0,MIN(W101,Hipótesis!$D$113*(1-Hipótesis!$D$117)/MAX(Hipótesis!$D$115-Hipótesis!$D$116,1)),0))</f>
        <v>0</v>
      </c>
      <c r="X102" s="100" t="n">
        <f aca="false">IF(22&lt;=Hipótesis!$D$116,0,IF(X101&gt;0,MIN(X101,Hipótesis!$D$113*(1-Hipótesis!$D$117)/MAX(Hipótesis!$D$115-Hipótesis!$D$116,1)),0))</f>
        <v>0</v>
      </c>
      <c r="Y102" s="100" t="n">
        <f aca="false">IF(23&lt;=Hipótesis!$D$116,0,IF(Y101&gt;0,MIN(Y101,Hipótesis!$D$113*(1-Hipótesis!$D$117)/MAX(Hipótesis!$D$115-Hipótesis!$D$116,1)),0))</f>
        <v>0</v>
      </c>
      <c r="Z102" s="100" t="n">
        <f aca="false">IF(24&lt;=Hipótesis!$D$116,0,IF(Z101&gt;0,MIN(Z101,Hipótesis!$D$113*(1-Hipótesis!$D$117)/MAX(Hipótesis!$D$115-Hipótesis!$D$116,1)),0))</f>
        <v>0</v>
      </c>
      <c r="AA102" s="100" t="n">
        <f aca="false">IF(25&lt;=Hipótesis!$D$116,0,IF(AA101&gt;0,MIN(AA101,Hipótesis!$D$113*(1-Hipótesis!$D$117)/MAX(Hipótesis!$D$115-Hipótesis!$D$116,1)),0))</f>
        <v>0</v>
      </c>
      <c r="AB102" s="100" t="n">
        <f aca="false">IF(26&lt;=Hipótesis!$D$116,0,IF(AB101&gt;0,MIN(AB101,Hipótesis!$D$113*(1-Hipótesis!$D$117)/MAX(Hipótesis!$D$115-Hipótesis!$D$116,1)),0))</f>
        <v>0</v>
      </c>
      <c r="AC102" s="100" t="n">
        <f aca="false">IF(27&lt;=Hipótesis!$D$116,0,IF(AC101&gt;0,MIN(AC101,Hipótesis!$D$113*(1-Hipótesis!$D$117)/MAX(Hipótesis!$D$115-Hipótesis!$D$116,1)),0))</f>
        <v>0</v>
      </c>
      <c r="AD102" s="100" t="n">
        <f aca="false">IF(28&lt;=Hipótesis!$D$116,0,IF(AD101&gt;0,MIN(AD101,Hipótesis!$D$113*(1-Hipótesis!$D$117)/MAX(Hipótesis!$D$115-Hipótesis!$D$116,1)),0))</f>
        <v>0</v>
      </c>
      <c r="AE102" s="100" t="n">
        <f aca="false">IF(29&lt;=Hipótesis!$D$116,0,IF(AE101&gt;0,MIN(AE101,Hipótesis!$D$113*(1-Hipótesis!$D$117)/MAX(Hipótesis!$D$115-Hipótesis!$D$116,1)),0))</f>
        <v>0</v>
      </c>
      <c r="AF102" s="100" t="n">
        <f aca="false">IF(30&lt;=Hipótesis!$D$116,0,IF(AF101&gt;0,MIN(AF101,Hipótesis!$D$113*(1-Hipótesis!$D$117)/MAX(Hipótesis!$D$115-Hipótesis!$D$116,1)),0))</f>
        <v>0</v>
      </c>
      <c r="AG102" s="100" t="n">
        <f aca="false">IF(31&lt;=Hipótesis!$D$116,0,IF(AG101&gt;0,MIN(AG101,Hipótesis!$D$113*(1-Hipótesis!$D$117)/MAX(Hipótesis!$D$115-Hipótesis!$D$116,1)),0))</f>
        <v>0</v>
      </c>
      <c r="AH102" s="100" t="n">
        <f aca="false">IF(32&lt;=Hipótesis!$D$116,0,IF(AH101&gt;0,MIN(AH101,Hipótesis!$D$113*(1-Hipótesis!$D$117)/MAX(Hipótesis!$D$115-Hipótesis!$D$116,1)),0))</f>
        <v>0</v>
      </c>
      <c r="AI102" s="100" t="n">
        <f aca="false">IF(33&lt;=Hipótesis!$D$116,0,IF(AI101&gt;0,MIN(AI101,Hipótesis!$D$113*(1-Hipótesis!$D$117)/MAX(Hipótesis!$D$115-Hipótesis!$D$116,1)),0))</f>
        <v>0</v>
      </c>
      <c r="AJ102" s="100" t="n">
        <f aca="false">IF(34&lt;=Hipótesis!$D$116,0,IF(AJ101&gt;0,MIN(AJ101,Hipótesis!$D$113*(1-Hipótesis!$D$117)/MAX(Hipótesis!$D$115-Hipótesis!$D$116,1)),0))</f>
        <v>0</v>
      </c>
      <c r="AK102" s="100" t="n">
        <f aca="false">IF(35&lt;=Hipótesis!$D$116,0,IF(AK101&gt;0,MIN(AK101,Hipótesis!$D$113*(1-Hipótesis!$D$117)/MAX(Hipótesis!$D$115-Hipótesis!$D$116,1)),0))</f>
        <v>0</v>
      </c>
      <c r="AL102" s="100" t="n">
        <f aca="false">IF(36&lt;=Hipótesis!$D$116,0,IF(AL101&gt;0,MIN(AL101,Hipótesis!$D$113*(1-Hipótesis!$D$117)/MAX(Hipótesis!$D$115-Hipótesis!$D$116,1)),0))</f>
        <v>0</v>
      </c>
      <c r="AM102" s="100" t="n">
        <f aca="false">IF(37&lt;=Hipótesis!$D$116,0,IF(AM101&gt;0,MIN(AM101,Hipótesis!$D$113*(1-Hipótesis!$D$117)/MAX(Hipótesis!$D$115-Hipótesis!$D$116,1)),0))</f>
        <v>0</v>
      </c>
      <c r="AN102" s="100" t="n">
        <f aca="false">IF(38&lt;=Hipótesis!$D$116,0,IF(AN101&gt;0,MIN(AN101,Hipótesis!$D$113*(1-Hipótesis!$D$117)/MAX(Hipótesis!$D$115-Hipótesis!$D$116,1)),0))</f>
        <v>0</v>
      </c>
      <c r="AO102" s="100" t="n">
        <f aca="false">IF(39&lt;=Hipótesis!$D$116,0,IF(AO101&gt;0,MIN(AO101,Hipótesis!$D$113*(1-Hipótesis!$D$117)/MAX(Hipótesis!$D$115-Hipótesis!$D$116,1)),0))</f>
        <v>0</v>
      </c>
      <c r="AP102" s="100" t="n">
        <f aca="false">IF(40&lt;=Hipótesis!$D$116,0,IF(AP101&gt;0,MIN(AP101,Hipótesis!$D$113*(1-Hipótesis!$D$117)/MAX(Hipótesis!$D$115-Hipótesis!$D$116,1)),0))</f>
        <v>0</v>
      </c>
      <c r="AQ102" s="100" t="n">
        <f aca="false">IF(41&lt;=Hipótesis!$D$116,0,IF(AQ101&gt;0,MIN(AQ101,Hipótesis!$D$113*(1-Hipótesis!$D$117)/MAX(Hipótesis!$D$115-Hipótesis!$D$116,1)),0))</f>
        <v>0</v>
      </c>
      <c r="AR102" s="100" t="n">
        <f aca="false">IF(42&lt;=Hipótesis!$D$116,0,IF(AR101&gt;0,MIN(AR101,Hipótesis!$D$113*(1-Hipótesis!$D$117)/MAX(Hipótesis!$D$115-Hipótesis!$D$116,1)),0))</f>
        <v>0</v>
      </c>
      <c r="AS102" s="100" t="n">
        <f aca="false">IF(43&lt;=Hipótesis!$D$116,0,IF(AS101&gt;0,MIN(AS101,Hipótesis!$D$113*(1-Hipótesis!$D$117)/MAX(Hipótesis!$D$115-Hipótesis!$D$116,1)),0))</f>
        <v>0</v>
      </c>
      <c r="AT102" s="100" t="n">
        <f aca="false">IF(44&lt;=Hipótesis!$D$116,0,IF(AT101&gt;0,MIN(AT101,Hipótesis!$D$113*(1-Hipótesis!$D$117)/MAX(Hipótesis!$D$115-Hipótesis!$D$116,1)),0))</f>
        <v>0</v>
      </c>
      <c r="AU102" s="100" t="n">
        <f aca="false">IF(45&lt;=Hipótesis!$D$116,0,IF(AU101&gt;0,MIN(AU101,Hipótesis!$D$113*(1-Hipótesis!$D$117)/MAX(Hipótesis!$D$115-Hipótesis!$D$116,1)),0))</f>
        <v>0</v>
      </c>
      <c r="AV102" s="100" t="n">
        <f aca="false">IF(46&lt;=Hipótesis!$D$116,0,IF(AV101&gt;0,MIN(AV101,Hipótesis!$D$113*(1-Hipótesis!$D$117)/MAX(Hipótesis!$D$115-Hipótesis!$D$116,1)),0))</f>
        <v>0</v>
      </c>
      <c r="AW102" s="100" t="n">
        <f aca="false">IF(47&lt;=Hipótesis!$D$116,0,IF(AW101&gt;0,MIN(AW101,Hipótesis!$D$113*(1-Hipótesis!$D$117)/MAX(Hipótesis!$D$115-Hipótesis!$D$116,1)),0))</f>
        <v>0</v>
      </c>
      <c r="AX102" s="100" t="n">
        <f aca="false">IF(48&lt;=Hipótesis!$D$116,0,IF(AX101&gt;0,MIN(AX101,Hipótesis!$D$113*(1-Hipótesis!$D$117)/MAX(Hipótesis!$D$115-Hipótesis!$D$116,1)),0))</f>
        <v>0</v>
      </c>
      <c r="AY102" s="100" t="n">
        <f aca="false">IF(49&lt;=Hipótesis!$D$116,0,IF(AY101&gt;0,MIN(AY101,Hipótesis!$D$113*(1-Hipótesis!$D$117)/MAX(Hipótesis!$D$115-Hipótesis!$D$116,1)),0))</f>
        <v>0</v>
      </c>
      <c r="AZ102" s="100" t="n">
        <f aca="false">IF(50&lt;=Hipótesis!$D$116,0,IF(AZ101&gt;0,MIN(AZ101,Hipótesis!$D$113*(1-Hipótesis!$D$117)/MAX(Hipótesis!$D$115-Hipótesis!$D$116,1)),0))</f>
        <v>0</v>
      </c>
      <c r="BA102" s="100" t="n">
        <f aca="false">IF(51&lt;=Hipótesis!$D$116,0,IF(BA101&gt;0,MIN(BA101,Hipótesis!$D$113*(1-Hipótesis!$D$117)/MAX(Hipótesis!$D$115-Hipótesis!$D$116,1)),0))</f>
        <v>0</v>
      </c>
      <c r="BB102" s="100" t="n">
        <f aca="false">IF(52&lt;=Hipótesis!$D$116,0,IF(BB101&gt;0,MIN(BB101,Hipótesis!$D$113*(1-Hipótesis!$D$117)/MAX(Hipótesis!$D$115-Hipótesis!$D$116,1)),0))</f>
        <v>0</v>
      </c>
      <c r="BC102" s="100" t="n">
        <f aca="false">IF(53&lt;=Hipótesis!$D$116,0,IF(BC101&gt;0,MIN(BC101,Hipótesis!$D$113*(1-Hipótesis!$D$117)/MAX(Hipótesis!$D$115-Hipótesis!$D$116,1)),0))</f>
        <v>0</v>
      </c>
      <c r="BD102" s="100" t="n">
        <f aca="false">IF(54&lt;=Hipótesis!$D$116,0,IF(BD101&gt;0,MIN(BD101,Hipótesis!$D$113*(1-Hipótesis!$D$117)/MAX(Hipótesis!$D$115-Hipótesis!$D$116,1)),0))</f>
        <v>0</v>
      </c>
      <c r="BE102" s="100" t="n">
        <f aca="false">IF(55&lt;=Hipótesis!$D$116,0,IF(BE101&gt;0,MIN(BE101,Hipótesis!$D$113*(1-Hipótesis!$D$117)/MAX(Hipótesis!$D$115-Hipótesis!$D$116,1)),0))</f>
        <v>0</v>
      </c>
      <c r="BF102" s="100" t="n">
        <f aca="false">IF(56&lt;=Hipótesis!$D$116,0,IF(BF101&gt;0,MIN(BF101,Hipótesis!$D$113*(1-Hipótesis!$D$117)/MAX(Hipótesis!$D$115-Hipótesis!$D$116,1)),0))</f>
        <v>0</v>
      </c>
      <c r="BG102" s="100" t="n">
        <f aca="false">IF(57&lt;=Hipótesis!$D$116,0,IF(BG101&gt;0,MIN(BG101,Hipótesis!$D$113*(1-Hipótesis!$D$117)/MAX(Hipótesis!$D$115-Hipótesis!$D$116,1)),0))</f>
        <v>0</v>
      </c>
      <c r="BH102" s="100" t="n">
        <f aca="false">IF(58&lt;=Hipótesis!$D$116,0,IF(BH101&gt;0,MIN(BH101,Hipótesis!$D$113*(1-Hipótesis!$D$117)/MAX(Hipótesis!$D$115-Hipótesis!$D$116,1)),0))</f>
        <v>0</v>
      </c>
      <c r="BI102" s="100" t="n">
        <f aca="false">IF(59&lt;=Hipótesis!$D$116,0,IF(BI101&gt;0,MIN(BI101,Hipótesis!$D$113*(1-Hipótesis!$D$117)/MAX(Hipótesis!$D$115-Hipótesis!$D$116,1)),0))</f>
        <v>0</v>
      </c>
      <c r="BJ102" s="100" t="n">
        <f aca="false">IF(60&lt;=Hipótesis!$D$116,0,IF(BJ101&gt;0,MIN(BJ101,Hipótesis!$D$113*(1-Hipótesis!$D$117)/MAX(Hipótesis!$D$115-Hipótesis!$D$116,1)),0))</f>
        <v>0</v>
      </c>
      <c r="BK102" s="100" t="n">
        <f aca="false">IF(61&lt;=Hipótesis!$D$116,0,IF(BK101&gt;0,MIN(BK101,Hipótesis!$D$113*(1-Hipótesis!$D$117)/MAX(Hipótesis!$D$115-Hipótesis!$D$116,1)),0))</f>
        <v>0</v>
      </c>
      <c r="BL102" s="100" t="n">
        <f aca="false">IF(62&lt;=Hipótesis!$D$116,0,IF(BL101&gt;0,MIN(BL101,Hipótesis!$D$113*(1-Hipótesis!$D$117)/MAX(Hipótesis!$D$115-Hipótesis!$D$116,1)),0))</f>
        <v>0</v>
      </c>
      <c r="BM102" s="100" t="n">
        <f aca="false">IF(63&lt;=Hipótesis!$D$116,0,IF(BM101&gt;0,MIN(BM101,Hipótesis!$D$113*(1-Hipótesis!$D$117)/MAX(Hipótesis!$D$115-Hipótesis!$D$116,1)),0))</f>
        <v>0</v>
      </c>
      <c r="BN102" s="100" t="n">
        <f aca="false">IF(64&lt;=Hipótesis!$D$116,0,IF(BN101&gt;0,MIN(BN101,Hipótesis!$D$113*(1-Hipótesis!$D$117)/MAX(Hipótesis!$D$115-Hipótesis!$D$116,1)),0))</f>
        <v>0</v>
      </c>
      <c r="BO102" s="100" t="n">
        <f aca="false">IF(65&lt;=Hipótesis!$D$116,0,IF(BO101&gt;0,MIN(BO101,Hipótesis!$D$113*(1-Hipótesis!$D$117)/MAX(Hipótesis!$D$115-Hipótesis!$D$116,1)),0))</f>
        <v>0</v>
      </c>
      <c r="BP102" s="100" t="n">
        <f aca="false">IF(66&lt;=Hipótesis!$D$116,0,IF(BP101&gt;0,MIN(BP101,Hipótesis!$D$113*(1-Hipótesis!$D$117)/MAX(Hipótesis!$D$115-Hipótesis!$D$116,1)),0))</f>
        <v>0</v>
      </c>
      <c r="BQ102" s="100" t="n">
        <f aca="false">IF(67&lt;=Hipótesis!$D$116,0,IF(BQ101&gt;0,MIN(BQ101,Hipótesis!$D$113*(1-Hipótesis!$D$117)/MAX(Hipótesis!$D$115-Hipótesis!$D$116,1)),0))</f>
        <v>0</v>
      </c>
      <c r="BR102" s="100" t="n">
        <f aca="false">IF(68&lt;=Hipótesis!$D$116,0,IF(BR101&gt;0,MIN(BR101,Hipótesis!$D$113*(1-Hipótesis!$D$117)/MAX(Hipótesis!$D$115-Hipótesis!$D$116,1)),0))</f>
        <v>0</v>
      </c>
      <c r="BS102" s="100" t="n">
        <f aca="false">IF(69&lt;=Hipótesis!$D$116,0,IF(BS101&gt;0,MIN(BS101,Hipótesis!$D$113*(1-Hipótesis!$D$117)/MAX(Hipótesis!$D$115-Hipótesis!$D$116,1)),0))</f>
        <v>0</v>
      </c>
      <c r="BT102" s="100" t="n">
        <f aca="false">IF(70&lt;=Hipótesis!$D$116,0,IF(BT101&gt;0,MIN(BT101,Hipótesis!$D$113*(1-Hipótesis!$D$117)/MAX(Hipótesis!$D$115-Hipótesis!$D$116,1)),0))</f>
        <v>0</v>
      </c>
      <c r="BU102" s="100" t="n">
        <f aca="false">IF(71&lt;=Hipótesis!$D$116,0,IF(BU101&gt;0,MIN(BU101,Hipótesis!$D$113*(1-Hipótesis!$D$117)/MAX(Hipótesis!$D$115-Hipótesis!$D$116,1)),0))</f>
        <v>0</v>
      </c>
      <c r="BV102" s="100" t="n">
        <f aca="false">IF(72&lt;=Hipótesis!$D$116,0,IF(BV101&gt;0,MIN(BV101,Hipótesis!$D$113*(1-Hipótesis!$D$117)/MAX(Hipótesis!$D$115-Hipótesis!$D$116,1)),0))</f>
        <v>0</v>
      </c>
      <c r="BW102" s="100" t="n">
        <f aca="false">IF(73&lt;=Hipótesis!$D$116,0,IF(BW101&gt;0,MIN(BW101,Hipótesis!$D$113*(1-Hipótesis!$D$117)/MAX(Hipótesis!$D$115-Hipótesis!$D$116,1)),0))</f>
        <v>0</v>
      </c>
      <c r="BX102" s="100" t="n">
        <f aca="false">IF(74&lt;=Hipótesis!$D$116,0,IF(BX101&gt;0,MIN(BX101,Hipótesis!$D$113*(1-Hipótesis!$D$117)/MAX(Hipótesis!$D$115-Hipótesis!$D$116,1)),0))</f>
        <v>0</v>
      </c>
      <c r="BY102" s="100" t="n">
        <f aca="false">IF(75&lt;=Hipótesis!$D$116,0,IF(BY101&gt;0,MIN(BY101,Hipótesis!$D$113*(1-Hipótesis!$D$117)/MAX(Hipótesis!$D$115-Hipótesis!$D$116,1)),0))</f>
        <v>0</v>
      </c>
      <c r="BZ102" s="100" t="n">
        <f aca="false">IF(76&lt;=Hipótesis!$D$116,0,IF(BZ101&gt;0,MIN(BZ101,Hipótesis!$D$113*(1-Hipótesis!$D$117)/MAX(Hipótesis!$D$115-Hipótesis!$D$116,1)),0))</f>
        <v>0</v>
      </c>
      <c r="CA102" s="100" t="n">
        <f aca="false">IF(77&lt;=Hipótesis!$D$116,0,IF(CA101&gt;0,MIN(CA101,Hipótesis!$D$113*(1-Hipótesis!$D$117)/MAX(Hipótesis!$D$115-Hipótesis!$D$116,1)),0))</f>
        <v>0</v>
      </c>
      <c r="CB102" s="100" t="n">
        <f aca="false">IF(78&lt;=Hipótesis!$D$116,0,IF(CB101&gt;0,MIN(CB101,Hipótesis!$D$113*(1-Hipótesis!$D$117)/MAX(Hipótesis!$D$115-Hipótesis!$D$116,1)),0))</f>
        <v>0</v>
      </c>
      <c r="CC102" s="100" t="n">
        <f aca="false">IF(79&lt;=Hipótesis!$D$116,0,IF(CC101&gt;0,MIN(CC101,Hipótesis!$D$113*(1-Hipótesis!$D$117)/MAX(Hipótesis!$D$115-Hipótesis!$D$116,1)),0))</f>
        <v>0</v>
      </c>
      <c r="CD102" s="100" t="n">
        <f aca="false">IF(80&lt;=Hipótesis!$D$116,0,IF(CD101&gt;0,MIN(CD101,Hipótesis!$D$113*(1-Hipótesis!$D$117)/MAX(Hipótesis!$D$115-Hipótesis!$D$116,1)),0))</f>
        <v>0</v>
      </c>
      <c r="CE102" s="100" t="n">
        <f aca="false">IF(81&lt;=Hipótesis!$D$116,0,IF(CE101&gt;0,MIN(CE101,Hipótesis!$D$113*(1-Hipótesis!$D$117)/MAX(Hipótesis!$D$115-Hipótesis!$D$116,1)),0))</f>
        <v>0</v>
      </c>
      <c r="CF102" s="100" t="n">
        <f aca="false">IF(82&lt;=Hipótesis!$D$116,0,IF(CF101&gt;0,MIN(CF101,Hipótesis!$D$113*(1-Hipótesis!$D$117)/MAX(Hipótesis!$D$115-Hipótesis!$D$116,1)),0))</f>
        <v>0</v>
      </c>
      <c r="CG102" s="100" t="n">
        <f aca="false">IF(83&lt;=Hipótesis!$D$116,0,IF(CG101&gt;0,MIN(CG101,Hipótesis!$D$113*(1-Hipótesis!$D$117)/MAX(Hipótesis!$D$115-Hipótesis!$D$116,1)),0))</f>
        <v>0</v>
      </c>
      <c r="CH102" s="100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6" t="s">
        <v>574</v>
      </c>
      <c r="C103" s="100" t="n">
        <f aca="false">C101*Hipótesis!$D$114/12</f>
        <v>0</v>
      </c>
      <c r="D103" s="100" t="n">
        <f aca="false">D101*Hipótesis!$D$114/12</f>
        <v>0</v>
      </c>
      <c r="E103" s="100" t="n">
        <f aca="false">E101*Hipótesis!$D$114/12</f>
        <v>0</v>
      </c>
      <c r="F103" s="100" t="n">
        <f aca="false">F101*Hipótesis!$D$114/12</f>
        <v>0</v>
      </c>
      <c r="G103" s="100" t="n">
        <f aca="false">G101*Hipótesis!$D$114/12</f>
        <v>0</v>
      </c>
      <c r="H103" s="100" t="n">
        <f aca="false">H101*Hipótesis!$D$114/12</f>
        <v>0</v>
      </c>
      <c r="I103" s="100" t="n">
        <f aca="false">I101*Hipótesis!$D$114/12</f>
        <v>0</v>
      </c>
      <c r="J103" s="100" t="n">
        <f aca="false">J101*Hipótesis!$D$114/12</f>
        <v>0</v>
      </c>
      <c r="K103" s="100" t="n">
        <f aca="false">K101*Hipótesis!$D$114/12</f>
        <v>0</v>
      </c>
      <c r="L103" s="100" t="n">
        <f aca="false">L101*Hipótesis!$D$114/12</f>
        <v>0</v>
      </c>
      <c r="M103" s="100" t="n">
        <f aca="false">M101*Hipótesis!$D$114/12</f>
        <v>0</v>
      </c>
      <c r="N103" s="100" t="n">
        <f aca="false">N101*Hipótesis!$D$114/12</f>
        <v>0</v>
      </c>
      <c r="O103" s="100" t="n">
        <f aca="false">O101*Hipótesis!$D$114/12</f>
        <v>0</v>
      </c>
      <c r="P103" s="100" t="n">
        <f aca="false">P101*Hipótesis!$D$114/12</f>
        <v>0</v>
      </c>
      <c r="Q103" s="100" t="n">
        <f aca="false">Q101*Hipótesis!$D$114/12</f>
        <v>0</v>
      </c>
      <c r="R103" s="100" t="n">
        <f aca="false">R101*Hipótesis!$D$114/12</f>
        <v>0</v>
      </c>
      <c r="S103" s="100" t="n">
        <f aca="false">S101*Hipótesis!$D$114/12</f>
        <v>0</v>
      </c>
      <c r="T103" s="100" t="n">
        <f aca="false">T101*Hipótesis!$D$114/12</f>
        <v>0</v>
      </c>
      <c r="U103" s="100" t="n">
        <f aca="false">U101*Hipótesis!$D$114/12</f>
        <v>0</v>
      </c>
      <c r="V103" s="100" t="n">
        <f aca="false">V101*Hipótesis!$D$114/12</f>
        <v>0</v>
      </c>
      <c r="W103" s="100" t="n">
        <f aca="false">W101*Hipótesis!$D$114/12</f>
        <v>0</v>
      </c>
      <c r="X103" s="100" t="n">
        <f aca="false">X101*Hipótesis!$D$114/12</f>
        <v>0</v>
      </c>
      <c r="Y103" s="100" t="n">
        <f aca="false">Y101*Hipótesis!$D$114/12</f>
        <v>0</v>
      </c>
      <c r="Z103" s="100" t="n">
        <f aca="false">Z101*Hipótesis!$D$114/12</f>
        <v>0</v>
      </c>
      <c r="AA103" s="100" t="n">
        <f aca="false">AA101*Hipótesis!$D$114/12</f>
        <v>0</v>
      </c>
      <c r="AB103" s="100" t="n">
        <f aca="false">AB101*Hipótesis!$D$114/12</f>
        <v>0</v>
      </c>
      <c r="AC103" s="100" t="n">
        <f aca="false">AC101*Hipótesis!$D$114/12</f>
        <v>0</v>
      </c>
      <c r="AD103" s="100" t="n">
        <f aca="false">AD101*Hipótesis!$D$114/12</f>
        <v>0</v>
      </c>
      <c r="AE103" s="100" t="n">
        <f aca="false">AE101*Hipótesis!$D$114/12</f>
        <v>0</v>
      </c>
      <c r="AF103" s="100" t="n">
        <f aca="false">AF101*Hipótesis!$D$114/12</f>
        <v>0</v>
      </c>
      <c r="AG103" s="100" t="n">
        <f aca="false">AG101*Hipótesis!$D$114/12</f>
        <v>0</v>
      </c>
      <c r="AH103" s="100" t="n">
        <f aca="false">AH101*Hipótesis!$D$114/12</f>
        <v>0</v>
      </c>
      <c r="AI103" s="100" t="n">
        <f aca="false">AI101*Hipótesis!$D$114/12</f>
        <v>0</v>
      </c>
      <c r="AJ103" s="100" t="n">
        <f aca="false">AJ101*Hipótesis!$D$114/12</f>
        <v>0</v>
      </c>
      <c r="AK103" s="100" t="n">
        <f aca="false">AK101*Hipótesis!$D$114/12</f>
        <v>0</v>
      </c>
      <c r="AL103" s="100" t="n">
        <f aca="false">AL101*Hipótesis!$D$114/12</f>
        <v>0</v>
      </c>
      <c r="AM103" s="100" t="n">
        <f aca="false">AM101*Hipótesis!$D$114/12</f>
        <v>0</v>
      </c>
      <c r="AN103" s="100" t="n">
        <f aca="false">AN101*Hipótesis!$D$114/12</f>
        <v>0</v>
      </c>
      <c r="AO103" s="100" t="n">
        <f aca="false">AO101*Hipótesis!$D$114/12</f>
        <v>0</v>
      </c>
      <c r="AP103" s="100" t="n">
        <f aca="false">AP101*Hipótesis!$D$114/12</f>
        <v>0</v>
      </c>
      <c r="AQ103" s="100" t="n">
        <f aca="false">AQ101*Hipótesis!$D$114/12</f>
        <v>0</v>
      </c>
      <c r="AR103" s="100" t="n">
        <f aca="false">AR101*Hipótesis!$D$114/12</f>
        <v>0</v>
      </c>
      <c r="AS103" s="100" t="n">
        <f aca="false">AS101*Hipótesis!$D$114/12</f>
        <v>0</v>
      </c>
      <c r="AT103" s="100" t="n">
        <f aca="false">AT101*Hipótesis!$D$114/12</f>
        <v>0</v>
      </c>
      <c r="AU103" s="100" t="n">
        <f aca="false">AU101*Hipótesis!$D$114/12</f>
        <v>0</v>
      </c>
      <c r="AV103" s="100" t="n">
        <f aca="false">AV101*Hipótesis!$D$114/12</f>
        <v>0</v>
      </c>
      <c r="AW103" s="100" t="n">
        <f aca="false">AW101*Hipótesis!$D$114/12</f>
        <v>0</v>
      </c>
      <c r="AX103" s="100" t="n">
        <f aca="false">AX101*Hipótesis!$D$114/12</f>
        <v>0</v>
      </c>
      <c r="AY103" s="100" t="n">
        <f aca="false">AY101*Hipótesis!$D$114/12</f>
        <v>0</v>
      </c>
      <c r="AZ103" s="100" t="n">
        <f aca="false">AZ101*Hipótesis!$D$114/12</f>
        <v>0</v>
      </c>
      <c r="BA103" s="100" t="n">
        <f aca="false">BA101*Hipótesis!$D$114/12</f>
        <v>0</v>
      </c>
      <c r="BB103" s="100" t="n">
        <f aca="false">BB101*Hipótesis!$D$114/12</f>
        <v>0</v>
      </c>
      <c r="BC103" s="100" t="n">
        <f aca="false">BC101*Hipótesis!$D$114/12</f>
        <v>0</v>
      </c>
      <c r="BD103" s="100" t="n">
        <f aca="false">BD101*Hipótesis!$D$114/12</f>
        <v>0</v>
      </c>
      <c r="BE103" s="100" t="n">
        <f aca="false">BE101*Hipótesis!$D$114/12</f>
        <v>0</v>
      </c>
      <c r="BF103" s="100" t="n">
        <f aca="false">BF101*Hipótesis!$D$114/12</f>
        <v>0</v>
      </c>
      <c r="BG103" s="100" t="n">
        <f aca="false">BG101*Hipótesis!$D$114/12</f>
        <v>0</v>
      </c>
      <c r="BH103" s="100" t="n">
        <f aca="false">BH101*Hipótesis!$D$114/12</f>
        <v>0</v>
      </c>
      <c r="BI103" s="100" t="n">
        <f aca="false">BI101*Hipótesis!$D$114/12</f>
        <v>0</v>
      </c>
      <c r="BJ103" s="100" t="n">
        <f aca="false">BJ101*Hipótesis!$D$114/12</f>
        <v>0</v>
      </c>
      <c r="BK103" s="100" t="n">
        <f aca="false">BK101*Hipótesis!$D$114/12</f>
        <v>0</v>
      </c>
      <c r="BL103" s="100" t="n">
        <f aca="false">BL101*Hipótesis!$D$114/12</f>
        <v>0</v>
      </c>
      <c r="BM103" s="100" t="n">
        <f aca="false">BM101*Hipótesis!$D$114/12</f>
        <v>0</v>
      </c>
      <c r="BN103" s="100" t="n">
        <f aca="false">BN101*Hipótesis!$D$114/12</f>
        <v>0</v>
      </c>
      <c r="BO103" s="100" t="n">
        <f aca="false">BO101*Hipótesis!$D$114/12</f>
        <v>0</v>
      </c>
      <c r="BP103" s="100" t="n">
        <f aca="false">BP101*Hipótesis!$D$114/12</f>
        <v>0</v>
      </c>
      <c r="BQ103" s="100" t="n">
        <f aca="false">BQ101*Hipótesis!$D$114/12</f>
        <v>0</v>
      </c>
      <c r="BR103" s="100" t="n">
        <f aca="false">BR101*Hipótesis!$D$114/12</f>
        <v>0</v>
      </c>
      <c r="BS103" s="100" t="n">
        <f aca="false">BS101*Hipótesis!$D$114/12</f>
        <v>0</v>
      </c>
      <c r="BT103" s="100" t="n">
        <f aca="false">BT101*Hipótesis!$D$114/12</f>
        <v>0</v>
      </c>
      <c r="BU103" s="100" t="n">
        <f aca="false">BU101*Hipótesis!$D$114/12</f>
        <v>0</v>
      </c>
      <c r="BV103" s="100" t="n">
        <f aca="false">BV101*Hipótesis!$D$114/12</f>
        <v>0</v>
      </c>
      <c r="BW103" s="100" t="n">
        <f aca="false">BW101*Hipótesis!$D$114/12</f>
        <v>0</v>
      </c>
      <c r="BX103" s="100" t="n">
        <f aca="false">BX101*Hipótesis!$D$114/12</f>
        <v>0</v>
      </c>
      <c r="BY103" s="100" t="n">
        <f aca="false">BY101*Hipótesis!$D$114/12</f>
        <v>0</v>
      </c>
      <c r="BZ103" s="100" t="n">
        <f aca="false">BZ101*Hipótesis!$D$114/12</f>
        <v>0</v>
      </c>
      <c r="CA103" s="100" t="n">
        <f aca="false">CA101*Hipótesis!$D$114/12</f>
        <v>0</v>
      </c>
      <c r="CB103" s="100" t="n">
        <f aca="false">CB101*Hipótesis!$D$114/12</f>
        <v>0</v>
      </c>
      <c r="CC103" s="100" t="n">
        <f aca="false">CC101*Hipótesis!$D$114/12</f>
        <v>0</v>
      </c>
      <c r="CD103" s="100" t="n">
        <f aca="false">CD101*Hipótesis!$D$114/12</f>
        <v>0</v>
      </c>
      <c r="CE103" s="100" t="n">
        <f aca="false">CE101*Hipótesis!$D$114/12</f>
        <v>0</v>
      </c>
      <c r="CF103" s="100" t="n">
        <f aca="false">CF101*Hipótesis!$D$114/12</f>
        <v>0</v>
      </c>
      <c r="CG103" s="100" t="n">
        <f aca="false">CG101*Hipótesis!$D$114/12</f>
        <v>0</v>
      </c>
      <c r="CH103" s="100" t="n">
        <f aca="false">CH101*Hipótesis!$D$114/12</f>
        <v>0</v>
      </c>
    </row>
    <row r="104" customFormat="false" ht="13.5" hidden="false" customHeight="true" outlineLevel="0" collapsed="false">
      <c r="A104" s="6" t="s">
        <v>575</v>
      </c>
      <c r="C104" s="100" t="n">
        <f aca="false">C102+C103</f>
        <v>0</v>
      </c>
      <c r="D104" s="100" t="n">
        <f aca="false">D102+D103</f>
        <v>0</v>
      </c>
      <c r="E104" s="100" t="n">
        <f aca="false">E102+E103</f>
        <v>0</v>
      </c>
      <c r="F104" s="100" t="n">
        <f aca="false">F102+F103</f>
        <v>0</v>
      </c>
      <c r="G104" s="100" t="n">
        <f aca="false">G102+G103</f>
        <v>0</v>
      </c>
      <c r="H104" s="100" t="n">
        <f aca="false">H102+H103</f>
        <v>0</v>
      </c>
      <c r="I104" s="100" t="n">
        <f aca="false">I102+I103</f>
        <v>0</v>
      </c>
      <c r="J104" s="100" t="n">
        <f aca="false">J102+J103</f>
        <v>0</v>
      </c>
      <c r="K104" s="100" t="n">
        <f aca="false">K102+K103</f>
        <v>0</v>
      </c>
      <c r="L104" s="100" t="n">
        <f aca="false">L102+L103</f>
        <v>0</v>
      </c>
      <c r="M104" s="100" t="n">
        <f aca="false">M102+M103</f>
        <v>0</v>
      </c>
      <c r="N104" s="100" t="n">
        <f aca="false">N102+N103</f>
        <v>0</v>
      </c>
      <c r="O104" s="100" t="n">
        <f aca="false">O102+O103</f>
        <v>0</v>
      </c>
      <c r="P104" s="100" t="n">
        <f aca="false">P102+P103</f>
        <v>0</v>
      </c>
      <c r="Q104" s="100" t="n">
        <f aca="false">Q102+Q103</f>
        <v>0</v>
      </c>
      <c r="R104" s="100" t="n">
        <f aca="false">R102+R103</f>
        <v>0</v>
      </c>
      <c r="S104" s="100" t="n">
        <f aca="false">S102+S103</f>
        <v>0</v>
      </c>
      <c r="T104" s="100" t="n">
        <f aca="false">T102+T103</f>
        <v>0</v>
      </c>
      <c r="U104" s="100" t="n">
        <f aca="false">U102+U103</f>
        <v>0</v>
      </c>
      <c r="V104" s="100" t="n">
        <f aca="false">V102+V103</f>
        <v>0</v>
      </c>
      <c r="W104" s="100" t="n">
        <f aca="false">W102+W103</f>
        <v>0</v>
      </c>
      <c r="X104" s="100" t="n">
        <f aca="false">X102+X103</f>
        <v>0</v>
      </c>
      <c r="Y104" s="100" t="n">
        <f aca="false">Y102+Y103</f>
        <v>0</v>
      </c>
      <c r="Z104" s="100" t="n">
        <f aca="false">Z102+Z103</f>
        <v>0</v>
      </c>
      <c r="AA104" s="100" t="n">
        <f aca="false">AA102+AA103</f>
        <v>0</v>
      </c>
      <c r="AB104" s="100" t="n">
        <f aca="false">AB102+AB103</f>
        <v>0</v>
      </c>
      <c r="AC104" s="100" t="n">
        <f aca="false">AC102+AC103</f>
        <v>0</v>
      </c>
      <c r="AD104" s="100" t="n">
        <f aca="false">AD102+AD103</f>
        <v>0</v>
      </c>
      <c r="AE104" s="100" t="n">
        <f aca="false">AE102+AE103</f>
        <v>0</v>
      </c>
      <c r="AF104" s="100" t="n">
        <f aca="false">AF102+AF103</f>
        <v>0</v>
      </c>
      <c r="AG104" s="100" t="n">
        <f aca="false">AG102+AG103</f>
        <v>0</v>
      </c>
      <c r="AH104" s="100" t="n">
        <f aca="false">AH102+AH103</f>
        <v>0</v>
      </c>
      <c r="AI104" s="100" t="n">
        <f aca="false">AI102+AI103</f>
        <v>0</v>
      </c>
      <c r="AJ104" s="100" t="n">
        <f aca="false">AJ102+AJ103</f>
        <v>0</v>
      </c>
      <c r="AK104" s="100" t="n">
        <f aca="false">AK102+AK103</f>
        <v>0</v>
      </c>
      <c r="AL104" s="100" t="n">
        <f aca="false">AL102+AL103</f>
        <v>0</v>
      </c>
      <c r="AM104" s="100" t="n">
        <f aca="false">AM102+AM103</f>
        <v>0</v>
      </c>
      <c r="AN104" s="100" t="n">
        <f aca="false">AN102+AN103</f>
        <v>0</v>
      </c>
      <c r="AO104" s="100" t="n">
        <f aca="false">AO102+AO103</f>
        <v>0</v>
      </c>
      <c r="AP104" s="100" t="n">
        <f aca="false">AP102+AP103</f>
        <v>0</v>
      </c>
      <c r="AQ104" s="100" t="n">
        <f aca="false">AQ102+AQ103</f>
        <v>0</v>
      </c>
      <c r="AR104" s="100" t="n">
        <f aca="false">AR102+AR103</f>
        <v>0</v>
      </c>
      <c r="AS104" s="100" t="n">
        <f aca="false">AS102+AS103</f>
        <v>0</v>
      </c>
      <c r="AT104" s="100" t="n">
        <f aca="false">AT102+AT103</f>
        <v>0</v>
      </c>
      <c r="AU104" s="100" t="n">
        <f aca="false">AU102+AU103</f>
        <v>0</v>
      </c>
      <c r="AV104" s="100" t="n">
        <f aca="false">AV102+AV103</f>
        <v>0</v>
      </c>
      <c r="AW104" s="100" t="n">
        <f aca="false">AW102+AW103</f>
        <v>0</v>
      </c>
      <c r="AX104" s="100" t="n">
        <f aca="false">AX102+AX103</f>
        <v>0</v>
      </c>
      <c r="AY104" s="100" t="n">
        <f aca="false">AY102+AY103</f>
        <v>0</v>
      </c>
      <c r="AZ104" s="100" t="n">
        <f aca="false">AZ102+AZ103</f>
        <v>0</v>
      </c>
      <c r="BA104" s="100" t="n">
        <f aca="false">BA102+BA103</f>
        <v>0</v>
      </c>
      <c r="BB104" s="100" t="n">
        <f aca="false">BB102+BB103</f>
        <v>0</v>
      </c>
      <c r="BC104" s="100" t="n">
        <f aca="false">BC102+BC103</f>
        <v>0</v>
      </c>
      <c r="BD104" s="100" t="n">
        <f aca="false">BD102+BD103</f>
        <v>0</v>
      </c>
      <c r="BE104" s="100" t="n">
        <f aca="false">BE102+BE103</f>
        <v>0</v>
      </c>
      <c r="BF104" s="100" t="n">
        <f aca="false">BF102+BF103</f>
        <v>0</v>
      </c>
      <c r="BG104" s="100" t="n">
        <f aca="false">BG102+BG103</f>
        <v>0</v>
      </c>
      <c r="BH104" s="100" t="n">
        <f aca="false">BH102+BH103</f>
        <v>0</v>
      </c>
      <c r="BI104" s="100" t="n">
        <f aca="false">BI102+BI103</f>
        <v>0</v>
      </c>
      <c r="BJ104" s="100" t="n">
        <f aca="false">BJ102+BJ103</f>
        <v>0</v>
      </c>
      <c r="BK104" s="100" t="n">
        <f aca="false">BK102+BK103</f>
        <v>0</v>
      </c>
      <c r="BL104" s="100" t="n">
        <f aca="false">BL102+BL103</f>
        <v>0</v>
      </c>
      <c r="BM104" s="100" t="n">
        <f aca="false">BM102+BM103</f>
        <v>0</v>
      </c>
      <c r="BN104" s="100" t="n">
        <f aca="false">BN102+BN103</f>
        <v>0</v>
      </c>
      <c r="BO104" s="100" t="n">
        <f aca="false">BO102+BO103</f>
        <v>0</v>
      </c>
      <c r="BP104" s="100" t="n">
        <f aca="false">BP102+BP103</f>
        <v>0</v>
      </c>
      <c r="BQ104" s="100" t="n">
        <f aca="false">BQ102+BQ103</f>
        <v>0</v>
      </c>
      <c r="BR104" s="100" t="n">
        <f aca="false">BR102+BR103</f>
        <v>0</v>
      </c>
      <c r="BS104" s="100" t="n">
        <f aca="false">BS102+BS103</f>
        <v>0</v>
      </c>
      <c r="BT104" s="100" t="n">
        <f aca="false">BT102+BT103</f>
        <v>0</v>
      </c>
      <c r="BU104" s="100" t="n">
        <f aca="false">BU102+BU103</f>
        <v>0</v>
      </c>
      <c r="BV104" s="100" t="n">
        <f aca="false">BV102+BV103</f>
        <v>0</v>
      </c>
      <c r="BW104" s="100" t="n">
        <f aca="false">BW102+BW103</f>
        <v>0</v>
      </c>
      <c r="BX104" s="100" t="n">
        <f aca="false">BX102+BX103</f>
        <v>0</v>
      </c>
      <c r="BY104" s="100" t="n">
        <f aca="false">BY102+BY103</f>
        <v>0</v>
      </c>
      <c r="BZ104" s="100" t="n">
        <f aca="false">BZ102+BZ103</f>
        <v>0</v>
      </c>
      <c r="CA104" s="100" t="n">
        <f aca="false">CA102+CA103</f>
        <v>0</v>
      </c>
      <c r="CB104" s="100" t="n">
        <f aca="false">CB102+CB103</f>
        <v>0</v>
      </c>
      <c r="CC104" s="100" t="n">
        <f aca="false">CC102+CC103</f>
        <v>0</v>
      </c>
      <c r="CD104" s="100" t="n">
        <f aca="false">CD102+CD103</f>
        <v>0</v>
      </c>
      <c r="CE104" s="100" t="n">
        <f aca="false">CE102+CE103</f>
        <v>0</v>
      </c>
      <c r="CF104" s="100" t="n">
        <f aca="false">CF102+CF103</f>
        <v>0</v>
      </c>
      <c r="CG104" s="100" t="n">
        <f aca="false">CG102+CG103</f>
        <v>0</v>
      </c>
      <c r="CH104" s="100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46" t="s">
        <v>576</v>
      </c>
      <c r="C106" s="63" t="n">
        <f aca="false">C93+C99+C104</f>
        <v>333.333333333333</v>
      </c>
      <c r="D106" s="63" t="n">
        <f aca="false">D93+D99+D104</f>
        <v>333.333333333333</v>
      </c>
      <c r="E106" s="63" t="n">
        <f aca="false">E93+E99+E104</f>
        <v>333.333333333333</v>
      </c>
      <c r="F106" s="63" t="n">
        <f aca="false">F93+F99+F104</f>
        <v>333.333333333333</v>
      </c>
      <c r="G106" s="63" t="n">
        <f aca="false">G93+G99+G104</f>
        <v>333.333333333333</v>
      </c>
      <c r="H106" s="63" t="n">
        <f aca="false">H93+H99+H104</f>
        <v>333.333333333333</v>
      </c>
      <c r="I106" s="63" t="n">
        <f aca="false">I93+I99+I104</f>
        <v>333.333333333333</v>
      </c>
      <c r="J106" s="63" t="n">
        <f aca="false">J93+J99+J104</f>
        <v>333.333333333333</v>
      </c>
      <c r="K106" s="63" t="n">
        <f aca="false">K93+K99+K104</f>
        <v>363.280667725478</v>
      </c>
      <c r="L106" s="63" t="n">
        <f aca="false">L93+L99+L104</f>
        <v>424.816837759668</v>
      </c>
      <c r="M106" s="63" t="n">
        <f aca="false">M93+M99+M104</f>
        <v>465.222604535034</v>
      </c>
      <c r="N106" s="63" t="n">
        <f aca="false">N93+N99+N104</f>
        <v>521.437045402029</v>
      </c>
      <c r="O106" s="63" t="n">
        <f aca="false">O93+O99+O104</f>
        <v>473.107486269023</v>
      </c>
      <c r="P106" s="63" t="n">
        <f aca="false">P93+P99+P104</f>
        <v>477.017810834674</v>
      </c>
      <c r="Q106" s="63" t="n">
        <f aca="false">Q93+Q99+Q104</f>
        <v>527.154535400326</v>
      </c>
      <c r="R106" s="63" t="n">
        <f aca="false">R93+R99+R104</f>
        <v>577.291259965977</v>
      </c>
      <c r="S106" s="63" t="n">
        <f aca="false">S93+S99+S104</f>
        <v>627.427984531628</v>
      </c>
      <c r="T106" s="63" t="n">
        <f aca="false">T93+T99+T104</f>
        <v>677.56470909728</v>
      </c>
      <c r="U106" s="63" t="n">
        <f aca="false">U93+U99+U104</f>
        <v>681.475033662931</v>
      </c>
      <c r="V106" s="63" t="n">
        <f aca="false">V93+V99+V104</f>
        <v>677.227758228582</v>
      </c>
      <c r="W106" s="63" t="n">
        <f aca="false">W93+W99+W104</f>
        <v>727.364482794234</v>
      </c>
      <c r="X106" s="63" t="n">
        <f aca="false">X93+X99+X104</f>
        <v>761.692533268258</v>
      </c>
      <c r="Y106" s="63" t="n">
        <f aca="false">Y93+Y99+Y104</f>
        <v>796.020583742282</v>
      </c>
      <c r="Z106" s="63" t="n">
        <f aca="false">Z93+Z99+Z104</f>
        <v>824.588924579655</v>
      </c>
      <c r="AA106" s="63" t="n">
        <f aca="false">AA93+AA99+AA104</f>
        <v>2474.1873080837</v>
      </c>
      <c r="AB106" s="63" t="n">
        <f aca="false">AB93+AB99+AB104</f>
        <v>2449.58690136551</v>
      </c>
      <c r="AC106" s="63" t="n">
        <f aca="false">AC93+AC99+AC104</f>
        <v>2472.59968664733</v>
      </c>
      <c r="AD106" s="63" t="n">
        <f aca="false">AD93+AD99+AD104</f>
        <v>2495.61247192915</v>
      </c>
      <c r="AE106" s="63" t="n">
        <f aca="false">AE93+AE99+AE104</f>
        <v>2518.62525721096</v>
      </c>
      <c r="AF106" s="63" t="n">
        <f aca="false">AF93+AF99+AF104</f>
        <v>2541.63804249278</v>
      </c>
      <c r="AG106" s="63" t="n">
        <f aca="false">AG93+AG99+AG104</f>
        <v>2564.6508277746</v>
      </c>
      <c r="AH106" s="63" t="n">
        <f aca="false">AH93+AH99+AH104</f>
        <v>2587.66361305642</v>
      </c>
      <c r="AI106" s="63" t="n">
        <f aca="false">AI93+AI99+AI104</f>
        <v>2610.67639833824</v>
      </c>
      <c r="AJ106" s="63" t="n">
        <f aca="false">AJ93+AJ99+AJ104</f>
        <v>2633.68918362005</v>
      </c>
      <c r="AK106" s="63" t="n">
        <f aca="false">AK93+AK99+AK104</f>
        <v>2656.70196890187</v>
      </c>
      <c r="AL106" s="63" t="n">
        <f aca="false">AL93+AL99+AL104</f>
        <v>2632.10156218369</v>
      </c>
      <c r="AM106" s="63" t="n">
        <f aca="false">AM93+AM99+AM104</f>
        <v>2606.4398332255</v>
      </c>
      <c r="AN106" s="63" t="n">
        <f aca="false">AN93+AN99+AN104</f>
        <v>2629.45261850732</v>
      </c>
      <c r="AO106" s="63" t="n">
        <f aca="false">AO93+AO99+AO104</f>
        <v>2652.46540378914</v>
      </c>
      <c r="AP106" s="63" t="n">
        <f aca="false">AP93+AP99+AP104</f>
        <v>2675.47818907096</v>
      </c>
      <c r="AQ106" s="63" t="n">
        <f aca="false">AQ93+AQ99+AQ104</f>
        <v>2698.49097435277</v>
      </c>
      <c r="AR106" s="63" t="n">
        <f aca="false">AR93+AR99+AR104</f>
        <v>2721.50375963459</v>
      </c>
      <c r="AS106" s="63" t="n">
        <f aca="false">AS93+AS99+AS104</f>
        <v>2715.94820407904</v>
      </c>
      <c r="AT106" s="63" t="n">
        <f aca="false">AT93+AT99+AT104</f>
        <v>2710.39264852348</v>
      </c>
      <c r="AU106" s="63" t="n">
        <f aca="false">AU93+AU99+AU104</f>
        <v>2704.83709296793</v>
      </c>
      <c r="AV106" s="63" t="n">
        <f aca="false">AV93+AV99+AV104</f>
        <v>2699.28153741237</v>
      </c>
      <c r="AW106" s="63" t="n">
        <f aca="false">AW93+AW99+AW104</f>
        <v>2693.72598185681</v>
      </c>
      <c r="AX106" s="63" t="n">
        <f aca="false">AX93+AX99+AX104</f>
        <v>2688.17042630126</v>
      </c>
      <c r="AY106" s="63" t="n">
        <f aca="false">AY93+AY99+AY104</f>
        <v>2633.6681210785</v>
      </c>
      <c r="AZ106" s="63" t="n">
        <f aca="false">AZ93+AZ99+AZ104</f>
        <v>2628.11256552295</v>
      </c>
      <c r="BA106" s="63" t="n">
        <f aca="false">BA93+BA99+BA104</f>
        <v>2622.55700996739</v>
      </c>
      <c r="BB106" s="63" t="n">
        <f aca="false">BB93+BB99+BB104</f>
        <v>2617.00145441184</v>
      </c>
      <c r="BC106" s="63" t="n">
        <f aca="false">BC93+BC99+BC104</f>
        <v>2611.44589885628</v>
      </c>
      <c r="BD106" s="63" t="n">
        <f aca="false">BD93+BD99+BD104</f>
        <v>2605.89034330073</v>
      </c>
      <c r="BE106" s="63" t="n">
        <f aca="false">BE93+BE99+BE104</f>
        <v>2600.33478774517</v>
      </c>
      <c r="BF106" s="63" t="n">
        <f aca="false">BF93+BF99+BF104</f>
        <v>2594.77923218961</v>
      </c>
      <c r="BG106" s="63" t="n">
        <f aca="false">BG93+BG99+BG104</f>
        <v>2589.22367663406</v>
      </c>
      <c r="BH106" s="63" t="n">
        <f aca="false">BH93+BH99+BH104</f>
        <v>2583.6681210785</v>
      </c>
      <c r="BI106" s="63" t="n">
        <f aca="false">BI93+BI99+BI104</f>
        <v>2578.11256552295</v>
      </c>
      <c r="BJ106" s="63" t="n">
        <f aca="false">BJ93+BJ99+BJ104</f>
        <v>2572.55700996739</v>
      </c>
      <c r="BK106" s="63" t="n">
        <f aca="false">BK93+BK99+BK104</f>
        <v>2517.77430225462</v>
      </c>
      <c r="BL106" s="63" t="n">
        <f aca="false">BL93+BL99+BL104</f>
        <v>2512.21874669907</v>
      </c>
      <c r="BM106" s="63" t="n">
        <f aca="false">BM93+BM99+BM104</f>
        <v>2506.66319114351</v>
      </c>
      <c r="BN106" s="63" t="n">
        <f aca="false">BN93+BN99+BN104</f>
        <v>2501.10763558795</v>
      </c>
      <c r="BO106" s="63" t="n">
        <f aca="false">BO93+BO99+BO104</f>
        <v>2495.5520800324</v>
      </c>
      <c r="BP106" s="63" t="n">
        <f aca="false">BP93+BP99+BP104</f>
        <v>2489.99652447684</v>
      </c>
      <c r="BQ106" s="63" t="n">
        <f aca="false">BQ93+BQ99+BQ104</f>
        <v>2484.44096892129</v>
      </c>
      <c r="BR106" s="63" t="n">
        <f aca="false">BR93+BR99+BR104</f>
        <v>2478.88541336573</v>
      </c>
      <c r="BS106" s="63" t="n">
        <f aca="false">BS93+BS99+BS104</f>
        <v>2473.32985781018</v>
      </c>
      <c r="BT106" s="63" t="n">
        <f aca="false">BT93+BT99+BT104</f>
        <v>2467.77430225462</v>
      </c>
      <c r="BU106" s="63" t="n">
        <f aca="false">BU93+BU99+BU104</f>
        <v>2462.21874669907</v>
      </c>
      <c r="BV106" s="63" t="n">
        <f aca="false">BV93+BV99+BV104</f>
        <v>2456.66319114351</v>
      </c>
      <c r="BW106" s="63" t="n">
        <f aca="false">BW93+BW99+BW104</f>
        <v>2401.59166886602</v>
      </c>
      <c r="BX106" s="63" t="n">
        <f aca="false">BX93+BX99+BX104</f>
        <v>2396.03611331047</v>
      </c>
      <c r="BY106" s="63" t="n">
        <f aca="false">BY93+BY99+BY104</f>
        <v>2390.48055775491</v>
      </c>
      <c r="BZ106" s="63" t="n">
        <f aca="false">BZ93+BZ99+BZ104</f>
        <v>2384.92500219935</v>
      </c>
      <c r="CA106" s="63" t="n">
        <f aca="false">CA93+CA99+CA104</f>
        <v>2379.3694466438</v>
      </c>
      <c r="CB106" s="63" t="n">
        <f aca="false">CB93+CB99+CB104</f>
        <v>2373.81389108824</v>
      </c>
      <c r="CC106" s="63" t="n">
        <f aca="false">CC93+CC99+CC104</f>
        <v>2368.25833553269</v>
      </c>
      <c r="CD106" s="63" t="n">
        <f aca="false">CD93+CD99+CD104</f>
        <v>2362.70277997713</v>
      </c>
      <c r="CE106" s="63" t="n">
        <f aca="false">CE93+CE99+CE104</f>
        <v>2357.14722442158</v>
      </c>
      <c r="CF106" s="63" t="n">
        <f aca="false">CF93+CF99+CF104</f>
        <v>2351.59166886602</v>
      </c>
      <c r="CG106" s="63" t="n">
        <f aca="false">CG93+CG99+CG104</f>
        <v>2346.03611331047</v>
      </c>
      <c r="CH106" s="63" t="n">
        <f aca="false">CH93+CH99+CH104</f>
        <v>2340.48055775485</v>
      </c>
    </row>
    <row r="107" customFormat="false" ht="13.5" hidden="false" customHeight="true" outlineLevel="0" collapsed="false">
      <c r="A107" s="6" t="s">
        <v>577</v>
      </c>
      <c r="C107" s="100" t="n">
        <f aca="false">C106</f>
        <v>333.333333333333</v>
      </c>
      <c r="D107" s="100" t="n">
        <f aca="false">C107+D106</f>
        <v>666.666666666667</v>
      </c>
      <c r="E107" s="100" t="n">
        <f aca="false">D107+E106</f>
        <v>1000</v>
      </c>
      <c r="F107" s="100" t="n">
        <f aca="false">E107+F106</f>
        <v>1333.33333333333</v>
      </c>
      <c r="G107" s="100" t="n">
        <f aca="false">F107+G106</f>
        <v>1666.66666666667</v>
      </c>
      <c r="H107" s="100" t="n">
        <f aca="false">G107+H106</f>
        <v>2000</v>
      </c>
      <c r="I107" s="100" t="n">
        <f aca="false">H107+I106</f>
        <v>2333.33333333333</v>
      </c>
      <c r="J107" s="100" t="n">
        <f aca="false">I107+J106</f>
        <v>2666.66666666667</v>
      </c>
      <c r="K107" s="100" t="n">
        <f aca="false">J107+K106</f>
        <v>3029.94733439214</v>
      </c>
      <c r="L107" s="100" t="n">
        <f aca="false">K107+L106</f>
        <v>3454.76417215181</v>
      </c>
      <c r="M107" s="100" t="n">
        <f aca="false">L107+M106</f>
        <v>3919.98677668685</v>
      </c>
      <c r="N107" s="100" t="n">
        <f aca="false">M107+N106</f>
        <v>4441.42382208888</v>
      </c>
      <c r="O107" s="100" t="n">
        <f aca="false">N107+O106</f>
        <v>4914.5313083579</v>
      </c>
      <c r="P107" s="100" t="n">
        <f aca="false">O107+P106</f>
        <v>5391.54911919257</v>
      </c>
      <c r="Q107" s="100" t="n">
        <f aca="false">P107+Q106</f>
        <v>5918.7036545929</v>
      </c>
      <c r="R107" s="100" t="n">
        <f aca="false">Q107+R106</f>
        <v>6495.99491455887</v>
      </c>
      <c r="S107" s="100" t="n">
        <f aca="false">R107+S106</f>
        <v>7123.4228990905</v>
      </c>
      <c r="T107" s="100" t="n">
        <f aca="false">S107+T106</f>
        <v>7800.98760818778</v>
      </c>
      <c r="U107" s="100" t="n">
        <f aca="false">T107+U106</f>
        <v>8482.46264185071</v>
      </c>
      <c r="V107" s="100" t="n">
        <f aca="false">U107+V106</f>
        <v>9159.6904000793</v>
      </c>
      <c r="W107" s="100" t="n">
        <f aca="false">V107+W106</f>
        <v>9887.05488287353</v>
      </c>
      <c r="X107" s="100" t="n">
        <f aca="false">W107+X106</f>
        <v>10648.7474161418</v>
      </c>
      <c r="Y107" s="100" t="n">
        <f aca="false">X107+Y106</f>
        <v>11444.7679998841</v>
      </c>
      <c r="Z107" s="100" t="n">
        <f aca="false">Y107+Z106</f>
        <v>12269.3569244637</v>
      </c>
      <c r="AA107" s="100" t="n">
        <f aca="false">Z107+AA106</f>
        <v>14743.5442325474</v>
      </c>
      <c r="AB107" s="100" t="n">
        <f aca="false">AA107+AB106</f>
        <v>17193.1311339129</v>
      </c>
      <c r="AC107" s="100" t="n">
        <f aca="false">AB107+AC106</f>
        <v>19665.7308205603</v>
      </c>
      <c r="AD107" s="100" t="n">
        <f aca="false">AC107+AD106</f>
        <v>22161.3432924894</v>
      </c>
      <c r="AE107" s="100" t="n">
        <f aca="false">AD107+AE106</f>
        <v>24679.9685497004</v>
      </c>
      <c r="AF107" s="100" t="n">
        <f aca="false">AE107+AF106</f>
        <v>27221.6065921932</v>
      </c>
      <c r="AG107" s="100" t="n">
        <f aca="false">AF107+AG106</f>
        <v>29786.2574199678</v>
      </c>
      <c r="AH107" s="100" t="n">
        <f aca="false">AG107+AH106</f>
        <v>32373.9210330242</v>
      </c>
      <c r="AI107" s="100" t="n">
        <f aca="false">AH107+AI106</f>
        <v>34984.5974313624</v>
      </c>
      <c r="AJ107" s="100" t="n">
        <f aca="false">AI107+AJ106</f>
        <v>37618.2866149825</v>
      </c>
      <c r="AK107" s="100" t="n">
        <f aca="false">AJ107+AK106</f>
        <v>40274.9885838843</v>
      </c>
      <c r="AL107" s="100" t="n">
        <f aca="false">AK107+AL106</f>
        <v>42907.090146068</v>
      </c>
      <c r="AM107" s="100" t="n">
        <f aca="false">AL107+AM106</f>
        <v>45513.5299792935</v>
      </c>
      <c r="AN107" s="100" t="n">
        <f aca="false">AM107+AN106</f>
        <v>48142.9825978008</v>
      </c>
      <c r="AO107" s="100" t="n">
        <f aca="false">AN107+AO106</f>
        <v>50795.44800159</v>
      </c>
      <c r="AP107" s="100" t="n">
        <f aca="false">AO107+AP106</f>
        <v>53470.9261906609</v>
      </c>
      <c r="AQ107" s="100" t="n">
        <f aca="false">AP107+AQ106</f>
        <v>56169.4171650137</v>
      </c>
      <c r="AR107" s="100" t="n">
        <f aca="false">AQ107+AR106</f>
        <v>58890.9209246483</v>
      </c>
      <c r="AS107" s="100" t="n">
        <f aca="false">AR107+AS106</f>
        <v>61606.8691287274</v>
      </c>
      <c r="AT107" s="100" t="n">
        <f aca="false">AS107+AT106</f>
        <v>64317.2617772508</v>
      </c>
      <c r="AU107" s="100" t="n">
        <f aca="false">AT107+AU106</f>
        <v>67022.0988702188</v>
      </c>
      <c r="AV107" s="100" t="n">
        <f aca="false">AU107+AV106</f>
        <v>69721.3804076311</v>
      </c>
      <c r="AW107" s="100" t="n">
        <f aca="false">AV107+AW106</f>
        <v>72415.1063894879</v>
      </c>
      <c r="AX107" s="100" t="n">
        <f aca="false">AW107+AX106</f>
        <v>75103.2768157892</v>
      </c>
      <c r="AY107" s="100" t="n">
        <f aca="false">AX107+AY106</f>
        <v>77736.9449368677</v>
      </c>
      <c r="AZ107" s="100" t="n">
        <f aca="false">AY107+AZ106</f>
        <v>80365.0575023906</v>
      </c>
      <c r="BA107" s="100" t="n">
        <f aca="false">AZ107+BA106</f>
        <v>82987.614512358</v>
      </c>
      <c r="BB107" s="100" t="n">
        <f aca="false">BA107+BB106</f>
        <v>85604.6159667699</v>
      </c>
      <c r="BC107" s="100" t="n">
        <f aca="false">BB107+BC106</f>
        <v>88216.0618656262</v>
      </c>
      <c r="BD107" s="100" t="n">
        <f aca="false">BC107+BD106</f>
        <v>90821.9522089269</v>
      </c>
      <c r="BE107" s="100" t="n">
        <f aca="false">BD107+BE106</f>
        <v>93422.2869966721</v>
      </c>
      <c r="BF107" s="100" t="n">
        <f aca="false">BE107+BF106</f>
        <v>96017.0662288617</v>
      </c>
      <c r="BG107" s="100" t="n">
        <f aca="false">BF107+BG106</f>
        <v>98606.2899054957</v>
      </c>
      <c r="BH107" s="100" t="n">
        <f aca="false">BG107+BH106</f>
        <v>101189.958026574</v>
      </c>
      <c r="BI107" s="100" t="n">
        <f aca="false">BH107+BI106</f>
        <v>103768.070592097</v>
      </c>
      <c r="BJ107" s="100" t="n">
        <f aca="false">BI107+BJ106</f>
        <v>106340.627602065</v>
      </c>
      <c r="BK107" s="100" t="n">
        <f aca="false">BJ107+BK106</f>
        <v>108858.401904319</v>
      </c>
      <c r="BL107" s="100" t="n">
        <f aca="false">BK107+BL106</f>
        <v>111370.620651018</v>
      </c>
      <c r="BM107" s="100" t="n">
        <f aca="false">BL107+BM106</f>
        <v>113877.283842162</v>
      </c>
      <c r="BN107" s="100" t="n">
        <f aca="false">BM107+BN106</f>
        <v>116378.39147775</v>
      </c>
      <c r="BO107" s="100" t="n">
        <f aca="false">BN107+BO106</f>
        <v>118873.943557782</v>
      </c>
      <c r="BP107" s="100" t="n">
        <f aca="false">BO107+BP106</f>
        <v>121363.940082259</v>
      </c>
      <c r="BQ107" s="100" t="n">
        <f aca="false">BP107+BQ106</f>
        <v>123848.38105118</v>
      </c>
      <c r="BR107" s="100" t="n">
        <f aca="false">BQ107+BR106</f>
        <v>126327.266464546</v>
      </c>
      <c r="BS107" s="100" t="n">
        <f aca="false">BR107+BS106</f>
        <v>128800.596322356</v>
      </c>
      <c r="BT107" s="100" t="n">
        <f aca="false">BS107+BT106</f>
        <v>131268.370624611</v>
      </c>
      <c r="BU107" s="100" t="n">
        <f aca="false">BT107+BU106</f>
        <v>133730.58937131</v>
      </c>
      <c r="BV107" s="100" t="n">
        <f aca="false">BU107+BV106</f>
        <v>136187.252562453</v>
      </c>
      <c r="BW107" s="100" t="n">
        <f aca="false">BV107+BW106</f>
        <v>138588.844231319</v>
      </c>
      <c r="BX107" s="100" t="n">
        <f aca="false">BW107+BX106</f>
        <v>140984.88034463</v>
      </c>
      <c r="BY107" s="100" t="n">
        <f aca="false">BX107+BY106</f>
        <v>143375.360902385</v>
      </c>
      <c r="BZ107" s="100" t="n">
        <f aca="false">BY107+BZ106</f>
        <v>145760.285904584</v>
      </c>
      <c r="CA107" s="100" t="n">
        <f aca="false">BZ107+CA106</f>
        <v>148139.655351228</v>
      </c>
      <c r="CB107" s="100" t="n">
        <f aca="false">CA107+CB106</f>
        <v>150513.469242316</v>
      </c>
      <c r="CC107" s="100" t="n">
        <f aca="false">CB107+CC106</f>
        <v>152881.727577849</v>
      </c>
      <c r="CD107" s="100" t="n">
        <f aca="false">CC107+CD106</f>
        <v>155244.430357826</v>
      </c>
      <c r="CE107" s="100" t="n">
        <f aca="false">CD107+CE106</f>
        <v>157601.577582248</v>
      </c>
      <c r="CF107" s="100" t="n">
        <f aca="false">CE107+CF106</f>
        <v>159953.169251114</v>
      </c>
      <c r="CG107" s="100" t="n">
        <f aca="false">CF107+CG106</f>
        <v>162299.205364424</v>
      </c>
      <c r="CH107" s="100" t="n">
        <f aca="false">CG107+CH106</f>
        <v>164639.685922179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9" t="s">
        <v>578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</row>
    <row r="110" customFormat="false" ht="13.5" hidden="false" customHeight="true" outlineLevel="0" collapsed="false">
      <c r="A110" s="6" t="s">
        <v>579</v>
      </c>
      <c r="C110" s="100" t="n">
        <f aca="false">C63</f>
        <v>-16198.9527028963</v>
      </c>
      <c r="D110" s="100" t="n">
        <f aca="false">C113+D63</f>
        <v>-31368.6320109377</v>
      </c>
      <c r="E110" s="100" t="n">
        <f aca="false">D113+E63</f>
        <v>-44457.2910025895</v>
      </c>
      <c r="F110" s="100" t="n">
        <f aca="false">E113+F63</f>
        <v>-56425.9531654315</v>
      </c>
      <c r="G110" s="100" t="n">
        <f aca="false">F113+G63</f>
        <v>-67342.8684067386</v>
      </c>
      <c r="H110" s="100" t="n">
        <f aca="false">G113+H63</f>
        <v>-76619.072317111</v>
      </c>
      <c r="I110" s="100" t="n">
        <f aca="false">H113+I63</f>
        <v>-82832.742777549</v>
      </c>
      <c r="J110" s="100" t="n">
        <f aca="false">I113+J63</f>
        <v>-85983.8797880524</v>
      </c>
      <c r="K110" s="100" t="n">
        <f aca="false">J113+K63</f>
        <v>-86102.4306830135</v>
      </c>
      <c r="L110" s="100" t="n">
        <f aca="false">K113+L63</f>
        <v>-83667.9327571302</v>
      </c>
      <c r="M110" s="100" t="n">
        <f aca="false">L113+M63</f>
        <v>-79561.3186969362</v>
      </c>
      <c r="N110" s="100" t="n">
        <f aca="false">M113+N63</f>
        <v>-73116.0924063827</v>
      </c>
      <c r="O110" s="100" t="n">
        <f aca="false">N113+O63</f>
        <v>-68685.67577896</v>
      </c>
      <c r="P110" s="100" t="n">
        <f aca="false">O113+P63</f>
        <v>-64102.6270541914</v>
      </c>
      <c r="Q110" s="100" t="n">
        <f aca="false">P113+Q63</f>
        <v>-57441.6166720768</v>
      </c>
      <c r="R110" s="100" t="n">
        <f aca="false">Q113+R63</f>
        <v>-48702.6446326162</v>
      </c>
      <c r="S110" s="100" t="n">
        <f aca="false">R113+S63</f>
        <v>-37885.7109358097</v>
      </c>
      <c r="T110" s="100" t="n">
        <f aca="false">S113+T63</f>
        <v>-24990.8155816573</v>
      </c>
      <c r="U110" s="100" t="n">
        <f aca="false">T113+U63</f>
        <v>-11943.2881301589</v>
      </c>
      <c r="V110" s="100" t="n">
        <f aca="false">U113+V63</f>
        <v>917.107378685476</v>
      </c>
      <c r="W110" s="100" t="n">
        <f aca="false">V113+W63</f>
        <v>15855.4645448758</v>
      </c>
      <c r="X110" s="100" t="n">
        <f aca="false">W113+X63</f>
        <v>32216.7214393707</v>
      </c>
      <c r="Y110" s="100" t="n">
        <f aca="false">X113+Y63</f>
        <v>50000.8780621704</v>
      </c>
      <c r="Z110" s="100" t="n">
        <f aca="false">Y113+Z63</f>
        <v>68969.3003964082</v>
      </c>
      <c r="AA110" s="100" t="n">
        <f aca="false">Z113+AA63</f>
        <v>87221.2230524842</v>
      </c>
      <c r="AB110" s="100" t="n">
        <f aca="false">AA113+AB63</f>
        <v>104679.044195421</v>
      </c>
      <c r="AC110" s="100" t="n">
        <f aca="false">AB113+AC63</f>
        <v>123325.853272017</v>
      </c>
      <c r="AD110" s="100" t="n">
        <f aca="false">AC113+AD63</f>
        <v>143161.650282274</v>
      </c>
      <c r="AE110" s="100" t="n">
        <f aca="false">AD113+AE63</f>
        <v>164186.435226192</v>
      </c>
      <c r="AF110" s="100" t="n">
        <f aca="false">AE113+AF63</f>
        <v>186400.20810377</v>
      </c>
      <c r="AG110" s="100" t="n">
        <f aca="false">AF113+AG63</f>
        <v>209802.968915008</v>
      </c>
      <c r="AH110" s="100" t="n">
        <f aca="false">AG113+AH63</f>
        <v>234394.717659907</v>
      </c>
      <c r="AI110" s="100" t="n">
        <f aca="false">AH113+AI63</f>
        <v>260175.454338466</v>
      </c>
      <c r="AJ110" s="100" t="n">
        <f aca="false">AI113+AJ63</f>
        <v>287145.178950685</v>
      </c>
      <c r="AK110" s="100" t="n">
        <f aca="false">AJ113+AK63</f>
        <v>315303.891496565</v>
      </c>
      <c r="AL110" s="100" t="n">
        <f aca="false">AK113+AL63</f>
        <v>342668.502529305</v>
      </c>
      <c r="AM110" s="100" t="n">
        <f aca="false">AL113+AM63</f>
        <v>366074.066160162</v>
      </c>
      <c r="AN110" s="100" t="n">
        <f aca="false">AM113+AN63</f>
        <v>390528.736791307</v>
      </c>
      <c r="AO110" s="100" t="n">
        <f aca="false">AN113+AO63</f>
        <v>416032.514422741</v>
      </c>
      <c r="AP110" s="100" t="n">
        <f aca="false">AO113+AP63</f>
        <v>442585.399054464</v>
      </c>
      <c r="AQ110" s="100" t="n">
        <f aca="false">AP113+AQ63</f>
        <v>470187.390686475</v>
      </c>
      <c r="AR110" s="100" t="n">
        <f aca="false">AQ113+AR63</f>
        <v>498838.489318775</v>
      </c>
      <c r="AS110" s="100" t="n">
        <f aca="false">AR113+AS63</f>
        <v>527493.754617742</v>
      </c>
      <c r="AT110" s="100" t="n">
        <f aca="false">AS113+AT63</f>
        <v>556153.186583375</v>
      </c>
      <c r="AU110" s="100" t="n">
        <f aca="false">AT113+AU63</f>
        <v>584816.785215674</v>
      </c>
      <c r="AV110" s="100" t="n">
        <f aca="false">AU113+AV63</f>
        <v>613484.550514641</v>
      </c>
      <c r="AW110" s="100" t="n">
        <f aca="false">AV113+AW63</f>
        <v>642156.482480274</v>
      </c>
      <c r="AX110" s="100" t="n">
        <f aca="false">AW113+AX63</f>
        <v>670832.581112574</v>
      </c>
      <c r="AY110" s="100" t="n">
        <f aca="false">AX113+AY63</f>
        <v>697714.053361271</v>
      </c>
      <c r="AZ110" s="100" t="n">
        <f aca="false">AY113+AZ63</f>
        <v>724599.692276634</v>
      </c>
      <c r="BA110" s="100" t="n">
        <f aca="false">AZ113+BA63</f>
        <v>751489.497858665</v>
      </c>
      <c r="BB110" s="100" t="n">
        <f aca="false">BA113+BB63</f>
        <v>778383.470107361</v>
      </c>
      <c r="BC110" s="100" t="n">
        <f aca="false">BB113+BC63</f>
        <v>805281.609022725</v>
      </c>
      <c r="BD110" s="100" t="n">
        <f aca="false">BC113+BD63</f>
        <v>832183.914604755</v>
      </c>
      <c r="BE110" s="100" t="n">
        <f aca="false">BD113+BE63</f>
        <v>859090.386853452</v>
      </c>
      <c r="BF110" s="100" t="n">
        <f aca="false">BE113+BF63</f>
        <v>886001.025768815</v>
      </c>
      <c r="BG110" s="100" t="n">
        <f aca="false">BF113+BG63</f>
        <v>912915.831350846</v>
      </c>
      <c r="BH110" s="100" t="n">
        <f aca="false">BG113+BH63</f>
        <v>939834.803599542</v>
      </c>
      <c r="BI110" s="100" t="n">
        <f aca="false">BH113+BI63</f>
        <v>966757.942514906</v>
      </c>
      <c r="BJ110" s="100" t="n">
        <f aca="false">BI113+BJ63</f>
        <v>993685.248096936</v>
      </c>
      <c r="BK110" s="100" t="n">
        <f aca="false">BJ113+BK63</f>
        <v>1018807.62250386</v>
      </c>
      <c r="BL110" s="100" t="n">
        <f aca="false">BK113+BL63</f>
        <v>1043934.16357744</v>
      </c>
      <c r="BM110" s="100" t="n">
        <f aca="false">BL113+BM63</f>
        <v>1069064.87131769</v>
      </c>
      <c r="BN110" s="100" t="n">
        <f aca="false">BM113+BN63</f>
        <v>1094199.74572461</v>
      </c>
      <c r="BO110" s="100" t="n">
        <f aca="false">BN113+BO63</f>
        <v>1119338.7867982</v>
      </c>
      <c r="BP110" s="100" t="n">
        <f aca="false">BO113+BP63</f>
        <v>1144481.99453845</v>
      </c>
      <c r="BQ110" s="100" t="n">
        <f aca="false">BP113+BQ63</f>
        <v>1169629.36894537</v>
      </c>
      <c r="BR110" s="100" t="n">
        <f aca="false">BQ113+BR63</f>
        <v>1194780.91001896</v>
      </c>
      <c r="BS110" s="100" t="n">
        <f aca="false">BR113+BS63</f>
        <v>1219936.61775921</v>
      </c>
      <c r="BT110" s="100" t="n">
        <f aca="false">BS113+BT63</f>
        <v>1245096.49216613</v>
      </c>
      <c r="BU110" s="100" t="n">
        <f aca="false">BT113+BU63</f>
        <v>1270260.53323971</v>
      </c>
      <c r="BV110" s="100" t="n">
        <f aca="false">BU113+BV63</f>
        <v>1295428.74097997</v>
      </c>
      <c r="BW110" s="100" t="n">
        <f aca="false">BV113+BW63</f>
        <v>1318781.40360985</v>
      </c>
      <c r="BX110" s="100" t="n">
        <f aca="false">BW113+BX63</f>
        <v>1342138.23290641</v>
      </c>
      <c r="BY110" s="100" t="n">
        <f aca="false">BX113+BY63</f>
        <v>1365499.22886963</v>
      </c>
      <c r="BZ110" s="100" t="n">
        <f aca="false">BY113+BZ63</f>
        <v>1388864.39149952</v>
      </c>
      <c r="CA110" s="100" t="n">
        <f aca="false">BZ113+CA63</f>
        <v>1412233.72079607</v>
      </c>
      <c r="CB110" s="100" t="n">
        <f aca="false">CA113+CB63</f>
        <v>1435607.2167593</v>
      </c>
      <c r="CC110" s="100" t="n">
        <f aca="false">CB113+CC63</f>
        <v>1458984.87938918</v>
      </c>
      <c r="CD110" s="100" t="n">
        <f aca="false">CC113+CD63</f>
        <v>1482366.70868574</v>
      </c>
      <c r="CE110" s="100" t="n">
        <f aca="false">CD113+CE63</f>
        <v>1505752.70464896</v>
      </c>
      <c r="CF110" s="100" t="n">
        <f aca="false">CE113+CF63</f>
        <v>1529142.86727885</v>
      </c>
      <c r="CG110" s="100" t="n">
        <f aca="false">CF113+CG63</f>
        <v>1552537.1965754</v>
      </c>
      <c r="CH110" s="100" t="n">
        <f aca="false">CG113+CH63</f>
        <v>1575935.69253862</v>
      </c>
    </row>
    <row r="111" customFormat="false" ht="13.5" hidden="false" customHeight="true" outlineLevel="0" collapsed="false">
      <c r="A111" s="6" t="s">
        <v>580</v>
      </c>
      <c r="C111" s="100" t="n">
        <f aca="false">MIN(0.2*Hipótesis!$D$81,MAX(0,C110)*0.1)</f>
        <v>0</v>
      </c>
      <c r="D111" s="100" t="n">
        <f aca="false">MIN(0.2*Hipótesis!$D$81,MAX(0,D110)*0.1)</f>
        <v>0</v>
      </c>
      <c r="E111" s="100" t="n">
        <f aca="false">MIN(0.2*Hipótesis!$D$81,MAX(0,E110)*0.1)</f>
        <v>0</v>
      </c>
      <c r="F111" s="100" t="n">
        <f aca="false">MIN(0.2*Hipótesis!$D$81,MAX(0,F110)*0.1)</f>
        <v>0</v>
      </c>
      <c r="G111" s="100" t="n">
        <f aca="false">MIN(0.2*Hipótesis!$D$81,MAX(0,G110)*0.1)</f>
        <v>0</v>
      </c>
      <c r="H111" s="100" t="n">
        <f aca="false">MIN(0.2*Hipótesis!$D$81,MAX(0,H110)*0.1)</f>
        <v>0</v>
      </c>
      <c r="I111" s="100" t="n">
        <f aca="false">MIN(0.2*Hipótesis!$D$81,MAX(0,I110)*0.1)</f>
        <v>0</v>
      </c>
      <c r="J111" s="100" t="n">
        <f aca="false">MIN(0.2*Hipótesis!$D$81,MAX(0,J110)*0.1)</f>
        <v>0</v>
      </c>
      <c r="K111" s="100" t="n">
        <f aca="false">MIN(0.2*Hipótesis!$D$81,MAX(0,K110)*0.1)</f>
        <v>0</v>
      </c>
      <c r="L111" s="100" t="n">
        <f aca="false">MIN(0.2*Hipótesis!$D$81,MAX(0,L110)*0.1)</f>
        <v>0</v>
      </c>
      <c r="M111" s="100" t="n">
        <f aca="false">MIN(0.2*Hipótesis!$D$81,MAX(0,M110)*0.1)</f>
        <v>0</v>
      </c>
      <c r="N111" s="100" t="n">
        <f aca="false">MIN(0.2*Hipótesis!$D$81,MAX(0,N110)*0.1)</f>
        <v>0</v>
      </c>
      <c r="O111" s="100" t="n">
        <f aca="false">MIN(0.2*Hipótesis!$D$81,MAX(0,O110)*0.1)</f>
        <v>0</v>
      </c>
      <c r="P111" s="100" t="n">
        <f aca="false">MIN(0.2*Hipótesis!$D$81,MAX(0,P110)*0.1)</f>
        <v>0</v>
      </c>
      <c r="Q111" s="100" t="n">
        <f aca="false">MIN(0.2*Hipótesis!$D$81,MAX(0,Q110)*0.1)</f>
        <v>0</v>
      </c>
      <c r="R111" s="100" t="n">
        <f aca="false">MIN(0.2*Hipótesis!$D$81,MAX(0,R110)*0.1)</f>
        <v>0</v>
      </c>
      <c r="S111" s="100" t="n">
        <f aca="false">MIN(0.2*Hipótesis!$D$81,MAX(0,S110)*0.1)</f>
        <v>0</v>
      </c>
      <c r="T111" s="100" t="n">
        <f aca="false">MIN(0.2*Hipótesis!$D$81,MAX(0,T110)*0.1)</f>
        <v>0</v>
      </c>
      <c r="U111" s="100" t="n">
        <f aca="false">MIN(0.2*Hipótesis!$D$81,MAX(0,U110)*0.1)</f>
        <v>0</v>
      </c>
      <c r="V111" s="100" t="n">
        <f aca="false">MIN(0.2*Hipótesis!$D$81,MAX(0,V110)*0.1)</f>
        <v>91.7107378685476</v>
      </c>
      <c r="W111" s="100" t="n">
        <f aca="false">MIN(0.2*Hipótesis!$D$81,MAX(0,W110)*0.1)</f>
        <v>1585.54645448758</v>
      </c>
      <c r="X111" s="100" t="n">
        <f aca="false">MIN(0.2*Hipótesis!$D$81,MAX(0,X110)*0.1)</f>
        <v>3221.67214393708</v>
      </c>
      <c r="Y111" s="100" t="n">
        <f aca="false">MIN(0.2*Hipótesis!$D$81,MAX(0,Y110)*0.1)</f>
        <v>5000.08780621704</v>
      </c>
      <c r="Z111" s="100" t="n">
        <f aca="false">MIN(0.2*Hipótesis!$D$81,MAX(0,Z110)*0.1)</f>
        <v>6896.93003964082</v>
      </c>
      <c r="AA111" s="100" t="n">
        <f aca="false">MIN(0.2*Hipótesis!$D$81,MAX(0,AA110)*0.1)</f>
        <v>8722.12230524842</v>
      </c>
      <c r="AB111" s="100" t="n">
        <f aca="false">MIN(0.2*Hipótesis!$D$81,MAX(0,AB110)*0.1)</f>
        <v>10467.9044195421</v>
      </c>
      <c r="AC111" s="100" t="n">
        <f aca="false">MIN(0.2*Hipótesis!$D$81,MAX(0,AC110)*0.1)</f>
        <v>12332.5853272017</v>
      </c>
      <c r="AD111" s="100" t="n">
        <f aca="false">MIN(0.2*Hipótesis!$D$81,MAX(0,AD110)*0.1)</f>
        <v>14316.1650282274</v>
      </c>
      <c r="AE111" s="100" t="n">
        <f aca="false">MIN(0.2*Hipótesis!$D$81,MAX(0,AE110)*0.1)</f>
        <v>16418.6435226192</v>
      </c>
      <c r="AF111" s="100" t="n">
        <f aca="false">MIN(0.2*Hipótesis!$D$81,MAX(0,AF110)*0.1)</f>
        <v>18640.020810377</v>
      </c>
      <c r="AG111" s="100" t="n">
        <f aca="false">MIN(0.2*Hipótesis!$D$81,MAX(0,AG110)*0.1)</f>
        <v>20006</v>
      </c>
      <c r="AH111" s="100" t="n">
        <f aca="false">MIN(0.2*Hipótesis!$D$81,MAX(0,AH110)*0.1)</f>
        <v>20006</v>
      </c>
      <c r="AI111" s="100" t="n">
        <f aca="false">MIN(0.2*Hipótesis!$D$81,MAX(0,AI110)*0.1)</f>
        <v>20006</v>
      </c>
      <c r="AJ111" s="100" t="n">
        <f aca="false">MIN(0.2*Hipótesis!$D$81,MAX(0,AJ110)*0.1)</f>
        <v>20006</v>
      </c>
      <c r="AK111" s="100" t="n">
        <f aca="false">MIN(0.2*Hipótesis!$D$81,MAX(0,AK110)*0.1)</f>
        <v>20006</v>
      </c>
      <c r="AL111" s="100" t="n">
        <f aca="false">MIN(0.2*Hipótesis!$D$81,MAX(0,AL110)*0.1)</f>
        <v>20006</v>
      </c>
      <c r="AM111" s="100" t="n">
        <f aca="false">MIN(0.2*Hipótesis!$D$81,MAX(0,AM110)*0.1)</f>
        <v>20006</v>
      </c>
      <c r="AN111" s="100" t="n">
        <f aca="false">MIN(0.2*Hipótesis!$D$81,MAX(0,AN110)*0.1)</f>
        <v>20006</v>
      </c>
      <c r="AO111" s="100" t="n">
        <f aca="false">MIN(0.2*Hipótesis!$D$81,MAX(0,AO110)*0.1)</f>
        <v>20006</v>
      </c>
      <c r="AP111" s="100" t="n">
        <f aca="false">MIN(0.2*Hipótesis!$D$81,MAX(0,AP110)*0.1)</f>
        <v>20006</v>
      </c>
      <c r="AQ111" s="100" t="n">
        <f aca="false">MIN(0.2*Hipótesis!$D$81,MAX(0,AQ110)*0.1)</f>
        <v>20006</v>
      </c>
      <c r="AR111" s="100" t="n">
        <f aca="false">MIN(0.2*Hipótesis!$D$81,MAX(0,AR110)*0.1)</f>
        <v>20006</v>
      </c>
      <c r="AS111" s="100" t="n">
        <f aca="false">MIN(0.2*Hipótesis!$D$81,MAX(0,AS110)*0.1)</f>
        <v>20006</v>
      </c>
      <c r="AT111" s="100" t="n">
        <f aca="false">MIN(0.2*Hipótesis!$D$81,MAX(0,AT110)*0.1)</f>
        <v>20006</v>
      </c>
      <c r="AU111" s="100" t="n">
        <f aca="false">MIN(0.2*Hipótesis!$D$81,MAX(0,AU110)*0.1)</f>
        <v>20006</v>
      </c>
      <c r="AV111" s="100" t="n">
        <f aca="false">MIN(0.2*Hipótesis!$D$81,MAX(0,AV110)*0.1)</f>
        <v>20006</v>
      </c>
      <c r="AW111" s="100" t="n">
        <f aca="false">MIN(0.2*Hipótesis!$D$81,MAX(0,AW110)*0.1)</f>
        <v>20006</v>
      </c>
      <c r="AX111" s="100" t="n">
        <f aca="false">MIN(0.2*Hipótesis!$D$81,MAX(0,AX110)*0.1)</f>
        <v>20006</v>
      </c>
      <c r="AY111" s="100" t="n">
        <f aca="false">MIN(0.2*Hipótesis!$D$81,MAX(0,AY110)*0.1)</f>
        <v>20006</v>
      </c>
      <c r="AZ111" s="100" t="n">
        <f aca="false">MIN(0.2*Hipótesis!$D$81,MAX(0,AZ110)*0.1)</f>
        <v>20006</v>
      </c>
      <c r="BA111" s="100" t="n">
        <f aca="false">MIN(0.2*Hipótesis!$D$81,MAX(0,BA110)*0.1)</f>
        <v>20006</v>
      </c>
      <c r="BB111" s="100" t="n">
        <f aca="false">MIN(0.2*Hipótesis!$D$81,MAX(0,BB110)*0.1)</f>
        <v>20006</v>
      </c>
      <c r="BC111" s="100" t="n">
        <f aca="false">MIN(0.2*Hipótesis!$D$81,MAX(0,BC110)*0.1)</f>
        <v>20006</v>
      </c>
      <c r="BD111" s="100" t="n">
        <f aca="false">MIN(0.2*Hipótesis!$D$81,MAX(0,BD110)*0.1)</f>
        <v>20006</v>
      </c>
      <c r="BE111" s="100" t="n">
        <f aca="false">MIN(0.2*Hipótesis!$D$81,MAX(0,BE110)*0.1)</f>
        <v>20006</v>
      </c>
      <c r="BF111" s="100" t="n">
        <f aca="false">MIN(0.2*Hipótesis!$D$81,MAX(0,BF110)*0.1)</f>
        <v>20006</v>
      </c>
      <c r="BG111" s="100" t="n">
        <f aca="false">MIN(0.2*Hipótesis!$D$81,MAX(0,BG110)*0.1)</f>
        <v>20006</v>
      </c>
      <c r="BH111" s="100" t="n">
        <f aca="false">MIN(0.2*Hipótesis!$D$81,MAX(0,BH110)*0.1)</f>
        <v>20006</v>
      </c>
      <c r="BI111" s="100" t="n">
        <f aca="false">MIN(0.2*Hipótesis!$D$81,MAX(0,BI110)*0.1)</f>
        <v>20006</v>
      </c>
      <c r="BJ111" s="100" t="n">
        <f aca="false">MIN(0.2*Hipótesis!$D$81,MAX(0,BJ110)*0.1)</f>
        <v>20006</v>
      </c>
      <c r="BK111" s="100" t="n">
        <f aca="false">MIN(0.2*Hipótesis!$D$81,MAX(0,BK110)*0.1)</f>
        <v>20006</v>
      </c>
      <c r="BL111" s="100" t="n">
        <f aca="false">MIN(0.2*Hipótesis!$D$81,MAX(0,BL110)*0.1)</f>
        <v>20006</v>
      </c>
      <c r="BM111" s="100" t="n">
        <f aca="false">MIN(0.2*Hipótesis!$D$81,MAX(0,BM110)*0.1)</f>
        <v>20006</v>
      </c>
      <c r="BN111" s="100" t="n">
        <f aca="false">MIN(0.2*Hipótesis!$D$81,MAX(0,BN110)*0.1)</f>
        <v>20006</v>
      </c>
      <c r="BO111" s="100" t="n">
        <f aca="false">MIN(0.2*Hipótesis!$D$81,MAX(0,BO110)*0.1)</f>
        <v>20006</v>
      </c>
      <c r="BP111" s="100" t="n">
        <f aca="false">MIN(0.2*Hipótesis!$D$81,MAX(0,BP110)*0.1)</f>
        <v>20006</v>
      </c>
      <c r="BQ111" s="100" t="n">
        <f aca="false">MIN(0.2*Hipótesis!$D$81,MAX(0,BQ110)*0.1)</f>
        <v>20006</v>
      </c>
      <c r="BR111" s="100" t="n">
        <f aca="false">MIN(0.2*Hipótesis!$D$81,MAX(0,BR110)*0.1)</f>
        <v>20006</v>
      </c>
      <c r="BS111" s="100" t="n">
        <f aca="false">MIN(0.2*Hipótesis!$D$81,MAX(0,BS110)*0.1)</f>
        <v>20006</v>
      </c>
      <c r="BT111" s="100" t="n">
        <f aca="false">MIN(0.2*Hipótesis!$D$81,MAX(0,BT110)*0.1)</f>
        <v>20006</v>
      </c>
      <c r="BU111" s="100" t="n">
        <f aca="false">MIN(0.2*Hipótesis!$D$81,MAX(0,BU110)*0.1)</f>
        <v>20006</v>
      </c>
      <c r="BV111" s="100" t="n">
        <f aca="false">MIN(0.2*Hipótesis!$D$81,MAX(0,BV110)*0.1)</f>
        <v>20006</v>
      </c>
      <c r="BW111" s="100" t="n">
        <f aca="false">MIN(0.2*Hipótesis!$D$81,MAX(0,BW110)*0.1)</f>
        <v>20006</v>
      </c>
      <c r="BX111" s="100" t="n">
        <f aca="false">MIN(0.2*Hipótesis!$D$81,MAX(0,BX110)*0.1)</f>
        <v>20006</v>
      </c>
      <c r="BY111" s="100" t="n">
        <f aca="false">MIN(0.2*Hipótesis!$D$81,MAX(0,BY110)*0.1)</f>
        <v>20006</v>
      </c>
      <c r="BZ111" s="100" t="n">
        <f aca="false">MIN(0.2*Hipótesis!$D$81,MAX(0,BZ110)*0.1)</f>
        <v>20006</v>
      </c>
      <c r="CA111" s="100" t="n">
        <f aca="false">MIN(0.2*Hipótesis!$D$81,MAX(0,CA110)*0.1)</f>
        <v>20006</v>
      </c>
      <c r="CB111" s="100" t="n">
        <f aca="false">MIN(0.2*Hipótesis!$D$81,MAX(0,CB110)*0.1)</f>
        <v>20006</v>
      </c>
      <c r="CC111" s="100" t="n">
        <f aca="false">MIN(0.2*Hipótesis!$D$81,MAX(0,CC110)*0.1)</f>
        <v>20006</v>
      </c>
      <c r="CD111" s="100" t="n">
        <f aca="false">MIN(0.2*Hipótesis!$D$81,MAX(0,CD110)*0.1)</f>
        <v>20006</v>
      </c>
      <c r="CE111" s="100" t="n">
        <f aca="false">MIN(0.2*Hipótesis!$D$81,MAX(0,CE110)*0.1)</f>
        <v>20006</v>
      </c>
      <c r="CF111" s="100" t="n">
        <f aca="false">MIN(0.2*Hipótesis!$D$81,MAX(0,CF110)*0.1)</f>
        <v>20006</v>
      </c>
      <c r="CG111" s="100" t="n">
        <f aca="false">MIN(0.2*Hipótesis!$D$81,MAX(0,CG110)*0.1)</f>
        <v>20006</v>
      </c>
      <c r="CH111" s="100" t="n">
        <f aca="false">MIN(0.2*Hipótesis!$D$81,MAX(0,CH110)*0.1)</f>
        <v>20006</v>
      </c>
    </row>
    <row r="112" customFormat="false" ht="13.5" hidden="false" customHeight="true" outlineLevel="0" collapsed="false">
      <c r="A112" s="22" t="s">
        <v>581</v>
      </c>
      <c r="C112" s="100" t="n">
        <f aca="false">MAX(0,C110-C111)</f>
        <v>0</v>
      </c>
      <c r="D112" s="100" t="n">
        <f aca="false">MAX(0,D110-D111)</f>
        <v>0</v>
      </c>
      <c r="E112" s="100" t="n">
        <f aca="false">MAX(0,E110-E111)</f>
        <v>0</v>
      </c>
      <c r="F112" s="100" t="n">
        <f aca="false">MAX(0,F110-F111)</f>
        <v>0</v>
      </c>
      <c r="G112" s="100" t="n">
        <f aca="false">MAX(0,G110-G111)</f>
        <v>0</v>
      </c>
      <c r="H112" s="100" t="n">
        <f aca="false">MAX(0,H110-H111)</f>
        <v>0</v>
      </c>
      <c r="I112" s="100" t="n">
        <f aca="false">MAX(0,I110-I111)</f>
        <v>0</v>
      </c>
      <c r="J112" s="100" t="n">
        <f aca="false">MAX(0,J110-J111)</f>
        <v>0</v>
      </c>
      <c r="K112" s="100" t="n">
        <f aca="false">MAX(0,K110-K111)</f>
        <v>0</v>
      </c>
      <c r="L112" s="100" t="n">
        <f aca="false">MAX(0,L110-L111)</f>
        <v>0</v>
      </c>
      <c r="M112" s="100" t="n">
        <f aca="false">MAX(0,M110-M111)</f>
        <v>0</v>
      </c>
      <c r="N112" s="100" t="n">
        <f aca="false">MAX(0,N110-N111)</f>
        <v>0</v>
      </c>
      <c r="O112" s="100" t="n">
        <f aca="false">MAX(0,O110-O111)</f>
        <v>0</v>
      </c>
      <c r="P112" s="100" t="n">
        <f aca="false">MAX(0,P110-P111)</f>
        <v>0</v>
      </c>
      <c r="Q112" s="100" t="n">
        <f aca="false">MAX(0,Q110-Q111)</f>
        <v>0</v>
      </c>
      <c r="R112" s="100" t="n">
        <f aca="false">MAX(0,R110-R111)</f>
        <v>0</v>
      </c>
      <c r="S112" s="100" t="n">
        <f aca="false">MAX(0,S110-S111)</f>
        <v>0</v>
      </c>
      <c r="T112" s="100" t="n">
        <f aca="false">MAX(0,T110-T111)</f>
        <v>0</v>
      </c>
      <c r="U112" s="100" t="n">
        <f aca="false">MAX(0,U110-U111)</f>
        <v>0</v>
      </c>
      <c r="V112" s="100" t="n">
        <f aca="false">MAX(0,V110-V111)</f>
        <v>825.396640816928</v>
      </c>
      <c r="W112" s="100" t="n">
        <f aca="false">MAX(0,W110-W111)</f>
        <v>14269.9180903882</v>
      </c>
      <c r="X112" s="100" t="n">
        <f aca="false">MAX(0,X110-X111)</f>
        <v>28995.0492954337</v>
      </c>
      <c r="Y112" s="100" t="n">
        <f aca="false">MAX(0,Y110-Y111)</f>
        <v>45000.7902559534</v>
      </c>
      <c r="Z112" s="100" t="n">
        <f aca="false">MAX(0,Z110-Z111)</f>
        <v>62072.3703567674</v>
      </c>
      <c r="AA112" s="100" t="n">
        <f aca="false">MAX(0,AA110-AA111)</f>
        <v>78499.1007472358</v>
      </c>
      <c r="AB112" s="100" t="n">
        <f aca="false">MAX(0,AB110-AB111)</f>
        <v>94211.1397758785</v>
      </c>
      <c r="AC112" s="100" t="n">
        <f aca="false">MAX(0,AC110-AC111)</f>
        <v>110993.267944816</v>
      </c>
      <c r="AD112" s="100" t="n">
        <f aca="false">MAX(0,AD110-AD111)</f>
        <v>128845.485254047</v>
      </c>
      <c r="AE112" s="100" t="n">
        <f aca="false">MAX(0,AE110-AE111)</f>
        <v>147767.791703573</v>
      </c>
      <c r="AF112" s="100" t="n">
        <f aca="false">MAX(0,AF110-AF111)</f>
        <v>167760.187293393</v>
      </c>
      <c r="AG112" s="100" t="n">
        <f aca="false">MAX(0,AG110-AG111)</f>
        <v>189796.968915008</v>
      </c>
      <c r="AH112" s="100" t="n">
        <f aca="false">MAX(0,AH110-AH111)</f>
        <v>214388.717659907</v>
      </c>
      <c r="AI112" s="100" t="n">
        <f aca="false">MAX(0,AI110-AI111)</f>
        <v>240169.454338466</v>
      </c>
      <c r="AJ112" s="100" t="n">
        <f aca="false">MAX(0,AJ110-AJ111)</f>
        <v>267139.178950685</v>
      </c>
      <c r="AK112" s="100" t="n">
        <f aca="false">MAX(0,AK110-AK111)</f>
        <v>295297.891496565</v>
      </c>
      <c r="AL112" s="100" t="n">
        <f aca="false">MAX(0,AL110-AL111)</f>
        <v>322662.502529305</v>
      </c>
      <c r="AM112" s="100" t="n">
        <f aca="false">MAX(0,AM110-AM111)</f>
        <v>346068.066160162</v>
      </c>
      <c r="AN112" s="100" t="n">
        <f aca="false">MAX(0,AN110-AN111)</f>
        <v>370522.736791307</v>
      </c>
      <c r="AO112" s="100" t="n">
        <f aca="false">MAX(0,AO110-AO111)</f>
        <v>396026.514422741</v>
      </c>
      <c r="AP112" s="100" t="n">
        <f aca="false">MAX(0,AP110-AP111)</f>
        <v>422579.399054464</v>
      </c>
      <c r="AQ112" s="100" t="n">
        <f aca="false">MAX(0,AQ110-AQ111)</f>
        <v>450181.390686475</v>
      </c>
      <c r="AR112" s="100" t="n">
        <f aca="false">MAX(0,AR110-AR111)</f>
        <v>478832.489318775</v>
      </c>
      <c r="AS112" s="100" t="n">
        <f aca="false">MAX(0,AS110-AS111)</f>
        <v>507487.754617742</v>
      </c>
      <c r="AT112" s="100" t="n">
        <f aca="false">MAX(0,AT110-AT111)</f>
        <v>536147.186583375</v>
      </c>
      <c r="AU112" s="100" t="n">
        <f aca="false">MAX(0,AU110-AU111)</f>
        <v>564810.785215674</v>
      </c>
      <c r="AV112" s="100" t="n">
        <f aca="false">MAX(0,AV110-AV111)</f>
        <v>593478.550514641</v>
      </c>
      <c r="AW112" s="100" t="n">
        <f aca="false">MAX(0,AW110-AW111)</f>
        <v>622150.482480274</v>
      </c>
      <c r="AX112" s="100" t="n">
        <f aca="false">MAX(0,AX110-AX111)</f>
        <v>650826.581112574</v>
      </c>
      <c r="AY112" s="100" t="n">
        <f aca="false">MAX(0,AY110-AY111)</f>
        <v>677708.053361271</v>
      </c>
      <c r="AZ112" s="100" t="n">
        <f aca="false">MAX(0,AZ110-AZ111)</f>
        <v>704593.692276634</v>
      </c>
      <c r="BA112" s="100" t="n">
        <f aca="false">MAX(0,BA110-BA111)</f>
        <v>731483.497858665</v>
      </c>
      <c r="BB112" s="100" t="n">
        <f aca="false">MAX(0,BB110-BB111)</f>
        <v>758377.470107361</v>
      </c>
      <c r="BC112" s="100" t="n">
        <f aca="false">MAX(0,BC110-BC111)</f>
        <v>785275.609022725</v>
      </c>
      <c r="BD112" s="100" t="n">
        <f aca="false">MAX(0,BD110-BD111)</f>
        <v>812177.914604755</v>
      </c>
      <c r="BE112" s="100" t="n">
        <f aca="false">MAX(0,BE110-BE111)</f>
        <v>839084.386853452</v>
      </c>
      <c r="BF112" s="100" t="n">
        <f aca="false">MAX(0,BF110-BF111)</f>
        <v>865995.025768815</v>
      </c>
      <c r="BG112" s="100" t="n">
        <f aca="false">MAX(0,BG110-BG111)</f>
        <v>892909.831350846</v>
      </c>
      <c r="BH112" s="100" t="n">
        <f aca="false">MAX(0,BH110-BH111)</f>
        <v>919828.803599542</v>
      </c>
      <c r="BI112" s="100" t="n">
        <f aca="false">MAX(0,BI110-BI111)</f>
        <v>946751.942514906</v>
      </c>
      <c r="BJ112" s="100" t="n">
        <f aca="false">MAX(0,BJ110-BJ111)</f>
        <v>973679.248096936</v>
      </c>
      <c r="BK112" s="100" t="n">
        <f aca="false">MAX(0,BK110-BK111)</f>
        <v>998801.622503855</v>
      </c>
      <c r="BL112" s="100" t="n">
        <f aca="false">MAX(0,BL110-BL111)</f>
        <v>1023928.16357744</v>
      </c>
      <c r="BM112" s="100" t="n">
        <f aca="false">MAX(0,BM110-BM111)</f>
        <v>1049058.87131769</v>
      </c>
      <c r="BN112" s="100" t="n">
        <f aca="false">MAX(0,BN110-BN111)</f>
        <v>1074193.74572461</v>
      </c>
      <c r="BO112" s="100" t="n">
        <f aca="false">MAX(0,BO110-BO111)</f>
        <v>1099332.7867982</v>
      </c>
      <c r="BP112" s="100" t="n">
        <f aca="false">MAX(0,BP110-BP111)</f>
        <v>1124475.99453845</v>
      </c>
      <c r="BQ112" s="100" t="n">
        <f aca="false">MAX(0,BQ110-BQ111)</f>
        <v>1149623.36894537</v>
      </c>
      <c r="BR112" s="100" t="n">
        <f aca="false">MAX(0,BR110-BR111)</f>
        <v>1174774.91001896</v>
      </c>
      <c r="BS112" s="100" t="n">
        <f aca="false">MAX(0,BS110-BS111)</f>
        <v>1199930.61775921</v>
      </c>
      <c r="BT112" s="100" t="n">
        <f aca="false">MAX(0,BT110-BT111)</f>
        <v>1225090.49216613</v>
      </c>
      <c r="BU112" s="100" t="n">
        <f aca="false">MAX(0,BU110-BU111)</f>
        <v>1250254.53323971</v>
      </c>
      <c r="BV112" s="100" t="n">
        <f aca="false">MAX(0,BV110-BV111)</f>
        <v>1275422.74097997</v>
      </c>
      <c r="BW112" s="100" t="n">
        <f aca="false">MAX(0,BW110-BW111)</f>
        <v>1298775.40360985</v>
      </c>
      <c r="BX112" s="100" t="n">
        <f aca="false">MAX(0,BX110-BX111)</f>
        <v>1322132.23290641</v>
      </c>
      <c r="BY112" s="100" t="n">
        <f aca="false">MAX(0,BY110-BY111)</f>
        <v>1345493.22886963</v>
      </c>
      <c r="BZ112" s="100" t="n">
        <f aca="false">MAX(0,BZ110-BZ111)</f>
        <v>1368858.39149952</v>
      </c>
      <c r="CA112" s="100" t="n">
        <f aca="false">MAX(0,CA110-CA111)</f>
        <v>1392227.72079607</v>
      </c>
      <c r="CB112" s="100" t="n">
        <f aca="false">MAX(0,CB110-CB111)</f>
        <v>1415601.2167593</v>
      </c>
      <c r="CC112" s="100" t="n">
        <f aca="false">MAX(0,CC110-CC111)</f>
        <v>1438978.87938918</v>
      </c>
      <c r="CD112" s="100" t="n">
        <f aca="false">MAX(0,CD110-CD111)</f>
        <v>1462360.70868574</v>
      </c>
      <c r="CE112" s="100" t="n">
        <f aca="false">MAX(0,CE110-CE111)</f>
        <v>1485746.70464896</v>
      </c>
      <c r="CF112" s="100" t="n">
        <f aca="false">MAX(0,CF110-CF111)</f>
        <v>1509136.86727885</v>
      </c>
      <c r="CG112" s="100" t="n">
        <f aca="false">MAX(0,CG110-CG111)</f>
        <v>1532531.1965754</v>
      </c>
      <c r="CH112" s="100" t="n">
        <f aca="false">MAX(0,CH110-CH111)</f>
        <v>1555929.69253862</v>
      </c>
    </row>
    <row r="113" customFormat="false" ht="13.5" hidden="false" customHeight="true" outlineLevel="0" collapsed="false">
      <c r="A113" s="6" t="s">
        <v>582</v>
      </c>
      <c r="C113" s="100" t="n">
        <f aca="false">C110+C84</f>
        <v>-16198.9527028963</v>
      </c>
      <c r="D113" s="100" t="n">
        <f aca="false">D110+D84</f>
        <v>-31368.6320109377</v>
      </c>
      <c r="E113" s="100" t="n">
        <f aca="false">E110+E84</f>
        <v>-44457.2910025895</v>
      </c>
      <c r="F113" s="100" t="n">
        <f aca="false">F110+F84</f>
        <v>-56425.9531654315</v>
      </c>
      <c r="G113" s="100" t="n">
        <f aca="false">G110+G84</f>
        <v>-67342.8684067386</v>
      </c>
      <c r="H113" s="100" t="n">
        <f aca="false">H110+H84</f>
        <v>-76619.072317111</v>
      </c>
      <c r="I113" s="100" t="n">
        <f aca="false">I110+I84</f>
        <v>-82832.742777549</v>
      </c>
      <c r="J113" s="100" t="n">
        <f aca="false">J110+J84</f>
        <v>-85983.8797880524</v>
      </c>
      <c r="K113" s="100" t="n">
        <f aca="false">K110+K84</f>
        <v>-86102.4306830135</v>
      </c>
      <c r="L113" s="100" t="n">
        <f aca="false">L110+L84</f>
        <v>-83667.9327571302</v>
      </c>
      <c r="M113" s="100" t="n">
        <f aca="false">M110+M84</f>
        <v>-79561.3186969362</v>
      </c>
      <c r="N113" s="100" t="n">
        <f aca="false">N110+N84</f>
        <v>-73116.0924063827</v>
      </c>
      <c r="O113" s="100" t="n">
        <f aca="false">O110+O84</f>
        <v>-68685.67577896</v>
      </c>
      <c r="P113" s="100" t="n">
        <f aca="false">P110+P84</f>
        <v>-64102.6270541914</v>
      </c>
      <c r="Q113" s="100" t="n">
        <f aca="false">Q110+Q84</f>
        <v>-57441.6166720768</v>
      </c>
      <c r="R113" s="100" t="n">
        <f aca="false">R110+R84</f>
        <v>-48702.6446326162</v>
      </c>
      <c r="S113" s="100" t="n">
        <f aca="false">S110+S84</f>
        <v>-37885.7109358097</v>
      </c>
      <c r="T113" s="100" t="n">
        <f aca="false">T110+T84</f>
        <v>-24990.8155816573</v>
      </c>
      <c r="U113" s="100" t="n">
        <f aca="false">U110+U84</f>
        <v>-11943.2881301589</v>
      </c>
      <c r="V113" s="100" t="n">
        <f aca="false">V110+V84</f>
        <v>917.107378685476</v>
      </c>
      <c r="W113" s="100" t="n">
        <f aca="false">W110+W84</f>
        <v>15855.4645448758</v>
      </c>
      <c r="X113" s="100" t="n">
        <f aca="false">X110+X84</f>
        <v>32216.7214393707</v>
      </c>
      <c r="Y113" s="100" t="n">
        <f aca="false">Y110+Y84</f>
        <v>50000.8780621704</v>
      </c>
      <c r="Z113" s="100" t="n">
        <f aca="false">Z110+Z84</f>
        <v>68969.3003964082</v>
      </c>
      <c r="AA113" s="100" t="n">
        <f aca="false">AA110+AA84</f>
        <v>87221.2230524842</v>
      </c>
      <c r="AB113" s="100" t="n">
        <f aca="false">AB110+AB84</f>
        <v>104679.044195421</v>
      </c>
      <c r="AC113" s="100" t="n">
        <f aca="false">AC110+AC84</f>
        <v>123325.853272017</v>
      </c>
      <c r="AD113" s="100" t="n">
        <f aca="false">AD110+AD84</f>
        <v>143161.650282274</v>
      </c>
      <c r="AE113" s="100" t="n">
        <f aca="false">AE110+AE84</f>
        <v>164186.435226192</v>
      </c>
      <c r="AF113" s="100" t="n">
        <f aca="false">AF110+AF84</f>
        <v>186400.20810377</v>
      </c>
      <c r="AG113" s="100" t="n">
        <f aca="false">AG110+AG84</f>
        <v>209802.968915008</v>
      </c>
      <c r="AH113" s="100" t="n">
        <f aca="false">AH110+AH84</f>
        <v>234394.717659907</v>
      </c>
      <c r="AI113" s="100" t="n">
        <f aca="false">AI110+AI84</f>
        <v>260175.454338466</v>
      </c>
      <c r="AJ113" s="100" t="n">
        <f aca="false">AJ110+AJ84</f>
        <v>287145.178950685</v>
      </c>
      <c r="AK113" s="100" t="n">
        <f aca="false">AK110+AK84</f>
        <v>315303.891496565</v>
      </c>
      <c r="AL113" s="100" t="n">
        <f aca="false">AL110+AL84</f>
        <v>342668.502529305</v>
      </c>
      <c r="AM113" s="100" t="n">
        <f aca="false">AM110+AM84</f>
        <v>366074.066160162</v>
      </c>
      <c r="AN113" s="100" t="n">
        <f aca="false">AN110+AN84</f>
        <v>390528.736791307</v>
      </c>
      <c r="AO113" s="100" t="n">
        <f aca="false">AO110+AO84</f>
        <v>416032.514422741</v>
      </c>
      <c r="AP113" s="100" t="n">
        <f aca="false">AP110+AP84</f>
        <v>442585.399054464</v>
      </c>
      <c r="AQ113" s="100" t="n">
        <f aca="false">AQ110+AQ84</f>
        <v>470187.390686475</v>
      </c>
      <c r="AR113" s="100" t="n">
        <f aca="false">AR110+AR84</f>
        <v>498838.489318775</v>
      </c>
      <c r="AS113" s="100" t="n">
        <f aca="false">AS110+AS84</f>
        <v>527493.754617742</v>
      </c>
      <c r="AT113" s="100" t="n">
        <f aca="false">AT110+AT84</f>
        <v>556153.186583375</v>
      </c>
      <c r="AU113" s="100" t="n">
        <f aca="false">AU110+AU84</f>
        <v>584816.785215674</v>
      </c>
      <c r="AV113" s="100" t="n">
        <f aca="false">AV110+AV84</f>
        <v>613484.550514641</v>
      </c>
      <c r="AW113" s="100" t="n">
        <f aca="false">AW110+AW84</f>
        <v>642156.482480274</v>
      </c>
      <c r="AX113" s="100" t="n">
        <f aca="false">AX110+AX84</f>
        <v>670832.581112574</v>
      </c>
      <c r="AY113" s="100" t="n">
        <f aca="false">AY110+AY84</f>
        <v>697714.053361271</v>
      </c>
      <c r="AZ113" s="100" t="n">
        <f aca="false">AZ110+AZ84</f>
        <v>724599.692276634</v>
      </c>
      <c r="BA113" s="100" t="n">
        <f aca="false">BA110+BA84</f>
        <v>751489.497858665</v>
      </c>
      <c r="BB113" s="100" t="n">
        <f aca="false">BB110+BB84</f>
        <v>778383.470107361</v>
      </c>
      <c r="BC113" s="100" t="n">
        <f aca="false">BC110+BC84</f>
        <v>805281.609022725</v>
      </c>
      <c r="BD113" s="100" t="n">
        <f aca="false">BD110+BD84</f>
        <v>832183.914604755</v>
      </c>
      <c r="BE113" s="100" t="n">
        <f aca="false">BE110+BE84</f>
        <v>859090.386853452</v>
      </c>
      <c r="BF113" s="100" t="n">
        <f aca="false">BF110+BF84</f>
        <v>886001.025768815</v>
      </c>
      <c r="BG113" s="100" t="n">
        <f aca="false">BG110+BG84</f>
        <v>912915.831350846</v>
      </c>
      <c r="BH113" s="100" t="n">
        <f aca="false">BH110+BH84</f>
        <v>939834.803599542</v>
      </c>
      <c r="BI113" s="100" t="n">
        <f aca="false">BI110+BI84</f>
        <v>966757.942514906</v>
      </c>
      <c r="BJ113" s="100" t="n">
        <f aca="false">BJ110+BJ84</f>
        <v>993685.248096936</v>
      </c>
      <c r="BK113" s="100" t="n">
        <f aca="false">BK110+BK84</f>
        <v>1018807.62250386</v>
      </c>
      <c r="BL113" s="100" t="n">
        <f aca="false">BL110+BL84</f>
        <v>1043934.16357744</v>
      </c>
      <c r="BM113" s="100" t="n">
        <f aca="false">BM110+BM84</f>
        <v>1069064.87131769</v>
      </c>
      <c r="BN113" s="100" t="n">
        <f aca="false">BN110+BN84</f>
        <v>1094199.74572461</v>
      </c>
      <c r="BO113" s="100" t="n">
        <f aca="false">BO110+BO84</f>
        <v>1119338.7867982</v>
      </c>
      <c r="BP113" s="100" t="n">
        <f aca="false">BP110+BP84</f>
        <v>1144481.99453845</v>
      </c>
      <c r="BQ113" s="100" t="n">
        <f aca="false">BQ110+BQ84</f>
        <v>1169629.36894537</v>
      </c>
      <c r="BR113" s="100" t="n">
        <f aca="false">BR110+BR84</f>
        <v>1194780.91001896</v>
      </c>
      <c r="BS113" s="100" t="n">
        <f aca="false">BS110+BS84</f>
        <v>1219936.61775921</v>
      </c>
      <c r="BT113" s="100" t="n">
        <f aca="false">BT110+BT84</f>
        <v>1245096.49216613</v>
      </c>
      <c r="BU113" s="100" t="n">
        <f aca="false">BU110+BU84</f>
        <v>1270260.53323971</v>
      </c>
      <c r="BV113" s="100" t="n">
        <f aca="false">BV110+BV84</f>
        <v>1295428.74097997</v>
      </c>
      <c r="BW113" s="100" t="n">
        <f aca="false">BW110+BW84</f>
        <v>1318781.40360985</v>
      </c>
      <c r="BX113" s="100" t="n">
        <f aca="false">BX110+BX84</f>
        <v>1342138.23290641</v>
      </c>
      <c r="BY113" s="100" t="n">
        <f aca="false">BY110+BY84</f>
        <v>1365499.22886963</v>
      </c>
      <c r="BZ113" s="100" t="n">
        <f aca="false">BZ110+BZ84</f>
        <v>1388864.39149952</v>
      </c>
      <c r="CA113" s="100" t="n">
        <f aca="false">CA110+CA84</f>
        <v>1412233.72079607</v>
      </c>
      <c r="CB113" s="100" t="n">
        <f aca="false">CB110+CB84</f>
        <v>1435607.2167593</v>
      </c>
      <c r="CC113" s="100" t="n">
        <f aca="false">CC110+CC84</f>
        <v>1458984.87938918</v>
      </c>
      <c r="CD113" s="100" t="n">
        <f aca="false">CD110+CD84</f>
        <v>1482366.70868574</v>
      </c>
      <c r="CE113" s="100" t="n">
        <f aca="false">CE110+CE84</f>
        <v>1505752.70464896</v>
      </c>
      <c r="CF113" s="100" t="n">
        <f aca="false">CF110+CF84</f>
        <v>1529142.86727885</v>
      </c>
      <c r="CG113" s="100" t="n">
        <f aca="false">CG110+CG84</f>
        <v>1552537.1965754</v>
      </c>
      <c r="CH113" s="100" t="n">
        <f aca="false">CH110+CH84</f>
        <v>1575935.69253862</v>
      </c>
    </row>
    <row r="114" customFormat="false" ht="13.5" hidden="false" customHeight="true" outlineLevel="0" collapsed="false">
      <c r="A114" s="6" t="s">
        <v>583</v>
      </c>
      <c r="C114" s="100" t="n">
        <f aca="false">-C84</f>
        <v>0</v>
      </c>
      <c r="D114" s="100" t="n">
        <f aca="false">C114-D84</f>
        <v>0</v>
      </c>
      <c r="E114" s="100" t="n">
        <f aca="false">D114-E84</f>
        <v>0</v>
      </c>
      <c r="F114" s="100" t="n">
        <f aca="false">E114-F84</f>
        <v>0</v>
      </c>
      <c r="G114" s="100" t="n">
        <f aca="false">F114-G84</f>
        <v>0</v>
      </c>
      <c r="H114" s="100" t="n">
        <f aca="false">G114-H84</f>
        <v>0</v>
      </c>
      <c r="I114" s="100" t="n">
        <f aca="false">H114-I84</f>
        <v>0</v>
      </c>
      <c r="J114" s="100" t="n">
        <f aca="false">I114-J84</f>
        <v>0</v>
      </c>
      <c r="K114" s="100" t="n">
        <f aca="false">J114-K84</f>
        <v>0</v>
      </c>
      <c r="L114" s="100" t="n">
        <f aca="false">K114-L84</f>
        <v>0</v>
      </c>
      <c r="M114" s="100" t="n">
        <f aca="false">L114-M84</f>
        <v>0</v>
      </c>
      <c r="N114" s="100" t="n">
        <f aca="false">M114-N84</f>
        <v>0</v>
      </c>
      <c r="O114" s="100" t="n">
        <f aca="false">N114-O84</f>
        <v>0</v>
      </c>
      <c r="P114" s="100" t="n">
        <f aca="false">O114-P84</f>
        <v>0</v>
      </c>
      <c r="Q114" s="100" t="n">
        <f aca="false">P114-Q84</f>
        <v>0</v>
      </c>
      <c r="R114" s="100" t="n">
        <f aca="false">Q114-R84</f>
        <v>0</v>
      </c>
      <c r="S114" s="100" t="n">
        <f aca="false">R114-S84</f>
        <v>0</v>
      </c>
      <c r="T114" s="100" t="n">
        <f aca="false">S114-T84</f>
        <v>0</v>
      </c>
      <c r="U114" s="100" t="n">
        <f aca="false">T114-U84</f>
        <v>0</v>
      </c>
      <c r="V114" s="100" t="n">
        <f aca="false">U114-V84</f>
        <v>0</v>
      </c>
      <c r="W114" s="100" t="n">
        <f aca="false">V114-W84</f>
        <v>0</v>
      </c>
      <c r="X114" s="100" t="n">
        <f aca="false">W114-X84</f>
        <v>0</v>
      </c>
      <c r="Y114" s="100" t="n">
        <f aca="false">X114-Y84</f>
        <v>0</v>
      </c>
      <c r="Z114" s="100" t="n">
        <f aca="false">Y114-Z84</f>
        <v>0</v>
      </c>
      <c r="AA114" s="100" t="n">
        <f aca="false">Z114-AA84</f>
        <v>0</v>
      </c>
      <c r="AB114" s="100" t="n">
        <f aca="false">AA114-AB84</f>
        <v>0</v>
      </c>
      <c r="AC114" s="100" t="n">
        <f aca="false">AB114-AC84</f>
        <v>0</v>
      </c>
      <c r="AD114" s="100" t="n">
        <f aca="false">AC114-AD84</f>
        <v>0</v>
      </c>
      <c r="AE114" s="100" t="n">
        <f aca="false">AD114-AE84</f>
        <v>0</v>
      </c>
      <c r="AF114" s="100" t="n">
        <f aca="false">AE114-AF84</f>
        <v>0</v>
      </c>
      <c r="AG114" s="100" t="n">
        <f aca="false">AF114-AG84</f>
        <v>0</v>
      </c>
      <c r="AH114" s="100" t="n">
        <f aca="false">AG114-AH84</f>
        <v>0</v>
      </c>
      <c r="AI114" s="100" t="n">
        <f aca="false">AH114-AI84</f>
        <v>0</v>
      </c>
      <c r="AJ114" s="100" t="n">
        <f aca="false">AI114-AJ84</f>
        <v>0</v>
      </c>
      <c r="AK114" s="100" t="n">
        <f aca="false">AJ114-AK84</f>
        <v>0</v>
      </c>
      <c r="AL114" s="100" t="n">
        <f aca="false">AK114-AL84</f>
        <v>0</v>
      </c>
      <c r="AM114" s="100" t="n">
        <f aca="false">AL114-AM84</f>
        <v>0</v>
      </c>
      <c r="AN114" s="100" t="n">
        <f aca="false">AM114-AN84</f>
        <v>0</v>
      </c>
      <c r="AO114" s="100" t="n">
        <f aca="false">AN114-AO84</f>
        <v>0</v>
      </c>
      <c r="AP114" s="100" t="n">
        <f aca="false">AO114-AP84</f>
        <v>0</v>
      </c>
      <c r="AQ114" s="100" t="n">
        <f aca="false">AP114-AQ84</f>
        <v>0</v>
      </c>
      <c r="AR114" s="100" t="n">
        <f aca="false">AQ114-AR84</f>
        <v>0</v>
      </c>
      <c r="AS114" s="100" t="n">
        <f aca="false">AR114-AS84</f>
        <v>0</v>
      </c>
      <c r="AT114" s="100" t="n">
        <f aca="false">AS114-AT84</f>
        <v>0</v>
      </c>
      <c r="AU114" s="100" t="n">
        <f aca="false">AT114-AU84</f>
        <v>0</v>
      </c>
      <c r="AV114" s="100" t="n">
        <f aca="false">AU114-AV84</f>
        <v>0</v>
      </c>
      <c r="AW114" s="100" t="n">
        <f aca="false">AV114-AW84</f>
        <v>0</v>
      </c>
      <c r="AX114" s="100" t="n">
        <f aca="false">AW114-AX84</f>
        <v>0</v>
      </c>
      <c r="AY114" s="100" t="n">
        <f aca="false">AX114-AY84</f>
        <v>0</v>
      </c>
      <c r="AZ114" s="100" t="n">
        <f aca="false">AY114-AZ84</f>
        <v>0</v>
      </c>
      <c r="BA114" s="100" t="n">
        <f aca="false">AZ114-BA84</f>
        <v>0</v>
      </c>
      <c r="BB114" s="100" t="n">
        <f aca="false">BA114-BB84</f>
        <v>0</v>
      </c>
      <c r="BC114" s="100" t="n">
        <f aca="false">BB114-BC84</f>
        <v>0</v>
      </c>
      <c r="BD114" s="100" t="n">
        <f aca="false">BC114-BD84</f>
        <v>0</v>
      </c>
      <c r="BE114" s="100" t="n">
        <f aca="false">BD114-BE84</f>
        <v>0</v>
      </c>
      <c r="BF114" s="100" t="n">
        <f aca="false">BE114-BF84</f>
        <v>0</v>
      </c>
      <c r="BG114" s="100" t="n">
        <f aca="false">BF114-BG84</f>
        <v>0</v>
      </c>
      <c r="BH114" s="100" t="n">
        <f aca="false">BG114-BH84</f>
        <v>0</v>
      </c>
      <c r="BI114" s="100" t="n">
        <f aca="false">BH114-BI84</f>
        <v>0</v>
      </c>
      <c r="BJ114" s="100" t="n">
        <f aca="false">BI114-BJ84</f>
        <v>0</v>
      </c>
      <c r="BK114" s="100" t="n">
        <f aca="false">BJ114-BK84</f>
        <v>0</v>
      </c>
      <c r="BL114" s="100" t="n">
        <f aca="false">BK114-BL84</f>
        <v>0</v>
      </c>
      <c r="BM114" s="100" t="n">
        <f aca="false">BL114-BM84</f>
        <v>0</v>
      </c>
      <c r="BN114" s="100" t="n">
        <f aca="false">BM114-BN84</f>
        <v>0</v>
      </c>
      <c r="BO114" s="100" t="n">
        <f aca="false">BN114-BO84</f>
        <v>0</v>
      </c>
      <c r="BP114" s="100" t="n">
        <f aca="false">BO114-BP84</f>
        <v>0</v>
      </c>
      <c r="BQ114" s="100" t="n">
        <f aca="false">BP114-BQ84</f>
        <v>0</v>
      </c>
      <c r="BR114" s="100" t="n">
        <f aca="false">BQ114-BR84</f>
        <v>0</v>
      </c>
      <c r="BS114" s="100" t="n">
        <f aca="false">BR114-BS84</f>
        <v>0</v>
      </c>
      <c r="BT114" s="100" t="n">
        <f aca="false">BS114-BT84</f>
        <v>0</v>
      </c>
      <c r="BU114" s="100" t="n">
        <f aca="false">BT114-BU84</f>
        <v>0</v>
      </c>
      <c r="BV114" s="100" t="n">
        <f aca="false">BU114-BV84</f>
        <v>0</v>
      </c>
      <c r="BW114" s="100" t="n">
        <f aca="false">BV114-BW84</f>
        <v>0</v>
      </c>
      <c r="BX114" s="100" t="n">
        <f aca="false">BW114-BX84</f>
        <v>0</v>
      </c>
      <c r="BY114" s="100" t="n">
        <f aca="false">BX114-BY84</f>
        <v>0</v>
      </c>
      <c r="BZ114" s="100" t="n">
        <f aca="false">BY114-BZ84</f>
        <v>0</v>
      </c>
      <c r="CA114" s="100" t="n">
        <f aca="false">BZ114-CA84</f>
        <v>0</v>
      </c>
      <c r="CB114" s="100" t="n">
        <f aca="false">CA114-CB84</f>
        <v>0</v>
      </c>
      <c r="CC114" s="100" t="n">
        <f aca="false">CB114-CC84</f>
        <v>0</v>
      </c>
      <c r="CD114" s="100" t="n">
        <f aca="false">CC114-CD84</f>
        <v>0</v>
      </c>
      <c r="CE114" s="100" t="n">
        <f aca="false">CD114-CE84</f>
        <v>0</v>
      </c>
      <c r="CF114" s="100" t="n">
        <f aca="false">CE114-CF84</f>
        <v>0</v>
      </c>
      <c r="CG114" s="100" t="n">
        <f aca="false">CF114-CG84</f>
        <v>0</v>
      </c>
      <c r="CH114" s="100" t="n">
        <f aca="false">CG114-CH84</f>
        <v>0</v>
      </c>
    </row>
    <row r="115" customFormat="false" ht="13.5" hidden="false" customHeight="true" outlineLevel="0" collapsed="false">
      <c r="A115" s="6" t="s">
        <v>584</v>
      </c>
      <c r="C115" s="100" t="n">
        <f aca="false">-C83</f>
        <v>0</v>
      </c>
      <c r="D115" s="100" t="n">
        <f aca="false">C115-D83</f>
        <v>0</v>
      </c>
      <c r="E115" s="100" t="n">
        <f aca="false">D115-E83</f>
        <v>0</v>
      </c>
      <c r="F115" s="100" t="n">
        <f aca="false">E115-F83</f>
        <v>0</v>
      </c>
      <c r="G115" s="100" t="n">
        <f aca="false">F115-G83</f>
        <v>0</v>
      </c>
      <c r="H115" s="100" t="n">
        <f aca="false">G115-H83</f>
        <v>0</v>
      </c>
      <c r="I115" s="100" t="n">
        <f aca="false">H115-I83</f>
        <v>0</v>
      </c>
      <c r="J115" s="100" t="n">
        <f aca="false">I115-J83</f>
        <v>0</v>
      </c>
      <c r="K115" s="100" t="n">
        <f aca="false">J115-K83</f>
        <v>0</v>
      </c>
      <c r="L115" s="100" t="n">
        <f aca="false">K115-L83</f>
        <v>0</v>
      </c>
      <c r="M115" s="100" t="n">
        <f aca="false">L115-M83</f>
        <v>0</v>
      </c>
      <c r="N115" s="100" t="n">
        <f aca="false">M115-N83</f>
        <v>0</v>
      </c>
      <c r="O115" s="100" t="n">
        <f aca="false">N115-O83</f>
        <v>0</v>
      </c>
      <c r="P115" s="100" t="n">
        <f aca="false">O115-P83</f>
        <v>0</v>
      </c>
      <c r="Q115" s="100" t="n">
        <f aca="false">P115-Q83</f>
        <v>0</v>
      </c>
      <c r="R115" s="100" t="n">
        <f aca="false">Q115-R83</f>
        <v>0</v>
      </c>
      <c r="S115" s="100" t="n">
        <f aca="false">R115-S83</f>
        <v>0</v>
      </c>
      <c r="T115" s="100" t="n">
        <f aca="false">S115-T83</f>
        <v>0</v>
      </c>
      <c r="U115" s="100" t="n">
        <f aca="false">T115-U83</f>
        <v>0</v>
      </c>
      <c r="V115" s="100" t="n">
        <f aca="false">U115-V83</f>
        <v>0</v>
      </c>
      <c r="W115" s="100" t="n">
        <f aca="false">V115-W83</f>
        <v>0</v>
      </c>
      <c r="X115" s="100" t="n">
        <f aca="false">W115-X83</f>
        <v>0</v>
      </c>
      <c r="Y115" s="100" t="n">
        <f aca="false">X115-Y83</f>
        <v>0</v>
      </c>
      <c r="Z115" s="100" t="n">
        <f aca="false">Y115-Z83</f>
        <v>0</v>
      </c>
      <c r="AA115" s="100" t="n">
        <f aca="false">Z115-AA83</f>
        <v>0</v>
      </c>
      <c r="AB115" s="100" t="n">
        <f aca="false">AA115-AB83</f>
        <v>0</v>
      </c>
      <c r="AC115" s="100" t="n">
        <f aca="false">AB115-AC83</f>
        <v>0</v>
      </c>
      <c r="AD115" s="100" t="n">
        <f aca="false">AC115-AD83</f>
        <v>0</v>
      </c>
      <c r="AE115" s="100" t="n">
        <f aca="false">AD115-AE83</f>
        <v>0</v>
      </c>
      <c r="AF115" s="100" t="n">
        <f aca="false">AE115-AF83</f>
        <v>0</v>
      </c>
      <c r="AG115" s="100" t="n">
        <f aca="false">AF115-AG83</f>
        <v>0</v>
      </c>
      <c r="AH115" s="100" t="n">
        <f aca="false">AG115-AH83</f>
        <v>0</v>
      </c>
      <c r="AI115" s="100" t="n">
        <f aca="false">AH115-AI83</f>
        <v>0</v>
      </c>
      <c r="AJ115" s="100" t="n">
        <f aca="false">AI115-AJ83</f>
        <v>0</v>
      </c>
      <c r="AK115" s="100" t="n">
        <f aca="false">AJ115-AK83</f>
        <v>0</v>
      </c>
      <c r="AL115" s="100" t="n">
        <f aca="false">AK115-AL83</f>
        <v>0</v>
      </c>
      <c r="AM115" s="100" t="n">
        <f aca="false">AL115-AM83</f>
        <v>0</v>
      </c>
      <c r="AN115" s="100" t="n">
        <f aca="false">AM115-AN83</f>
        <v>0</v>
      </c>
      <c r="AO115" s="100" t="n">
        <f aca="false">AN115-AO83</f>
        <v>0</v>
      </c>
      <c r="AP115" s="100" t="n">
        <f aca="false">AO115-AP83</f>
        <v>0</v>
      </c>
      <c r="AQ115" s="100" t="n">
        <f aca="false">AP115-AQ83</f>
        <v>0</v>
      </c>
      <c r="AR115" s="100" t="n">
        <f aca="false">AQ115-AR83</f>
        <v>0</v>
      </c>
      <c r="AS115" s="100" t="n">
        <f aca="false">AR115-AS83</f>
        <v>0</v>
      </c>
      <c r="AT115" s="100" t="n">
        <f aca="false">AS115-AT83</f>
        <v>0</v>
      </c>
      <c r="AU115" s="100" t="n">
        <f aca="false">AT115-AU83</f>
        <v>0</v>
      </c>
      <c r="AV115" s="100" t="n">
        <f aca="false">AU115-AV83</f>
        <v>0</v>
      </c>
      <c r="AW115" s="100" t="n">
        <f aca="false">AV115-AW83</f>
        <v>0</v>
      </c>
      <c r="AX115" s="100" t="n">
        <f aca="false">AW115-AX83</f>
        <v>131265.631433308</v>
      </c>
      <c r="AY115" s="100" t="n">
        <f aca="false">AX115-AY83</f>
        <v>131265.631433308</v>
      </c>
      <c r="AZ115" s="100" t="n">
        <f aca="false">AY115-AZ83</f>
        <v>131265.631433308</v>
      </c>
      <c r="BA115" s="100" t="n">
        <f aca="false">AZ115-BA83</f>
        <v>131265.631433308</v>
      </c>
      <c r="BB115" s="100" t="n">
        <f aca="false">BA115-BB83</f>
        <v>131265.631433308</v>
      </c>
      <c r="BC115" s="100" t="n">
        <f aca="false">BB115-BC83</f>
        <v>131265.631433308</v>
      </c>
      <c r="BD115" s="100" t="n">
        <f aca="false">BC115-BD83</f>
        <v>131265.631433308</v>
      </c>
      <c r="BE115" s="100" t="n">
        <f aca="false">BD115-BE83</f>
        <v>131265.631433308</v>
      </c>
      <c r="BF115" s="100" t="n">
        <f aca="false">BE115-BF83</f>
        <v>131265.631433308</v>
      </c>
      <c r="BG115" s="100" t="n">
        <f aca="false">BF115-BG83</f>
        <v>131265.631433308</v>
      </c>
      <c r="BH115" s="100" t="n">
        <f aca="false">BG115-BH83</f>
        <v>131265.631433308</v>
      </c>
      <c r="BI115" s="100" t="n">
        <f aca="false">BH115-BI83</f>
        <v>131265.631433308</v>
      </c>
      <c r="BJ115" s="100" t="n">
        <f aca="false">BI115-BJ83</f>
        <v>260406.698227053</v>
      </c>
      <c r="BK115" s="100" t="n">
        <f aca="false">BJ115-BK83</f>
        <v>260406.698227053</v>
      </c>
      <c r="BL115" s="100" t="n">
        <f aca="false">BK115-BL83</f>
        <v>260406.698227053</v>
      </c>
      <c r="BM115" s="100" t="n">
        <f aca="false">BL115-BM83</f>
        <v>260406.698227053</v>
      </c>
      <c r="BN115" s="100" t="n">
        <f aca="false">BM115-BN83</f>
        <v>260406.698227053</v>
      </c>
      <c r="BO115" s="100" t="n">
        <f aca="false">BN115-BO83</f>
        <v>260406.698227053</v>
      </c>
      <c r="BP115" s="100" t="n">
        <f aca="false">BO115-BP83</f>
        <v>260406.698227053</v>
      </c>
      <c r="BQ115" s="100" t="n">
        <f aca="false">BP115-BQ83</f>
        <v>260406.698227053</v>
      </c>
      <c r="BR115" s="100" t="n">
        <f aca="false">BQ115-BR83</f>
        <v>260406.698227053</v>
      </c>
      <c r="BS115" s="100" t="n">
        <f aca="false">BR115-BS83</f>
        <v>260406.698227053</v>
      </c>
      <c r="BT115" s="100" t="n">
        <f aca="false">BS115-BT83</f>
        <v>260406.698227053</v>
      </c>
      <c r="BU115" s="100" t="n">
        <f aca="false">BT115-BU83</f>
        <v>260406.698227053</v>
      </c>
      <c r="BV115" s="100" t="n">
        <f aca="false">BU115-BV83</f>
        <v>381104.095380264</v>
      </c>
      <c r="BW115" s="100" t="n">
        <f aca="false">BV115-BW83</f>
        <v>381104.095380264</v>
      </c>
      <c r="BX115" s="100" t="n">
        <f aca="false">BW115-BX83</f>
        <v>381104.095380264</v>
      </c>
      <c r="BY115" s="100" t="n">
        <f aca="false">BX115-BY83</f>
        <v>381104.095380264</v>
      </c>
      <c r="BZ115" s="100" t="n">
        <f aca="false">BY115-BZ83</f>
        <v>381104.095380264</v>
      </c>
      <c r="CA115" s="100" t="n">
        <f aca="false">BZ115-CA83</f>
        <v>381104.095380264</v>
      </c>
      <c r="CB115" s="100" t="n">
        <f aca="false">CA115-CB83</f>
        <v>381104.095380264</v>
      </c>
      <c r="CC115" s="100" t="n">
        <f aca="false">CB115-CC83</f>
        <v>381104.095380264</v>
      </c>
      <c r="CD115" s="100" t="n">
        <f aca="false">CC115-CD83</f>
        <v>381104.095380264</v>
      </c>
      <c r="CE115" s="100" t="n">
        <f aca="false">CD115-CE83</f>
        <v>381104.095380264</v>
      </c>
      <c r="CF115" s="100" t="n">
        <f aca="false">CE115-CF83</f>
        <v>381104.095380264</v>
      </c>
      <c r="CG115" s="100" t="n">
        <f aca="false">CF115-CG83</f>
        <v>381104.095380264</v>
      </c>
      <c r="CH115" s="100" t="n">
        <f aca="false">CG115-CH83</f>
        <v>493306.876003728</v>
      </c>
    </row>
    <row r="116" customFormat="false" ht="13.5" hidden="false" customHeight="true" outlineLevel="0" collapsed="false">
      <c r="A116" s="6" t="s">
        <v>585</v>
      </c>
      <c r="C116" s="100" t="n">
        <f aca="false">Hipótesis!$C$44*(1-Hipótesis!$D$83)</f>
        <v>1540</v>
      </c>
      <c r="D116" s="100" t="n">
        <f aca="false">Hipótesis!$C$44*(1-Hipótesis!$D$83)</f>
        <v>1540</v>
      </c>
      <c r="E116" s="100" t="n">
        <f aca="false">Hipótesis!$C$44*(1-Hipótesis!$D$83)</f>
        <v>1540</v>
      </c>
      <c r="F116" s="100" t="n">
        <f aca="false">Hipótesis!$C$44*(1-Hipótesis!$D$83)</f>
        <v>1540</v>
      </c>
      <c r="G116" s="100" t="n">
        <f aca="false">Hipótesis!$C$44*(1-Hipótesis!$D$83)</f>
        <v>1540</v>
      </c>
      <c r="H116" s="100" t="n">
        <f aca="false">Hipótesis!$C$44*(1-Hipótesis!$D$83)</f>
        <v>1540</v>
      </c>
      <c r="I116" s="100" t="n">
        <f aca="false">Hipótesis!$C$44*(1-Hipótesis!$D$83)</f>
        <v>1540</v>
      </c>
      <c r="J116" s="100" t="n">
        <f aca="false">Hipótesis!$C$44*(1-Hipótesis!$D$83)</f>
        <v>1540</v>
      </c>
      <c r="K116" s="100" t="n">
        <f aca="false">Hipótesis!$C$44*(1-Hipótesis!$D$83)</f>
        <v>1540</v>
      </c>
      <c r="L116" s="100" t="n">
        <f aca="false">Hipótesis!$C$44*(1-Hipótesis!$D$83)</f>
        <v>1540</v>
      </c>
      <c r="M116" s="100" t="n">
        <f aca="false">Hipótesis!$C$44*(1-Hipótesis!$D$83)</f>
        <v>1540</v>
      </c>
      <c r="N116" s="100" t="n">
        <f aca="false">Hipótesis!$C$44*(1-Hipótesis!$D$83)</f>
        <v>1540</v>
      </c>
      <c r="O116" s="100" t="n">
        <f aca="false">Hipótesis!$D$44*(1-Hipótesis!$D$83)</f>
        <v>2450</v>
      </c>
      <c r="P116" s="100" t="n">
        <f aca="false">Hipótesis!$D$44*(1-Hipótesis!$D$83)</f>
        <v>2450</v>
      </c>
      <c r="Q116" s="100" t="n">
        <f aca="false">Hipótesis!$D$44*(1-Hipótesis!$D$83)</f>
        <v>2450</v>
      </c>
      <c r="R116" s="100" t="n">
        <f aca="false">Hipótesis!$D$44*(1-Hipótesis!$D$83)</f>
        <v>2450</v>
      </c>
      <c r="S116" s="100" t="n">
        <f aca="false">Hipótesis!$D$44*(1-Hipótesis!$D$83)</f>
        <v>2450</v>
      </c>
      <c r="T116" s="100" t="n">
        <f aca="false">Hipótesis!$D$44*(1-Hipótesis!$D$83)</f>
        <v>2450</v>
      </c>
      <c r="U116" s="100" t="n">
        <f aca="false">Hipótesis!$D$44*(1-Hipótesis!$D$83)</f>
        <v>2450</v>
      </c>
      <c r="V116" s="100" t="n">
        <f aca="false">Hipótesis!$D$44*(1-Hipótesis!$D$83)</f>
        <v>2450</v>
      </c>
      <c r="W116" s="100" t="n">
        <f aca="false">Hipótesis!$D$44*(1-Hipótesis!$D$83)</f>
        <v>2450</v>
      </c>
      <c r="X116" s="100" t="n">
        <f aca="false">Hipótesis!$D$44*(1-Hipótesis!$D$83)</f>
        <v>2450</v>
      </c>
      <c r="Y116" s="100" t="n">
        <f aca="false">Hipótesis!$D$44*(1-Hipótesis!$D$83)</f>
        <v>2450</v>
      </c>
      <c r="Z116" s="100" t="n">
        <f aca="false">Hipótesis!$D$44*(1-Hipótesis!$D$83)</f>
        <v>2450</v>
      </c>
      <c r="AA116" s="100" t="n">
        <f aca="false">Hipótesis!$E$44*(1-Hipótesis!$D$83)</f>
        <v>2800</v>
      </c>
      <c r="AB116" s="100" t="n">
        <f aca="false">Hipótesis!$E$44*(1-Hipótesis!$D$83)</f>
        <v>2800</v>
      </c>
      <c r="AC116" s="100" t="n">
        <f aca="false">Hipótesis!$E$44*(1-Hipótesis!$D$83)</f>
        <v>2800</v>
      </c>
      <c r="AD116" s="100" t="n">
        <f aca="false">Hipótesis!$E$44*(1-Hipótesis!$D$83)</f>
        <v>2800</v>
      </c>
      <c r="AE116" s="100" t="n">
        <f aca="false">Hipótesis!$E$44*(1-Hipótesis!$D$83)</f>
        <v>2800</v>
      </c>
      <c r="AF116" s="100" t="n">
        <f aca="false">Hipótesis!$E$44*(1-Hipótesis!$D$83)</f>
        <v>2800</v>
      </c>
      <c r="AG116" s="100" t="n">
        <f aca="false">Hipótesis!$E$44*(1-Hipótesis!$D$83)</f>
        <v>2800</v>
      </c>
      <c r="AH116" s="100" t="n">
        <f aca="false">Hipótesis!$E$44*(1-Hipótesis!$D$83)</f>
        <v>2800</v>
      </c>
      <c r="AI116" s="100" t="n">
        <f aca="false">Hipótesis!$E$44*(1-Hipótesis!$D$83)</f>
        <v>2800</v>
      </c>
      <c r="AJ116" s="100" t="n">
        <f aca="false">Hipótesis!$E$44*(1-Hipótesis!$D$83)</f>
        <v>2800</v>
      </c>
      <c r="AK116" s="100" t="n">
        <f aca="false">Hipótesis!$E$44*(1-Hipótesis!$D$83)</f>
        <v>2800</v>
      </c>
      <c r="AL116" s="100" t="n">
        <f aca="false">Hipótesis!$E$44*(1-Hipótesis!$D$83)</f>
        <v>2800</v>
      </c>
      <c r="AM116" s="100" t="n">
        <f aca="false">Hipótesis!$F$44*(1-Hipótesis!$D$83)</f>
        <v>3150</v>
      </c>
      <c r="AN116" s="100" t="n">
        <f aca="false">Hipótesis!$F$44*(1-Hipótesis!$D$83)</f>
        <v>3150</v>
      </c>
      <c r="AO116" s="100" t="n">
        <f aca="false">Hipótesis!$F$44*(1-Hipótesis!$D$83)</f>
        <v>3150</v>
      </c>
      <c r="AP116" s="100" t="n">
        <f aca="false">Hipótesis!$F$44*(1-Hipótesis!$D$83)</f>
        <v>3150</v>
      </c>
      <c r="AQ116" s="100" t="n">
        <f aca="false">Hipótesis!$F$44*(1-Hipótesis!$D$83)</f>
        <v>3150</v>
      </c>
      <c r="AR116" s="100" t="n">
        <f aca="false">Hipótesis!$F$44*(1-Hipótesis!$D$83)</f>
        <v>3150</v>
      </c>
      <c r="AS116" s="100" t="n">
        <f aca="false">Hipótesis!$F$44*(1-Hipótesis!$D$83)</f>
        <v>3150</v>
      </c>
      <c r="AT116" s="100" t="n">
        <f aca="false">Hipótesis!$F$44*(1-Hipótesis!$D$83)</f>
        <v>3150</v>
      </c>
      <c r="AU116" s="100" t="n">
        <f aca="false">Hipótesis!$F$44*(1-Hipótesis!$D$83)</f>
        <v>3150</v>
      </c>
      <c r="AV116" s="100" t="n">
        <f aca="false">Hipótesis!$F$44*(1-Hipótesis!$D$83)</f>
        <v>3150</v>
      </c>
      <c r="AW116" s="100" t="n">
        <f aca="false">Hipótesis!$F$44*(1-Hipótesis!$D$83)</f>
        <v>3150</v>
      </c>
      <c r="AX116" s="100" t="n">
        <f aca="false">Hipótesis!$F$44*(1-Hipótesis!$D$83)</f>
        <v>3150</v>
      </c>
      <c r="AY116" s="100" t="n">
        <f aca="false">Hipótesis!$G$44*(1-Hipótesis!$D$83)</f>
        <v>3500</v>
      </c>
      <c r="AZ116" s="100" t="n">
        <f aca="false">Hipótesis!$G$44*(1-Hipótesis!$D$83)</f>
        <v>3500</v>
      </c>
      <c r="BA116" s="100" t="n">
        <f aca="false">Hipótesis!$G$44*(1-Hipótesis!$D$83)</f>
        <v>3500</v>
      </c>
      <c r="BB116" s="100" t="n">
        <f aca="false">Hipótesis!$G$44*(1-Hipótesis!$D$83)</f>
        <v>3500</v>
      </c>
      <c r="BC116" s="100" t="n">
        <f aca="false">Hipótesis!$G$44*(1-Hipótesis!$D$83)</f>
        <v>3500</v>
      </c>
      <c r="BD116" s="100" t="n">
        <f aca="false">Hipótesis!$G$44*(1-Hipótesis!$D$83)</f>
        <v>3500</v>
      </c>
      <c r="BE116" s="100" t="n">
        <f aca="false">Hipótesis!$G$44*(1-Hipótesis!$D$83)</f>
        <v>3500</v>
      </c>
      <c r="BF116" s="100" t="n">
        <f aca="false">Hipótesis!$G$44*(1-Hipótesis!$D$83)</f>
        <v>3500</v>
      </c>
      <c r="BG116" s="100" t="n">
        <f aca="false">Hipótesis!$G$44*(1-Hipótesis!$D$83)</f>
        <v>3500</v>
      </c>
      <c r="BH116" s="100" t="n">
        <f aca="false">Hipótesis!$G$44*(1-Hipótesis!$D$83)</f>
        <v>3500</v>
      </c>
      <c r="BI116" s="100" t="n">
        <f aca="false">Hipótesis!$G$44*(1-Hipótesis!$D$83)</f>
        <v>3500</v>
      </c>
      <c r="BJ116" s="100" t="n">
        <f aca="false">Hipótesis!$G$44*(1-Hipótesis!$D$83)</f>
        <v>3500</v>
      </c>
      <c r="BK116" s="100" t="n">
        <f aca="false">Hipótesis!$H$44*(1-Hipótesis!$D$83)</f>
        <v>3850</v>
      </c>
      <c r="BL116" s="100" t="n">
        <f aca="false">Hipótesis!$H$44*(1-Hipótesis!$D$83)</f>
        <v>3850</v>
      </c>
      <c r="BM116" s="100" t="n">
        <f aca="false">Hipótesis!$H$44*(1-Hipótesis!$D$83)</f>
        <v>3850</v>
      </c>
      <c r="BN116" s="100" t="n">
        <f aca="false">Hipótesis!$H$44*(1-Hipótesis!$D$83)</f>
        <v>3850</v>
      </c>
      <c r="BO116" s="100" t="n">
        <f aca="false">Hipótesis!$H$44*(1-Hipótesis!$D$83)</f>
        <v>3850</v>
      </c>
      <c r="BP116" s="100" t="n">
        <f aca="false">Hipótesis!$H$44*(1-Hipótesis!$D$83)</f>
        <v>3850</v>
      </c>
      <c r="BQ116" s="100" t="n">
        <f aca="false">Hipótesis!$H$44*(1-Hipótesis!$D$83)</f>
        <v>3850</v>
      </c>
      <c r="BR116" s="100" t="n">
        <f aca="false">Hipótesis!$H$44*(1-Hipótesis!$D$83)</f>
        <v>3850</v>
      </c>
      <c r="BS116" s="100" t="n">
        <f aca="false">Hipótesis!$H$44*(1-Hipótesis!$D$83)</f>
        <v>3850</v>
      </c>
      <c r="BT116" s="100" t="n">
        <f aca="false">Hipótesis!$H$44*(1-Hipótesis!$D$83)</f>
        <v>3850</v>
      </c>
      <c r="BU116" s="100" t="n">
        <f aca="false">Hipótesis!$H$44*(1-Hipótesis!$D$83)</f>
        <v>3850</v>
      </c>
      <c r="BV116" s="100" t="n">
        <f aca="false">Hipótesis!$H$44*(1-Hipótesis!$D$83)</f>
        <v>3850</v>
      </c>
      <c r="BW116" s="100" t="n">
        <f aca="false">Hipótesis!$I$44*(1-Hipótesis!$D$83)</f>
        <v>4200</v>
      </c>
      <c r="BX116" s="100" t="n">
        <f aca="false">Hipótesis!$I$44*(1-Hipótesis!$D$83)</f>
        <v>4200</v>
      </c>
      <c r="BY116" s="100" t="n">
        <f aca="false">Hipótesis!$I$44*(1-Hipótesis!$D$83)</f>
        <v>4200</v>
      </c>
      <c r="BZ116" s="100" t="n">
        <f aca="false">Hipótesis!$I$44*(1-Hipótesis!$D$83)</f>
        <v>4200</v>
      </c>
      <c r="CA116" s="100" t="n">
        <f aca="false">Hipótesis!$I$44*(1-Hipótesis!$D$83)</f>
        <v>4200</v>
      </c>
      <c r="CB116" s="100" t="n">
        <f aca="false">Hipótesis!$I$44*(1-Hipótesis!$D$83)</f>
        <v>4200</v>
      </c>
      <c r="CC116" s="100" t="n">
        <f aca="false">Hipótesis!$I$44*(1-Hipótesis!$D$83)</f>
        <v>4200</v>
      </c>
      <c r="CD116" s="100" t="n">
        <f aca="false">Hipótesis!$I$44*(1-Hipótesis!$D$83)</f>
        <v>4200</v>
      </c>
      <c r="CE116" s="100" t="n">
        <f aca="false">Hipótesis!$I$44*(1-Hipótesis!$D$83)</f>
        <v>4200</v>
      </c>
      <c r="CF116" s="100" t="n">
        <f aca="false">Hipótesis!$I$44*(1-Hipótesis!$D$83)</f>
        <v>4200</v>
      </c>
      <c r="CG116" s="100" t="n">
        <f aca="false">Hipótesis!$I$44*(1-Hipótesis!$D$83)</f>
        <v>4200</v>
      </c>
      <c r="CH116" s="100" t="n">
        <f aca="false">Hipótesis!$I$44*(1-Hipótesis!$D$83)</f>
        <v>4200</v>
      </c>
    </row>
    <row r="117" customFormat="false" ht="13.5" hidden="false" customHeight="true" outlineLevel="0" collapsed="false">
      <c r="A117" s="6" t="s">
        <v>586</v>
      </c>
      <c r="C117" s="100" t="n">
        <f aca="false">-C84*Hipótesis!$D$82*(1-Hipótesis!$D$84)</f>
        <v>0</v>
      </c>
      <c r="D117" s="100" t="n">
        <f aca="false">-D84*Hipótesis!$D$82*(1-Hipótesis!$D$84)</f>
        <v>0</v>
      </c>
      <c r="E117" s="100" t="n">
        <f aca="false">-E84*Hipótesis!$D$82*(1-Hipótesis!$D$84)</f>
        <v>0</v>
      </c>
      <c r="F117" s="100" t="n">
        <f aca="false">-F84*Hipótesis!$D$82*(1-Hipótesis!$D$84)</f>
        <v>0</v>
      </c>
      <c r="G117" s="100" t="n">
        <f aca="false">-G84*Hipótesis!$D$82*(1-Hipótesis!$D$84)</f>
        <v>0</v>
      </c>
      <c r="H117" s="100" t="n">
        <f aca="false">-H84*Hipótesis!$D$82*(1-Hipótesis!$D$84)</f>
        <v>0</v>
      </c>
      <c r="I117" s="100" t="n">
        <f aca="false">-I84*Hipótesis!$D$82*(1-Hipótesis!$D$84)</f>
        <v>0</v>
      </c>
      <c r="J117" s="100" t="n">
        <f aca="false">-J84*Hipótesis!$D$82*(1-Hipótesis!$D$84)</f>
        <v>0</v>
      </c>
      <c r="K117" s="100" t="n">
        <f aca="false">-K84*Hipótesis!$D$82*(1-Hipótesis!$D$84)</f>
        <v>0</v>
      </c>
      <c r="L117" s="100" t="n">
        <f aca="false">-L84*Hipótesis!$D$82*(1-Hipótesis!$D$84)</f>
        <v>0</v>
      </c>
      <c r="M117" s="100" t="n">
        <f aca="false">-M84*Hipótesis!$D$82*(1-Hipótesis!$D$84)</f>
        <v>0</v>
      </c>
      <c r="N117" s="100" t="n">
        <f aca="false">-N84*Hipótesis!$D$82*(1-Hipótesis!$D$84)</f>
        <v>0</v>
      </c>
      <c r="O117" s="100" t="n">
        <f aca="false">-O84*Hipótesis!$D$82*(1-Hipótesis!$D$84)</f>
        <v>0</v>
      </c>
      <c r="P117" s="100" t="n">
        <f aca="false">-P84*Hipótesis!$D$82*(1-Hipótesis!$D$84)</f>
        <v>0</v>
      </c>
      <c r="Q117" s="100" t="n">
        <f aca="false">-Q84*Hipótesis!$D$82*(1-Hipótesis!$D$84)</f>
        <v>0</v>
      </c>
      <c r="R117" s="100" t="n">
        <f aca="false">-R84*Hipótesis!$D$82*(1-Hipótesis!$D$84)</f>
        <v>0</v>
      </c>
      <c r="S117" s="100" t="n">
        <f aca="false">-S84*Hipótesis!$D$82*(1-Hipótesis!$D$84)</f>
        <v>0</v>
      </c>
      <c r="T117" s="100" t="n">
        <f aca="false">-T84*Hipótesis!$D$82*(1-Hipótesis!$D$84)</f>
        <v>0</v>
      </c>
      <c r="U117" s="100" t="n">
        <f aca="false">-U84*Hipótesis!$D$82*(1-Hipótesis!$D$84)</f>
        <v>0</v>
      </c>
      <c r="V117" s="100" t="n">
        <f aca="false">-V84*Hipótesis!$D$82*(1-Hipótesis!$D$84)</f>
        <v>0</v>
      </c>
      <c r="W117" s="100" t="n">
        <f aca="false">-W84*Hipótesis!$D$82*(1-Hipótesis!$D$84)</f>
        <v>0</v>
      </c>
      <c r="X117" s="100" t="n">
        <f aca="false">-X84*Hipótesis!$D$82*(1-Hipótesis!$D$84)</f>
        <v>0</v>
      </c>
      <c r="Y117" s="100" t="n">
        <f aca="false">-Y84*Hipótesis!$D$82*(1-Hipótesis!$D$84)</f>
        <v>0</v>
      </c>
      <c r="Z117" s="100" t="n">
        <f aca="false">-Z84*Hipótesis!$D$82*(1-Hipótesis!$D$84)</f>
        <v>0</v>
      </c>
      <c r="AA117" s="100" t="n">
        <f aca="false">-AA84*Hipótesis!$D$82*(1-Hipótesis!$D$84)</f>
        <v>0</v>
      </c>
      <c r="AB117" s="100" t="n">
        <f aca="false">-AB84*Hipótesis!$D$82*(1-Hipótesis!$D$84)</f>
        <v>0</v>
      </c>
      <c r="AC117" s="100" t="n">
        <f aca="false">-AC84*Hipótesis!$D$82*(1-Hipótesis!$D$84)</f>
        <v>0</v>
      </c>
      <c r="AD117" s="100" t="n">
        <f aca="false">-AD84*Hipótesis!$D$82*(1-Hipótesis!$D$84)</f>
        <v>0</v>
      </c>
      <c r="AE117" s="100" t="n">
        <f aca="false">-AE84*Hipótesis!$D$82*(1-Hipótesis!$D$84)</f>
        <v>0</v>
      </c>
      <c r="AF117" s="100" t="n">
        <f aca="false">-AF84*Hipótesis!$D$82*(1-Hipótesis!$D$84)</f>
        <v>0</v>
      </c>
      <c r="AG117" s="100" t="n">
        <f aca="false">-AG84*Hipótesis!$D$82*(1-Hipótesis!$D$84)</f>
        <v>0</v>
      </c>
      <c r="AH117" s="100" t="n">
        <f aca="false">-AH84*Hipótesis!$D$82*(1-Hipótesis!$D$84)</f>
        <v>0</v>
      </c>
      <c r="AI117" s="100" t="n">
        <f aca="false">-AI84*Hipótesis!$D$82*(1-Hipótesis!$D$84)</f>
        <v>0</v>
      </c>
      <c r="AJ117" s="100" t="n">
        <f aca="false">-AJ84*Hipótesis!$D$82*(1-Hipótesis!$D$84)</f>
        <v>0</v>
      </c>
      <c r="AK117" s="100" t="n">
        <f aca="false">-AK84*Hipótesis!$D$82*(1-Hipótesis!$D$84)</f>
        <v>0</v>
      </c>
      <c r="AL117" s="100" t="n">
        <f aca="false">-AL84*Hipótesis!$D$82*(1-Hipótesis!$D$84)</f>
        <v>0</v>
      </c>
      <c r="AM117" s="100" t="n">
        <f aca="false">-AM84*Hipótesis!$D$82*(1-Hipótesis!$D$84)</f>
        <v>0</v>
      </c>
      <c r="AN117" s="100" t="n">
        <f aca="false">-AN84*Hipótesis!$D$82*(1-Hipótesis!$D$84)</f>
        <v>0</v>
      </c>
      <c r="AO117" s="100" t="n">
        <f aca="false">-AO84*Hipótesis!$D$82*(1-Hipótesis!$D$84)</f>
        <v>0</v>
      </c>
      <c r="AP117" s="100" t="n">
        <f aca="false">-AP84*Hipótesis!$D$82*(1-Hipótesis!$D$84)</f>
        <v>0</v>
      </c>
      <c r="AQ117" s="100" t="n">
        <f aca="false">-AQ84*Hipótesis!$D$82*(1-Hipótesis!$D$84)</f>
        <v>0</v>
      </c>
      <c r="AR117" s="100" t="n">
        <f aca="false">-AR84*Hipótesis!$D$82*(1-Hipótesis!$D$84)</f>
        <v>0</v>
      </c>
      <c r="AS117" s="100" t="n">
        <f aca="false">-AS84*Hipótesis!$D$82*(1-Hipótesis!$D$84)</f>
        <v>0</v>
      </c>
      <c r="AT117" s="100" t="n">
        <f aca="false">-AT84*Hipótesis!$D$82*(1-Hipótesis!$D$84)</f>
        <v>0</v>
      </c>
      <c r="AU117" s="100" t="n">
        <f aca="false">-AU84*Hipótesis!$D$82*(1-Hipótesis!$D$84)</f>
        <v>0</v>
      </c>
      <c r="AV117" s="100" t="n">
        <f aca="false">-AV84*Hipótesis!$D$82*(1-Hipótesis!$D$84)</f>
        <v>0</v>
      </c>
      <c r="AW117" s="100" t="n">
        <f aca="false">-AW84*Hipótesis!$D$82*(1-Hipótesis!$D$84)</f>
        <v>0</v>
      </c>
      <c r="AX117" s="100" t="n">
        <f aca="false">-AX84*Hipótesis!$D$82*(1-Hipótesis!$D$84)</f>
        <v>0</v>
      </c>
      <c r="AY117" s="100" t="n">
        <f aca="false">-AY84*Hipótesis!$D$82*(1-Hipótesis!$D$84)</f>
        <v>0</v>
      </c>
      <c r="AZ117" s="100" t="n">
        <f aca="false">-AZ84*Hipótesis!$D$82*(1-Hipótesis!$D$84)</f>
        <v>0</v>
      </c>
      <c r="BA117" s="100" t="n">
        <f aca="false">-BA84*Hipótesis!$D$82*(1-Hipótesis!$D$84)</f>
        <v>0</v>
      </c>
      <c r="BB117" s="100" t="n">
        <f aca="false">-BB84*Hipótesis!$D$82*(1-Hipótesis!$D$84)</f>
        <v>0</v>
      </c>
      <c r="BC117" s="100" t="n">
        <f aca="false">-BC84*Hipótesis!$D$82*(1-Hipótesis!$D$84)</f>
        <v>0</v>
      </c>
      <c r="BD117" s="100" t="n">
        <f aca="false">-BD84*Hipótesis!$D$82*(1-Hipótesis!$D$84)</f>
        <v>0</v>
      </c>
      <c r="BE117" s="100" t="n">
        <f aca="false">-BE84*Hipótesis!$D$82*(1-Hipótesis!$D$84)</f>
        <v>0</v>
      </c>
      <c r="BF117" s="100" t="n">
        <f aca="false">-BF84*Hipótesis!$D$82*(1-Hipótesis!$D$84)</f>
        <v>0</v>
      </c>
      <c r="BG117" s="100" t="n">
        <f aca="false">-BG84*Hipótesis!$D$82*(1-Hipótesis!$D$84)</f>
        <v>0</v>
      </c>
      <c r="BH117" s="100" t="n">
        <f aca="false">-BH84*Hipótesis!$D$82*(1-Hipótesis!$D$84)</f>
        <v>0</v>
      </c>
      <c r="BI117" s="100" t="n">
        <f aca="false">-BI84*Hipótesis!$D$82*(1-Hipótesis!$D$84)</f>
        <v>0</v>
      </c>
      <c r="BJ117" s="100" t="n">
        <f aca="false">-BJ84*Hipótesis!$D$82*(1-Hipótesis!$D$84)</f>
        <v>0</v>
      </c>
      <c r="BK117" s="100" t="n">
        <f aca="false">-BK84*Hipótesis!$D$82*(1-Hipótesis!$D$84)</f>
        <v>0</v>
      </c>
      <c r="BL117" s="100" t="n">
        <f aca="false">-BL84*Hipótesis!$D$82*(1-Hipótesis!$D$84)</f>
        <v>0</v>
      </c>
      <c r="BM117" s="100" t="n">
        <f aca="false">-BM84*Hipótesis!$D$82*(1-Hipótesis!$D$84)</f>
        <v>0</v>
      </c>
      <c r="BN117" s="100" t="n">
        <f aca="false">-BN84*Hipótesis!$D$82*(1-Hipótesis!$D$84)</f>
        <v>0</v>
      </c>
      <c r="BO117" s="100" t="n">
        <f aca="false">-BO84*Hipótesis!$D$82*(1-Hipótesis!$D$84)</f>
        <v>0</v>
      </c>
      <c r="BP117" s="100" t="n">
        <f aca="false">-BP84*Hipótesis!$D$82*(1-Hipótesis!$D$84)</f>
        <v>0</v>
      </c>
      <c r="BQ117" s="100" t="n">
        <f aca="false">-BQ84*Hipótesis!$D$82*(1-Hipótesis!$D$84)</f>
        <v>0</v>
      </c>
      <c r="BR117" s="100" t="n">
        <f aca="false">-BR84*Hipótesis!$D$82*(1-Hipótesis!$D$84)</f>
        <v>0</v>
      </c>
      <c r="BS117" s="100" t="n">
        <f aca="false">-BS84*Hipótesis!$D$82*(1-Hipótesis!$D$84)</f>
        <v>0</v>
      </c>
      <c r="BT117" s="100" t="n">
        <f aca="false">-BT84*Hipótesis!$D$82*(1-Hipótesis!$D$84)</f>
        <v>0</v>
      </c>
      <c r="BU117" s="100" t="n">
        <f aca="false">-BU84*Hipótesis!$D$82*(1-Hipótesis!$D$84)</f>
        <v>0</v>
      </c>
      <c r="BV117" s="100" t="n">
        <f aca="false">-BV84*Hipótesis!$D$82*(1-Hipótesis!$D$84)</f>
        <v>0</v>
      </c>
      <c r="BW117" s="100" t="n">
        <f aca="false">-BW84*Hipótesis!$D$82*(1-Hipótesis!$D$84)</f>
        <v>0</v>
      </c>
      <c r="BX117" s="100" t="n">
        <f aca="false">-BX84*Hipótesis!$D$82*(1-Hipótesis!$D$84)</f>
        <v>0</v>
      </c>
      <c r="BY117" s="100" t="n">
        <f aca="false">-BY84*Hipótesis!$D$82*(1-Hipótesis!$D$84)</f>
        <v>0</v>
      </c>
      <c r="BZ117" s="100" t="n">
        <f aca="false">-BZ84*Hipótesis!$D$82*(1-Hipótesis!$D$84)</f>
        <v>0</v>
      </c>
      <c r="CA117" s="100" t="n">
        <f aca="false">-CA84*Hipótesis!$D$82*(1-Hipótesis!$D$84)</f>
        <v>0</v>
      </c>
      <c r="CB117" s="100" t="n">
        <f aca="false">-CB84*Hipótesis!$D$82*(1-Hipótesis!$D$84)</f>
        <v>0</v>
      </c>
      <c r="CC117" s="100" t="n">
        <f aca="false">-CC84*Hipótesis!$D$82*(1-Hipótesis!$D$84)</f>
        <v>0</v>
      </c>
      <c r="CD117" s="100" t="n">
        <f aca="false">-CD84*Hipótesis!$D$82*(1-Hipótesis!$D$84)</f>
        <v>0</v>
      </c>
      <c r="CE117" s="100" t="n">
        <f aca="false">-CE84*Hipótesis!$D$82*(1-Hipótesis!$D$84)</f>
        <v>0</v>
      </c>
      <c r="CF117" s="100" t="n">
        <f aca="false">-CF84*Hipótesis!$D$82*(1-Hipótesis!$D$84)</f>
        <v>0</v>
      </c>
      <c r="CG117" s="100" t="n">
        <f aca="false">-CG84*Hipótesis!$D$82*(1-Hipótesis!$D$84)</f>
        <v>0</v>
      </c>
      <c r="CH117" s="100" t="n">
        <f aca="false">-CH84*Hipótesis!$D$82*(1-Hipótesis!$D$84)</f>
        <v>0</v>
      </c>
    </row>
    <row r="118" customFormat="false" ht="13.5" hidden="false" customHeight="true" outlineLevel="0" collapsed="false">
      <c r="A118" s="22" t="s">
        <v>587</v>
      </c>
      <c r="C118" s="100" t="n">
        <f aca="false">C116+C117</f>
        <v>1540</v>
      </c>
      <c r="D118" s="100" t="n">
        <f aca="false">D116+D117</f>
        <v>1540</v>
      </c>
      <c r="E118" s="100" t="n">
        <f aca="false">E116+E117</f>
        <v>1540</v>
      </c>
      <c r="F118" s="100" t="n">
        <f aca="false">F116+F117</f>
        <v>1540</v>
      </c>
      <c r="G118" s="100" t="n">
        <f aca="false">G116+G117</f>
        <v>1540</v>
      </c>
      <c r="H118" s="100" t="n">
        <f aca="false">H116+H117</f>
        <v>1540</v>
      </c>
      <c r="I118" s="100" t="n">
        <f aca="false">I116+I117</f>
        <v>1540</v>
      </c>
      <c r="J118" s="100" t="n">
        <f aca="false">J116+J117</f>
        <v>1540</v>
      </c>
      <c r="K118" s="100" t="n">
        <f aca="false">K116+K117</f>
        <v>1540</v>
      </c>
      <c r="L118" s="100" t="n">
        <f aca="false">L116+L117</f>
        <v>1540</v>
      </c>
      <c r="M118" s="100" t="n">
        <f aca="false">M116+M117</f>
        <v>1540</v>
      </c>
      <c r="N118" s="100" t="n">
        <f aca="false">N116+N117</f>
        <v>1540</v>
      </c>
      <c r="O118" s="100" t="n">
        <f aca="false">O116+O117</f>
        <v>2450</v>
      </c>
      <c r="P118" s="100" t="n">
        <f aca="false">P116+P117</f>
        <v>2450</v>
      </c>
      <c r="Q118" s="100" t="n">
        <f aca="false">Q116+Q117</f>
        <v>2450</v>
      </c>
      <c r="R118" s="100" t="n">
        <f aca="false">R116+R117</f>
        <v>2450</v>
      </c>
      <c r="S118" s="100" t="n">
        <f aca="false">S116+S117</f>
        <v>2450</v>
      </c>
      <c r="T118" s="100" t="n">
        <f aca="false">T116+T117</f>
        <v>2450</v>
      </c>
      <c r="U118" s="100" t="n">
        <f aca="false">U116+U117</f>
        <v>2450</v>
      </c>
      <c r="V118" s="100" t="n">
        <f aca="false">V116+V117</f>
        <v>2450</v>
      </c>
      <c r="W118" s="100" t="n">
        <f aca="false">W116+W117</f>
        <v>2450</v>
      </c>
      <c r="X118" s="100" t="n">
        <f aca="false">X116+X117</f>
        <v>2450</v>
      </c>
      <c r="Y118" s="100" t="n">
        <f aca="false">Y116+Y117</f>
        <v>2450</v>
      </c>
      <c r="Z118" s="100" t="n">
        <f aca="false">Z116+Z117</f>
        <v>2450</v>
      </c>
      <c r="AA118" s="100" t="n">
        <f aca="false">AA116+AA117</f>
        <v>2800</v>
      </c>
      <c r="AB118" s="100" t="n">
        <f aca="false">AB116+AB117</f>
        <v>2800</v>
      </c>
      <c r="AC118" s="100" t="n">
        <f aca="false">AC116+AC117</f>
        <v>2800</v>
      </c>
      <c r="AD118" s="100" t="n">
        <f aca="false">AD116+AD117</f>
        <v>2800</v>
      </c>
      <c r="AE118" s="100" t="n">
        <f aca="false">AE116+AE117</f>
        <v>2800</v>
      </c>
      <c r="AF118" s="100" t="n">
        <f aca="false">AF116+AF117</f>
        <v>2800</v>
      </c>
      <c r="AG118" s="100" t="n">
        <f aca="false">AG116+AG117</f>
        <v>2800</v>
      </c>
      <c r="AH118" s="100" t="n">
        <f aca="false">AH116+AH117</f>
        <v>2800</v>
      </c>
      <c r="AI118" s="100" t="n">
        <f aca="false">AI116+AI117</f>
        <v>2800</v>
      </c>
      <c r="AJ118" s="100" t="n">
        <f aca="false">AJ116+AJ117</f>
        <v>2800</v>
      </c>
      <c r="AK118" s="100" t="n">
        <f aca="false">AK116+AK117</f>
        <v>2800</v>
      </c>
      <c r="AL118" s="100" t="n">
        <f aca="false">AL116+AL117</f>
        <v>2800</v>
      </c>
      <c r="AM118" s="100" t="n">
        <f aca="false">AM116+AM117</f>
        <v>3150</v>
      </c>
      <c r="AN118" s="100" t="n">
        <f aca="false">AN116+AN117</f>
        <v>3150</v>
      </c>
      <c r="AO118" s="100" t="n">
        <f aca="false">AO116+AO117</f>
        <v>3150</v>
      </c>
      <c r="AP118" s="100" t="n">
        <f aca="false">AP116+AP117</f>
        <v>3150</v>
      </c>
      <c r="AQ118" s="100" t="n">
        <f aca="false">AQ116+AQ117</f>
        <v>3150</v>
      </c>
      <c r="AR118" s="100" t="n">
        <f aca="false">AR116+AR117</f>
        <v>3150</v>
      </c>
      <c r="AS118" s="100" t="n">
        <f aca="false">AS116+AS117</f>
        <v>3150</v>
      </c>
      <c r="AT118" s="100" t="n">
        <f aca="false">AT116+AT117</f>
        <v>3150</v>
      </c>
      <c r="AU118" s="100" t="n">
        <f aca="false">AU116+AU117</f>
        <v>3150</v>
      </c>
      <c r="AV118" s="100" t="n">
        <f aca="false">AV116+AV117</f>
        <v>3150</v>
      </c>
      <c r="AW118" s="100" t="n">
        <f aca="false">AW116+AW117</f>
        <v>3150</v>
      </c>
      <c r="AX118" s="100" t="n">
        <f aca="false">AX116+AX117</f>
        <v>3150</v>
      </c>
      <c r="AY118" s="100" t="n">
        <f aca="false">AY116+AY117</f>
        <v>3500</v>
      </c>
      <c r="AZ118" s="100" t="n">
        <f aca="false">AZ116+AZ117</f>
        <v>3500</v>
      </c>
      <c r="BA118" s="100" t="n">
        <f aca="false">BA116+BA117</f>
        <v>3500</v>
      </c>
      <c r="BB118" s="100" t="n">
        <f aca="false">BB116+BB117</f>
        <v>3500</v>
      </c>
      <c r="BC118" s="100" t="n">
        <f aca="false">BC116+BC117</f>
        <v>3500</v>
      </c>
      <c r="BD118" s="100" t="n">
        <f aca="false">BD116+BD117</f>
        <v>3500</v>
      </c>
      <c r="BE118" s="100" t="n">
        <f aca="false">BE116+BE117</f>
        <v>3500</v>
      </c>
      <c r="BF118" s="100" t="n">
        <f aca="false">BF116+BF117</f>
        <v>3500</v>
      </c>
      <c r="BG118" s="100" t="n">
        <f aca="false">BG116+BG117</f>
        <v>3500</v>
      </c>
      <c r="BH118" s="100" t="n">
        <f aca="false">BH116+BH117</f>
        <v>3500</v>
      </c>
      <c r="BI118" s="100" t="n">
        <f aca="false">BI116+BI117</f>
        <v>3500</v>
      </c>
      <c r="BJ118" s="100" t="n">
        <f aca="false">BJ116+BJ117</f>
        <v>3500</v>
      </c>
      <c r="BK118" s="100" t="n">
        <f aca="false">BK116+BK117</f>
        <v>3850</v>
      </c>
      <c r="BL118" s="100" t="n">
        <f aca="false">BL116+BL117</f>
        <v>3850</v>
      </c>
      <c r="BM118" s="100" t="n">
        <f aca="false">BM116+BM117</f>
        <v>3850</v>
      </c>
      <c r="BN118" s="100" t="n">
        <f aca="false">BN116+BN117</f>
        <v>3850</v>
      </c>
      <c r="BO118" s="100" t="n">
        <f aca="false">BO116+BO117</f>
        <v>3850</v>
      </c>
      <c r="BP118" s="100" t="n">
        <f aca="false">BP116+BP117</f>
        <v>3850</v>
      </c>
      <c r="BQ118" s="100" t="n">
        <f aca="false">BQ116+BQ117</f>
        <v>3850</v>
      </c>
      <c r="BR118" s="100" t="n">
        <f aca="false">BR116+BR117</f>
        <v>3850</v>
      </c>
      <c r="BS118" s="100" t="n">
        <f aca="false">BS116+BS117</f>
        <v>3850</v>
      </c>
      <c r="BT118" s="100" t="n">
        <f aca="false">BT116+BT117</f>
        <v>3850</v>
      </c>
      <c r="BU118" s="100" t="n">
        <f aca="false">BU116+BU117</f>
        <v>3850</v>
      </c>
      <c r="BV118" s="100" t="n">
        <f aca="false">BV116+BV117</f>
        <v>3850</v>
      </c>
      <c r="BW118" s="100" t="n">
        <f aca="false">BW116+BW117</f>
        <v>4200</v>
      </c>
      <c r="BX118" s="100" t="n">
        <f aca="false">BX116+BX117</f>
        <v>4200</v>
      </c>
      <c r="BY118" s="100" t="n">
        <f aca="false">BY116+BY117</f>
        <v>4200</v>
      </c>
      <c r="BZ118" s="100" t="n">
        <f aca="false">BZ116+BZ117</f>
        <v>4200</v>
      </c>
      <c r="CA118" s="100" t="n">
        <f aca="false">CA116+CA117</f>
        <v>4200</v>
      </c>
      <c r="CB118" s="100" t="n">
        <f aca="false">CB116+CB117</f>
        <v>4200</v>
      </c>
      <c r="CC118" s="100" t="n">
        <f aca="false">CC116+CC117</f>
        <v>4200</v>
      </c>
      <c r="CD118" s="100" t="n">
        <f aca="false">CD116+CD117</f>
        <v>4200</v>
      </c>
      <c r="CE118" s="100" t="n">
        <f aca="false">CE116+CE117</f>
        <v>4200</v>
      </c>
      <c r="CF118" s="100" t="n">
        <f aca="false">CF116+CF117</f>
        <v>4200</v>
      </c>
      <c r="CG118" s="100" t="n">
        <f aca="false">CG116+CG117</f>
        <v>4200</v>
      </c>
      <c r="CH118" s="100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9" t="s">
        <v>588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</row>
    <row r="121" customFormat="false" ht="12.75" hidden="false" customHeight="true" outlineLevel="0" collapsed="false">
      <c r="A121" s="22" t="s">
        <v>589</v>
      </c>
      <c r="B121" s="111" t="n">
        <f aca="false">-Hipótesis!$D$93</f>
        <v>-100000</v>
      </c>
      <c r="C121" s="111" t="n">
        <f aca="false">C93+IF(Hipótesis!$D$94=5,IF(C$3=Hipótesis!$D$124,$C$158,0),IF(C$3=84,$C$134,0))</f>
        <v>0</v>
      </c>
      <c r="D121" s="111" t="n">
        <f aca="false">D93+IF(Hipótesis!$D$94=5,IF(D$3=Hipótesis!$D$124,$C$158,0),IF(D$3=84,$C$134,0))</f>
        <v>0</v>
      </c>
      <c r="E121" s="111" t="n">
        <f aca="false">E93+IF(Hipótesis!$D$94=5,IF(E$3=Hipótesis!$D$124,$C$158,0),IF(E$3=84,$C$134,0))</f>
        <v>0</v>
      </c>
      <c r="F121" s="111" t="n">
        <f aca="false">F93+IF(Hipótesis!$D$94=5,IF(F$3=Hipótesis!$D$124,$C$158,0),IF(F$3=84,$C$134,0))</f>
        <v>0</v>
      </c>
      <c r="G121" s="111" t="n">
        <f aca="false">G93+IF(Hipótesis!$D$94=5,IF(G$3=Hipótesis!$D$124,$C$158,0),IF(G$3=84,$C$134,0))</f>
        <v>0</v>
      </c>
      <c r="H121" s="111" t="n">
        <f aca="false">H93+IF(Hipótesis!$D$94=5,IF(H$3=Hipótesis!$D$124,$C$158,0),IF(H$3=84,$C$134,0))</f>
        <v>0</v>
      </c>
      <c r="I121" s="111" t="n">
        <f aca="false">I93+IF(Hipótesis!$D$94=5,IF(I$3=Hipótesis!$D$124,$C$158,0),IF(I$3=84,$C$134,0))</f>
        <v>0</v>
      </c>
      <c r="J121" s="111" t="n">
        <f aca="false">J93+IF(Hipótesis!$D$94=5,IF(J$3=Hipótesis!$D$124,$C$158,0),IF(J$3=84,$C$134,0))</f>
        <v>0</v>
      </c>
      <c r="K121" s="111" t="n">
        <f aca="false">K93+IF(Hipótesis!$D$94=5,IF(K$3=Hipótesis!$D$124,$C$158,0),IF(K$3=84,$C$134,0))</f>
        <v>0</v>
      </c>
      <c r="L121" s="111" t="n">
        <f aca="false">L93+IF(Hipótesis!$D$94=5,IF(L$3=Hipótesis!$D$124,$C$158,0),IF(L$3=84,$C$134,0))</f>
        <v>0</v>
      </c>
      <c r="M121" s="111" t="n">
        <f aca="false">M93+IF(Hipótesis!$D$94=5,IF(M$3=Hipótesis!$D$124,$C$158,0),IF(M$3=84,$C$134,0))</f>
        <v>0</v>
      </c>
      <c r="N121" s="111" t="n">
        <f aca="false">N93+IF(Hipótesis!$D$94=5,IF(N$3=Hipótesis!$D$124,$C$158,0),IF(N$3=84,$C$134,0))</f>
        <v>0</v>
      </c>
      <c r="O121" s="111" t="n">
        <f aca="false">O93+IF(Hipótesis!$D$94=5,IF(O$3=Hipótesis!$D$124,$C$158,0),IF(O$3=84,$C$134,0))</f>
        <v>0</v>
      </c>
      <c r="P121" s="111" t="n">
        <f aca="false">P93+IF(Hipótesis!$D$94=5,IF(P$3=Hipótesis!$D$124,$C$158,0),IF(P$3=84,$C$134,0))</f>
        <v>0</v>
      </c>
      <c r="Q121" s="111" t="n">
        <f aca="false">Q93+IF(Hipótesis!$D$94=5,IF(Q$3=Hipótesis!$D$124,$C$158,0),IF(Q$3=84,$C$134,0))</f>
        <v>0</v>
      </c>
      <c r="R121" s="111" t="n">
        <f aca="false">R93+IF(Hipótesis!$D$94=5,IF(R$3=Hipótesis!$D$124,$C$158,0),IF(R$3=84,$C$134,0))</f>
        <v>0</v>
      </c>
      <c r="S121" s="111" t="n">
        <f aca="false">S93+IF(Hipótesis!$D$94=5,IF(S$3=Hipótesis!$D$124,$C$158,0),IF(S$3=84,$C$134,0))</f>
        <v>0</v>
      </c>
      <c r="T121" s="111" t="n">
        <f aca="false">T93+IF(Hipótesis!$D$94=5,IF(T$3=Hipótesis!$D$124,$C$158,0),IF(T$3=84,$C$134,0))</f>
        <v>0</v>
      </c>
      <c r="U121" s="111" t="n">
        <f aca="false">U93+IF(Hipótesis!$D$94=5,IF(U$3=Hipótesis!$D$124,$C$158,0),IF(U$3=84,$C$134,0))</f>
        <v>0</v>
      </c>
      <c r="V121" s="111" t="n">
        <f aca="false">V93+IF(Hipótesis!$D$94=5,IF(V$3=Hipótesis!$D$124,$C$158,0),IF(V$3=84,$C$134,0))</f>
        <v>0</v>
      </c>
      <c r="W121" s="111" t="n">
        <f aca="false">W93+IF(Hipótesis!$D$94=5,IF(W$3=Hipótesis!$D$124,$C$158,0),IF(W$3=84,$C$134,0))</f>
        <v>0</v>
      </c>
      <c r="X121" s="111" t="n">
        <f aca="false">X93+IF(Hipótesis!$D$94=5,IF(X$3=Hipótesis!$D$124,$C$158,0),IF(X$3=84,$C$134,0))</f>
        <v>0</v>
      </c>
      <c r="Y121" s="111" t="n">
        <f aca="false">Y93+IF(Hipótesis!$D$94=5,IF(Y$3=Hipótesis!$D$124,$C$158,0),IF(Y$3=84,$C$134,0))</f>
        <v>0</v>
      </c>
      <c r="Z121" s="111" t="n">
        <f aca="false">Z93+IF(Hipótesis!$D$94=5,IF(Z$3=Hipótesis!$D$124,$C$158,0),IF(Z$3=84,$C$134,0))</f>
        <v>0</v>
      </c>
      <c r="AA121" s="111" t="n">
        <f aca="false">AA93+IF(Hipótesis!$D$94=5,IF(AA$3=Hipótesis!$D$124,$C$158,0),IF(AA$3=84,$C$134,0))</f>
        <v>0</v>
      </c>
      <c r="AB121" s="111" t="n">
        <f aca="false">AB93+IF(Hipótesis!$D$94=5,IF(AB$3=Hipótesis!$D$124,$C$158,0),IF(AB$3=84,$C$134,0))</f>
        <v>0</v>
      </c>
      <c r="AC121" s="111" t="n">
        <f aca="false">AC93+IF(Hipótesis!$D$94=5,IF(AC$3=Hipótesis!$D$124,$C$158,0),IF(AC$3=84,$C$134,0))</f>
        <v>0</v>
      </c>
      <c r="AD121" s="111" t="n">
        <f aca="false">AD93+IF(Hipótesis!$D$94=5,IF(AD$3=Hipótesis!$D$124,$C$158,0),IF(AD$3=84,$C$134,0))</f>
        <v>0</v>
      </c>
      <c r="AE121" s="111" t="n">
        <f aca="false">AE93+IF(Hipótesis!$D$94=5,IF(AE$3=Hipótesis!$D$124,$C$158,0),IF(AE$3=84,$C$134,0))</f>
        <v>0</v>
      </c>
      <c r="AF121" s="111" t="n">
        <f aca="false">AF93+IF(Hipótesis!$D$94=5,IF(AF$3=Hipótesis!$D$124,$C$158,0),IF(AF$3=84,$C$134,0))</f>
        <v>0</v>
      </c>
      <c r="AG121" s="111" t="n">
        <f aca="false">AG93+IF(Hipótesis!$D$94=5,IF(AG$3=Hipótesis!$D$124,$C$158,0),IF(AG$3=84,$C$134,0))</f>
        <v>0</v>
      </c>
      <c r="AH121" s="111" t="n">
        <f aca="false">AH93+IF(Hipótesis!$D$94=5,IF(AH$3=Hipótesis!$D$124,$C$158,0),IF(AH$3=84,$C$134,0))</f>
        <v>0</v>
      </c>
      <c r="AI121" s="111" t="n">
        <f aca="false">AI93+IF(Hipótesis!$D$94=5,IF(AI$3=Hipótesis!$D$124,$C$158,0),IF(AI$3=84,$C$134,0))</f>
        <v>0</v>
      </c>
      <c r="AJ121" s="111" t="n">
        <f aca="false">AJ93+IF(Hipótesis!$D$94=5,IF(AJ$3=Hipótesis!$D$124,$C$158,0),IF(AJ$3=84,$C$134,0))</f>
        <v>0</v>
      </c>
      <c r="AK121" s="111" t="n">
        <f aca="false">AK93+IF(Hipótesis!$D$94=5,IF(AK$3=Hipótesis!$D$124,$C$158,0),IF(AK$3=84,$C$134,0))</f>
        <v>0</v>
      </c>
      <c r="AL121" s="111" t="n">
        <f aca="false">AL93+IF(Hipótesis!$D$94=5,IF(AL$3=Hipótesis!$D$124,$C$158,0),IF(AL$3=84,$C$134,0))</f>
        <v>0</v>
      </c>
      <c r="AM121" s="111" t="n">
        <f aca="false">AM93+IF(Hipótesis!$D$94=5,IF(AM$3=Hipótesis!$D$124,$C$158,0),IF(AM$3=84,$C$134,0))</f>
        <v>0</v>
      </c>
      <c r="AN121" s="111" t="n">
        <f aca="false">AN93+IF(Hipótesis!$D$94=5,IF(AN$3=Hipótesis!$D$124,$C$158,0),IF(AN$3=84,$C$134,0))</f>
        <v>0</v>
      </c>
      <c r="AO121" s="111" t="n">
        <f aca="false">AO93+IF(Hipótesis!$D$94=5,IF(AO$3=Hipótesis!$D$124,$C$158,0),IF(AO$3=84,$C$134,0))</f>
        <v>0</v>
      </c>
      <c r="AP121" s="111" t="n">
        <f aca="false">AP93+IF(Hipótesis!$D$94=5,IF(AP$3=Hipótesis!$D$124,$C$158,0),IF(AP$3=84,$C$134,0))</f>
        <v>0</v>
      </c>
      <c r="AQ121" s="111" t="n">
        <f aca="false">AQ93+IF(Hipótesis!$D$94=5,IF(AQ$3=Hipótesis!$D$124,$C$158,0),IF(AQ$3=84,$C$134,0))</f>
        <v>0</v>
      </c>
      <c r="AR121" s="111" t="n">
        <f aca="false">AR93+IF(Hipótesis!$D$94=5,IF(AR$3=Hipótesis!$D$124,$C$158,0),IF(AR$3=84,$C$134,0))</f>
        <v>0</v>
      </c>
      <c r="AS121" s="111" t="n">
        <f aca="false">AS93+IF(Hipótesis!$D$94=5,IF(AS$3=Hipótesis!$D$124,$C$158,0),IF(AS$3=84,$C$134,0))</f>
        <v>0</v>
      </c>
      <c r="AT121" s="111" t="n">
        <f aca="false">AT93+IF(Hipótesis!$D$94=5,IF(AT$3=Hipótesis!$D$124,$C$158,0),IF(AT$3=84,$C$134,0))</f>
        <v>0</v>
      </c>
      <c r="AU121" s="111" t="n">
        <f aca="false">AU93+IF(Hipótesis!$D$94=5,IF(AU$3=Hipótesis!$D$124,$C$158,0),IF(AU$3=84,$C$134,0))</f>
        <v>0</v>
      </c>
      <c r="AV121" s="111" t="n">
        <f aca="false">AV93+IF(Hipótesis!$D$94=5,IF(AV$3=Hipótesis!$D$124,$C$158,0),IF(AV$3=84,$C$134,0))</f>
        <v>0</v>
      </c>
      <c r="AW121" s="111" t="n">
        <f aca="false">AW93+IF(Hipótesis!$D$94=5,IF(AW$3=Hipótesis!$D$124,$C$158,0),IF(AW$3=84,$C$134,0))</f>
        <v>0</v>
      </c>
      <c r="AX121" s="111" t="n">
        <f aca="false">AX93+IF(Hipótesis!$D$94=5,IF(AX$3=Hipótesis!$D$124,$C$158,0),IF(AX$3=84,$C$134,0))</f>
        <v>332927.320084782</v>
      </c>
      <c r="AY121" s="111" t="n">
        <f aca="false">AY93+IF(Hipótesis!$D$94=5,IF(AY$3=Hipótesis!$D$124,$C$158,0),IF(AY$3=84,$C$134,0))</f>
        <v>0</v>
      </c>
      <c r="AZ121" s="111" t="n">
        <f aca="false">AZ93+IF(Hipótesis!$D$94=5,IF(AZ$3=Hipótesis!$D$124,$C$158,0),IF(AZ$3=84,$C$134,0))</f>
        <v>0</v>
      </c>
      <c r="BA121" s="111" t="n">
        <f aca="false">BA93+IF(Hipótesis!$D$94=5,IF(BA$3=Hipótesis!$D$124,$C$158,0),IF(BA$3=84,$C$134,0))</f>
        <v>0</v>
      </c>
      <c r="BB121" s="111" t="n">
        <f aca="false">BB93+IF(Hipótesis!$D$94=5,IF(BB$3=Hipótesis!$D$124,$C$158,0),IF(BB$3=84,$C$134,0))</f>
        <v>0</v>
      </c>
      <c r="BC121" s="111" t="n">
        <f aca="false">BC93+IF(Hipótesis!$D$94=5,IF(BC$3=Hipótesis!$D$124,$C$158,0),IF(BC$3=84,$C$134,0))</f>
        <v>0</v>
      </c>
      <c r="BD121" s="111" t="n">
        <f aca="false">BD93+IF(Hipótesis!$D$94=5,IF(BD$3=Hipótesis!$D$124,$C$158,0),IF(BD$3=84,$C$134,0))</f>
        <v>0</v>
      </c>
      <c r="BE121" s="111" t="n">
        <f aca="false">BE93+IF(Hipótesis!$D$94=5,IF(BE$3=Hipótesis!$D$124,$C$158,0),IF(BE$3=84,$C$134,0))</f>
        <v>0</v>
      </c>
      <c r="BF121" s="111" t="n">
        <f aca="false">BF93+IF(Hipótesis!$D$94=5,IF(BF$3=Hipótesis!$D$124,$C$158,0),IF(BF$3=84,$C$134,0))</f>
        <v>0</v>
      </c>
      <c r="BG121" s="111" t="n">
        <f aca="false">BG93+IF(Hipótesis!$D$94=5,IF(BG$3=Hipótesis!$D$124,$C$158,0),IF(BG$3=84,$C$134,0))</f>
        <v>0</v>
      </c>
      <c r="BH121" s="111" t="n">
        <f aca="false">BH93+IF(Hipótesis!$D$94=5,IF(BH$3=Hipótesis!$D$124,$C$158,0),IF(BH$3=84,$C$134,0))</f>
        <v>0</v>
      </c>
      <c r="BI121" s="111" t="n">
        <f aca="false">BI93+IF(Hipótesis!$D$94=5,IF(BI$3=Hipótesis!$D$124,$C$158,0),IF(BI$3=84,$C$134,0))</f>
        <v>0</v>
      </c>
      <c r="BJ121" s="111" t="n">
        <f aca="false">BJ93+IF(Hipótesis!$D$94=5,IF(BJ$3=Hipótesis!$D$124,$C$158,0),IF(BJ$3=84,$C$134,0))</f>
        <v>0</v>
      </c>
      <c r="BK121" s="111" t="n">
        <f aca="false">BK93+IF(Hipótesis!$D$94=5,IF(BK$3=Hipótesis!$D$124,$C$158,0),IF(BK$3=84,$C$134,0))</f>
        <v>0</v>
      </c>
      <c r="BL121" s="111" t="n">
        <f aca="false">BL93+IF(Hipótesis!$D$94=5,IF(BL$3=Hipótesis!$D$124,$C$158,0),IF(BL$3=84,$C$134,0))</f>
        <v>0</v>
      </c>
      <c r="BM121" s="111" t="n">
        <f aca="false">BM93+IF(Hipótesis!$D$94=5,IF(BM$3=Hipótesis!$D$124,$C$158,0),IF(BM$3=84,$C$134,0))</f>
        <v>0</v>
      </c>
      <c r="BN121" s="111" t="n">
        <f aca="false">BN93+IF(Hipótesis!$D$94=5,IF(BN$3=Hipótesis!$D$124,$C$158,0),IF(BN$3=84,$C$134,0))</f>
        <v>0</v>
      </c>
      <c r="BO121" s="111" t="n">
        <f aca="false">BO93+IF(Hipótesis!$D$94=5,IF(BO$3=Hipótesis!$D$124,$C$158,0),IF(BO$3=84,$C$134,0))</f>
        <v>0</v>
      </c>
      <c r="BP121" s="111" t="n">
        <f aca="false">BP93+IF(Hipótesis!$D$94=5,IF(BP$3=Hipótesis!$D$124,$C$158,0),IF(BP$3=84,$C$134,0))</f>
        <v>0</v>
      </c>
      <c r="BQ121" s="111" t="n">
        <f aca="false">BQ93+IF(Hipótesis!$D$94=5,IF(BQ$3=Hipótesis!$D$124,$C$158,0),IF(BQ$3=84,$C$134,0))</f>
        <v>0</v>
      </c>
      <c r="BR121" s="111" t="n">
        <f aca="false">BR93+IF(Hipótesis!$D$94=5,IF(BR$3=Hipótesis!$D$124,$C$158,0),IF(BR$3=84,$C$134,0))</f>
        <v>0</v>
      </c>
      <c r="BS121" s="111" t="n">
        <f aca="false">BS93+IF(Hipótesis!$D$94=5,IF(BS$3=Hipótesis!$D$124,$C$158,0),IF(BS$3=84,$C$134,0))</f>
        <v>0</v>
      </c>
      <c r="BT121" s="111" t="n">
        <f aca="false">BT93+IF(Hipótesis!$D$94=5,IF(BT$3=Hipótesis!$D$124,$C$158,0),IF(BT$3=84,$C$134,0))</f>
        <v>0</v>
      </c>
      <c r="BU121" s="111" t="n">
        <f aca="false">BU93+IF(Hipótesis!$D$94=5,IF(BU$3=Hipótesis!$D$124,$C$158,0),IF(BU$3=84,$C$134,0))</f>
        <v>0</v>
      </c>
      <c r="BV121" s="111" t="n">
        <f aca="false">BV93+IF(Hipótesis!$D$94=5,IF(BV$3=Hipótesis!$D$124,$C$158,0),IF(BV$3=84,$C$134,0))</f>
        <v>0</v>
      </c>
      <c r="BW121" s="111" t="n">
        <f aca="false">BW93+IF(Hipótesis!$D$94=5,IF(BW$3=Hipótesis!$D$124,$C$158,0),IF(BW$3=84,$C$134,0))</f>
        <v>0</v>
      </c>
      <c r="BX121" s="111" t="n">
        <f aca="false">BX93+IF(Hipótesis!$D$94=5,IF(BX$3=Hipótesis!$D$124,$C$158,0),IF(BX$3=84,$C$134,0))</f>
        <v>0</v>
      </c>
      <c r="BY121" s="111" t="n">
        <f aca="false">BY93+IF(Hipótesis!$D$94=5,IF(BY$3=Hipótesis!$D$124,$C$158,0),IF(BY$3=84,$C$134,0))</f>
        <v>0</v>
      </c>
      <c r="BZ121" s="111" t="n">
        <f aca="false">BZ93+IF(Hipótesis!$D$94=5,IF(BZ$3=Hipótesis!$D$124,$C$158,0),IF(BZ$3=84,$C$134,0))</f>
        <v>0</v>
      </c>
      <c r="CA121" s="111" t="n">
        <f aca="false">CA93+IF(Hipótesis!$D$94=5,IF(CA$3=Hipótesis!$D$124,$C$158,0),IF(CA$3=84,$C$134,0))</f>
        <v>0</v>
      </c>
      <c r="CB121" s="111" t="n">
        <f aca="false">CB93+IF(Hipótesis!$D$94=5,IF(CB$3=Hipótesis!$D$124,$C$158,0),IF(CB$3=84,$C$134,0))</f>
        <v>0</v>
      </c>
      <c r="CC121" s="111" t="n">
        <f aca="false">CC93+IF(Hipótesis!$D$94=5,IF(CC$3=Hipótesis!$D$124,$C$158,0),IF(CC$3=84,$C$134,0))</f>
        <v>0</v>
      </c>
      <c r="CD121" s="111" t="n">
        <f aca="false">CD93+IF(Hipótesis!$D$94=5,IF(CD$3=Hipótesis!$D$124,$C$158,0),IF(CD$3=84,$C$134,0))</f>
        <v>0</v>
      </c>
      <c r="CE121" s="111" t="n">
        <f aca="false">CE93+IF(Hipótesis!$D$94=5,IF(CE$3=Hipótesis!$D$124,$C$158,0),IF(CE$3=84,$C$134,0))</f>
        <v>0</v>
      </c>
      <c r="CF121" s="111" t="n">
        <f aca="false">CF93+IF(Hipótesis!$D$94=5,IF(CF$3=Hipótesis!$D$124,$C$158,0),IF(CF$3=84,$C$134,0))</f>
        <v>0</v>
      </c>
      <c r="CG121" s="111" t="n">
        <f aca="false">CG93+IF(Hipótesis!$D$94=5,IF(CG$3=Hipótesis!$D$124,$C$158,0),IF(CG$3=84,$C$134,0))</f>
        <v>0</v>
      </c>
      <c r="CH121" s="111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6" t="s">
        <v>590</v>
      </c>
      <c r="B122" s="100" t="n">
        <f aca="false">Hipótesis!$D$122</f>
        <v>200000</v>
      </c>
      <c r="C122" s="100" t="n">
        <f aca="false">-C106-IF(Hipótesis!$D$94=5,IF(C$3=Hipótesis!$D$124,$C$158,0),IF(C$3=84,$C$134,0))</f>
        <v>-333.333333333333</v>
      </c>
      <c r="D122" s="100" t="n">
        <f aca="false">-D106-IF(Hipótesis!$D$94=5,IF(D$3=Hipótesis!$D$124,$C$158,0),IF(D$3=84,$C$134,0))</f>
        <v>-333.333333333333</v>
      </c>
      <c r="E122" s="100" t="n">
        <f aca="false">-E106-IF(Hipótesis!$D$94=5,IF(E$3=Hipótesis!$D$124,$C$158,0),IF(E$3=84,$C$134,0))</f>
        <v>-333.333333333333</v>
      </c>
      <c r="F122" s="100" t="n">
        <f aca="false">-F106-IF(Hipótesis!$D$94=5,IF(F$3=Hipótesis!$D$124,$C$158,0),IF(F$3=84,$C$134,0))</f>
        <v>-333.333333333333</v>
      </c>
      <c r="G122" s="100" t="n">
        <f aca="false">-G106-IF(Hipótesis!$D$94=5,IF(G$3=Hipótesis!$D$124,$C$158,0),IF(G$3=84,$C$134,0))</f>
        <v>-333.333333333333</v>
      </c>
      <c r="H122" s="100" t="n">
        <f aca="false">-H106-IF(Hipótesis!$D$94=5,IF(H$3=Hipótesis!$D$124,$C$158,0),IF(H$3=84,$C$134,0))</f>
        <v>-333.333333333333</v>
      </c>
      <c r="I122" s="100" t="n">
        <f aca="false">-I106-IF(Hipótesis!$D$94=5,IF(I$3=Hipótesis!$D$124,$C$158,0),IF(I$3=84,$C$134,0))</f>
        <v>-333.333333333333</v>
      </c>
      <c r="J122" s="100" t="n">
        <f aca="false">-J106-IF(Hipótesis!$D$94=5,IF(J$3=Hipótesis!$D$124,$C$158,0),IF(J$3=84,$C$134,0))</f>
        <v>-333.333333333333</v>
      </c>
      <c r="K122" s="100" t="n">
        <f aca="false">-K106-IF(Hipótesis!$D$94=5,IF(K$3=Hipótesis!$D$124,$C$158,0),IF(K$3=84,$C$134,0))</f>
        <v>-363.280667725478</v>
      </c>
      <c r="L122" s="100" t="n">
        <f aca="false">-L106-IF(Hipótesis!$D$94=5,IF(L$3=Hipótesis!$D$124,$C$158,0),IF(L$3=84,$C$134,0))</f>
        <v>-424.816837759668</v>
      </c>
      <c r="M122" s="100" t="n">
        <f aca="false">-M106-IF(Hipótesis!$D$94=5,IF(M$3=Hipótesis!$D$124,$C$158,0),IF(M$3=84,$C$134,0))</f>
        <v>-465.222604535034</v>
      </c>
      <c r="N122" s="100" t="n">
        <f aca="false">-N106-IF(Hipótesis!$D$94=5,IF(N$3=Hipótesis!$D$124,$C$158,0),IF(N$3=84,$C$134,0))</f>
        <v>-521.437045402029</v>
      </c>
      <c r="O122" s="100" t="n">
        <f aca="false">-O106-IF(Hipótesis!$D$94=5,IF(O$3=Hipótesis!$D$124,$C$158,0),IF(O$3=84,$C$134,0))</f>
        <v>-473.107486269023</v>
      </c>
      <c r="P122" s="100" t="n">
        <f aca="false">-P106-IF(Hipótesis!$D$94=5,IF(P$3=Hipótesis!$D$124,$C$158,0),IF(P$3=84,$C$134,0))</f>
        <v>-477.017810834674</v>
      </c>
      <c r="Q122" s="100" t="n">
        <f aca="false">-Q106-IF(Hipótesis!$D$94=5,IF(Q$3=Hipótesis!$D$124,$C$158,0),IF(Q$3=84,$C$134,0))</f>
        <v>-527.154535400326</v>
      </c>
      <c r="R122" s="100" t="n">
        <f aca="false">-R106-IF(Hipótesis!$D$94=5,IF(R$3=Hipótesis!$D$124,$C$158,0),IF(R$3=84,$C$134,0))</f>
        <v>-577.291259965977</v>
      </c>
      <c r="S122" s="100" t="n">
        <f aca="false">-S106-IF(Hipótesis!$D$94=5,IF(S$3=Hipótesis!$D$124,$C$158,0),IF(S$3=84,$C$134,0))</f>
        <v>-627.427984531628</v>
      </c>
      <c r="T122" s="100" t="n">
        <f aca="false">-T106-IF(Hipótesis!$D$94=5,IF(T$3=Hipótesis!$D$124,$C$158,0),IF(T$3=84,$C$134,0))</f>
        <v>-677.56470909728</v>
      </c>
      <c r="U122" s="100" t="n">
        <f aca="false">-U106-IF(Hipótesis!$D$94=5,IF(U$3=Hipótesis!$D$124,$C$158,0),IF(U$3=84,$C$134,0))</f>
        <v>-681.475033662931</v>
      </c>
      <c r="V122" s="100" t="n">
        <f aca="false">-V106-IF(Hipótesis!$D$94=5,IF(V$3=Hipótesis!$D$124,$C$158,0),IF(V$3=84,$C$134,0))</f>
        <v>-677.227758228582</v>
      </c>
      <c r="W122" s="100" t="n">
        <f aca="false">-W106-IF(Hipótesis!$D$94=5,IF(W$3=Hipótesis!$D$124,$C$158,0),IF(W$3=84,$C$134,0))</f>
        <v>-727.364482794234</v>
      </c>
      <c r="X122" s="100" t="n">
        <f aca="false">-X106-IF(Hipótesis!$D$94=5,IF(X$3=Hipótesis!$D$124,$C$158,0),IF(X$3=84,$C$134,0))</f>
        <v>-761.692533268258</v>
      </c>
      <c r="Y122" s="100" t="n">
        <f aca="false">-Y106-IF(Hipótesis!$D$94=5,IF(Y$3=Hipótesis!$D$124,$C$158,0),IF(Y$3=84,$C$134,0))</f>
        <v>-796.020583742282</v>
      </c>
      <c r="Z122" s="100" t="n">
        <f aca="false">-Z106-IF(Hipótesis!$D$94=5,IF(Z$3=Hipótesis!$D$124,$C$158,0),IF(Z$3=84,$C$134,0))</f>
        <v>-824.588924579655</v>
      </c>
      <c r="AA122" s="100" t="n">
        <f aca="false">-AA106-IF(Hipótesis!$D$94=5,IF(AA$3=Hipótesis!$D$124,$C$158,0),IF(AA$3=84,$C$134,0))</f>
        <v>-2474.1873080837</v>
      </c>
      <c r="AB122" s="100" t="n">
        <f aca="false">-AB106-IF(Hipótesis!$D$94=5,IF(AB$3=Hipótesis!$D$124,$C$158,0),IF(AB$3=84,$C$134,0))</f>
        <v>-2449.58690136551</v>
      </c>
      <c r="AC122" s="100" t="n">
        <f aca="false">-AC106-IF(Hipótesis!$D$94=5,IF(AC$3=Hipótesis!$D$124,$C$158,0),IF(AC$3=84,$C$134,0))</f>
        <v>-2472.59968664733</v>
      </c>
      <c r="AD122" s="100" t="n">
        <f aca="false">-AD106-IF(Hipótesis!$D$94=5,IF(AD$3=Hipótesis!$D$124,$C$158,0),IF(AD$3=84,$C$134,0))</f>
        <v>-2495.61247192915</v>
      </c>
      <c r="AE122" s="100" t="n">
        <f aca="false">-AE106-IF(Hipótesis!$D$94=5,IF(AE$3=Hipótesis!$D$124,$C$158,0),IF(AE$3=84,$C$134,0))</f>
        <v>-2518.62525721096</v>
      </c>
      <c r="AF122" s="100" t="n">
        <f aca="false">-AF106-IF(Hipótesis!$D$94=5,IF(AF$3=Hipótesis!$D$124,$C$158,0),IF(AF$3=84,$C$134,0))</f>
        <v>-2541.63804249278</v>
      </c>
      <c r="AG122" s="100" t="n">
        <f aca="false">-AG106-IF(Hipótesis!$D$94=5,IF(AG$3=Hipótesis!$D$124,$C$158,0),IF(AG$3=84,$C$134,0))</f>
        <v>-2564.6508277746</v>
      </c>
      <c r="AH122" s="100" t="n">
        <f aca="false">-AH106-IF(Hipótesis!$D$94=5,IF(AH$3=Hipótesis!$D$124,$C$158,0),IF(AH$3=84,$C$134,0))</f>
        <v>-2587.66361305642</v>
      </c>
      <c r="AI122" s="100" t="n">
        <f aca="false">-AI106-IF(Hipótesis!$D$94=5,IF(AI$3=Hipótesis!$D$124,$C$158,0),IF(AI$3=84,$C$134,0))</f>
        <v>-2610.67639833824</v>
      </c>
      <c r="AJ122" s="100" t="n">
        <f aca="false">-AJ106-IF(Hipótesis!$D$94=5,IF(AJ$3=Hipótesis!$D$124,$C$158,0),IF(AJ$3=84,$C$134,0))</f>
        <v>-2633.68918362005</v>
      </c>
      <c r="AK122" s="100" t="n">
        <f aca="false">-AK106-IF(Hipótesis!$D$94=5,IF(AK$3=Hipótesis!$D$124,$C$158,0),IF(AK$3=84,$C$134,0))</f>
        <v>-2656.70196890187</v>
      </c>
      <c r="AL122" s="100" t="n">
        <f aca="false">-AL106-IF(Hipótesis!$D$94=5,IF(AL$3=Hipótesis!$D$124,$C$158,0),IF(AL$3=84,$C$134,0))</f>
        <v>-2632.10156218369</v>
      </c>
      <c r="AM122" s="100" t="n">
        <f aca="false">-AM106-IF(Hipótesis!$D$94=5,IF(AM$3=Hipótesis!$D$124,$C$158,0),IF(AM$3=84,$C$134,0))</f>
        <v>-2606.4398332255</v>
      </c>
      <c r="AN122" s="100" t="n">
        <f aca="false">-AN106-IF(Hipótesis!$D$94=5,IF(AN$3=Hipótesis!$D$124,$C$158,0),IF(AN$3=84,$C$134,0))</f>
        <v>-2629.45261850732</v>
      </c>
      <c r="AO122" s="100" t="n">
        <f aca="false">-AO106-IF(Hipótesis!$D$94=5,IF(AO$3=Hipótesis!$D$124,$C$158,0),IF(AO$3=84,$C$134,0))</f>
        <v>-2652.46540378914</v>
      </c>
      <c r="AP122" s="100" t="n">
        <f aca="false">-AP106-IF(Hipótesis!$D$94=5,IF(AP$3=Hipótesis!$D$124,$C$158,0),IF(AP$3=84,$C$134,0))</f>
        <v>-2675.47818907096</v>
      </c>
      <c r="AQ122" s="100" t="n">
        <f aca="false">-AQ106-IF(Hipótesis!$D$94=5,IF(AQ$3=Hipótesis!$D$124,$C$158,0),IF(AQ$3=84,$C$134,0))</f>
        <v>-2698.49097435277</v>
      </c>
      <c r="AR122" s="100" t="n">
        <f aca="false">-AR106-IF(Hipótesis!$D$94=5,IF(AR$3=Hipótesis!$D$124,$C$158,0),IF(AR$3=84,$C$134,0))</f>
        <v>-2721.50375963459</v>
      </c>
      <c r="AS122" s="100" t="n">
        <f aca="false">-AS106-IF(Hipótesis!$D$94=5,IF(AS$3=Hipótesis!$D$124,$C$158,0),IF(AS$3=84,$C$134,0))</f>
        <v>-2715.94820407904</v>
      </c>
      <c r="AT122" s="100" t="n">
        <f aca="false">-AT106-IF(Hipótesis!$D$94=5,IF(AT$3=Hipótesis!$D$124,$C$158,0),IF(AT$3=84,$C$134,0))</f>
        <v>-2710.39264852348</v>
      </c>
      <c r="AU122" s="100" t="n">
        <f aca="false">-AU106-IF(Hipótesis!$D$94=5,IF(AU$3=Hipótesis!$D$124,$C$158,0),IF(AU$3=84,$C$134,0))</f>
        <v>-2704.83709296793</v>
      </c>
      <c r="AV122" s="100" t="n">
        <f aca="false">-AV106-IF(Hipótesis!$D$94=5,IF(AV$3=Hipótesis!$D$124,$C$158,0),IF(AV$3=84,$C$134,0))</f>
        <v>-2699.28153741237</v>
      </c>
      <c r="AW122" s="100" t="n">
        <f aca="false">-AW106-IF(Hipótesis!$D$94=5,IF(AW$3=Hipótesis!$D$124,$C$158,0),IF(AW$3=84,$C$134,0))</f>
        <v>-2693.72598185681</v>
      </c>
      <c r="AX122" s="100" t="n">
        <f aca="false">-AX106-IF(Hipótesis!$D$94=5,IF(AX$3=Hipótesis!$D$124,$C$158,0),IF(AX$3=84,$C$134,0))</f>
        <v>-335615.490511083</v>
      </c>
      <c r="AY122" s="100" t="n">
        <f aca="false">-AY106-IF(Hipótesis!$D$94=5,IF(AY$3=Hipótesis!$D$124,$C$158,0),IF(AY$3=84,$C$134,0))</f>
        <v>-2633.6681210785</v>
      </c>
      <c r="AZ122" s="100" t="n">
        <f aca="false">-AZ106-IF(Hipótesis!$D$94=5,IF(AZ$3=Hipótesis!$D$124,$C$158,0),IF(AZ$3=84,$C$134,0))</f>
        <v>-2628.11256552295</v>
      </c>
      <c r="BA122" s="100" t="n">
        <f aca="false">-BA106-IF(Hipótesis!$D$94=5,IF(BA$3=Hipótesis!$D$124,$C$158,0),IF(BA$3=84,$C$134,0))</f>
        <v>-2622.55700996739</v>
      </c>
      <c r="BB122" s="100" t="n">
        <f aca="false">-BB106-IF(Hipótesis!$D$94=5,IF(BB$3=Hipótesis!$D$124,$C$158,0),IF(BB$3=84,$C$134,0))</f>
        <v>-2617.00145441184</v>
      </c>
      <c r="BC122" s="100" t="n">
        <f aca="false">-BC106-IF(Hipótesis!$D$94=5,IF(BC$3=Hipótesis!$D$124,$C$158,0),IF(BC$3=84,$C$134,0))</f>
        <v>-2611.44589885628</v>
      </c>
      <c r="BD122" s="100" t="n">
        <f aca="false">-BD106-IF(Hipótesis!$D$94=5,IF(BD$3=Hipótesis!$D$124,$C$158,0),IF(BD$3=84,$C$134,0))</f>
        <v>-2605.89034330073</v>
      </c>
      <c r="BE122" s="100" t="n">
        <f aca="false">-BE106-IF(Hipótesis!$D$94=5,IF(BE$3=Hipótesis!$D$124,$C$158,0),IF(BE$3=84,$C$134,0))</f>
        <v>-2600.33478774517</v>
      </c>
      <c r="BF122" s="100" t="n">
        <f aca="false">-BF106-IF(Hipótesis!$D$94=5,IF(BF$3=Hipótesis!$D$124,$C$158,0),IF(BF$3=84,$C$134,0))</f>
        <v>-2594.77923218961</v>
      </c>
      <c r="BG122" s="100" t="n">
        <f aca="false">-BG106-IF(Hipótesis!$D$94=5,IF(BG$3=Hipótesis!$D$124,$C$158,0),IF(BG$3=84,$C$134,0))</f>
        <v>-2589.22367663406</v>
      </c>
      <c r="BH122" s="100" t="n">
        <f aca="false">-BH106-IF(Hipótesis!$D$94=5,IF(BH$3=Hipótesis!$D$124,$C$158,0),IF(BH$3=84,$C$134,0))</f>
        <v>-2583.6681210785</v>
      </c>
      <c r="BI122" s="100" t="n">
        <f aca="false">-BI106-IF(Hipótesis!$D$94=5,IF(BI$3=Hipótesis!$D$124,$C$158,0),IF(BI$3=84,$C$134,0))</f>
        <v>-2578.11256552295</v>
      </c>
      <c r="BJ122" s="100" t="n">
        <f aca="false">-BJ106-IF(Hipótesis!$D$94=5,IF(BJ$3=Hipótesis!$D$124,$C$158,0),IF(BJ$3=84,$C$134,0))</f>
        <v>-2572.55700996739</v>
      </c>
      <c r="BK122" s="100" t="n">
        <f aca="false">-BK106-IF(Hipótesis!$D$94=5,IF(BK$3=Hipótesis!$D$124,$C$158,0),IF(BK$3=84,$C$134,0))</f>
        <v>-2517.77430225462</v>
      </c>
      <c r="BL122" s="100" t="n">
        <f aca="false">-BL106-IF(Hipótesis!$D$94=5,IF(BL$3=Hipótesis!$D$124,$C$158,0),IF(BL$3=84,$C$134,0))</f>
        <v>-2512.21874669907</v>
      </c>
      <c r="BM122" s="100" t="n">
        <f aca="false">-BM106-IF(Hipótesis!$D$94=5,IF(BM$3=Hipótesis!$D$124,$C$158,0),IF(BM$3=84,$C$134,0))</f>
        <v>-2506.66319114351</v>
      </c>
      <c r="BN122" s="100" t="n">
        <f aca="false">-BN106-IF(Hipótesis!$D$94=5,IF(BN$3=Hipótesis!$D$124,$C$158,0),IF(BN$3=84,$C$134,0))</f>
        <v>-2501.10763558795</v>
      </c>
      <c r="BO122" s="100" t="n">
        <f aca="false">-BO106-IF(Hipótesis!$D$94=5,IF(BO$3=Hipótesis!$D$124,$C$158,0),IF(BO$3=84,$C$134,0))</f>
        <v>-2495.5520800324</v>
      </c>
      <c r="BP122" s="100" t="n">
        <f aca="false">-BP106-IF(Hipótesis!$D$94=5,IF(BP$3=Hipótesis!$D$124,$C$158,0),IF(BP$3=84,$C$134,0))</f>
        <v>-2489.99652447684</v>
      </c>
      <c r="BQ122" s="100" t="n">
        <f aca="false">-BQ106-IF(Hipótesis!$D$94=5,IF(BQ$3=Hipótesis!$D$124,$C$158,0),IF(BQ$3=84,$C$134,0))</f>
        <v>-2484.44096892129</v>
      </c>
      <c r="BR122" s="100" t="n">
        <f aca="false">-BR106-IF(Hipótesis!$D$94=5,IF(BR$3=Hipótesis!$D$124,$C$158,0),IF(BR$3=84,$C$134,0))</f>
        <v>-2478.88541336573</v>
      </c>
      <c r="BS122" s="100" t="n">
        <f aca="false">-BS106-IF(Hipótesis!$D$94=5,IF(BS$3=Hipótesis!$D$124,$C$158,0),IF(BS$3=84,$C$134,0))</f>
        <v>-2473.32985781018</v>
      </c>
      <c r="BT122" s="100" t="n">
        <f aca="false">-BT106-IF(Hipótesis!$D$94=5,IF(BT$3=Hipótesis!$D$124,$C$158,0),IF(BT$3=84,$C$134,0))</f>
        <v>-2467.77430225462</v>
      </c>
      <c r="BU122" s="100" t="n">
        <f aca="false">-BU106-IF(Hipótesis!$D$94=5,IF(BU$3=Hipótesis!$D$124,$C$158,0),IF(BU$3=84,$C$134,0))</f>
        <v>-2462.21874669907</v>
      </c>
      <c r="BV122" s="100" t="n">
        <f aca="false">-BV106-IF(Hipótesis!$D$94=5,IF(BV$3=Hipótesis!$D$124,$C$158,0),IF(BV$3=84,$C$134,0))</f>
        <v>-2456.66319114351</v>
      </c>
      <c r="BW122" s="100" t="n">
        <f aca="false">-BW106-IF(Hipótesis!$D$94=5,IF(BW$3=Hipótesis!$D$124,$C$158,0),IF(BW$3=84,$C$134,0))</f>
        <v>-2401.59166886602</v>
      </c>
      <c r="BX122" s="100" t="n">
        <f aca="false">-BX106-IF(Hipótesis!$D$94=5,IF(BX$3=Hipótesis!$D$124,$C$158,0),IF(BX$3=84,$C$134,0))</f>
        <v>-2396.03611331047</v>
      </c>
      <c r="BY122" s="100" t="n">
        <f aca="false">-BY106-IF(Hipótesis!$D$94=5,IF(BY$3=Hipótesis!$D$124,$C$158,0),IF(BY$3=84,$C$134,0))</f>
        <v>-2390.48055775491</v>
      </c>
      <c r="BZ122" s="100" t="n">
        <f aca="false">-BZ106-IF(Hipótesis!$D$94=5,IF(BZ$3=Hipótesis!$D$124,$C$158,0),IF(BZ$3=84,$C$134,0))</f>
        <v>-2384.92500219935</v>
      </c>
      <c r="CA122" s="100" t="n">
        <f aca="false">-CA106-IF(Hipótesis!$D$94=5,IF(CA$3=Hipótesis!$D$124,$C$158,0),IF(CA$3=84,$C$134,0))</f>
        <v>-2379.3694466438</v>
      </c>
      <c r="CB122" s="100" t="n">
        <f aca="false">-CB106-IF(Hipótesis!$D$94=5,IF(CB$3=Hipótesis!$D$124,$C$158,0),IF(CB$3=84,$C$134,0))</f>
        <v>-2373.81389108824</v>
      </c>
      <c r="CC122" s="100" t="n">
        <f aca="false">-CC106-IF(Hipótesis!$D$94=5,IF(CC$3=Hipótesis!$D$124,$C$158,0),IF(CC$3=84,$C$134,0))</f>
        <v>-2368.25833553269</v>
      </c>
      <c r="CD122" s="100" t="n">
        <f aca="false">-CD106-IF(Hipótesis!$D$94=5,IF(CD$3=Hipótesis!$D$124,$C$158,0),IF(CD$3=84,$C$134,0))</f>
        <v>-2362.70277997713</v>
      </c>
      <c r="CE122" s="100" t="n">
        <f aca="false">-CE106-IF(Hipótesis!$D$94=5,IF(CE$3=Hipótesis!$D$124,$C$158,0),IF(CE$3=84,$C$134,0))</f>
        <v>-2357.14722442158</v>
      </c>
      <c r="CF122" s="100" t="n">
        <f aca="false">-CF106-IF(Hipótesis!$D$94=5,IF(CF$3=Hipótesis!$D$124,$C$158,0),IF(CF$3=84,$C$134,0))</f>
        <v>-2351.59166886602</v>
      </c>
      <c r="CG122" s="100" t="n">
        <f aca="false">-CG106-IF(Hipótesis!$D$94=5,IF(CG$3=Hipótesis!$D$124,$C$158,0),IF(CG$3=84,$C$134,0))</f>
        <v>-2346.03611331047</v>
      </c>
      <c r="CH122" s="100" t="n">
        <f aca="false">-CH106-IF(Hipótesis!$D$94=5,IF(CH$3=Hipótesis!$D$124,$C$158,0),IF(CH$3=84,$C$134,0))</f>
        <v>-2340.48055775485</v>
      </c>
    </row>
    <row r="123" customFormat="false" ht="12.75" hidden="false" customHeight="true" outlineLevel="0" collapsed="false">
      <c r="A123" s="6" t="s">
        <v>591</v>
      </c>
      <c r="B123" s="100" t="n">
        <f aca="false">-Hipótesis!$D$105</f>
        <v>-100000</v>
      </c>
      <c r="C123" s="100" t="n">
        <f aca="false">C99</f>
        <v>333.333333333333</v>
      </c>
      <c r="D123" s="100" t="n">
        <f aca="false">D99</f>
        <v>333.333333333333</v>
      </c>
      <c r="E123" s="100" t="n">
        <f aca="false">E99</f>
        <v>333.333333333333</v>
      </c>
      <c r="F123" s="100" t="n">
        <f aca="false">F99</f>
        <v>333.333333333333</v>
      </c>
      <c r="G123" s="100" t="n">
        <f aca="false">G99</f>
        <v>333.333333333333</v>
      </c>
      <c r="H123" s="100" t="n">
        <f aca="false">H99</f>
        <v>333.333333333333</v>
      </c>
      <c r="I123" s="100" t="n">
        <f aca="false">I99</f>
        <v>333.333333333333</v>
      </c>
      <c r="J123" s="100" t="n">
        <f aca="false">J99</f>
        <v>333.333333333333</v>
      </c>
      <c r="K123" s="100" t="n">
        <f aca="false">K99</f>
        <v>363.280667725478</v>
      </c>
      <c r="L123" s="100" t="n">
        <f aca="false">L99</f>
        <v>424.816837759668</v>
      </c>
      <c r="M123" s="100" t="n">
        <f aca="false">M99</f>
        <v>465.222604535034</v>
      </c>
      <c r="N123" s="100" t="n">
        <f aca="false">N99</f>
        <v>521.437045402029</v>
      </c>
      <c r="O123" s="100" t="n">
        <f aca="false">O99</f>
        <v>473.107486269023</v>
      </c>
      <c r="P123" s="100" t="n">
        <f aca="false">P99</f>
        <v>477.017810834674</v>
      </c>
      <c r="Q123" s="100" t="n">
        <f aca="false">Q99</f>
        <v>527.154535400326</v>
      </c>
      <c r="R123" s="100" t="n">
        <f aca="false">R99</f>
        <v>577.291259965977</v>
      </c>
      <c r="S123" s="100" t="n">
        <f aca="false">S99</f>
        <v>627.427984531628</v>
      </c>
      <c r="T123" s="100" t="n">
        <f aca="false">T99</f>
        <v>677.56470909728</v>
      </c>
      <c r="U123" s="100" t="n">
        <f aca="false">U99</f>
        <v>681.475033662931</v>
      </c>
      <c r="V123" s="100" t="n">
        <f aca="false">V99</f>
        <v>677.227758228582</v>
      </c>
      <c r="W123" s="100" t="n">
        <f aca="false">W99</f>
        <v>727.364482794234</v>
      </c>
      <c r="X123" s="100" t="n">
        <f aca="false">X99</f>
        <v>761.692533268258</v>
      </c>
      <c r="Y123" s="100" t="n">
        <f aca="false">Y99</f>
        <v>796.020583742282</v>
      </c>
      <c r="Z123" s="100" t="n">
        <f aca="false">Z99</f>
        <v>824.588924579655</v>
      </c>
      <c r="AA123" s="100" t="n">
        <f aca="false">AA99</f>
        <v>2474.1873080837</v>
      </c>
      <c r="AB123" s="100" t="n">
        <f aca="false">AB99</f>
        <v>2449.58690136551</v>
      </c>
      <c r="AC123" s="100" t="n">
        <f aca="false">AC99</f>
        <v>2472.59968664733</v>
      </c>
      <c r="AD123" s="100" t="n">
        <f aca="false">AD99</f>
        <v>2495.61247192915</v>
      </c>
      <c r="AE123" s="100" t="n">
        <f aca="false">AE99</f>
        <v>2518.62525721096</v>
      </c>
      <c r="AF123" s="100" t="n">
        <f aca="false">AF99</f>
        <v>2541.63804249278</v>
      </c>
      <c r="AG123" s="100" t="n">
        <f aca="false">AG99</f>
        <v>2564.6508277746</v>
      </c>
      <c r="AH123" s="100" t="n">
        <f aca="false">AH99</f>
        <v>2587.66361305642</v>
      </c>
      <c r="AI123" s="100" t="n">
        <f aca="false">AI99</f>
        <v>2610.67639833824</v>
      </c>
      <c r="AJ123" s="100" t="n">
        <f aca="false">AJ99</f>
        <v>2633.68918362005</v>
      </c>
      <c r="AK123" s="100" t="n">
        <f aca="false">AK99</f>
        <v>2656.70196890187</v>
      </c>
      <c r="AL123" s="100" t="n">
        <f aca="false">AL99</f>
        <v>2632.10156218369</v>
      </c>
      <c r="AM123" s="100" t="n">
        <f aca="false">AM99</f>
        <v>2606.4398332255</v>
      </c>
      <c r="AN123" s="100" t="n">
        <f aca="false">AN99</f>
        <v>2629.45261850732</v>
      </c>
      <c r="AO123" s="100" t="n">
        <f aca="false">AO99</f>
        <v>2652.46540378914</v>
      </c>
      <c r="AP123" s="100" t="n">
        <f aca="false">AP99</f>
        <v>2675.47818907096</v>
      </c>
      <c r="AQ123" s="100" t="n">
        <f aca="false">AQ99</f>
        <v>2698.49097435277</v>
      </c>
      <c r="AR123" s="100" t="n">
        <f aca="false">AR99</f>
        <v>2721.50375963459</v>
      </c>
      <c r="AS123" s="100" t="n">
        <f aca="false">AS99</f>
        <v>2715.94820407904</v>
      </c>
      <c r="AT123" s="100" t="n">
        <f aca="false">AT99</f>
        <v>2710.39264852348</v>
      </c>
      <c r="AU123" s="100" t="n">
        <f aca="false">AU99</f>
        <v>2704.83709296793</v>
      </c>
      <c r="AV123" s="100" t="n">
        <f aca="false">AV99</f>
        <v>2699.28153741237</v>
      </c>
      <c r="AW123" s="100" t="n">
        <f aca="false">AW99</f>
        <v>2693.72598185681</v>
      </c>
      <c r="AX123" s="100" t="n">
        <f aca="false">AX99</f>
        <v>2688.17042630126</v>
      </c>
      <c r="AY123" s="100" t="n">
        <f aca="false">AY99</f>
        <v>2633.6681210785</v>
      </c>
      <c r="AZ123" s="100" t="n">
        <f aca="false">AZ99</f>
        <v>2628.11256552295</v>
      </c>
      <c r="BA123" s="100" t="n">
        <f aca="false">BA99</f>
        <v>2622.55700996739</v>
      </c>
      <c r="BB123" s="100" t="n">
        <f aca="false">BB99</f>
        <v>2617.00145441184</v>
      </c>
      <c r="BC123" s="100" t="n">
        <f aca="false">BC99</f>
        <v>2611.44589885628</v>
      </c>
      <c r="BD123" s="100" t="n">
        <f aca="false">BD99</f>
        <v>2605.89034330073</v>
      </c>
      <c r="BE123" s="100" t="n">
        <f aca="false">BE99</f>
        <v>2600.33478774517</v>
      </c>
      <c r="BF123" s="100" t="n">
        <f aca="false">BF99</f>
        <v>2594.77923218961</v>
      </c>
      <c r="BG123" s="100" t="n">
        <f aca="false">BG99</f>
        <v>2589.22367663406</v>
      </c>
      <c r="BH123" s="100" t="n">
        <f aca="false">BH99</f>
        <v>2583.6681210785</v>
      </c>
      <c r="BI123" s="100" t="n">
        <f aca="false">BI99</f>
        <v>2578.11256552295</v>
      </c>
      <c r="BJ123" s="100" t="n">
        <f aca="false">BJ99</f>
        <v>2572.55700996739</v>
      </c>
      <c r="BK123" s="100" t="n">
        <f aca="false">BK99</f>
        <v>2517.77430225462</v>
      </c>
      <c r="BL123" s="100" t="n">
        <f aca="false">BL99</f>
        <v>2512.21874669907</v>
      </c>
      <c r="BM123" s="100" t="n">
        <f aca="false">BM99</f>
        <v>2506.66319114351</v>
      </c>
      <c r="BN123" s="100" t="n">
        <f aca="false">BN99</f>
        <v>2501.10763558795</v>
      </c>
      <c r="BO123" s="100" t="n">
        <f aca="false">BO99</f>
        <v>2495.5520800324</v>
      </c>
      <c r="BP123" s="100" t="n">
        <f aca="false">BP99</f>
        <v>2489.99652447684</v>
      </c>
      <c r="BQ123" s="100" t="n">
        <f aca="false">BQ99</f>
        <v>2484.44096892129</v>
      </c>
      <c r="BR123" s="100" t="n">
        <f aca="false">BR99</f>
        <v>2478.88541336573</v>
      </c>
      <c r="BS123" s="100" t="n">
        <f aca="false">BS99</f>
        <v>2473.32985781018</v>
      </c>
      <c r="BT123" s="100" t="n">
        <f aca="false">BT99</f>
        <v>2467.77430225462</v>
      </c>
      <c r="BU123" s="100" t="n">
        <f aca="false">BU99</f>
        <v>2462.21874669907</v>
      </c>
      <c r="BV123" s="100" t="n">
        <f aca="false">BV99</f>
        <v>2456.66319114351</v>
      </c>
      <c r="BW123" s="100" t="n">
        <f aca="false">BW99</f>
        <v>2401.59166886602</v>
      </c>
      <c r="BX123" s="100" t="n">
        <f aca="false">BX99</f>
        <v>2396.03611331047</v>
      </c>
      <c r="BY123" s="100" t="n">
        <f aca="false">BY99</f>
        <v>2390.48055775491</v>
      </c>
      <c r="BZ123" s="100" t="n">
        <f aca="false">BZ99</f>
        <v>2384.92500219935</v>
      </c>
      <c r="CA123" s="100" t="n">
        <f aca="false">CA99</f>
        <v>2379.3694466438</v>
      </c>
      <c r="CB123" s="100" t="n">
        <f aca="false">CB99</f>
        <v>2373.81389108824</v>
      </c>
      <c r="CC123" s="100" t="n">
        <f aca="false">CC99</f>
        <v>2368.25833553269</v>
      </c>
      <c r="CD123" s="100" t="n">
        <f aca="false">CD99</f>
        <v>2362.70277997713</v>
      </c>
      <c r="CE123" s="100" t="n">
        <f aca="false">CE99</f>
        <v>2357.14722442158</v>
      </c>
      <c r="CF123" s="100" t="n">
        <f aca="false">CF99</f>
        <v>2351.59166886602</v>
      </c>
      <c r="CG123" s="100" t="n">
        <f aca="false">CG99</f>
        <v>2346.03611331047</v>
      </c>
      <c r="CH123" s="100" t="n">
        <f aca="false">CH99</f>
        <v>2340.48055775485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9" t="s">
        <v>592</v>
      </c>
      <c r="B125" s="9"/>
    </row>
    <row r="126" customFormat="false" ht="13.5" hidden="false" customHeight="true" outlineLevel="0" collapsed="false">
      <c r="A126" s="6" t="s">
        <v>593</v>
      </c>
      <c r="C126" s="14" t="n">
        <f aca="false">Hipótesis!$D$93</f>
        <v>100000</v>
      </c>
    </row>
    <row r="127" customFormat="false" ht="13.5" hidden="false" customHeight="true" outlineLevel="0" collapsed="false">
      <c r="A127" s="6" t="s">
        <v>594</v>
      </c>
      <c r="C127" s="17" t="n">
        <f aca="false">IFERROR(IRR($B$121:$CH$121,0.02),"n.d.")</f>
        <v>0.0253739501406432</v>
      </c>
    </row>
    <row r="128" customFormat="false" ht="13.5" hidden="false" customHeight="true" outlineLevel="0" collapsed="false">
      <c r="A128" s="6" t="s">
        <v>85</v>
      </c>
      <c r="C128" s="17" t="n">
        <f aca="false">IFERROR((1+IRR($B$121:$CH$121,0.02))^12-1,"n.d.")</f>
        <v>0.350788512862475</v>
      </c>
    </row>
    <row r="129" customFormat="false" ht="13.5" hidden="false" customHeight="true" outlineLevel="0" collapsed="false">
      <c r="A129" s="6" t="s">
        <v>595</v>
      </c>
      <c r="C129" s="21" t="n">
        <f aca="false">IFERROR(SUM($C$121:$CH$121)/$C$126,0)</f>
        <v>3.32927320084782</v>
      </c>
    </row>
    <row r="130" customFormat="false" ht="13.5" hidden="false" customHeight="true" outlineLevel="0" collapsed="false">
      <c r="A130" s="6" t="s">
        <v>57</v>
      </c>
      <c r="C130" s="15" t="n">
        <f aca="false">IFERROR(COUNTIF($C$94:$CH$94,"&lt;"&amp;$C$126)+1,"n.d.")</f>
        <v>48</v>
      </c>
    </row>
    <row r="131" customFormat="false" ht="13.5" hidden="false" customHeight="true" outlineLevel="0" collapsed="false">
      <c r="A131" s="6" t="s">
        <v>596</v>
      </c>
      <c r="C131" s="14" t="n">
        <f aca="false">IFERROR($B$121+NPV((1+Hipótesis!$D$121)^(1/12)-1,$C$121:$CH$121),0)</f>
        <v>111581.33070875</v>
      </c>
    </row>
    <row r="132" customFormat="false" ht="13.5" hidden="false" customHeight="true" outlineLevel="0" collapsed="false">
      <c r="A132" s="6" t="s">
        <v>597</v>
      </c>
      <c r="C132" s="100" t="n">
        <f aca="false">SUM($AY$56:$BJ$56)</f>
        <v>460200.872647102</v>
      </c>
    </row>
    <row r="133" customFormat="false" ht="13.5" hidden="false" customHeight="true" outlineLevel="0" collapsed="false">
      <c r="A133" s="6" t="s">
        <v>598</v>
      </c>
      <c r="C133" s="100" t="n">
        <f aca="false">IF(Hipótesis!$D$94=5,$C$157,$C$132*Hipótesis!$D$120)</f>
        <v>3329273.20084782</v>
      </c>
    </row>
    <row r="134" customFormat="false" ht="13.5" hidden="false" customHeight="true" outlineLevel="0" collapsed="false">
      <c r="A134" s="6" t="s">
        <v>599</v>
      </c>
      <c r="C134" s="100" t="n">
        <f aca="false">MAX(0,$C$133)*Hipótesis!$D$119</f>
        <v>332927.320084782</v>
      </c>
    </row>
    <row r="135" customFormat="false" ht="13.5" hidden="false" customHeight="true" outlineLevel="0" collapsed="false">
      <c r="A135" s="6" t="s">
        <v>600</v>
      </c>
      <c r="C135" s="17" t="n">
        <f aca="false">IF(ISNUMBER($C$128),$C$128,"n.d.")</f>
        <v>0.350788512862475</v>
      </c>
    </row>
    <row r="136" customFormat="false" ht="13.5" hidden="false" customHeight="true" outlineLevel="0" collapsed="false">
      <c r="A136" s="6" t="s">
        <v>82</v>
      </c>
      <c r="C136" s="17" t="n">
        <f aca="false">IFERROR((1+IRR($B$123:$CH$123,0.01))^12-1,"n.d.")</f>
        <v>0.129579781753543</v>
      </c>
    </row>
    <row r="137" customFormat="false" ht="13.5" hidden="false" customHeight="true" outlineLevel="0" collapsed="false">
      <c r="A137" s="6" t="s">
        <v>601</v>
      </c>
      <c r="C137" s="17" t="n">
        <f aca="false">IFERROR((1+IRR($B$122:$CH$122,0.01))^12-1,"n.d.")</f>
        <v>0.257138523036562</v>
      </c>
    </row>
    <row r="138" customFormat="false" ht="13.5" hidden="false" customHeight="true" outlineLevel="0" collapsed="false">
      <c r="A138" s="6" t="s">
        <v>88</v>
      </c>
      <c r="C138" s="14" t="n">
        <f aca="false">Hipótesis!$D$122</f>
        <v>200000</v>
      </c>
    </row>
    <row r="139" customFormat="false" ht="13.5" hidden="false" customHeight="true" outlineLevel="0" collapsed="false">
      <c r="A139" s="6" t="s">
        <v>602</v>
      </c>
      <c r="C139" s="14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05" t="s">
        <v>485</v>
      </c>
      <c r="C141" s="106" t="n">
        <v>1</v>
      </c>
      <c r="D141" s="106" t="n">
        <v>2</v>
      </c>
      <c r="E141" s="106" t="n">
        <v>3</v>
      </c>
      <c r="F141" s="106" t="n">
        <v>4</v>
      </c>
      <c r="G141" s="106" t="n">
        <v>5</v>
      </c>
      <c r="H141" s="106" t="n">
        <v>6</v>
      </c>
      <c r="I141" s="106" t="n">
        <v>7</v>
      </c>
    </row>
    <row r="142" customFormat="false" ht="13.5" hidden="false" customHeight="true" outlineLevel="0" collapsed="false">
      <c r="A142" s="6" t="s">
        <v>603</v>
      </c>
      <c r="C142" s="100" t="n">
        <f aca="false">SUM($C$56:$N$56)</f>
        <v>-51620.1827729117</v>
      </c>
      <c r="D142" s="100" t="n">
        <f aca="false">SUM($O$56:$Z$56)</f>
        <v>191396.655118743</v>
      </c>
      <c r="E142" s="100" t="n">
        <f aca="false">SUM($AA$56:$AL$56)</f>
        <v>350219.994413548</v>
      </c>
      <c r="F142" s="100" t="n">
        <f aca="false">SUM($AM$56:$AX$56)</f>
        <v>468142.666819392</v>
      </c>
      <c r="G142" s="100" t="n">
        <f aca="false">SUM($AY$56:$BJ$56)</f>
        <v>460200.872647102</v>
      </c>
      <c r="H142" s="100" t="n">
        <f aca="false">SUM($BK$56:$BV$56)</f>
        <v>430664.581352772</v>
      </c>
      <c r="I142" s="100" t="n">
        <f aca="false">SUM($BW$56:$CH$56)</f>
        <v>400955.001319613</v>
      </c>
    </row>
    <row r="143" customFormat="false" ht="13.5" hidden="false" customHeight="true" outlineLevel="0" collapsed="false">
      <c r="A143" s="6" t="s">
        <v>604</v>
      </c>
      <c r="C143" s="100" t="n">
        <f aca="false">SUM($C$106:$N$106)</f>
        <v>4441.42382208888</v>
      </c>
      <c r="D143" s="100" t="n">
        <f aca="false">SUM($O$106:$Z$106)</f>
        <v>7827.93310237485</v>
      </c>
      <c r="E143" s="100" t="n">
        <f aca="false">SUM($AA$106:$AL$106)</f>
        <v>30637.7332216043</v>
      </c>
      <c r="F143" s="100" t="n">
        <f aca="false">SUM($AM$106:$AX$106)</f>
        <v>32196.1866697212</v>
      </c>
      <c r="G143" s="100" t="n">
        <f aca="false">SUM($AY$106:$BJ$106)</f>
        <v>31237.3507862754</v>
      </c>
      <c r="H143" s="100" t="n">
        <f aca="false">SUM($BK$106:$BV$106)</f>
        <v>29846.6249603888</v>
      </c>
      <c r="I143" s="100" t="n">
        <f aca="false">SUM($BW$106:$CH$106)</f>
        <v>28452.4333597255</v>
      </c>
    </row>
    <row r="144" customFormat="false" ht="13.5" hidden="false" customHeight="true" outlineLevel="0" collapsed="false">
      <c r="A144" s="22" t="s">
        <v>605</v>
      </c>
      <c r="C144" s="112" t="n">
        <f aca="false">IFERROR(C142/C143,0)</f>
        <v>-11.622440199511</v>
      </c>
      <c r="D144" s="112" t="n">
        <f aca="false">IFERROR(D142/D143,0)</f>
        <v>24.4504714866146</v>
      </c>
      <c r="E144" s="112" t="n">
        <f aca="false">IFERROR(E142/E143,0)</f>
        <v>11.4310021528156</v>
      </c>
      <c r="F144" s="112" t="n">
        <f aca="false">IFERROR(F142/F143,0)</f>
        <v>14.5403140943911</v>
      </c>
      <c r="G144" s="112" t="n">
        <f aca="false">IFERROR(G142/G143,0)</f>
        <v>14.7323912259966</v>
      </c>
      <c r="H144" s="112" t="n">
        <f aca="false">IFERROR(H142/H143,0)</f>
        <v>14.4292556335711</v>
      </c>
      <c r="I144" s="112" t="n">
        <f aca="false">IFERROR(I142/I143,0)</f>
        <v>14.092116349077</v>
      </c>
    </row>
    <row r="145" customFormat="false" ht="13.5" hidden="false" customHeight="true" outlineLevel="0" collapsed="false">
      <c r="A145" s="22" t="s">
        <v>606</v>
      </c>
      <c r="C145" s="16" t="n">
        <f aca="false">MIN(D144:I144)</f>
        <v>11.4310021528156</v>
      </c>
    </row>
    <row r="146" customFormat="false" ht="13.5" hidden="false" customHeight="true" outlineLevel="0" collapsed="false">
      <c r="A146" s="22" t="s">
        <v>607</v>
      </c>
      <c r="C146" s="14" t="n">
        <f aca="false">MIN($C$86:$CH$86)</f>
        <v>30000</v>
      </c>
    </row>
    <row r="147" customFormat="false" ht="13.5" hidden="false" customHeight="true" outlineLevel="0" collapsed="false">
      <c r="A147" s="22" t="s">
        <v>608</v>
      </c>
      <c r="C147" s="14" t="n">
        <f aca="false">SUM($C$36:$N$36)</f>
        <v>182508.820627719</v>
      </c>
    </row>
    <row r="148" customFormat="false" ht="13.5" hidden="false" customHeight="true" outlineLevel="0" collapsed="false">
      <c r="A148" s="22" t="s">
        <v>609</v>
      </c>
      <c r="C148" s="100" t="n">
        <f aca="false">-SUM($C$84:$N$84)</f>
        <v>-0</v>
      </c>
      <c r="D148" s="100" t="n">
        <f aca="false">-SUM($O$84:$Z$84)</f>
        <v>-0</v>
      </c>
      <c r="E148" s="100" t="n">
        <f aca="false">-SUM($AA$84:$AL$84)</f>
        <v>-0</v>
      </c>
      <c r="F148" s="100" t="n">
        <f aca="false">-SUM($AM$84:$AX$84)</f>
        <v>-0</v>
      </c>
      <c r="G148" s="100" t="n">
        <f aca="false">-SUM($AY$84:$BJ$84)</f>
        <v>-0</v>
      </c>
      <c r="H148" s="100" t="n">
        <f aca="false">-SUM($BK$84:$BV$84)</f>
        <v>-0</v>
      </c>
      <c r="I148" s="100" t="n">
        <f aca="false">-SUM($BW$84:$CH$84)</f>
        <v>-0</v>
      </c>
    </row>
    <row r="149" customFormat="false" ht="13.5" hidden="false" customHeight="true" outlineLevel="0" collapsed="false">
      <c r="A149" s="22" t="s">
        <v>610</v>
      </c>
      <c r="C149" s="14" t="n">
        <f aca="false">SUM($C$118:$N$118)/12</f>
        <v>1540</v>
      </c>
      <c r="D149" s="14" t="n">
        <f aca="false">SUM($O$118:$Z$118)/12</f>
        <v>2450</v>
      </c>
      <c r="E149" s="14" t="n">
        <f aca="false">SUM($AA$118:$AL$118)/12</f>
        <v>2800</v>
      </c>
      <c r="F149" s="14" t="n">
        <f aca="false">SUM($AM$118:$AX$118)/12</f>
        <v>3150</v>
      </c>
      <c r="G149" s="14" t="n">
        <f aca="false">SUM($AY$118:$BJ$118)/12</f>
        <v>3500</v>
      </c>
      <c r="H149" s="14" t="n">
        <f aca="false">SUM($BK$118:$BV$118)/12</f>
        <v>3850</v>
      </c>
      <c r="I149" s="14" t="n">
        <f aca="false">SUM($BW$118:$CH$118)/12</f>
        <v>4200</v>
      </c>
    </row>
    <row r="150" customFormat="false" ht="13.5" hidden="false" customHeight="true" outlineLevel="0" collapsed="false">
      <c r="A150" s="22" t="s">
        <v>611</v>
      </c>
      <c r="C150" s="14" t="n">
        <f aca="false">MAX($C$81:$CH$81)</f>
        <v>4694.50636618414</v>
      </c>
    </row>
    <row r="152" customFormat="false" ht="15" hidden="false" customHeight="false" outlineLevel="0" collapsed="false">
      <c r="A152" s="94" t="s">
        <v>612</v>
      </c>
    </row>
    <row r="153" customFormat="false" ht="15" hidden="false" customHeight="false" outlineLevel="0" collapsed="false">
      <c r="A153" s="1" t="s">
        <v>613</v>
      </c>
      <c r="C153" s="1" t="n">
        <f aca="false">SUMIFS($C$56:$CH$56,$C$3:$CH$3,"&gt;="&amp;Hipótesis!$D$124-11,$C$3:$CH$3,"&lt;="&amp;Hipótesis!$D$124)</f>
        <v>468142.666819392</v>
      </c>
    </row>
    <row r="154" customFormat="false" ht="15" hidden="false" customHeight="false" outlineLevel="0" collapsed="false">
      <c r="A154" s="1" t="s">
        <v>614</v>
      </c>
      <c r="C154" s="1" t="n">
        <f aca="false">$C$153*Hipótesis!$D$120</f>
        <v>2808856.00091635</v>
      </c>
    </row>
    <row r="155" customFormat="false" ht="15" hidden="false" customHeight="false" outlineLevel="0" collapsed="false">
      <c r="A155" s="1" t="s">
        <v>615</v>
      </c>
      <c r="C155" s="1" t="n">
        <f aca="false">SUMIFS($C$86:$CH$86,$C$3:$CH$3,"="&amp;Hipótesis!$D$124)</f>
        <v>582083.86659813</v>
      </c>
    </row>
    <row r="156" customFormat="false" ht="15" hidden="false" customHeight="false" outlineLevel="0" collapsed="false">
      <c r="A156" s="1" t="s">
        <v>616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false" outlineLevel="0" collapsed="false">
      <c r="A157" s="94" t="s">
        <v>617</v>
      </c>
      <c r="C157" s="1" t="n">
        <f aca="false">MAX(0,$C$154+Hipótesis!$D$125*($C$155-$C$156))</f>
        <v>3329273.20084782</v>
      </c>
    </row>
    <row r="158" customFormat="false" ht="15" hidden="false" customHeight="false" outlineLevel="0" collapsed="false">
      <c r="A158" s="1" t="s">
        <v>618</v>
      </c>
      <c r="C158" s="1" t="n">
        <f aca="false">MIN($C$157,MAX($C$157*Hipótesis!$D$119,Hipótesis!$D$127*Hipótesis!$D$93))</f>
        <v>332927.320084782</v>
      </c>
    </row>
    <row r="159" customFormat="false" ht="15" hidden="false" customHeight="false" outlineLevel="0" collapsed="false">
      <c r="A159" s="1" t="s">
        <v>619</v>
      </c>
      <c r="C159" s="1" t="n">
        <f aca="false">MAX(0,$C$158-$C$157*Hipótesis!$D$119)</f>
        <v>0</v>
      </c>
    </row>
    <row r="160" customFormat="false" ht="15" hidden="false" customHeight="false" outlineLevel="0" collapsed="false">
      <c r="A160" s="94" t="s">
        <v>620</v>
      </c>
    </row>
    <row r="161" customFormat="false" ht="15" hidden="false" customHeight="false" outlineLevel="0" collapsed="false">
      <c r="A161" s="1" t="s">
        <v>621</v>
      </c>
      <c r="C161" s="113" t="n">
        <f aca="false">IF(Hipótesis!$D$94=5,Hipótesis!$D$93,0)</f>
        <v>100000</v>
      </c>
    </row>
    <row r="162" customFormat="false" ht="15" hidden="false" customHeight="false" outlineLevel="0" collapsed="false">
      <c r="A162" s="1" t="s">
        <v>622</v>
      </c>
      <c r="C162" s="1" t="n">
        <f aca="false">SUMIFS($C$63:$CH$63,$C$3:$CH$3,"&lt;="&amp;Hipótesis!$D$126)</f>
        <v>0</v>
      </c>
    </row>
    <row r="163" customFormat="false" ht="15" hidden="false" customHeight="false" outlineLevel="0" collapsed="false">
      <c r="A163" s="94" t="s">
        <v>623</v>
      </c>
      <c r="C163" s="1" t="n">
        <f aca="false">$C$161+$C$162</f>
        <v>100000</v>
      </c>
    </row>
    <row r="164" customFormat="false" ht="15" hidden="false" customHeight="false" outlineLevel="0" collapsed="false">
      <c r="A164" s="1" t="s">
        <v>624</v>
      </c>
      <c r="C164" s="113" t="n">
        <f aca="false">Hipótesis!$D$105</f>
        <v>100000</v>
      </c>
    </row>
    <row r="165" customFormat="false" ht="15" hidden="false" customHeight="false" outlineLevel="0" collapsed="false">
      <c r="A165" s="94" t="s">
        <v>625</v>
      </c>
      <c r="C165" s="1" t="str">
        <f aca="false">IF($C$163&gt;=$C$164,"SI CUMPLE","NO CUMPLE - faltan "&amp;TEXT($C$164-$C$163,"#,##0")&amp;" EUR")</f>
        <v>SI 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9" min="3" style="1" width="13"/>
  </cols>
  <sheetData>
    <row r="1" customFormat="false" ht="18" hidden="false" customHeight="true" outlineLevel="0" collapsed="false">
      <c r="A1" s="8" t="s">
        <v>626</v>
      </c>
    </row>
    <row r="2" customFormat="false" ht="13.5" hidden="false" customHeight="true" outlineLevel="0" collapsed="false">
      <c r="A2" s="4" t="s">
        <v>627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0" t="s">
        <v>254</v>
      </c>
      <c r="C4" s="78" t="s">
        <v>312</v>
      </c>
      <c r="D4" s="78" t="s">
        <v>313</v>
      </c>
      <c r="E4" s="78" t="s">
        <v>314</v>
      </c>
      <c r="F4" s="78" t="s">
        <v>315</v>
      </c>
      <c r="G4" s="78" t="s">
        <v>316</v>
      </c>
      <c r="H4" s="78" t="s">
        <v>317</v>
      </c>
      <c r="I4" s="78" t="s">
        <v>318</v>
      </c>
    </row>
    <row r="5" customFormat="false" ht="13.5" hidden="false" customHeight="true" outlineLevel="0" collapsed="false">
      <c r="A5" s="6" t="s">
        <v>513</v>
      </c>
      <c r="C5" s="100" t="n">
        <f aca="false">SUM(Modelo_Mensual!$C$36:$N$36)</f>
        <v>182508.820627719</v>
      </c>
      <c r="D5" s="100" t="n">
        <f aca="false">SUM(Modelo_Mensual!$O$36:$Z$36)</f>
        <v>685547.283055135</v>
      </c>
      <c r="E5" s="100" t="n">
        <f aca="false">SUM(Modelo_Mensual!$AA$36:$AL$36)</f>
        <v>1033329.05878806</v>
      </c>
      <c r="F5" s="100" t="n">
        <f aca="false">SUM(Modelo_Mensual!$AM$36:$AX$36)</f>
        <v>1273677.35889328</v>
      </c>
      <c r="G5" s="100" t="n">
        <f aca="false">SUM(Modelo_Mensual!$AY$36:$BJ$36)</f>
        <v>1302988.12719879</v>
      </c>
      <c r="H5" s="100" t="n">
        <f aca="false">SUM(Modelo_Mensual!$BK$36:$BV$36)</f>
        <v>1302988.12719879</v>
      </c>
      <c r="I5" s="100" t="n">
        <f aca="false">SUM(Modelo_Mensual!$BW$36:$CH$36)</f>
        <v>1302988.12719879</v>
      </c>
    </row>
    <row r="6" customFormat="false" ht="13.5" hidden="false" customHeight="true" outlineLevel="0" collapsed="false">
      <c r="A6" s="6" t="s">
        <v>628</v>
      </c>
      <c r="C6" s="100" t="n">
        <f aca="false">SUM(Modelo_Mensual!$C$39:$N$39)</f>
        <v>-23899.9815632183</v>
      </c>
      <c r="D6" s="100" t="n">
        <f aca="false">SUM(Modelo_Mensual!$O$39:$Z$39)</f>
        <v>-105721.8816911</v>
      </c>
      <c r="E6" s="100" t="n">
        <f aca="false">SUM(Modelo_Mensual!$AA$39:$AL$39)</f>
        <v>-160545.625865414</v>
      </c>
      <c r="F6" s="100" t="n">
        <f aca="false">SUM(Modelo_Mensual!$AM$39:$AX$39)</f>
        <v>-195844.656305973</v>
      </c>
      <c r="G6" s="100" t="n">
        <f aca="false">SUM(Modelo_Mensual!$AY$39:$BJ$39)</f>
        <v>-200149.416115798</v>
      </c>
      <c r="H6" s="100" t="n">
        <f aca="false">SUM(Modelo_Mensual!$BK$39:$BV$39)</f>
        <v>-200149.416115798</v>
      </c>
      <c r="I6" s="100" t="n">
        <f aca="false">SUM(Modelo_Mensual!$BW$39:$CH$39)</f>
        <v>-200149.416115798</v>
      </c>
    </row>
    <row r="7" customFormat="false" ht="13.5" hidden="false" customHeight="true" outlineLevel="0" collapsed="false">
      <c r="A7" s="46" t="s">
        <v>517</v>
      </c>
      <c r="C7" s="63" t="n">
        <f aca="false">SUM(Modelo_Mensual!$C$40:$N$40)</f>
        <v>140357.957001729</v>
      </c>
      <c r="D7" s="63" t="n">
        <f aca="false">SUM(Modelo_Mensual!$O$40:$Z$40)</f>
        <v>511270.673058521</v>
      </c>
      <c r="E7" s="63" t="n">
        <f aca="false">SUM(Modelo_Mensual!$AA$40:$AL$40)</f>
        <v>769450.527043845</v>
      </c>
      <c r="F7" s="63" t="n">
        <f aca="false">SUM(Modelo_Mensual!$AM$40:$AX$40)</f>
        <v>950464.966697975</v>
      </c>
      <c r="G7" s="63" t="n">
        <f aca="false">SUM(Modelo_Mensual!$AY$40:$BJ$40)</f>
        <v>972539.898363113</v>
      </c>
      <c r="H7" s="63" t="n">
        <f aca="false">SUM(Modelo_Mensual!$BK$40:$BV$40)</f>
        <v>972539.898363113</v>
      </c>
      <c r="I7" s="63" t="n">
        <f aca="false">SUM(Modelo_Mensual!$BW$40:$CH$40)</f>
        <v>972539.898363113</v>
      </c>
    </row>
    <row r="8" customFormat="false" ht="13.5" hidden="false" customHeight="true" outlineLevel="0" collapsed="false">
      <c r="A8" s="6" t="s">
        <v>629</v>
      </c>
      <c r="C8" s="100" t="n">
        <f aca="false">SUM(Modelo_Mensual!$C$55:$N$55)</f>
        <v>-191978.13977464</v>
      </c>
      <c r="D8" s="100" t="n">
        <f aca="false">SUM(Modelo_Mensual!$O$55:$Z$55)</f>
        <v>-319874.017939779</v>
      </c>
      <c r="E8" s="100" t="n">
        <f aca="false">SUM(Modelo_Mensual!$AA$55:$AL$55)</f>
        <v>-419230.532630297</v>
      </c>
      <c r="F8" s="100" t="n">
        <f aca="false">SUM(Modelo_Mensual!$AM$55:$AX$55)</f>
        <v>-482322.299878583</v>
      </c>
      <c r="G8" s="100" t="n">
        <f aca="false">SUM(Modelo_Mensual!$AY$55:$BJ$55)</f>
        <v>-512339.025716011</v>
      </c>
      <c r="H8" s="100" t="n">
        <f aca="false">SUM(Modelo_Mensual!$BK$55:$BV$55)</f>
        <v>-541875.31701034</v>
      </c>
      <c r="I8" s="100" t="n">
        <f aca="false">SUM(Modelo_Mensual!$BW$55:$CH$55)</f>
        <v>-571584.8970435</v>
      </c>
    </row>
    <row r="9" customFormat="false" ht="13.5" hidden="false" customHeight="true" outlineLevel="0" collapsed="false">
      <c r="A9" s="46" t="s">
        <v>533</v>
      </c>
      <c r="C9" s="63" t="n">
        <f aca="false">SUM(Modelo_Mensual!$C$56:$N$56)</f>
        <v>-51620.1827729117</v>
      </c>
      <c r="D9" s="63" t="n">
        <f aca="false">SUM(Modelo_Mensual!$O$56:$Z$56)</f>
        <v>191396.655118743</v>
      </c>
      <c r="E9" s="63" t="n">
        <f aca="false">SUM(Modelo_Mensual!$AA$56:$AL$56)</f>
        <v>350219.994413548</v>
      </c>
      <c r="F9" s="63" t="n">
        <f aca="false">SUM(Modelo_Mensual!$AM$56:$AX$56)</f>
        <v>468142.666819392</v>
      </c>
      <c r="G9" s="63" t="n">
        <f aca="false">SUM(Modelo_Mensual!$AY$56:$BJ$56)</f>
        <v>460200.872647102</v>
      </c>
      <c r="H9" s="63" t="n">
        <f aca="false">SUM(Modelo_Mensual!$BK$56:$BV$56)</f>
        <v>430664.581352772</v>
      </c>
      <c r="I9" s="63" t="n">
        <f aca="false">SUM(Modelo_Mensual!$BW$56:$CH$56)</f>
        <v>400955.001319613</v>
      </c>
    </row>
    <row r="10" customFormat="false" ht="13.5" hidden="false" customHeight="true" outlineLevel="0" collapsed="false">
      <c r="A10" s="6" t="s">
        <v>534</v>
      </c>
      <c r="C10" s="100" t="n">
        <f aca="false">SUM(Modelo_Mensual!$C$58:$N$58)</f>
        <v>-14095.7142857143</v>
      </c>
      <c r="D10" s="100" t="n">
        <f aca="false">SUM(Modelo_Mensual!$O$58:$Z$58)</f>
        <v>-14095.7142857143</v>
      </c>
      <c r="E10" s="100" t="n">
        <f aca="false">SUM(Modelo_Mensual!$AA$58:$AL$58)</f>
        <v>-14095.7142857143</v>
      </c>
      <c r="F10" s="100" t="n">
        <f aca="false">SUM(Modelo_Mensual!$AM$58:$AX$58)</f>
        <v>-14095.7142857143</v>
      </c>
      <c r="G10" s="100" t="n">
        <f aca="false">SUM(Modelo_Mensual!$AY$58:$BJ$58)</f>
        <v>-14095.7142857143</v>
      </c>
      <c r="H10" s="100" t="n">
        <f aca="false">SUM(Modelo_Mensual!$BK$58:$BV$58)</f>
        <v>-14095.7142857143</v>
      </c>
      <c r="I10" s="100" t="n">
        <f aca="false">SUM(Modelo_Mensual!$BW$58:$CH$58)</f>
        <v>-14095.7142857143</v>
      </c>
    </row>
    <row r="11" customFormat="false" ht="13.5" hidden="false" customHeight="true" outlineLevel="0" collapsed="false">
      <c r="A11" s="6" t="s">
        <v>535</v>
      </c>
      <c r="C11" s="100" t="n">
        <f aca="false">SUM(Modelo_Mensual!$C$59:$N$59)</f>
        <v>-65715.897058626</v>
      </c>
      <c r="D11" s="100" t="n">
        <f aca="false">SUM(Modelo_Mensual!$O$59:$Z$59)</f>
        <v>177300.940833028</v>
      </c>
      <c r="E11" s="100" t="n">
        <f aca="false">SUM(Modelo_Mensual!$AA$59:$AL$59)</f>
        <v>336124.280127834</v>
      </c>
      <c r="F11" s="100" t="n">
        <f aca="false">SUM(Modelo_Mensual!$AM$59:$AX$59)</f>
        <v>454046.952533678</v>
      </c>
      <c r="G11" s="100" t="n">
        <f aca="false">SUM(Modelo_Mensual!$AY$59:$BJ$59)</f>
        <v>446105.158361388</v>
      </c>
      <c r="H11" s="100" t="n">
        <f aca="false">SUM(Modelo_Mensual!$BK$59:$BV$59)</f>
        <v>416568.867067058</v>
      </c>
      <c r="I11" s="100" t="n">
        <f aca="false">SUM(Modelo_Mensual!$BW$59:$CH$59)</f>
        <v>386859.287033898</v>
      </c>
    </row>
    <row r="12" customFormat="false" ht="13.5" hidden="false" customHeight="true" outlineLevel="0" collapsed="false">
      <c r="A12" s="6" t="s">
        <v>541</v>
      </c>
      <c r="C12" s="100" t="n">
        <f aca="false">SUM(Modelo_Mensual!$C$62:$N$62)</f>
        <v>-2291.70675469955</v>
      </c>
      <c r="D12" s="100" t="n">
        <f aca="false">SUM(Modelo_Mensual!$O$62:$Z$62)</f>
        <v>-25073.8928475513</v>
      </c>
      <c r="E12" s="100" t="n">
        <f aca="false">SUM(Modelo_Mensual!$AA$62:$AL$62)</f>
        <v>-48299.8591999229</v>
      </c>
      <c r="F12" s="100" t="n">
        <f aca="false">SUM(Modelo_Mensual!$AM$62:$AX$62)</f>
        <v>-109388.026194423</v>
      </c>
      <c r="G12" s="100" t="n">
        <f aca="false">SUM(Modelo_Mensual!$AY$62:$BJ$62)</f>
        <v>-107617.555661454</v>
      </c>
      <c r="H12" s="100" t="n">
        <f aca="false">SUM(Modelo_Mensual!$BK$62:$BV$62)</f>
        <v>-100581.164294343</v>
      </c>
      <c r="I12" s="100" t="n">
        <f aca="false">SUM(Modelo_Mensual!$BW$62:$CH$62)</f>
        <v>-93502.3171862192</v>
      </c>
    </row>
    <row r="13" customFormat="false" ht="13.5" hidden="false" customHeight="true" outlineLevel="0" collapsed="false">
      <c r="A13" s="46" t="s">
        <v>630</v>
      </c>
      <c r="C13" s="63" t="n">
        <f aca="false">SUM(Modelo_Mensual!$C$63:$N$63)</f>
        <v>-73116.0924063827</v>
      </c>
      <c r="D13" s="63" t="n">
        <f aca="false">SUM(Modelo_Mensual!$O$63:$Z$63)</f>
        <v>142085.392802791</v>
      </c>
      <c r="E13" s="63" t="n">
        <f aca="false">SUM(Modelo_Mensual!$AA$63:$AL$63)</f>
        <v>273699.202132897</v>
      </c>
      <c r="F13" s="63" t="n">
        <f aca="false">SUM(Modelo_Mensual!$AM$63:$AX$63)</f>
        <v>328164.078583269</v>
      </c>
      <c r="G13" s="63" t="n">
        <f aca="false">SUM(Modelo_Mensual!$AY$63:$BJ$63)</f>
        <v>322852.666984362</v>
      </c>
      <c r="H13" s="63" t="n">
        <f aca="false">SUM(Modelo_Mensual!$BK$63:$BV$63)</f>
        <v>301743.49288303</v>
      </c>
      <c r="I13" s="63" t="n">
        <f aca="false">SUM(Modelo_Mensual!$BW$63:$CH$63)</f>
        <v>280506.951558658</v>
      </c>
    </row>
    <row r="14" customFormat="false" ht="13.5" hidden="false" customHeight="true" outlineLevel="0" collapsed="false">
      <c r="A14" s="6"/>
    </row>
    <row r="15" customFormat="false" ht="13.5" hidden="false" customHeight="true" outlineLevel="0" collapsed="false">
      <c r="A15" s="6" t="s">
        <v>631</v>
      </c>
      <c r="C15" s="100" t="n">
        <f aca="false">SUM(Modelo_Mensual!$C$72:$N$72)</f>
        <v>-98670</v>
      </c>
      <c r="D15" s="100" t="n">
        <f aca="false">SUM(Modelo_Mensual!$O$72:$Z$72)</f>
        <v>0</v>
      </c>
      <c r="E15" s="100" t="n">
        <f aca="false">SUM(Modelo_Mensual!$AA$72:$AL$72)</f>
        <v>0</v>
      </c>
      <c r="F15" s="100" t="n">
        <f aca="false">SUM(Modelo_Mensual!$AM$72:$AX$72)</f>
        <v>0</v>
      </c>
      <c r="G15" s="100" t="n">
        <f aca="false">SUM(Modelo_Mensual!$AY$72:$BJ$72)</f>
        <v>0</v>
      </c>
      <c r="H15" s="100" t="n">
        <f aca="false">SUM(Modelo_Mensual!$BK$72:$BV$72)</f>
        <v>0</v>
      </c>
      <c r="I15" s="100" t="n">
        <f aca="false">SUM(Modelo_Mensual!$BW$72:$CH$72)</f>
        <v>0</v>
      </c>
    </row>
    <row r="16" customFormat="false" ht="13.5" hidden="false" customHeight="true" outlineLevel="0" collapsed="false">
      <c r="A16" s="6" t="s">
        <v>632</v>
      </c>
      <c r="C16" s="100" t="n">
        <f aca="false">SUM(Modelo_Mensual!$C$76:$N$76)</f>
        <v>-4441.42382208888</v>
      </c>
      <c r="D16" s="100" t="n">
        <f aca="false">SUM(Modelo_Mensual!$O$76:$Z$76)</f>
        <v>-7827.93310237485</v>
      </c>
      <c r="E16" s="100" t="n">
        <f aca="false">SUM(Modelo_Mensual!$AA$76:$AL$76)</f>
        <v>-30637.7332216043</v>
      </c>
      <c r="F16" s="100" t="n">
        <f aca="false">SUM(Modelo_Mensual!$AM$76:$AX$76)</f>
        <v>-32196.1866697212</v>
      </c>
      <c r="G16" s="100" t="n">
        <f aca="false">SUM(Modelo_Mensual!$AY$76:$BJ$76)</f>
        <v>-31237.3507862754</v>
      </c>
      <c r="H16" s="100" t="n">
        <f aca="false">SUM(Modelo_Mensual!$BK$76:$BV$76)</f>
        <v>-29846.6249603888</v>
      </c>
      <c r="I16" s="100" t="n">
        <f aca="false">SUM(Modelo_Mensual!$BW$76:$CH$76)</f>
        <v>-28452.4333597255</v>
      </c>
    </row>
    <row r="17" customFormat="false" ht="13.5" hidden="false" customHeight="true" outlineLevel="0" collapsed="false">
      <c r="A17" s="46" t="s">
        <v>633</v>
      </c>
      <c r="C17" s="63" t="n">
        <f aca="false">SUM(Modelo_Mensual!$C$85:$N$85)</f>
        <v>31867.6730529029</v>
      </c>
      <c r="D17" s="63" t="n">
        <f aca="false">SUM(Modelo_Mensual!$O$85:$Z$85)</f>
        <v>137277.637521085</v>
      </c>
      <c r="E17" s="63" t="n">
        <f aca="false">SUM(Modelo_Mensual!$AA$85:$AL$85)</f>
        <v>245618.127392131</v>
      </c>
      <c r="F17" s="63" t="n">
        <f aca="false">SUM(Modelo_Mensual!$AM$85:$AX$85)</f>
        <v>167320.428632011</v>
      </c>
      <c r="G17" s="63" t="n">
        <f aca="false">SUM(Modelo_Mensual!$AY$85:$BJ$85)</f>
        <v>166145.136861652</v>
      </c>
      <c r="H17" s="63" t="n">
        <f aca="false">SUM(Modelo_Mensual!$BK$85:$BV$85)</f>
        <v>153479.632400852</v>
      </c>
      <c r="I17" s="63" t="n">
        <f aca="false">SUM(Modelo_Mensual!$BW$85:$CH$85)</f>
        <v>140737.707606229</v>
      </c>
    </row>
    <row r="18" customFormat="false" ht="13.5" hidden="false" customHeight="true" outlineLevel="0" collapsed="false">
      <c r="A18" s="6" t="s">
        <v>634</v>
      </c>
      <c r="C18" s="100" t="n">
        <f aca="false">Modelo_Mensual!$N$86</f>
        <v>31867.6730529029</v>
      </c>
      <c r="D18" s="100" t="n">
        <f aca="false">Modelo_Mensual!$Z$86</f>
        <v>169145.310573988</v>
      </c>
      <c r="E18" s="100" t="n">
        <f aca="false">Modelo_Mensual!$AL$86</f>
        <v>414763.437966119</v>
      </c>
      <c r="F18" s="100" t="n">
        <f aca="false">Modelo_Mensual!$AX$86</f>
        <v>582083.86659813</v>
      </c>
      <c r="G18" s="100" t="n">
        <f aca="false">Modelo_Mensual!$BJ$86</f>
        <v>748229.003459781</v>
      </c>
      <c r="H18" s="100" t="n">
        <f aca="false">Modelo_Mensual!$BV$86</f>
        <v>901708.635860634</v>
      </c>
      <c r="I18" s="100" t="n">
        <f aca="false">Modelo_Mensual!$CH$86</f>
        <v>1042446.34346686</v>
      </c>
    </row>
    <row r="19" customFormat="false" ht="13.5" hidden="false" customHeight="true" outlineLevel="0" collapsed="false">
      <c r="A19" s="6"/>
    </row>
    <row r="20" customFormat="false" ht="13.5" hidden="false" customHeight="true" outlineLevel="0" collapsed="false">
      <c r="A20" s="6" t="s">
        <v>49</v>
      </c>
      <c r="C20" s="110" t="n">
        <f aca="false">IFERROR(C9/C5,0)</f>
        <v>-0.282836646444647</v>
      </c>
      <c r="D20" s="110" t="n">
        <f aca="false">IFERROR(D9/D5,0)</f>
        <v>0.279188117070182</v>
      </c>
      <c r="E20" s="110" t="n">
        <f aca="false">IFERROR(E9/E5,0)</f>
        <v>0.338923977251063</v>
      </c>
      <c r="F20" s="110" t="n">
        <f aca="false">IFERROR(F9/F5,0)</f>
        <v>0.367552004870504</v>
      </c>
      <c r="G20" s="110" t="n">
        <f aca="false">IFERROR(G9/G5,0)</f>
        <v>0.353188845731433</v>
      </c>
      <c r="H20" s="110" t="n">
        <f aca="false">IFERROR(H9/H5,0)</f>
        <v>0.330520725678929</v>
      </c>
      <c r="I20" s="110" t="n">
        <f aca="false">IFERROR(I9/I5,0)</f>
        <v>0.307719612289638</v>
      </c>
    </row>
    <row r="21" customFormat="false" ht="13.5" hidden="false" customHeight="true" outlineLevel="0" collapsed="false">
      <c r="A21" s="6" t="s">
        <v>518</v>
      </c>
      <c r="C21" s="110" t="n">
        <f aca="false">IFERROR(C7/C5,0)</f>
        <v>0.769047526135904</v>
      </c>
      <c r="D21" s="110" t="n">
        <f aca="false">IFERROR(D7/D5,0)</f>
        <v>0.745784697417293</v>
      </c>
      <c r="E21" s="110" t="n">
        <f aca="false">IFERROR(E7/E5,0)</f>
        <v>0.744632622590031</v>
      </c>
      <c r="F21" s="110" t="n">
        <f aca="false">IFERROR(F7/F5,0)</f>
        <v>0.74623683938596</v>
      </c>
      <c r="G21" s="110" t="n">
        <f aca="false">IFERROR(G7/G5,0)</f>
        <v>0.746391987817966</v>
      </c>
      <c r="H21" s="110" t="n">
        <f aca="false">IFERROR(H7/H5,0)</f>
        <v>0.746391987817966</v>
      </c>
      <c r="I21" s="110" t="n">
        <f aca="false">IFERROR(I7/I5,0)</f>
        <v>0.746391987817966</v>
      </c>
    </row>
    <row r="22" customFormat="false" ht="13.5" hidden="false" customHeight="true" outlineLevel="0" collapsed="false">
      <c r="A22" s="6" t="s">
        <v>635</v>
      </c>
      <c r="C22" s="101" t="n">
        <f aca="false">SUM(Modelo_Mensual!$C$26:$N$26)</f>
        <v>4135.92862572973</v>
      </c>
      <c r="D22" s="101" t="n">
        <f aca="false">SUM(Modelo_Mensual!$O$26:$Z$26)</f>
        <v>18799.5251837838</v>
      </c>
      <c r="E22" s="101" t="n">
        <f aca="false">SUM(Modelo_Mensual!$AA$26:$AL$26)</f>
        <v>28434.7957602162</v>
      </c>
      <c r="F22" s="101" t="n">
        <f aca="false">SUM(Modelo_Mensual!$AM$26:$AX$26)</f>
        <v>34509.8602109189</v>
      </c>
      <c r="G22" s="101" t="n">
        <f aca="false">SUM(Modelo_Mensual!$AY$26:$BJ$26)</f>
        <v>35250.7217292973</v>
      </c>
      <c r="H22" s="101" t="n">
        <f aca="false">SUM(Modelo_Mensual!$BK$26:$BV$26)</f>
        <v>35250.7217292973</v>
      </c>
      <c r="I22" s="101" t="n">
        <f aca="false">SUM(Modelo_Mensual!$BW$26:$CH$26)</f>
        <v>35250.7217292973</v>
      </c>
    </row>
    <row r="23" customFormat="false" ht="13.5" hidden="false" customHeight="true" outlineLevel="0" collapsed="false">
      <c r="A23" s="22" t="s">
        <v>636</v>
      </c>
      <c r="C23" s="112" t="n">
        <f aca="false">IFERROR(C9/-C16,0)</f>
        <v>-11.622440199511</v>
      </c>
      <c r="D23" s="112" t="n">
        <f aca="false">IFERROR(D9/-D16,0)</f>
        <v>24.4504714866146</v>
      </c>
      <c r="E23" s="112" t="n">
        <f aca="false">IFERROR(E9/-E16,0)</f>
        <v>11.4310021528156</v>
      </c>
      <c r="F23" s="112" t="n">
        <f aca="false">IFERROR(F9/-F16,0)</f>
        <v>14.5403140943911</v>
      </c>
      <c r="G23" s="112" t="n">
        <f aca="false">IFERROR(G9/-G16,0)</f>
        <v>14.7323912259966</v>
      </c>
      <c r="H23" s="112" t="n">
        <f aca="false">IFERROR(H9/-H16,0)</f>
        <v>14.4292556335711</v>
      </c>
      <c r="I23" s="112" t="n">
        <f aca="false">IFERROR(I9/-I16,0)</f>
        <v>14.092116349077</v>
      </c>
    </row>
    <row r="24" customFormat="false" ht="13.5" hidden="false" customHeight="true" outlineLevel="0" collapsed="false">
      <c r="A24" s="6" t="s">
        <v>637</v>
      </c>
      <c r="C24" s="100" t="n">
        <f aca="false">SUM(Modelo_Mensual!$C$51:$N$51)</f>
        <v>-136224</v>
      </c>
      <c r="D24" s="100" t="n">
        <f aca="false">SUM(Modelo_Mensual!$O$51:$Z$51)</f>
        <v>-251838.84</v>
      </c>
      <c r="E24" s="100" t="n">
        <f aca="false">SUM(Modelo_Mensual!$AA$51:$AL$51)</f>
        <v>-343002.3696</v>
      </c>
      <c r="F24" s="100" t="n">
        <f aca="false">SUM(Modelo_Mensual!$AM$51:$AX$51)</f>
        <v>-400774.993344</v>
      </c>
      <c r="G24" s="100" t="n">
        <f aca="false">SUM(Modelo_Mensual!$AY$51:$BJ$51)</f>
        <v>-430143.04314432</v>
      </c>
      <c r="H24" s="100" t="n">
        <f aca="false">SUM(Modelo_Mensual!$BK$51:$BV$51)</f>
        <v>-459679.33443865</v>
      </c>
      <c r="I24" s="100" t="n">
        <f aca="false">SUM(Modelo_Mensual!$BW$51:$CH$51)</f>
        <v>-489388.914471809</v>
      </c>
    </row>
    <row r="25" customFormat="false" ht="13.5" hidden="false" customHeight="true" outlineLevel="0" collapsed="false">
      <c r="A25" s="6" t="s">
        <v>638</v>
      </c>
      <c r="C25" s="100" t="n">
        <f aca="false">SUM(Modelo_Mensual!$C$52:$N$52)</f>
        <v>-1594.81316042222</v>
      </c>
      <c r="D25" s="100" t="n">
        <f aca="false">SUM(Modelo_Mensual!$O$52:$Z$52)</f>
        <v>-7249.09273972238</v>
      </c>
      <c r="E25" s="100" t="n">
        <f aca="false">SUM(Modelo_Mensual!$AA$52:$AL$52)</f>
        <v>-10964.4509361691</v>
      </c>
      <c r="F25" s="100" t="n">
        <f aca="false">SUM(Modelo_Mensual!$AM$52:$AX$52)</f>
        <v>-13306.9944404551</v>
      </c>
      <c r="G25" s="100" t="n">
        <f aca="false">SUM(Modelo_Mensual!$AY$52:$BJ$52)</f>
        <v>-13592.6704775632</v>
      </c>
      <c r="H25" s="100" t="n">
        <f aca="false">SUM(Modelo_Mensual!$BK$52:$BV$52)</f>
        <v>-13592.6704775632</v>
      </c>
      <c r="I25" s="100" t="n">
        <f aca="false">SUM(Modelo_Mensual!$BW$52:$CH$52)</f>
        <v>-13592.6704775632</v>
      </c>
    </row>
    <row r="26" customFormat="false" ht="13.5" hidden="false" customHeight="true" outlineLevel="0" collapsed="false">
      <c r="A26" s="6" t="s">
        <v>639</v>
      </c>
      <c r="C26" s="100" t="n">
        <f aca="false">SUM(Modelo_Mensual!$C$34:$N$34)</f>
        <v>141473.745</v>
      </c>
      <c r="D26" s="100" t="n">
        <f aca="false">SUM(Modelo_Mensual!$O$34:$Z$34)</f>
        <v>392439.6</v>
      </c>
      <c r="E26" s="100" t="n">
        <f aca="false">SUM(Modelo_Mensual!$AA$34:$AL$34)</f>
        <v>458838</v>
      </c>
      <c r="F26" s="100" t="n">
        <f aca="false">SUM(Modelo_Mensual!$AM$34:$AX$34)</f>
        <v>458838</v>
      </c>
      <c r="G26" s="100" t="n">
        <f aca="false">SUM(Modelo_Mensual!$AY$34:$BJ$34)</f>
        <v>458838</v>
      </c>
      <c r="H26" s="100" t="n">
        <f aca="false">SUM(Modelo_Mensual!$BK$34:$BV$34)</f>
        <v>458838</v>
      </c>
      <c r="I26" s="100" t="n">
        <f aca="false">SUM(Modelo_Mensual!$BW$34:$CH$34)</f>
        <v>458838</v>
      </c>
    </row>
    <row r="27" customFormat="false" ht="13.5" hidden="false" customHeight="true" outlineLevel="0" collapsed="false">
      <c r="A27" s="6" t="s">
        <v>640</v>
      </c>
      <c r="C27" s="110" t="n">
        <f aca="false">IFERROR(C26/C5,0)</f>
        <v>0.775161137491419</v>
      </c>
      <c r="D27" s="110" t="n">
        <f aca="false">IFERROR(D26/D5,0)</f>
        <v>0.572447166957028</v>
      </c>
      <c r="E27" s="110" t="n">
        <f aca="false">IFERROR(E26/E5,0)</f>
        <v>0.444038611028849</v>
      </c>
      <c r="F27" s="110" t="n">
        <f aca="false">IFERROR(F26/F5,0)</f>
        <v>0.360246648647891</v>
      </c>
      <c r="G27" s="110" t="n">
        <f aca="false">IFERROR(G26/G5,0)</f>
        <v>0.352142886356475</v>
      </c>
      <c r="H27" s="110" t="n">
        <f aca="false">IFERROR(H26/H5,0)</f>
        <v>0.352142886356475</v>
      </c>
      <c r="I27" s="110" t="n">
        <f aca="false">IFERROR(I26/I5,0)</f>
        <v>0.352142886356475</v>
      </c>
    </row>
    <row r="28" customFormat="false" ht="13.5" hidden="false" customHeight="true" outlineLevel="0" collapsed="false">
      <c r="A28" s="6" t="s">
        <v>641</v>
      </c>
      <c r="C28" s="101" t="n">
        <f aca="false">Modelo_Mensual!$N$31</f>
        <v>4</v>
      </c>
      <c r="D28" s="101" t="n">
        <f aca="false">Modelo_Mensual!$Z$31</f>
        <v>7</v>
      </c>
      <c r="E28" s="101" t="n">
        <f aca="false">Modelo_Mensual!$AL$31</f>
        <v>9</v>
      </c>
      <c r="F28" s="101" t="n">
        <f aca="false">Modelo_Mensual!$AX$31</f>
        <v>9</v>
      </c>
      <c r="G28" s="101" t="n">
        <f aca="false">Modelo_Mensual!$BJ$31</f>
        <v>9</v>
      </c>
      <c r="H28" s="101" t="n">
        <f aca="false">Modelo_Mensual!$BV$31</f>
        <v>9</v>
      </c>
      <c r="I28" s="101" t="n">
        <f aca="false">Modelo_Mensual!$CH$31</f>
        <v>9</v>
      </c>
    </row>
    <row r="29" customFormat="false" ht="13.5" hidden="false" customHeight="true" outlineLevel="0" collapsed="false">
      <c r="A29" s="6" t="s">
        <v>642</v>
      </c>
      <c r="C29" s="101" t="n">
        <f aca="false">Modelo_Mensual!$N$30</f>
        <v>0</v>
      </c>
      <c r="D29" s="101" t="n">
        <f aca="false">Modelo_Mensual!$Z$30</f>
        <v>2</v>
      </c>
      <c r="E29" s="101" t="n">
        <f aca="false">Modelo_Mensual!$AL$30</f>
        <v>4</v>
      </c>
      <c r="F29" s="101" t="n">
        <f aca="false">Modelo_Mensual!$AX$30</f>
        <v>4</v>
      </c>
      <c r="G29" s="101" t="n">
        <f aca="false">Modelo_Mensual!$BJ$30</f>
        <v>4</v>
      </c>
      <c r="H29" s="101" t="n">
        <f aca="false">Modelo_Mensual!$BV$30</f>
        <v>4</v>
      </c>
      <c r="I29" s="101" t="n">
        <f aca="false">Modelo_Mensual!$CH$30</f>
        <v>4</v>
      </c>
    </row>
    <row r="30" customFormat="false" ht="13.5" hidden="false" customHeight="true" outlineLevel="0" collapsed="false">
      <c r="A30" s="6" t="s">
        <v>545</v>
      </c>
      <c r="C30" s="100" t="n">
        <f aca="false">SUM(Modelo_Mensual!$C$71:$N$71)</f>
        <v>-7407.73968349279</v>
      </c>
      <c r="D30" s="100" t="n">
        <f aca="false">SUM(Modelo_Mensual!$O$71:$Z$71)</f>
        <v>-7506.24598662844</v>
      </c>
      <c r="E30" s="100" t="n">
        <f aca="false">SUM(Modelo_Mensual!$AA$71:$AL$71)</f>
        <v>-4997.69342412843</v>
      </c>
      <c r="F30" s="100" t="n">
        <f aca="false">SUM(Modelo_Mensual!$AM$71:$AX$71)</f>
        <v>-2498.84671206422</v>
      </c>
      <c r="G30" s="100" t="n">
        <f aca="false">SUM(Modelo_Mensual!$AY$71:$BJ$71)</f>
        <v>0</v>
      </c>
      <c r="H30" s="100" t="n">
        <f aca="false">SUM(Modelo_Mensual!$BK$71:$BV$71)</f>
        <v>0</v>
      </c>
      <c r="I30" s="100" t="n">
        <f aca="false">SUM(Modelo_Mensual!$BW$71:$CH$71)</f>
        <v>0</v>
      </c>
    </row>
    <row r="31" customFormat="false" ht="13.5" hidden="false" customHeight="true" outlineLevel="0" collapsed="false">
      <c r="A31" s="6" t="s">
        <v>643</v>
      </c>
      <c r="C31" s="101" t="n">
        <f aca="false">Modelo_Mensual!$N$68</f>
        <v>30729.7865899849</v>
      </c>
      <c r="D31" s="101" t="n">
        <f aca="false">Modelo_Mensual!$Z$68</f>
        <v>66068.4797699546</v>
      </c>
      <c r="E31" s="101" t="n">
        <f aca="false">Modelo_Mensual!$AL$68</f>
        <v>87172.2329499243</v>
      </c>
      <c r="F31" s="101" t="n">
        <f aca="false">Modelo_Mensual!$AX$68</f>
        <v>97724.1095399092</v>
      </c>
      <c r="G31" s="101" t="n">
        <f aca="false">Modelo_Mensual!$BJ$68</f>
        <v>97724.1095399092</v>
      </c>
      <c r="H31" s="101" t="n">
        <f aca="false">Modelo_Mensual!$BV$68</f>
        <v>97724.1095399092</v>
      </c>
      <c r="I31" s="101" t="n">
        <f aca="false">Modelo_Mensual!$CH$68</f>
        <v>97724.1095399092</v>
      </c>
    </row>
    <row r="32" customFormat="false" ht="13.5" hidden="false" customHeight="true" outlineLevel="0" collapsed="false">
      <c r="A32" s="6" t="s">
        <v>644</v>
      </c>
      <c r="C32" s="100" t="n">
        <f aca="false">SUM(Modelo_Mensual!$C$83:$N$83)</f>
        <v>0</v>
      </c>
      <c r="D32" s="100" t="n">
        <f aca="false">SUM(Modelo_Mensual!$O$83:$Z$83)</f>
        <v>0</v>
      </c>
      <c r="E32" s="100" t="n">
        <f aca="false">SUM(Modelo_Mensual!$AA$83:$AL$83)</f>
        <v>0</v>
      </c>
      <c r="F32" s="100" t="n">
        <f aca="false">SUM(Modelo_Mensual!$AM$83:$AX$83)</f>
        <v>-131265.631433308</v>
      </c>
      <c r="G32" s="100" t="n">
        <f aca="false">SUM(Modelo_Mensual!$AY$83:$BJ$83)</f>
        <v>-129141.066793745</v>
      </c>
      <c r="H32" s="100" t="n">
        <f aca="false">SUM(Modelo_Mensual!$BK$83:$BV$83)</f>
        <v>-120697.397153212</v>
      </c>
      <c r="I32" s="100" t="n">
        <f aca="false">SUM(Modelo_Mensual!$BW$83:$CH$83)</f>
        <v>-112202.780623463</v>
      </c>
    </row>
    <row r="33" customFormat="false" ht="13.5" hidden="false" customHeight="true" outlineLevel="0" collapsed="false">
      <c r="A33" s="6" t="s">
        <v>645</v>
      </c>
      <c r="C33" s="100" t="n">
        <f aca="false">SUM(Modelo_Mensual!$C$84:$N$84)</f>
        <v>0</v>
      </c>
      <c r="D33" s="100" t="n">
        <f aca="false">SUM(Modelo_Mensual!$O$84:$Z$84)</f>
        <v>0</v>
      </c>
      <c r="E33" s="100" t="n">
        <f aca="false">SUM(Modelo_Mensual!$AA$84:$AL$84)</f>
        <v>0</v>
      </c>
      <c r="F33" s="100" t="n">
        <f aca="false">SUM(Modelo_Mensual!$AM$84:$AX$84)</f>
        <v>0</v>
      </c>
      <c r="G33" s="100" t="n">
        <f aca="false">SUM(Modelo_Mensual!$AY$84:$BJ$84)</f>
        <v>0</v>
      </c>
      <c r="H33" s="100" t="n">
        <f aca="false">SUM(Modelo_Mensual!$BK$84:$BV$84)</f>
        <v>0</v>
      </c>
      <c r="I33" s="100" t="n">
        <f aca="false">SUM(Modelo_Mensual!$BW$84:$CH$84)</f>
        <v>0</v>
      </c>
    </row>
    <row r="34" customFormat="false" ht="13.5" hidden="false" customHeight="true" outlineLevel="0" collapsed="false">
      <c r="A34" s="6" t="s">
        <v>646</v>
      </c>
      <c r="C34" s="100" t="n">
        <f aca="false">Modelo_Mensual!$N$112</f>
        <v>0</v>
      </c>
      <c r="D34" s="100" t="n">
        <f aca="false">Modelo_Mensual!$Z$112</f>
        <v>62072.3703567674</v>
      </c>
      <c r="E34" s="100" t="n">
        <f aca="false">Modelo_Mensual!$AL$112</f>
        <v>322662.502529305</v>
      </c>
      <c r="F34" s="100" t="n">
        <f aca="false">Modelo_Mensual!$AX$112</f>
        <v>650826.581112574</v>
      </c>
      <c r="G34" s="100" t="n">
        <f aca="false">Modelo_Mensual!$BJ$112</f>
        <v>973679.248096936</v>
      </c>
      <c r="H34" s="100" t="n">
        <f aca="false">Modelo_Mensual!$BV$112</f>
        <v>1275422.74097997</v>
      </c>
      <c r="I34" s="100" t="n">
        <f aca="false">Modelo_Mensual!$CH$112</f>
        <v>1555929.69253862</v>
      </c>
    </row>
    <row r="35" customFormat="false" ht="13.5" hidden="false" customHeight="true" outlineLevel="0" collapsed="false">
      <c r="A35" s="6" t="s">
        <v>647</v>
      </c>
      <c r="C35" s="100" t="n">
        <f aca="false">Modelo_Mensual!$N$81</f>
        <v>0</v>
      </c>
      <c r="D35" s="100" t="n">
        <f aca="false">Modelo_Mensual!$Z$81</f>
        <v>0</v>
      </c>
      <c r="E35" s="100" t="n">
        <f aca="false">Modelo_Mensual!$AL$81</f>
        <v>0</v>
      </c>
      <c r="F35" s="100" t="n">
        <f aca="false">Modelo_Mensual!$AX$81</f>
        <v>0</v>
      </c>
      <c r="G35" s="100" t="n">
        <f aca="false">Modelo_Mensual!$BJ$81</f>
        <v>0</v>
      </c>
      <c r="H35" s="100" t="n">
        <f aca="false">Modelo_Mensual!$BV$81</f>
        <v>0</v>
      </c>
      <c r="I35" s="100" t="n">
        <f aca="false">Modelo_Mensual!$CH$81</f>
        <v>0</v>
      </c>
    </row>
    <row r="36" customFormat="false" ht="13.5" hidden="false" customHeight="true" outlineLevel="0" collapsed="false">
      <c r="A36" s="6" t="s">
        <v>648</v>
      </c>
      <c r="C36" s="100" t="n">
        <f aca="false">SUM(Modelo_Mensual!$C$60:$N$60)</f>
        <v>-5108.48859305719</v>
      </c>
      <c r="D36" s="100" t="n">
        <f aca="false">SUM(Modelo_Mensual!$O$60:$Z$60)</f>
        <v>-10141.6551826859</v>
      </c>
      <c r="E36" s="100" t="n">
        <f aca="false">SUM(Modelo_Mensual!$AA$60:$AL$60)</f>
        <v>-14125.218795014</v>
      </c>
      <c r="F36" s="100" t="n">
        <f aca="false">SUM(Modelo_Mensual!$AM$60:$AX$60)</f>
        <v>-16494.847755986</v>
      </c>
      <c r="G36" s="100" t="n">
        <f aca="false">SUM(Modelo_Mensual!$AY$60:$BJ$60)</f>
        <v>-15634.9357155713</v>
      </c>
      <c r="H36" s="100" t="n">
        <f aca="false">SUM(Modelo_Mensual!$BK$60:$BV$60)</f>
        <v>-14244.2098896847</v>
      </c>
      <c r="I36" s="100" t="n">
        <f aca="false">SUM(Modelo_Mensual!$BW$60:$CH$60)</f>
        <v>-12850.0182890215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0" min="2" style="1" width="13"/>
  </cols>
  <sheetData>
    <row r="1" customFormat="false" ht="18" hidden="false" customHeight="true" outlineLevel="0" collapsed="false">
      <c r="A1" s="8" t="s">
        <v>649</v>
      </c>
    </row>
    <row r="2" customFormat="false" ht="13.5" hidden="false" customHeight="true" outlineLevel="0" collapsed="false">
      <c r="A2" s="4" t="s">
        <v>650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9" t="s">
        <v>651</v>
      </c>
      <c r="B4" s="9"/>
      <c r="C4" s="9"/>
      <c r="D4" s="9"/>
    </row>
    <row r="5" customFormat="false" ht="13.5" hidden="false" customHeight="true" outlineLevel="0" collapsed="false">
      <c r="A5" s="6" t="s">
        <v>652</v>
      </c>
      <c r="B5" s="25" t="n">
        <v>2880</v>
      </c>
    </row>
    <row r="6" customFormat="false" ht="13.5" hidden="false" customHeight="true" outlineLevel="0" collapsed="false">
      <c r="A6" s="6" t="s">
        <v>653</v>
      </c>
      <c r="B6" s="114" t="n">
        <f aca="false">Producto!$T$32</f>
        <v>44.1386326535627</v>
      </c>
      <c r="C6" s="4" t="s">
        <v>654</v>
      </c>
    </row>
    <row r="7" customFormat="false" ht="13.5" hidden="false" customHeight="true" outlineLevel="0" collapsed="false">
      <c r="A7" s="6" t="s">
        <v>655</v>
      </c>
      <c r="B7" s="114" t="n">
        <f aca="false">Producto!$S$32</f>
        <v>7.67336864496315</v>
      </c>
    </row>
    <row r="8" customFormat="false" ht="13.5" hidden="false" customHeight="true" outlineLevel="0" collapsed="false">
      <c r="A8" s="6" t="s">
        <v>656</v>
      </c>
      <c r="B8" s="67" t="n">
        <v>0.1</v>
      </c>
    </row>
    <row r="9" customFormat="false" ht="13.5" hidden="false" customHeight="true" outlineLevel="0" collapsed="false">
      <c r="A9" s="6" t="s">
        <v>657</v>
      </c>
      <c r="B9" s="95" t="n">
        <f aca="false">Producto!$D$11</f>
        <v>3</v>
      </c>
    </row>
    <row r="10" customFormat="false" ht="13.5" hidden="false" customHeight="true" outlineLevel="0" collapsed="false">
      <c r="A10" s="6" t="s">
        <v>285</v>
      </c>
      <c r="B10" s="115" t="n">
        <f aca="false">Producto!$J$32</f>
        <v>6.85271683046683</v>
      </c>
    </row>
    <row r="11" customFormat="false" ht="13.5" hidden="false" customHeight="true" outlineLevel="0" collapsed="false">
      <c r="A11" s="6" t="s">
        <v>658</v>
      </c>
      <c r="B11" s="26" t="n">
        <v>7</v>
      </c>
    </row>
    <row r="12" customFormat="false" ht="13.5" hidden="false" customHeight="true" outlineLevel="0" collapsed="false">
      <c r="A12" s="6" t="s">
        <v>659</v>
      </c>
      <c r="B12" s="25" t="n">
        <v>160</v>
      </c>
    </row>
    <row r="13" customFormat="false" ht="13.5" hidden="false" customHeight="true" outlineLevel="0" collapsed="false">
      <c r="A13" s="6" t="s">
        <v>660</v>
      </c>
      <c r="B13" s="68" t="n">
        <v>12</v>
      </c>
    </row>
    <row r="14" customFormat="false" ht="13.5" hidden="false" customHeight="true" outlineLevel="0" collapsed="false">
      <c r="A14" s="6" t="s">
        <v>661</v>
      </c>
      <c r="B14" s="116" t="n">
        <f aca="false">-Modelo_Mensual!$CH$55+Modelo_Mensual!$CH$50+Modelo_Mensual!$CH$52</f>
        <v>35781.5388001838</v>
      </c>
    </row>
    <row r="15" customFormat="false" ht="13.5" hidden="false" customHeight="true" outlineLevel="0" collapsed="false"/>
    <row r="16" customFormat="false" ht="13.5" hidden="false" customHeight="true" outlineLevel="0" collapsed="false">
      <c r="A16" s="9" t="s">
        <v>662</v>
      </c>
      <c r="B16" s="9"/>
      <c r="C16" s="9"/>
      <c r="D16" s="9"/>
    </row>
    <row r="17" customFormat="false" ht="13.5" hidden="false" customHeight="true" outlineLevel="0" collapsed="false">
      <c r="A17" s="6" t="s">
        <v>427</v>
      </c>
      <c r="B17" s="97" t="n">
        <f aca="false">$B$5*$B$10</f>
        <v>19735.8244717445</v>
      </c>
    </row>
    <row r="18" customFormat="false" ht="13.5" hidden="false" customHeight="true" outlineLevel="0" collapsed="false">
      <c r="A18" s="6" t="s">
        <v>663</v>
      </c>
      <c r="B18" s="73" t="n">
        <f aca="false">$B$5*$B$6</f>
        <v>127119.26204226</v>
      </c>
    </row>
    <row r="19" customFormat="false" ht="13.5" hidden="false" customHeight="true" outlineLevel="0" collapsed="false">
      <c r="A19" s="6" t="s">
        <v>664</v>
      </c>
      <c r="B19" s="73" t="n">
        <f aca="false">B18*(1-$B$8)</f>
        <v>114407.335838034</v>
      </c>
    </row>
    <row r="20" customFormat="false" ht="13.5" hidden="false" customHeight="true" outlineLevel="0" collapsed="false">
      <c r="A20" s="6" t="s">
        <v>665</v>
      </c>
      <c r="B20" s="73" t="n">
        <f aca="false">$B$5*$B$7</f>
        <v>22099.3016974939</v>
      </c>
    </row>
    <row r="21" customFormat="false" ht="13.5" hidden="false" customHeight="true" outlineLevel="0" collapsed="false">
      <c r="A21" s="6" t="s">
        <v>666</v>
      </c>
      <c r="B21" s="73" t="n">
        <f aca="false">B19-B20</f>
        <v>92308.0341405406</v>
      </c>
    </row>
    <row r="22" customFormat="false" ht="13.5" hidden="false" customHeight="true" outlineLevel="0" collapsed="false">
      <c r="A22" s="6" t="s">
        <v>667</v>
      </c>
      <c r="B22" s="96" t="n">
        <f aca="false">B17*$B$9/60</f>
        <v>986.791223587224</v>
      </c>
    </row>
    <row r="23" customFormat="false" ht="13.5" hidden="false" customHeight="true" outlineLevel="0" collapsed="false">
      <c r="A23" s="6" t="s">
        <v>668</v>
      </c>
      <c r="B23" s="97" t="n">
        <f aca="false">$B$11*$B$12</f>
        <v>1120</v>
      </c>
    </row>
    <row r="24" customFormat="false" ht="13.5" hidden="false" customHeight="true" outlineLevel="0" collapsed="false">
      <c r="A24" s="6" t="s">
        <v>669</v>
      </c>
      <c r="B24" s="73" t="n">
        <f aca="false">MAX(0,B22-B23)*$B$13</f>
        <v>0</v>
      </c>
    </row>
    <row r="25" customFormat="false" ht="13.5" hidden="false" customHeight="true" outlineLevel="0" collapsed="false">
      <c r="A25" s="6" t="s">
        <v>670</v>
      </c>
      <c r="B25" s="73" t="n">
        <f aca="false">B21-$B$14-B24</f>
        <v>56526.4953403568</v>
      </c>
    </row>
    <row r="26" customFormat="false" ht="13.5" hidden="false" customHeight="true" outlineLevel="0" collapsed="false">
      <c r="A26" s="6" t="s">
        <v>671</v>
      </c>
      <c r="B26" s="73" t="n">
        <f aca="false">B25*12</f>
        <v>678317.944084282</v>
      </c>
    </row>
    <row r="27" customFormat="false" ht="13.5" hidden="false" customHeight="true" outlineLevel="0" collapsed="false">
      <c r="A27" s="6" t="s">
        <v>49</v>
      </c>
      <c r="B27" s="117" t="n">
        <f aca="false">IFERROR(B25/B19,0)</f>
        <v>0.494081038827623</v>
      </c>
    </row>
    <row r="28" customFormat="false" ht="13.5" hidden="false" customHeight="true" outlineLevel="0" collapsed="false"/>
    <row r="29" customFormat="false" ht="12.75" hidden="false" customHeight="true" outlineLevel="0" collapsed="false">
      <c r="A29" s="9" t="s">
        <v>672</v>
      </c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3.5" hidden="false" customHeight="true" outlineLevel="0" collapsed="false">
      <c r="A30" s="105" t="s">
        <v>673</v>
      </c>
      <c r="B30" s="118" t="n">
        <v>5</v>
      </c>
      <c r="C30" s="118" t="n">
        <v>6</v>
      </c>
      <c r="D30" s="118" t="n">
        <v>7</v>
      </c>
      <c r="E30" s="118" t="n">
        <v>8</v>
      </c>
      <c r="F30" s="118" t="n">
        <v>9</v>
      </c>
      <c r="G30" s="118" t="n">
        <v>10</v>
      </c>
    </row>
    <row r="31" customFormat="false" ht="13.5" hidden="false" customHeight="true" outlineLevel="0" collapsed="false">
      <c r="A31" s="119" t="n">
        <v>3</v>
      </c>
      <c r="B31" s="89" t="n">
        <f aca="false">($B$5*$B$6*(1-$B$8)-$B$5*$B$7)-$B$14-MAX(0,$B$5*$B$10*3/60-5*$B$12)*$B$13</f>
        <v>54285.0006573101</v>
      </c>
      <c r="C31" s="89" t="n">
        <f aca="false">($B$5*$B$6*(1-$B$8)-$B$5*$B$7)-$B$14-MAX(0,$B$5*$B$10*3/60-6*$B$12)*$B$13</f>
        <v>56205.0006573101</v>
      </c>
      <c r="D31" s="89" t="n">
        <f aca="false">($B$5*$B$6*(1-$B$8)-$B$5*$B$7)-$B$14-MAX(0,$B$5*$B$10*3/60-7*$B$12)*$B$13</f>
        <v>56526.4953403568</v>
      </c>
      <c r="E31" s="89" t="n">
        <f aca="false">($B$5*$B$6*(1-$B$8)-$B$5*$B$7)-$B$14-MAX(0,$B$5*$B$10*3/60-8*$B$12)*$B$13</f>
        <v>56526.4953403568</v>
      </c>
      <c r="F31" s="89" t="n">
        <f aca="false">($B$5*$B$6*(1-$B$8)-$B$5*$B$7)-$B$14-MAX(0,$B$5*$B$10*3/60-9*$B$12)*$B$13</f>
        <v>56526.4953403568</v>
      </c>
      <c r="G31" s="89" t="n">
        <f aca="false">($B$5*$B$6*(1-$B$8)-$B$5*$B$7)-$B$14-MAX(0,$B$5*$B$10*3/60-10*$B$12)*$B$13</f>
        <v>56526.4953403568</v>
      </c>
    </row>
    <row r="32" customFormat="false" ht="13.5" hidden="false" customHeight="true" outlineLevel="0" collapsed="false">
      <c r="A32" s="119" t="n">
        <v>4</v>
      </c>
      <c r="B32" s="89" t="n">
        <f aca="false">($B$5*$B$6*(1-$B$8)-$B$5*$B$7)-$B$14-MAX(0,$B$5*$B$10*4/60-5*$B$12)*$B$13</f>
        <v>50337.8357629612</v>
      </c>
      <c r="C32" s="89" t="n">
        <f aca="false">($B$5*$B$6*(1-$B$8)-$B$5*$B$7)-$B$14-MAX(0,$B$5*$B$10*4/60-6*$B$12)*$B$13</f>
        <v>52257.8357629612</v>
      </c>
      <c r="D32" s="89" t="n">
        <f aca="false">($B$5*$B$6*(1-$B$8)-$B$5*$B$7)-$B$14-MAX(0,$B$5*$B$10*4/60-7*$B$12)*$B$13</f>
        <v>54177.8357629612</v>
      </c>
      <c r="E32" s="89" t="n">
        <f aca="false">($B$5*$B$6*(1-$B$8)-$B$5*$B$7)-$B$14-MAX(0,$B$5*$B$10*4/60-8*$B$12)*$B$13</f>
        <v>56097.8357629612</v>
      </c>
      <c r="F32" s="89" t="n">
        <f aca="false">($B$5*$B$6*(1-$B$8)-$B$5*$B$7)-$B$14-MAX(0,$B$5*$B$10*4/60-9*$B$12)*$B$13</f>
        <v>56526.4953403568</v>
      </c>
      <c r="G32" s="89" t="n">
        <f aca="false">($B$5*$B$6*(1-$B$8)-$B$5*$B$7)-$B$14-MAX(0,$B$5*$B$10*4/60-10*$B$12)*$B$13</f>
        <v>56526.4953403568</v>
      </c>
    </row>
    <row r="33" customFormat="false" ht="13.5" hidden="false" customHeight="true" outlineLevel="0" collapsed="false">
      <c r="A33" s="119" t="n">
        <v>5</v>
      </c>
      <c r="B33" s="89" t="n">
        <f aca="false">($B$5*$B$6*(1-$B$8)-$B$5*$B$7)-$B$14-MAX(0,$B$5*$B$10*5/60-5*$B$12)*$B$13</f>
        <v>46390.6708686123</v>
      </c>
      <c r="C33" s="89" t="n">
        <f aca="false">($B$5*$B$6*(1-$B$8)-$B$5*$B$7)-$B$14-MAX(0,$B$5*$B$10*5/60-6*$B$12)*$B$13</f>
        <v>48310.6708686123</v>
      </c>
      <c r="D33" s="89" t="n">
        <f aca="false">($B$5*$B$6*(1-$B$8)-$B$5*$B$7)-$B$14-MAX(0,$B$5*$B$10*5/60-7*$B$12)*$B$13</f>
        <v>50230.6708686123</v>
      </c>
      <c r="E33" s="89" t="n">
        <f aca="false">($B$5*$B$6*(1-$B$8)-$B$5*$B$7)-$B$14-MAX(0,$B$5*$B$10*5/60-8*$B$12)*$B$13</f>
        <v>52150.6708686123</v>
      </c>
      <c r="F33" s="89" t="n">
        <f aca="false">($B$5*$B$6*(1-$B$8)-$B$5*$B$7)-$B$14-MAX(0,$B$5*$B$10*5/60-9*$B$12)*$B$13</f>
        <v>54070.6708686123</v>
      </c>
      <c r="G33" s="89" t="n">
        <f aca="false">($B$5*$B$6*(1-$B$8)-$B$5*$B$7)-$B$14-MAX(0,$B$5*$B$10*5/60-10*$B$12)*$B$13</f>
        <v>55990.6708686123</v>
      </c>
    </row>
    <row r="34" customFormat="false" ht="13.5" hidden="false" customHeight="true" outlineLevel="0" collapsed="false">
      <c r="A34" s="119" t="n">
        <v>6</v>
      </c>
      <c r="B34" s="89" t="n">
        <f aca="false">($B$5*$B$6*(1-$B$8)-$B$5*$B$7)-$B$14-MAX(0,$B$5*$B$10*6/60-5*$B$12)*$B$13</f>
        <v>42443.5059742634</v>
      </c>
      <c r="C34" s="89" t="n">
        <f aca="false">($B$5*$B$6*(1-$B$8)-$B$5*$B$7)-$B$14-MAX(0,$B$5*$B$10*6/60-6*$B$12)*$B$13</f>
        <v>44363.5059742634</v>
      </c>
      <c r="D34" s="89" t="n">
        <f aca="false">($B$5*$B$6*(1-$B$8)-$B$5*$B$7)-$B$14-MAX(0,$B$5*$B$10*6/60-7*$B$12)*$B$13</f>
        <v>46283.5059742634</v>
      </c>
      <c r="E34" s="89" t="n">
        <f aca="false">($B$5*$B$6*(1-$B$8)-$B$5*$B$7)-$B$14-MAX(0,$B$5*$B$10*6/60-8*$B$12)*$B$13</f>
        <v>48203.5059742634</v>
      </c>
      <c r="F34" s="89" t="n">
        <f aca="false">($B$5*$B$6*(1-$B$8)-$B$5*$B$7)-$B$14-MAX(0,$B$5*$B$10*6/60-9*$B$12)*$B$13</f>
        <v>50123.5059742634</v>
      </c>
      <c r="G34" s="89" t="n">
        <f aca="false">($B$5*$B$6*(1-$B$8)-$B$5*$B$7)-$B$14-MAX(0,$B$5*$B$10*6/60-10*$B$12)*$B$13</f>
        <v>52043.5059742634</v>
      </c>
    </row>
    <row r="35" customFormat="false" ht="13.5" hidden="false" customHeight="true" outlineLevel="0" collapsed="false">
      <c r="A35" s="119" t="n">
        <v>8</v>
      </c>
      <c r="B35" s="89" t="n">
        <f aca="false">($B$5*$B$6*(1-$B$8)-$B$5*$B$7)-$B$14-MAX(0,$B$5*$B$10*8/60-5*$B$12)*$B$13</f>
        <v>34549.1761855656</v>
      </c>
      <c r="C35" s="89" t="n">
        <f aca="false">($B$5*$B$6*(1-$B$8)-$B$5*$B$7)-$B$14-MAX(0,$B$5*$B$10*8/60-6*$B$12)*$B$13</f>
        <v>36469.1761855656</v>
      </c>
      <c r="D35" s="89" t="n">
        <f aca="false">($B$5*$B$6*(1-$B$8)-$B$5*$B$7)-$B$14-MAX(0,$B$5*$B$10*8/60-7*$B$12)*$B$13</f>
        <v>38389.1761855656</v>
      </c>
      <c r="E35" s="89" t="n">
        <f aca="false">($B$5*$B$6*(1-$B$8)-$B$5*$B$7)-$B$14-MAX(0,$B$5*$B$10*8/60-8*$B$12)*$B$13</f>
        <v>40309.1761855656</v>
      </c>
      <c r="F35" s="89" t="n">
        <f aca="false">($B$5*$B$6*(1-$B$8)-$B$5*$B$7)-$B$14-MAX(0,$B$5*$B$10*8/60-9*$B$12)*$B$13</f>
        <v>42229.1761855656</v>
      </c>
      <c r="G35" s="89" t="n">
        <f aca="false">($B$5*$B$6*(1-$B$8)-$B$5*$B$7)-$B$14-MAX(0,$B$5*$B$10*8/60-10*$B$12)*$B$13</f>
        <v>44149.1761855656</v>
      </c>
    </row>
    <row r="36" customFormat="false" ht="13.5" hidden="false" customHeight="true" outlineLevel="0" collapsed="false">
      <c r="A36" s="119" t="n">
        <v>10</v>
      </c>
      <c r="B36" s="89" t="n">
        <f aca="false">($B$5*$B$6*(1-$B$8)-$B$5*$B$7)-$B$14-MAX(0,$B$5*$B$10*10/60-5*$B$12)*$B$13</f>
        <v>26654.8463968678</v>
      </c>
      <c r="C36" s="89" t="n">
        <f aca="false">($B$5*$B$6*(1-$B$8)-$B$5*$B$7)-$B$14-MAX(0,$B$5*$B$10*10/60-6*$B$12)*$B$13</f>
        <v>28574.8463968678</v>
      </c>
      <c r="D36" s="89" t="n">
        <f aca="false">($B$5*$B$6*(1-$B$8)-$B$5*$B$7)-$B$14-MAX(0,$B$5*$B$10*10/60-7*$B$12)*$B$13</f>
        <v>30494.8463968678</v>
      </c>
      <c r="E36" s="89" t="n">
        <f aca="false">($B$5*$B$6*(1-$B$8)-$B$5*$B$7)-$B$14-MAX(0,$B$5*$B$10*10/60-8*$B$12)*$B$13</f>
        <v>32414.8463968678</v>
      </c>
      <c r="F36" s="89" t="n">
        <f aca="false">($B$5*$B$6*(1-$B$8)-$B$5*$B$7)-$B$14-MAX(0,$B$5*$B$10*10/60-9*$B$12)*$B$13</f>
        <v>34334.8463968678</v>
      </c>
      <c r="G36" s="89" t="n">
        <f aca="false">($B$5*$B$6*(1-$B$8)-$B$5*$B$7)-$B$14-MAX(0,$B$5*$B$10*10/60-10*$B$12)*$B$13</f>
        <v>36254.8463968678</v>
      </c>
    </row>
    <row r="37" customFormat="false" ht="13.5" hidden="false" customHeight="true" outlineLevel="0" collapsed="false">
      <c r="A37" s="4" t="s">
        <v>674</v>
      </c>
    </row>
    <row r="38" customFormat="false" ht="13.5" hidden="false" customHeight="true" outlineLevel="0" collapsed="false"/>
    <row r="39" customFormat="false" ht="12.75" hidden="false" customHeight="true" outlineLevel="0" collapsed="false">
      <c r="A39" s="9" t="s">
        <v>675</v>
      </c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3.5" hidden="false" customHeight="true" outlineLevel="0" collapsed="false">
      <c r="A40" s="105" t="s">
        <v>676</v>
      </c>
      <c r="B40" s="120" t="n">
        <f aca="false">$B$6*0.6</f>
        <v>26.4831795921376</v>
      </c>
      <c r="C40" s="120" t="n">
        <f aca="false">$B$6*0.8</f>
        <v>35.3109061228501</v>
      </c>
      <c r="D40" s="120" t="n">
        <f aca="false">$B$6*1</f>
        <v>44.1386326535627</v>
      </c>
      <c r="E40" s="120" t="n">
        <f aca="false">$B$6*1.2</f>
        <v>52.9663591842752</v>
      </c>
      <c r="F40" s="120" t="n">
        <f aca="false">$B$6*1.4</f>
        <v>61.7940857149877</v>
      </c>
    </row>
    <row r="41" customFormat="false" ht="13.5" hidden="false" customHeight="true" outlineLevel="0" collapsed="false">
      <c r="A41" s="118" t="n">
        <v>1000</v>
      </c>
      <c r="B41" s="89" t="n">
        <f aca="false">(1000*$B$6*0.6*(1-$B$8)-1000*$B$7)-$B$14-MAX(0,1000*$B$10*$B$9/60-$B$11*$B$12)*$B$13</f>
        <v>-19620.0458122231</v>
      </c>
      <c r="C41" s="89" t="n">
        <f aca="false">(1000*$B$6*0.8*(1-$B$8)-1000*$B$7)-$B$14-MAX(0,1000*$B$10*$B$9/60-$B$11*$B$12)*$B$13</f>
        <v>-11675.0919345818</v>
      </c>
      <c r="D41" s="89" t="n">
        <f aca="false">(1000*$B$6*1*(1-$B$8)-1000*$B$7)-$B$14-MAX(0,1000*$B$10*$B$9/60-$B$11*$B$12)*$B$13</f>
        <v>-3730.13805694051</v>
      </c>
      <c r="E41" s="89" t="n">
        <f aca="false">(1000*$B$6*1.2*(1-$B$8)-1000*$B$7)-$B$14-MAX(0,1000*$B$10*$B$9/60-$B$11*$B$12)*$B$13</f>
        <v>4214.81582070077</v>
      </c>
      <c r="F41" s="89" t="n">
        <f aca="false">(1000*$B$6*1.4*(1-$B$8)-1000*$B$7)-$B$14-MAX(0,1000*$B$10*$B$9/60-$B$11*$B$12)*$B$13</f>
        <v>12159.769698342</v>
      </c>
    </row>
    <row r="42" customFormat="false" ht="13.5" hidden="false" customHeight="true" outlineLevel="0" collapsed="false">
      <c r="A42" s="118" t="n">
        <v>1500</v>
      </c>
      <c r="B42" s="89" t="n">
        <f aca="false">(1500*$B$6*0.6*(1-$B$8)-1500*$B$7)-$B$14-MAX(0,1500*$B$10*$B$9/60-$B$11*$B$12)*$B$13</f>
        <v>-11539.2993182427</v>
      </c>
      <c r="C42" s="89" t="n">
        <f aca="false">(1500*$B$6*0.8*(1-$B$8)-1500*$B$7)-$B$14-MAX(0,1500*$B$10*$B$9/60-$B$11*$B$12)*$B$13</f>
        <v>378.131498219205</v>
      </c>
      <c r="D42" s="89" t="n">
        <f aca="false">(1500*$B$6*1*(1-$B$8)-1500*$B$7)-$B$14-MAX(0,1500*$B$10*$B$9/60-$B$11*$B$12)*$B$13</f>
        <v>12295.5623146811</v>
      </c>
      <c r="E42" s="89" t="n">
        <f aca="false">(1500*$B$6*1.2*(1-$B$8)-1500*$B$7)-$B$14-MAX(0,1500*$B$10*$B$9/60-$B$11*$B$12)*$B$13</f>
        <v>24212.993131143</v>
      </c>
      <c r="F42" s="89" t="n">
        <f aca="false">(1500*$B$6*1.4*(1-$B$8)-1500*$B$7)-$B$14-MAX(0,1500*$B$10*$B$9/60-$B$11*$B$12)*$B$13</f>
        <v>36130.423947605</v>
      </c>
    </row>
    <row r="43" customFormat="false" ht="13.5" hidden="false" customHeight="true" outlineLevel="0" collapsed="false">
      <c r="A43" s="118" t="n">
        <v>2000</v>
      </c>
      <c r="B43" s="89" t="n">
        <f aca="false">(2000*$B$6*0.6*(1-$B$8)-2000*$B$7)-$B$14-MAX(0,2000*$B$10*$B$9/60-$B$11*$B$12)*$B$13</f>
        <v>-3458.55282426238</v>
      </c>
      <c r="C43" s="89" t="n">
        <f aca="false">(2000*$B$6*0.8*(1-$B$8)-2000*$B$7)-$B$14-MAX(0,2000*$B$10*$B$9/60-$B$11*$B$12)*$B$13</f>
        <v>12431.3549310202</v>
      </c>
      <c r="D43" s="89" t="n">
        <f aca="false">(2000*$B$6*1*(1-$B$8)-2000*$B$7)-$B$14-MAX(0,2000*$B$10*$B$9/60-$B$11*$B$12)*$B$13</f>
        <v>28321.2626863027</v>
      </c>
      <c r="E43" s="89" t="n">
        <f aca="false">(2000*$B$6*1.2*(1-$B$8)-2000*$B$7)-$B$14-MAX(0,2000*$B$10*$B$9/60-$B$11*$B$12)*$B$13</f>
        <v>44211.1704415853</v>
      </c>
      <c r="F43" s="89" t="n">
        <f aca="false">(2000*$B$6*1.4*(1-$B$8)-2000*$B$7)-$B$14-MAX(0,2000*$B$10*$B$9/60-$B$11*$B$12)*$B$13</f>
        <v>60101.0781968679</v>
      </c>
    </row>
    <row r="44" customFormat="false" ht="13.5" hidden="false" customHeight="true" outlineLevel="0" collapsed="false">
      <c r="A44" s="118" t="n">
        <v>2500</v>
      </c>
      <c r="B44" s="89" t="n">
        <f aca="false">(2500*$B$6*0.6*(1-$B$8)-2500*$B$7)-$B$14-MAX(0,2500*$B$10*$B$9/60-$B$11*$B$12)*$B$13</f>
        <v>4622.19366971797</v>
      </c>
      <c r="C44" s="89" t="n">
        <f aca="false">(2500*$B$6*0.8*(1-$B$8)-2500*$B$7)-$B$14-MAX(0,2500*$B$10*$B$9/60-$B$11*$B$12)*$B$13</f>
        <v>24484.5783638212</v>
      </c>
      <c r="D44" s="89" t="n">
        <f aca="false">(2500*$B$6*1*(1-$B$8)-2500*$B$7)-$B$14-MAX(0,2500*$B$10*$B$9/60-$B$11*$B$12)*$B$13</f>
        <v>44346.9630579244</v>
      </c>
      <c r="E44" s="89" t="n">
        <f aca="false">(2500*$B$6*1.2*(1-$B$8)-2500*$B$7)-$B$14-MAX(0,2500*$B$10*$B$9/60-$B$11*$B$12)*$B$13</f>
        <v>64209.3477520276</v>
      </c>
      <c r="F44" s="89" t="n">
        <f aca="false">(2500*$B$6*1.4*(1-$B$8)-2500*$B$7)-$B$14-MAX(0,2500*$B$10*$B$9/60-$B$11*$B$12)*$B$13</f>
        <v>84071.7324461308</v>
      </c>
    </row>
    <row r="45" customFormat="false" ht="13.5" hidden="false" customHeight="true" outlineLevel="0" collapsed="false">
      <c r="A45" s="118" t="n">
        <v>2880</v>
      </c>
      <c r="B45" s="89" t="n">
        <f aca="false">(2880*$B$6*0.6*(1-$B$8)-2880*$B$7)-$B$14-MAX(0,2880*$B$10*$B$9/60-$B$11*$B$12)*$B$13</f>
        <v>10763.561005143</v>
      </c>
      <c r="C45" s="89" t="n">
        <f aca="false">(2880*$B$6*0.8*(1-$B$8)-2880*$B$7)-$B$14-MAX(0,2880*$B$10*$B$9/60-$B$11*$B$12)*$B$13</f>
        <v>33645.0281727499</v>
      </c>
      <c r="D45" s="89" t="n">
        <f aca="false">(2880*$B$6*1*(1-$B$8)-2880*$B$7)-$B$14-MAX(0,2880*$B$10*$B$9/60-$B$11*$B$12)*$B$13</f>
        <v>56526.4953403568</v>
      </c>
      <c r="E45" s="89" t="n">
        <f aca="false">(2880*$B$6*1.2*(1-$B$8)-2880*$B$7)-$B$14-MAX(0,2880*$B$10*$B$9/60-$B$11*$B$12)*$B$13</f>
        <v>79407.9625079637</v>
      </c>
      <c r="F45" s="89" t="n">
        <f aca="false">(2880*$B$6*1.4*(1-$B$8)-2880*$B$7)-$B$14-MAX(0,2880*$B$10*$B$9/60-$B$11*$B$12)*$B$13</f>
        <v>102289.429675571</v>
      </c>
    </row>
    <row r="46" customFormat="false" ht="13.5" hidden="false" customHeight="true" outlineLevel="0" collapsed="false"/>
    <row r="47" customFormat="false" ht="13.5" hidden="false" customHeight="true" outlineLevel="0" collapsed="false">
      <c r="A47" s="4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678</v>
      </c>
    </row>
    <row r="2" customFormat="false" ht="13.5" hidden="false" customHeight="true" outlineLevel="0" collapsed="false">
      <c r="A2" s="4" t="s">
        <v>679</v>
      </c>
    </row>
    <row r="3" customFormat="false" ht="13.5" hidden="false" customHeight="true" outlineLevel="0" collapsed="false">
      <c r="A3" s="105" t="s">
        <v>484</v>
      </c>
      <c r="C3" s="106" t="n">
        <v>1</v>
      </c>
      <c r="D3" s="106" t="n">
        <v>2</v>
      </c>
      <c r="E3" s="106" t="n">
        <v>3</v>
      </c>
      <c r="F3" s="106" t="n">
        <v>4</v>
      </c>
      <c r="G3" s="106" t="n">
        <v>5</v>
      </c>
      <c r="H3" s="106" t="n">
        <v>6</v>
      </c>
      <c r="I3" s="106" t="n">
        <v>7</v>
      </c>
      <c r="J3" s="106" t="n">
        <v>8</v>
      </c>
      <c r="K3" s="106" t="n">
        <v>9</v>
      </c>
      <c r="L3" s="106" t="n">
        <v>10</v>
      </c>
      <c r="M3" s="106" t="n">
        <v>11</v>
      </c>
      <c r="N3" s="106" t="n">
        <v>12</v>
      </c>
      <c r="O3" s="106" t="n">
        <v>13</v>
      </c>
      <c r="P3" s="106" t="n">
        <v>14</v>
      </c>
      <c r="Q3" s="106" t="n">
        <v>15</v>
      </c>
      <c r="R3" s="106" t="n">
        <v>16</v>
      </c>
      <c r="S3" s="106" t="n">
        <v>17</v>
      </c>
      <c r="T3" s="106" t="n">
        <v>18</v>
      </c>
      <c r="U3" s="106" t="n">
        <v>19</v>
      </c>
      <c r="V3" s="106" t="n">
        <v>20</v>
      </c>
      <c r="W3" s="106" t="n">
        <v>21</v>
      </c>
      <c r="X3" s="106" t="n">
        <v>22</v>
      </c>
      <c r="Y3" s="106" t="n">
        <v>23</v>
      </c>
      <c r="Z3" s="106" t="n">
        <v>24</v>
      </c>
      <c r="AA3" s="106" t="n">
        <v>25</v>
      </c>
      <c r="AB3" s="106" t="n">
        <v>26</v>
      </c>
      <c r="AC3" s="106" t="n">
        <v>27</v>
      </c>
      <c r="AD3" s="106" t="n">
        <v>28</v>
      </c>
      <c r="AE3" s="106" t="n">
        <v>29</v>
      </c>
      <c r="AF3" s="106" t="n">
        <v>30</v>
      </c>
      <c r="AG3" s="106" t="n">
        <v>31</v>
      </c>
      <c r="AH3" s="106" t="n">
        <v>32</v>
      </c>
      <c r="AI3" s="106" t="n">
        <v>33</v>
      </c>
      <c r="AJ3" s="106" t="n">
        <v>34</v>
      </c>
      <c r="AK3" s="106" t="n">
        <v>35</v>
      </c>
      <c r="AL3" s="106" t="n">
        <v>36</v>
      </c>
      <c r="AM3" s="106" t="n">
        <v>37</v>
      </c>
      <c r="AN3" s="106" t="n">
        <v>38</v>
      </c>
      <c r="AO3" s="106" t="n">
        <v>39</v>
      </c>
      <c r="AP3" s="106" t="n">
        <v>40</v>
      </c>
      <c r="AQ3" s="106" t="n">
        <v>41</v>
      </c>
      <c r="AR3" s="106" t="n">
        <v>42</v>
      </c>
      <c r="AS3" s="106" t="n">
        <v>43</v>
      </c>
      <c r="AT3" s="106" t="n">
        <v>44</v>
      </c>
      <c r="AU3" s="106" t="n">
        <v>45</v>
      </c>
      <c r="AV3" s="106" t="n">
        <v>46</v>
      </c>
      <c r="AW3" s="106" t="n">
        <v>47</v>
      </c>
      <c r="AX3" s="106" t="n">
        <v>48</v>
      </c>
      <c r="AY3" s="106" t="n">
        <v>49</v>
      </c>
      <c r="AZ3" s="106" t="n">
        <v>50</v>
      </c>
      <c r="BA3" s="106" t="n">
        <v>51</v>
      </c>
      <c r="BB3" s="106" t="n">
        <v>52</v>
      </c>
      <c r="BC3" s="106" t="n">
        <v>53</v>
      </c>
      <c r="BD3" s="106" t="n">
        <v>54</v>
      </c>
      <c r="BE3" s="106" t="n">
        <v>55</v>
      </c>
      <c r="BF3" s="106" t="n">
        <v>56</v>
      </c>
      <c r="BG3" s="106" t="n">
        <v>57</v>
      </c>
      <c r="BH3" s="106" t="n">
        <v>58</v>
      </c>
      <c r="BI3" s="106" t="n">
        <v>59</v>
      </c>
      <c r="BJ3" s="106" t="n">
        <v>60</v>
      </c>
      <c r="BK3" s="106" t="n">
        <v>61</v>
      </c>
      <c r="BL3" s="106" t="n">
        <v>62</v>
      </c>
      <c r="BM3" s="106" t="n">
        <v>63</v>
      </c>
      <c r="BN3" s="106" t="n">
        <v>64</v>
      </c>
      <c r="BO3" s="106" t="n">
        <v>65</v>
      </c>
      <c r="BP3" s="106" t="n">
        <v>66</v>
      </c>
      <c r="BQ3" s="106" t="n">
        <v>67</v>
      </c>
      <c r="BR3" s="106" t="n">
        <v>68</v>
      </c>
      <c r="BS3" s="106" t="n">
        <v>69</v>
      </c>
      <c r="BT3" s="106" t="n">
        <v>70</v>
      </c>
      <c r="BU3" s="106" t="n">
        <v>71</v>
      </c>
      <c r="BV3" s="106" t="n">
        <v>72</v>
      </c>
      <c r="BW3" s="106" t="n">
        <v>73</v>
      </c>
      <c r="BX3" s="106" t="n">
        <v>74</v>
      </c>
      <c r="BY3" s="106" t="n">
        <v>75</v>
      </c>
      <c r="BZ3" s="106" t="n">
        <v>76</v>
      </c>
      <c r="CA3" s="106" t="n">
        <v>77</v>
      </c>
      <c r="CB3" s="106" t="n">
        <v>78</v>
      </c>
      <c r="CC3" s="106" t="n">
        <v>79</v>
      </c>
      <c r="CD3" s="106" t="n">
        <v>80</v>
      </c>
      <c r="CE3" s="106" t="n">
        <v>81</v>
      </c>
      <c r="CF3" s="106" t="n">
        <v>82</v>
      </c>
      <c r="CG3" s="106" t="n">
        <v>83</v>
      </c>
      <c r="CH3" s="106" t="n">
        <v>84</v>
      </c>
    </row>
    <row r="4" customFormat="false" ht="13.5" hidden="false" customHeight="true" outlineLevel="0" collapsed="false">
      <c r="A4" s="105" t="s">
        <v>485</v>
      </c>
      <c r="C4" s="107" t="n">
        <f aca="false">INT((1-1)/12)+1</f>
        <v>1</v>
      </c>
      <c r="D4" s="107" t="n">
        <f aca="false">INT((2-1)/12)+1</f>
        <v>1</v>
      </c>
      <c r="E4" s="107" t="n">
        <f aca="false">INT((3-1)/12)+1</f>
        <v>1</v>
      </c>
      <c r="F4" s="107" t="n">
        <f aca="false">INT((4-1)/12)+1</f>
        <v>1</v>
      </c>
      <c r="G4" s="107" t="n">
        <f aca="false">INT((5-1)/12)+1</f>
        <v>1</v>
      </c>
      <c r="H4" s="107" t="n">
        <f aca="false">INT((6-1)/12)+1</f>
        <v>1</v>
      </c>
      <c r="I4" s="107" t="n">
        <f aca="false">INT((7-1)/12)+1</f>
        <v>1</v>
      </c>
      <c r="J4" s="107" t="n">
        <f aca="false">INT((8-1)/12)+1</f>
        <v>1</v>
      </c>
      <c r="K4" s="107" t="n">
        <f aca="false">INT((9-1)/12)+1</f>
        <v>1</v>
      </c>
      <c r="L4" s="107" t="n">
        <f aca="false">INT((10-1)/12)+1</f>
        <v>1</v>
      </c>
      <c r="M4" s="107" t="n">
        <f aca="false">INT((11-1)/12)+1</f>
        <v>1</v>
      </c>
      <c r="N4" s="107" t="n">
        <f aca="false">INT((12-1)/12)+1</f>
        <v>1</v>
      </c>
      <c r="O4" s="107" t="n">
        <f aca="false">INT((13-1)/12)+1</f>
        <v>2</v>
      </c>
      <c r="P4" s="107" t="n">
        <f aca="false">INT((14-1)/12)+1</f>
        <v>2</v>
      </c>
      <c r="Q4" s="107" t="n">
        <f aca="false">INT((15-1)/12)+1</f>
        <v>2</v>
      </c>
      <c r="R4" s="107" t="n">
        <f aca="false">INT((16-1)/12)+1</f>
        <v>2</v>
      </c>
      <c r="S4" s="107" t="n">
        <f aca="false">INT((17-1)/12)+1</f>
        <v>2</v>
      </c>
      <c r="T4" s="107" t="n">
        <f aca="false">INT((18-1)/12)+1</f>
        <v>2</v>
      </c>
      <c r="U4" s="107" t="n">
        <f aca="false">INT((19-1)/12)+1</f>
        <v>2</v>
      </c>
      <c r="V4" s="107" t="n">
        <f aca="false">INT((20-1)/12)+1</f>
        <v>2</v>
      </c>
      <c r="W4" s="107" t="n">
        <f aca="false">INT((21-1)/12)+1</f>
        <v>2</v>
      </c>
      <c r="X4" s="107" t="n">
        <f aca="false">INT((22-1)/12)+1</f>
        <v>2</v>
      </c>
      <c r="Y4" s="107" t="n">
        <f aca="false">INT((23-1)/12)+1</f>
        <v>2</v>
      </c>
      <c r="Z4" s="107" t="n">
        <f aca="false">INT((24-1)/12)+1</f>
        <v>2</v>
      </c>
      <c r="AA4" s="107" t="n">
        <f aca="false">INT((25-1)/12)+1</f>
        <v>3</v>
      </c>
      <c r="AB4" s="107" t="n">
        <f aca="false">INT((26-1)/12)+1</f>
        <v>3</v>
      </c>
      <c r="AC4" s="107" t="n">
        <f aca="false">INT((27-1)/12)+1</f>
        <v>3</v>
      </c>
      <c r="AD4" s="107" t="n">
        <f aca="false">INT((28-1)/12)+1</f>
        <v>3</v>
      </c>
      <c r="AE4" s="107" t="n">
        <f aca="false">INT((29-1)/12)+1</f>
        <v>3</v>
      </c>
      <c r="AF4" s="107" t="n">
        <f aca="false">INT((30-1)/12)+1</f>
        <v>3</v>
      </c>
      <c r="AG4" s="107" t="n">
        <f aca="false">INT((31-1)/12)+1</f>
        <v>3</v>
      </c>
      <c r="AH4" s="107" t="n">
        <f aca="false">INT((32-1)/12)+1</f>
        <v>3</v>
      </c>
      <c r="AI4" s="107" t="n">
        <f aca="false">INT((33-1)/12)+1</f>
        <v>3</v>
      </c>
      <c r="AJ4" s="107" t="n">
        <f aca="false">INT((34-1)/12)+1</f>
        <v>3</v>
      </c>
      <c r="AK4" s="107" t="n">
        <f aca="false">INT((35-1)/12)+1</f>
        <v>3</v>
      </c>
      <c r="AL4" s="107" t="n">
        <f aca="false">INT((36-1)/12)+1</f>
        <v>3</v>
      </c>
      <c r="AM4" s="107" t="n">
        <f aca="false">INT((37-1)/12)+1</f>
        <v>4</v>
      </c>
      <c r="AN4" s="107" t="n">
        <f aca="false">INT((38-1)/12)+1</f>
        <v>4</v>
      </c>
      <c r="AO4" s="107" t="n">
        <f aca="false">INT((39-1)/12)+1</f>
        <v>4</v>
      </c>
      <c r="AP4" s="107" t="n">
        <f aca="false">INT((40-1)/12)+1</f>
        <v>4</v>
      </c>
      <c r="AQ4" s="107" t="n">
        <f aca="false">INT((41-1)/12)+1</f>
        <v>4</v>
      </c>
      <c r="AR4" s="107" t="n">
        <f aca="false">INT((42-1)/12)+1</f>
        <v>4</v>
      </c>
      <c r="AS4" s="107" t="n">
        <f aca="false">INT((43-1)/12)+1</f>
        <v>4</v>
      </c>
      <c r="AT4" s="107" t="n">
        <f aca="false">INT((44-1)/12)+1</f>
        <v>4</v>
      </c>
      <c r="AU4" s="107" t="n">
        <f aca="false">INT((45-1)/12)+1</f>
        <v>4</v>
      </c>
      <c r="AV4" s="107" t="n">
        <f aca="false">INT((46-1)/12)+1</f>
        <v>4</v>
      </c>
      <c r="AW4" s="107" t="n">
        <f aca="false">INT((47-1)/12)+1</f>
        <v>4</v>
      </c>
      <c r="AX4" s="107" t="n">
        <f aca="false">INT((48-1)/12)+1</f>
        <v>4</v>
      </c>
      <c r="AY4" s="107" t="n">
        <f aca="false">INT((49-1)/12)+1</f>
        <v>5</v>
      </c>
      <c r="AZ4" s="107" t="n">
        <f aca="false">INT((50-1)/12)+1</f>
        <v>5</v>
      </c>
      <c r="BA4" s="107" t="n">
        <f aca="false">INT((51-1)/12)+1</f>
        <v>5</v>
      </c>
      <c r="BB4" s="107" t="n">
        <f aca="false">INT((52-1)/12)+1</f>
        <v>5</v>
      </c>
      <c r="BC4" s="107" t="n">
        <f aca="false">INT((53-1)/12)+1</f>
        <v>5</v>
      </c>
      <c r="BD4" s="107" t="n">
        <f aca="false">INT((54-1)/12)+1</f>
        <v>5</v>
      </c>
      <c r="BE4" s="107" t="n">
        <f aca="false">INT((55-1)/12)+1</f>
        <v>5</v>
      </c>
      <c r="BF4" s="107" t="n">
        <f aca="false">INT((56-1)/12)+1</f>
        <v>5</v>
      </c>
      <c r="BG4" s="107" t="n">
        <f aca="false">INT((57-1)/12)+1</f>
        <v>5</v>
      </c>
      <c r="BH4" s="107" t="n">
        <f aca="false">INT((58-1)/12)+1</f>
        <v>5</v>
      </c>
      <c r="BI4" s="107" t="n">
        <f aca="false">INT((59-1)/12)+1</f>
        <v>5</v>
      </c>
      <c r="BJ4" s="107" t="n">
        <f aca="false">INT((60-1)/12)+1</f>
        <v>5</v>
      </c>
      <c r="BK4" s="107" t="n">
        <f aca="false">INT((61-1)/12)+1</f>
        <v>6</v>
      </c>
      <c r="BL4" s="107" t="n">
        <f aca="false">INT((62-1)/12)+1</f>
        <v>6</v>
      </c>
      <c r="BM4" s="107" t="n">
        <f aca="false">INT((63-1)/12)+1</f>
        <v>6</v>
      </c>
      <c r="BN4" s="107" t="n">
        <f aca="false">INT((64-1)/12)+1</f>
        <v>6</v>
      </c>
      <c r="BO4" s="107" t="n">
        <f aca="false">INT((65-1)/12)+1</f>
        <v>6</v>
      </c>
      <c r="BP4" s="107" t="n">
        <f aca="false">INT((66-1)/12)+1</f>
        <v>6</v>
      </c>
      <c r="BQ4" s="107" t="n">
        <f aca="false">INT((67-1)/12)+1</f>
        <v>6</v>
      </c>
      <c r="BR4" s="107" t="n">
        <f aca="false">INT((68-1)/12)+1</f>
        <v>6</v>
      </c>
      <c r="BS4" s="107" t="n">
        <f aca="false">INT((69-1)/12)+1</f>
        <v>6</v>
      </c>
      <c r="BT4" s="107" t="n">
        <f aca="false">INT((70-1)/12)+1</f>
        <v>6</v>
      </c>
      <c r="BU4" s="107" t="n">
        <f aca="false">INT((71-1)/12)+1</f>
        <v>6</v>
      </c>
      <c r="BV4" s="107" t="n">
        <f aca="false">INT((72-1)/12)+1</f>
        <v>6</v>
      </c>
      <c r="BW4" s="107" t="n">
        <f aca="false">INT((73-1)/12)+1</f>
        <v>7</v>
      </c>
      <c r="BX4" s="107" t="n">
        <f aca="false">INT((74-1)/12)+1</f>
        <v>7</v>
      </c>
      <c r="BY4" s="107" t="n">
        <f aca="false">INT((75-1)/12)+1</f>
        <v>7</v>
      </c>
      <c r="BZ4" s="107" t="n">
        <f aca="false">INT((76-1)/12)+1</f>
        <v>7</v>
      </c>
      <c r="CA4" s="107" t="n">
        <f aca="false">INT((77-1)/12)+1</f>
        <v>7</v>
      </c>
      <c r="CB4" s="107" t="n">
        <f aca="false">INT((78-1)/12)+1</f>
        <v>7</v>
      </c>
      <c r="CC4" s="107" t="n">
        <f aca="false">INT((79-1)/12)+1</f>
        <v>7</v>
      </c>
      <c r="CD4" s="107" t="n">
        <f aca="false">INT((80-1)/12)+1</f>
        <v>7</v>
      </c>
      <c r="CE4" s="107" t="n">
        <f aca="false">INT((81-1)/12)+1</f>
        <v>7</v>
      </c>
      <c r="CF4" s="107" t="n">
        <f aca="false">INT((82-1)/12)+1</f>
        <v>7</v>
      </c>
      <c r="CG4" s="107" t="n">
        <f aca="false">INT((83-1)/12)+1</f>
        <v>7</v>
      </c>
      <c r="CH4" s="107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9" t="s">
        <v>486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</row>
    <row r="7" customFormat="false" ht="13.5" hidden="false" customHeight="true" outlineLevel="0" collapsed="false">
      <c r="A7" s="6" t="s">
        <v>487</v>
      </c>
      <c r="C7" s="108" t="n">
        <f aca="false">MIN(Hipótesis!$C$26,Hipótesis!$C$27+Hipótesis!$C$28*(1-1))</f>
        <v>1</v>
      </c>
      <c r="D7" s="108" t="n">
        <f aca="false">MIN(Hipótesis!$C$26,Hipótesis!$C$27+Hipótesis!$C$28*(2-1))</f>
        <v>1.5</v>
      </c>
      <c r="E7" s="108" t="n">
        <f aca="false">MIN(Hipótesis!$C$26,Hipótesis!$C$27+Hipótesis!$C$28*(3-1))</f>
        <v>2</v>
      </c>
      <c r="F7" s="108" t="n">
        <f aca="false">MIN(Hipótesis!$C$26,Hipótesis!$C$27+Hipótesis!$C$28*(4-1))</f>
        <v>2.5</v>
      </c>
      <c r="G7" s="108" t="n">
        <f aca="false">MIN(Hipótesis!$C$26,Hipótesis!$C$27+Hipótesis!$C$28*(5-1))</f>
        <v>3</v>
      </c>
      <c r="H7" s="108" t="n">
        <f aca="false">MIN(Hipótesis!$C$26,Hipótesis!$C$27+Hipótesis!$C$28*(6-1))</f>
        <v>3</v>
      </c>
      <c r="I7" s="108" t="n">
        <f aca="false">MIN(Hipótesis!$C$26,Hipótesis!$C$27+Hipótesis!$C$28*(7-1))</f>
        <v>3</v>
      </c>
      <c r="J7" s="108" t="n">
        <f aca="false">MIN(Hipótesis!$C$26,Hipótesis!$C$27+Hipótesis!$C$28*(8-1))</f>
        <v>3</v>
      </c>
      <c r="K7" s="108" t="n">
        <f aca="false">MIN(Hipótesis!$C$26,Hipótesis!$C$27+Hipótesis!$C$28*(9-1))</f>
        <v>3</v>
      </c>
      <c r="L7" s="108" t="n">
        <f aca="false">MIN(Hipótesis!$C$26,Hipótesis!$C$27+Hipótesis!$C$28*(10-1))</f>
        <v>3</v>
      </c>
      <c r="M7" s="108" t="n">
        <f aca="false">MIN(Hipótesis!$C$26,Hipótesis!$C$27+Hipótesis!$C$28*(11-1))</f>
        <v>3</v>
      </c>
      <c r="N7" s="108" t="n">
        <f aca="false">MIN(Hipótesis!$C$26,Hipótesis!$C$27+Hipótesis!$C$28*(12-1))</f>
        <v>3</v>
      </c>
      <c r="O7" s="108" t="n">
        <f aca="false">MIN(Hipótesis!$C$26,Hipótesis!$C$27+Hipótesis!$C$28*(13-1))</f>
        <v>3</v>
      </c>
      <c r="P7" s="108" t="n">
        <f aca="false">MIN(Hipótesis!$C$26,Hipótesis!$C$27+Hipótesis!$C$28*(14-1))</f>
        <v>3</v>
      </c>
      <c r="Q7" s="108" t="n">
        <f aca="false">MIN(Hipótesis!$C$26,Hipótesis!$C$27+Hipótesis!$C$28*(15-1))</f>
        <v>3</v>
      </c>
      <c r="R7" s="108" t="n">
        <f aca="false">MIN(Hipótesis!$C$26,Hipótesis!$C$27+Hipótesis!$C$28*(16-1))</f>
        <v>3</v>
      </c>
      <c r="S7" s="108" t="n">
        <f aca="false">MIN(Hipótesis!$C$26,Hipótesis!$C$27+Hipótesis!$C$28*(17-1))</f>
        <v>3</v>
      </c>
      <c r="T7" s="108" t="n">
        <f aca="false">MIN(Hipótesis!$C$26,Hipótesis!$C$27+Hipótesis!$C$28*(18-1))</f>
        <v>3</v>
      </c>
      <c r="U7" s="108" t="n">
        <f aca="false">MIN(Hipótesis!$C$26,Hipótesis!$C$27+Hipótesis!$C$28*(19-1))</f>
        <v>3</v>
      </c>
      <c r="V7" s="108" t="n">
        <f aca="false">MIN(Hipótesis!$C$26,Hipótesis!$C$27+Hipótesis!$C$28*(20-1))</f>
        <v>3</v>
      </c>
      <c r="W7" s="108" t="n">
        <f aca="false">MIN(Hipótesis!$C$26,Hipótesis!$C$27+Hipótesis!$C$28*(21-1))</f>
        <v>3</v>
      </c>
      <c r="X7" s="108" t="n">
        <f aca="false">MIN(Hipótesis!$C$26,Hipótesis!$C$27+Hipótesis!$C$28*(22-1))</f>
        <v>3</v>
      </c>
      <c r="Y7" s="108" t="n">
        <f aca="false">MIN(Hipótesis!$C$26,Hipótesis!$C$27+Hipótesis!$C$28*(23-1))</f>
        <v>3</v>
      </c>
      <c r="Z7" s="108" t="n">
        <f aca="false">MIN(Hipótesis!$C$26,Hipótesis!$C$27+Hipótesis!$C$28*(24-1))</f>
        <v>3</v>
      </c>
      <c r="AA7" s="108" t="n">
        <f aca="false">MIN(Hipótesis!$C$26,Hipótesis!$C$27+Hipótesis!$C$28*(25-1))</f>
        <v>3</v>
      </c>
      <c r="AB7" s="108" t="n">
        <f aca="false">MIN(Hipótesis!$C$26,Hipótesis!$C$27+Hipótesis!$C$28*(26-1))</f>
        <v>3</v>
      </c>
      <c r="AC7" s="108" t="n">
        <f aca="false">MIN(Hipótesis!$C$26,Hipótesis!$C$27+Hipótesis!$C$28*(27-1))</f>
        <v>3</v>
      </c>
      <c r="AD7" s="108" t="n">
        <f aca="false">MIN(Hipótesis!$C$26,Hipótesis!$C$27+Hipótesis!$C$28*(28-1))</f>
        <v>3</v>
      </c>
      <c r="AE7" s="108" t="n">
        <f aca="false">MIN(Hipótesis!$C$26,Hipótesis!$C$27+Hipótesis!$C$28*(29-1))</f>
        <v>3</v>
      </c>
      <c r="AF7" s="108" t="n">
        <f aca="false">MIN(Hipótesis!$C$26,Hipótesis!$C$27+Hipótesis!$C$28*(30-1))</f>
        <v>3</v>
      </c>
      <c r="AG7" s="108" t="n">
        <f aca="false">MIN(Hipótesis!$C$26,Hipótesis!$C$27+Hipótesis!$C$28*(31-1))</f>
        <v>3</v>
      </c>
      <c r="AH7" s="108" t="n">
        <f aca="false">MIN(Hipótesis!$C$26,Hipótesis!$C$27+Hipótesis!$C$28*(32-1))</f>
        <v>3</v>
      </c>
      <c r="AI7" s="108" t="n">
        <f aca="false">MIN(Hipótesis!$C$26,Hipótesis!$C$27+Hipótesis!$C$28*(33-1))</f>
        <v>3</v>
      </c>
      <c r="AJ7" s="108" t="n">
        <f aca="false">MIN(Hipótesis!$C$26,Hipótesis!$C$27+Hipótesis!$C$28*(34-1))</f>
        <v>3</v>
      </c>
      <c r="AK7" s="108" t="n">
        <f aca="false">MIN(Hipótesis!$C$26,Hipótesis!$C$27+Hipótesis!$C$28*(35-1))</f>
        <v>3</v>
      </c>
      <c r="AL7" s="108" t="n">
        <f aca="false">MIN(Hipótesis!$C$26,Hipótesis!$C$27+Hipótesis!$C$28*(36-1))</f>
        <v>3</v>
      </c>
      <c r="AM7" s="108" t="n">
        <f aca="false">MIN(Hipótesis!$C$26,Hipótesis!$C$27+Hipótesis!$C$28*(37-1))</f>
        <v>3</v>
      </c>
      <c r="AN7" s="108" t="n">
        <f aca="false">MIN(Hipótesis!$C$26,Hipótesis!$C$27+Hipótesis!$C$28*(38-1))</f>
        <v>3</v>
      </c>
      <c r="AO7" s="108" t="n">
        <f aca="false">MIN(Hipótesis!$C$26,Hipótesis!$C$27+Hipótesis!$C$28*(39-1))</f>
        <v>3</v>
      </c>
      <c r="AP7" s="108" t="n">
        <f aca="false">MIN(Hipótesis!$C$26,Hipótesis!$C$27+Hipótesis!$C$28*(40-1))</f>
        <v>3</v>
      </c>
      <c r="AQ7" s="108" t="n">
        <f aca="false">MIN(Hipótesis!$C$26,Hipótesis!$C$27+Hipótesis!$C$28*(41-1))</f>
        <v>3</v>
      </c>
      <c r="AR7" s="108" t="n">
        <f aca="false">MIN(Hipótesis!$C$26,Hipótesis!$C$27+Hipótesis!$C$28*(42-1))</f>
        <v>3</v>
      </c>
      <c r="AS7" s="108" t="n">
        <f aca="false">MIN(Hipótesis!$C$26,Hipótesis!$C$27+Hipótesis!$C$28*(43-1))</f>
        <v>3</v>
      </c>
      <c r="AT7" s="108" t="n">
        <f aca="false">MIN(Hipótesis!$C$26,Hipótesis!$C$27+Hipótesis!$C$28*(44-1))</f>
        <v>3</v>
      </c>
      <c r="AU7" s="108" t="n">
        <f aca="false">MIN(Hipótesis!$C$26,Hipótesis!$C$27+Hipótesis!$C$28*(45-1))</f>
        <v>3</v>
      </c>
      <c r="AV7" s="108" t="n">
        <f aca="false">MIN(Hipótesis!$C$26,Hipótesis!$C$27+Hipótesis!$C$28*(46-1))</f>
        <v>3</v>
      </c>
      <c r="AW7" s="108" t="n">
        <f aca="false">MIN(Hipótesis!$C$26,Hipótesis!$C$27+Hipótesis!$C$28*(47-1))</f>
        <v>3</v>
      </c>
      <c r="AX7" s="108" t="n">
        <f aca="false">MIN(Hipótesis!$C$26,Hipótesis!$C$27+Hipótesis!$C$28*(48-1))</f>
        <v>3</v>
      </c>
      <c r="AY7" s="108" t="n">
        <f aca="false">MIN(Hipótesis!$C$26,Hipótesis!$C$27+Hipótesis!$C$28*(49-1))</f>
        <v>3</v>
      </c>
      <c r="AZ7" s="108" t="n">
        <f aca="false">MIN(Hipótesis!$C$26,Hipótesis!$C$27+Hipótesis!$C$28*(50-1))</f>
        <v>3</v>
      </c>
      <c r="BA7" s="108" t="n">
        <f aca="false">MIN(Hipótesis!$C$26,Hipótesis!$C$27+Hipótesis!$C$28*(51-1))</f>
        <v>3</v>
      </c>
      <c r="BB7" s="108" t="n">
        <f aca="false">MIN(Hipótesis!$C$26,Hipótesis!$C$27+Hipótesis!$C$28*(52-1))</f>
        <v>3</v>
      </c>
      <c r="BC7" s="108" t="n">
        <f aca="false">MIN(Hipótesis!$C$26,Hipótesis!$C$27+Hipótesis!$C$28*(53-1))</f>
        <v>3</v>
      </c>
      <c r="BD7" s="108" t="n">
        <f aca="false">MIN(Hipótesis!$C$26,Hipótesis!$C$27+Hipótesis!$C$28*(54-1))</f>
        <v>3</v>
      </c>
      <c r="BE7" s="108" t="n">
        <f aca="false">MIN(Hipótesis!$C$26,Hipótesis!$C$27+Hipótesis!$C$28*(55-1))</f>
        <v>3</v>
      </c>
      <c r="BF7" s="108" t="n">
        <f aca="false">MIN(Hipótesis!$C$26,Hipótesis!$C$27+Hipótesis!$C$28*(56-1))</f>
        <v>3</v>
      </c>
      <c r="BG7" s="108" t="n">
        <f aca="false">MIN(Hipótesis!$C$26,Hipótesis!$C$27+Hipótesis!$C$28*(57-1))</f>
        <v>3</v>
      </c>
      <c r="BH7" s="108" t="n">
        <f aca="false">MIN(Hipótesis!$C$26,Hipótesis!$C$27+Hipótesis!$C$28*(58-1))</f>
        <v>3</v>
      </c>
      <c r="BI7" s="108" t="n">
        <f aca="false">MIN(Hipótesis!$C$26,Hipótesis!$C$27+Hipótesis!$C$28*(59-1))</f>
        <v>3</v>
      </c>
      <c r="BJ7" s="108" t="n">
        <f aca="false">MIN(Hipótesis!$C$26,Hipótesis!$C$27+Hipótesis!$C$28*(60-1))</f>
        <v>3</v>
      </c>
      <c r="BK7" s="108" t="n">
        <f aca="false">MIN(Hipótesis!$C$26,Hipótesis!$C$27+Hipótesis!$C$28*(61-1))</f>
        <v>3</v>
      </c>
      <c r="BL7" s="108" t="n">
        <f aca="false">MIN(Hipótesis!$C$26,Hipótesis!$C$27+Hipótesis!$C$28*(62-1))</f>
        <v>3</v>
      </c>
      <c r="BM7" s="108" t="n">
        <f aca="false">MIN(Hipótesis!$C$26,Hipótesis!$C$27+Hipótesis!$C$28*(63-1))</f>
        <v>3</v>
      </c>
      <c r="BN7" s="108" t="n">
        <f aca="false">MIN(Hipótesis!$C$26,Hipótesis!$C$27+Hipótesis!$C$28*(64-1))</f>
        <v>3</v>
      </c>
      <c r="BO7" s="108" t="n">
        <f aca="false">MIN(Hipótesis!$C$26,Hipótesis!$C$27+Hipótesis!$C$28*(65-1))</f>
        <v>3</v>
      </c>
      <c r="BP7" s="108" t="n">
        <f aca="false">MIN(Hipótesis!$C$26,Hipótesis!$C$27+Hipótesis!$C$28*(66-1))</f>
        <v>3</v>
      </c>
      <c r="BQ7" s="108" t="n">
        <f aca="false">MIN(Hipótesis!$C$26,Hipótesis!$C$27+Hipótesis!$C$28*(67-1))</f>
        <v>3</v>
      </c>
      <c r="BR7" s="108" t="n">
        <f aca="false">MIN(Hipótesis!$C$26,Hipótesis!$C$27+Hipótesis!$C$28*(68-1))</f>
        <v>3</v>
      </c>
      <c r="BS7" s="108" t="n">
        <f aca="false">MIN(Hipótesis!$C$26,Hipótesis!$C$27+Hipótesis!$C$28*(69-1))</f>
        <v>3</v>
      </c>
      <c r="BT7" s="108" t="n">
        <f aca="false">MIN(Hipótesis!$C$26,Hipótesis!$C$27+Hipótesis!$C$28*(70-1))</f>
        <v>3</v>
      </c>
      <c r="BU7" s="108" t="n">
        <f aca="false">MIN(Hipótesis!$C$26,Hipótesis!$C$27+Hipótesis!$C$28*(71-1))</f>
        <v>3</v>
      </c>
      <c r="BV7" s="108" t="n">
        <f aca="false">MIN(Hipótesis!$C$26,Hipótesis!$C$27+Hipótesis!$C$28*(72-1))</f>
        <v>3</v>
      </c>
      <c r="BW7" s="108" t="n">
        <f aca="false">MIN(Hipótesis!$C$26,Hipótesis!$C$27+Hipótesis!$C$28*(73-1))</f>
        <v>3</v>
      </c>
      <c r="BX7" s="108" t="n">
        <f aca="false">MIN(Hipótesis!$C$26,Hipótesis!$C$27+Hipótesis!$C$28*(74-1))</f>
        <v>3</v>
      </c>
      <c r="BY7" s="108" t="n">
        <f aca="false">MIN(Hipótesis!$C$26,Hipótesis!$C$27+Hipótesis!$C$28*(75-1))</f>
        <v>3</v>
      </c>
      <c r="BZ7" s="108" t="n">
        <f aca="false">MIN(Hipótesis!$C$26,Hipótesis!$C$27+Hipótesis!$C$28*(76-1))</f>
        <v>3</v>
      </c>
      <c r="CA7" s="108" t="n">
        <f aca="false">MIN(Hipótesis!$C$26,Hipótesis!$C$27+Hipótesis!$C$28*(77-1))</f>
        <v>3</v>
      </c>
      <c r="CB7" s="108" t="n">
        <f aca="false">MIN(Hipótesis!$C$26,Hipótesis!$C$27+Hipótesis!$C$28*(78-1))</f>
        <v>3</v>
      </c>
      <c r="CC7" s="108" t="n">
        <f aca="false">MIN(Hipótesis!$C$26,Hipótesis!$C$27+Hipótesis!$C$28*(79-1))</f>
        <v>3</v>
      </c>
      <c r="CD7" s="108" t="n">
        <f aca="false">MIN(Hipótesis!$C$26,Hipótesis!$C$27+Hipótesis!$C$28*(80-1))</f>
        <v>3</v>
      </c>
      <c r="CE7" s="108" t="n">
        <f aca="false">MIN(Hipótesis!$C$26,Hipótesis!$C$27+Hipótesis!$C$28*(81-1))</f>
        <v>3</v>
      </c>
      <c r="CF7" s="108" t="n">
        <f aca="false">MIN(Hipótesis!$C$26,Hipótesis!$C$27+Hipótesis!$C$28*(82-1))</f>
        <v>3</v>
      </c>
      <c r="CG7" s="108" t="n">
        <f aca="false">MIN(Hipótesis!$C$26,Hipótesis!$C$27+Hipótesis!$C$28*(83-1))</f>
        <v>3</v>
      </c>
      <c r="CH7" s="108" t="n">
        <f aca="false">MIN(Hipótesis!$C$26,Hipótesis!$C$27+Hipótesis!$C$28*(84-1))</f>
        <v>3</v>
      </c>
    </row>
    <row r="8" customFormat="false" ht="13.5" hidden="false" customHeight="true" outlineLevel="0" collapsed="false">
      <c r="A8" s="6" t="s">
        <v>488</v>
      </c>
      <c r="C8" s="101" t="n">
        <f aca="false">C7*Hipótesis!$D$13</f>
        <v>960</v>
      </c>
      <c r="D8" s="101" t="n">
        <f aca="false">D7*Hipótesis!$D$13</f>
        <v>1440</v>
      </c>
      <c r="E8" s="101" t="n">
        <f aca="false">E7*Hipótesis!$D$13</f>
        <v>1920</v>
      </c>
      <c r="F8" s="101" t="n">
        <f aca="false">F7*Hipótesis!$D$13</f>
        <v>2400</v>
      </c>
      <c r="G8" s="101" t="n">
        <f aca="false">G7*Hipótesis!$D$13</f>
        <v>2880</v>
      </c>
      <c r="H8" s="101" t="n">
        <f aca="false">H7*Hipótesis!$D$13</f>
        <v>2880</v>
      </c>
      <c r="I8" s="101" t="n">
        <f aca="false">I7*Hipótesis!$D$13</f>
        <v>2880</v>
      </c>
      <c r="J8" s="101" t="n">
        <f aca="false">J7*Hipótesis!$D$13</f>
        <v>2880</v>
      </c>
      <c r="K8" s="101" t="n">
        <f aca="false">K7*Hipótesis!$D$13</f>
        <v>2880</v>
      </c>
      <c r="L8" s="101" t="n">
        <f aca="false">L7*Hipótesis!$D$13</f>
        <v>2880</v>
      </c>
      <c r="M8" s="101" t="n">
        <f aca="false">M7*Hipótesis!$D$13</f>
        <v>2880</v>
      </c>
      <c r="N8" s="101" t="n">
        <f aca="false">N7*Hipótesis!$D$13</f>
        <v>2880</v>
      </c>
      <c r="O8" s="101" t="n">
        <f aca="false">O7*Hipótesis!$D$13</f>
        <v>2880</v>
      </c>
      <c r="P8" s="101" t="n">
        <f aca="false">P7*Hipótesis!$D$13</f>
        <v>2880</v>
      </c>
      <c r="Q8" s="101" t="n">
        <f aca="false">Q7*Hipótesis!$D$13</f>
        <v>2880</v>
      </c>
      <c r="R8" s="101" t="n">
        <f aca="false">R7*Hipótesis!$D$13</f>
        <v>2880</v>
      </c>
      <c r="S8" s="101" t="n">
        <f aca="false">S7*Hipótesis!$D$13</f>
        <v>2880</v>
      </c>
      <c r="T8" s="101" t="n">
        <f aca="false">T7*Hipótesis!$D$13</f>
        <v>2880</v>
      </c>
      <c r="U8" s="101" t="n">
        <f aca="false">U7*Hipótesis!$D$13</f>
        <v>2880</v>
      </c>
      <c r="V8" s="101" t="n">
        <f aca="false">V7*Hipótesis!$D$13</f>
        <v>2880</v>
      </c>
      <c r="W8" s="101" t="n">
        <f aca="false">W7*Hipótesis!$D$13</f>
        <v>2880</v>
      </c>
      <c r="X8" s="101" t="n">
        <f aca="false">X7*Hipótesis!$D$13</f>
        <v>2880</v>
      </c>
      <c r="Y8" s="101" t="n">
        <f aca="false">Y7*Hipótesis!$D$13</f>
        <v>2880</v>
      </c>
      <c r="Z8" s="101" t="n">
        <f aca="false">Z7*Hipótesis!$D$13</f>
        <v>2880</v>
      </c>
      <c r="AA8" s="101" t="n">
        <f aca="false">AA7*Hipótesis!$D$13</f>
        <v>2880</v>
      </c>
      <c r="AB8" s="101" t="n">
        <f aca="false">AB7*Hipótesis!$D$13</f>
        <v>2880</v>
      </c>
      <c r="AC8" s="101" t="n">
        <f aca="false">AC7*Hipótesis!$D$13</f>
        <v>2880</v>
      </c>
      <c r="AD8" s="101" t="n">
        <f aca="false">AD7*Hipótesis!$D$13</f>
        <v>2880</v>
      </c>
      <c r="AE8" s="101" t="n">
        <f aca="false">AE7*Hipótesis!$D$13</f>
        <v>2880</v>
      </c>
      <c r="AF8" s="101" t="n">
        <f aca="false">AF7*Hipótesis!$D$13</f>
        <v>2880</v>
      </c>
      <c r="AG8" s="101" t="n">
        <f aca="false">AG7*Hipótesis!$D$13</f>
        <v>2880</v>
      </c>
      <c r="AH8" s="101" t="n">
        <f aca="false">AH7*Hipótesis!$D$13</f>
        <v>2880</v>
      </c>
      <c r="AI8" s="101" t="n">
        <f aca="false">AI7*Hipótesis!$D$13</f>
        <v>2880</v>
      </c>
      <c r="AJ8" s="101" t="n">
        <f aca="false">AJ7*Hipótesis!$D$13</f>
        <v>2880</v>
      </c>
      <c r="AK8" s="101" t="n">
        <f aca="false">AK7*Hipótesis!$D$13</f>
        <v>2880</v>
      </c>
      <c r="AL8" s="101" t="n">
        <f aca="false">AL7*Hipótesis!$D$13</f>
        <v>2880</v>
      </c>
      <c r="AM8" s="101" t="n">
        <f aca="false">AM7*Hipótesis!$D$13</f>
        <v>2880</v>
      </c>
      <c r="AN8" s="101" t="n">
        <f aca="false">AN7*Hipótesis!$D$13</f>
        <v>2880</v>
      </c>
      <c r="AO8" s="101" t="n">
        <f aca="false">AO7*Hipótesis!$D$13</f>
        <v>2880</v>
      </c>
      <c r="AP8" s="101" t="n">
        <f aca="false">AP7*Hipótesis!$D$13</f>
        <v>2880</v>
      </c>
      <c r="AQ8" s="101" t="n">
        <f aca="false">AQ7*Hipótesis!$D$13</f>
        <v>2880</v>
      </c>
      <c r="AR8" s="101" t="n">
        <f aca="false">AR7*Hipótesis!$D$13</f>
        <v>2880</v>
      </c>
      <c r="AS8" s="101" t="n">
        <f aca="false">AS7*Hipótesis!$D$13</f>
        <v>2880</v>
      </c>
      <c r="AT8" s="101" t="n">
        <f aca="false">AT7*Hipótesis!$D$13</f>
        <v>2880</v>
      </c>
      <c r="AU8" s="101" t="n">
        <f aca="false">AU7*Hipótesis!$D$13</f>
        <v>2880</v>
      </c>
      <c r="AV8" s="101" t="n">
        <f aca="false">AV7*Hipótesis!$D$13</f>
        <v>2880</v>
      </c>
      <c r="AW8" s="101" t="n">
        <f aca="false">AW7*Hipótesis!$D$13</f>
        <v>2880</v>
      </c>
      <c r="AX8" s="101" t="n">
        <f aca="false">AX7*Hipótesis!$D$13</f>
        <v>2880</v>
      </c>
      <c r="AY8" s="101" t="n">
        <f aca="false">AY7*Hipótesis!$D$13</f>
        <v>2880</v>
      </c>
      <c r="AZ8" s="101" t="n">
        <f aca="false">AZ7*Hipótesis!$D$13</f>
        <v>2880</v>
      </c>
      <c r="BA8" s="101" t="n">
        <f aca="false">BA7*Hipótesis!$D$13</f>
        <v>2880</v>
      </c>
      <c r="BB8" s="101" t="n">
        <f aca="false">BB7*Hipótesis!$D$13</f>
        <v>2880</v>
      </c>
      <c r="BC8" s="101" t="n">
        <f aca="false">BC7*Hipótesis!$D$13</f>
        <v>2880</v>
      </c>
      <c r="BD8" s="101" t="n">
        <f aca="false">BD7*Hipótesis!$D$13</f>
        <v>2880</v>
      </c>
      <c r="BE8" s="101" t="n">
        <f aca="false">BE7*Hipótesis!$D$13</f>
        <v>2880</v>
      </c>
      <c r="BF8" s="101" t="n">
        <f aca="false">BF7*Hipótesis!$D$13</f>
        <v>2880</v>
      </c>
      <c r="BG8" s="101" t="n">
        <f aca="false">BG7*Hipótesis!$D$13</f>
        <v>2880</v>
      </c>
      <c r="BH8" s="101" t="n">
        <f aca="false">BH7*Hipótesis!$D$13</f>
        <v>2880</v>
      </c>
      <c r="BI8" s="101" t="n">
        <f aca="false">BI7*Hipótesis!$D$13</f>
        <v>2880</v>
      </c>
      <c r="BJ8" s="101" t="n">
        <f aca="false">BJ7*Hipótesis!$D$13</f>
        <v>2880</v>
      </c>
      <c r="BK8" s="101" t="n">
        <f aca="false">BK7*Hipótesis!$D$13</f>
        <v>2880</v>
      </c>
      <c r="BL8" s="101" t="n">
        <f aca="false">BL7*Hipótesis!$D$13</f>
        <v>2880</v>
      </c>
      <c r="BM8" s="101" t="n">
        <f aca="false">BM7*Hipótesis!$D$13</f>
        <v>2880</v>
      </c>
      <c r="BN8" s="101" t="n">
        <f aca="false">BN7*Hipótesis!$D$13</f>
        <v>2880</v>
      </c>
      <c r="BO8" s="101" t="n">
        <f aca="false">BO7*Hipótesis!$D$13</f>
        <v>2880</v>
      </c>
      <c r="BP8" s="101" t="n">
        <f aca="false">BP7*Hipótesis!$D$13</f>
        <v>2880</v>
      </c>
      <c r="BQ8" s="101" t="n">
        <f aca="false">BQ7*Hipótesis!$D$13</f>
        <v>2880</v>
      </c>
      <c r="BR8" s="101" t="n">
        <f aca="false">BR7*Hipótesis!$D$13</f>
        <v>2880</v>
      </c>
      <c r="BS8" s="101" t="n">
        <f aca="false">BS7*Hipótesis!$D$13</f>
        <v>2880</v>
      </c>
      <c r="BT8" s="101" t="n">
        <f aca="false">BT7*Hipótesis!$D$13</f>
        <v>2880</v>
      </c>
      <c r="BU8" s="101" t="n">
        <f aca="false">BU7*Hipótesis!$D$13</f>
        <v>2880</v>
      </c>
      <c r="BV8" s="101" t="n">
        <f aca="false">BV7*Hipótesis!$D$13</f>
        <v>2880</v>
      </c>
      <c r="BW8" s="101" t="n">
        <f aca="false">BW7*Hipótesis!$D$13</f>
        <v>2880</v>
      </c>
      <c r="BX8" s="101" t="n">
        <f aca="false">BX7*Hipótesis!$D$13</f>
        <v>2880</v>
      </c>
      <c r="BY8" s="101" t="n">
        <f aca="false">BY7*Hipótesis!$D$13</f>
        <v>2880</v>
      </c>
      <c r="BZ8" s="101" t="n">
        <f aca="false">BZ7*Hipótesis!$D$13</f>
        <v>2880</v>
      </c>
      <c r="CA8" s="101" t="n">
        <f aca="false">CA7*Hipótesis!$D$13</f>
        <v>2880</v>
      </c>
      <c r="CB8" s="101" t="n">
        <f aca="false">CB7*Hipótesis!$D$13</f>
        <v>2880</v>
      </c>
      <c r="CC8" s="101" t="n">
        <f aca="false">CC7*Hipótesis!$D$13</f>
        <v>2880</v>
      </c>
      <c r="CD8" s="101" t="n">
        <f aca="false">CD7*Hipótesis!$D$13</f>
        <v>2880</v>
      </c>
      <c r="CE8" s="101" t="n">
        <f aca="false">CE7*Hipótesis!$D$13</f>
        <v>2880</v>
      </c>
      <c r="CF8" s="101" t="n">
        <f aca="false">CF7*Hipótesis!$D$13</f>
        <v>2880</v>
      </c>
      <c r="CG8" s="101" t="n">
        <f aca="false">CG7*Hipótesis!$D$13</f>
        <v>2880</v>
      </c>
      <c r="CH8" s="101" t="n">
        <f aca="false">CH7*Hipótesis!$D$13</f>
        <v>2880</v>
      </c>
    </row>
    <row r="9" customFormat="false" ht="13.5" hidden="false" customHeight="true" outlineLevel="0" collapsed="false">
      <c r="A9" s="6" t="s">
        <v>489</v>
      </c>
      <c r="C9" s="100" t="n">
        <f aca="false">Pipeline!$Q$16*Pipeline!$D$16*MIN(1,MAX(0,(1-Pipeline!$E$16+1)/MAX(Pipeline!$F$16,1)))</f>
        <v>1005.575</v>
      </c>
      <c r="D9" s="100" t="n">
        <f aca="false">Pipeline!$Q$16*Pipeline!$D$16*MIN(1,MAX(0,(2-Pipeline!$E$16+1)/MAX(Pipeline!$F$16,1)))</f>
        <v>2011.15</v>
      </c>
      <c r="E9" s="100" t="n">
        <f aca="false">Pipeline!$Q$16*Pipeline!$D$16*MIN(1,MAX(0,(3-Pipeline!$E$16+1)/MAX(Pipeline!$F$16,1)))</f>
        <v>3016.725</v>
      </c>
      <c r="F9" s="100" t="n">
        <f aca="false">Pipeline!$Q$16*Pipeline!$D$16*MIN(1,MAX(0,(4-Pipeline!$E$16+1)/MAX(Pipeline!$F$16,1)))</f>
        <v>3016.725</v>
      </c>
      <c r="G9" s="100" t="n">
        <f aca="false">Pipeline!$Q$16*Pipeline!$D$16*MIN(1,MAX(0,(5-Pipeline!$E$16+1)/MAX(Pipeline!$F$16,1)))</f>
        <v>3016.725</v>
      </c>
      <c r="H9" s="100" t="n">
        <f aca="false">Pipeline!$Q$16*Pipeline!$D$16*MIN(1,MAX(0,(6-Pipeline!$E$16+1)/MAX(Pipeline!$F$16,1)))</f>
        <v>3016.725</v>
      </c>
      <c r="I9" s="100" t="n">
        <f aca="false">Pipeline!$Q$16*Pipeline!$D$16*MIN(1,MAX(0,(7-Pipeline!$E$16+1)/MAX(Pipeline!$F$16,1)))</f>
        <v>3016.725</v>
      </c>
      <c r="J9" s="100" t="n">
        <f aca="false">Pipeline!$Q$16*Pipeline!$D$16*MIN(1,MAX(0,(8-Pipeline!$E$16+1)/MAX(Pipeline!$F$16,1)))</f>
        <v>3016.725</v>
      </c>
      <c r="K9" s="100" t="n">
        <f aca="false">Pipeline!$Q$16*Pipeline!$D$16*MIN(1,MAX(0,(9-Pipeline!$E$16+1)/MAX(Pipeline!$F$16,1)))</f>
        <v>3016.725</v>
      </c>
      <c r="L9" s="100" t="n">
        <f aca="false">Pipeline!$Q$16*Pipeline!$D$16*MIN(1,MAX(0,(10-Pipeline!$E$16+1)/MAX(Pipeline!$F$16,1)))</f>
        <v>3016.725</v>
      </c>
      <c r="M9" s="100" t="n">
        <f aca="false">Pipeline!$Q$16*Pipeline!$D$16*MIN(1,MAX(0,(11-Pipeline!$E$16+1)/MAX(Pipeline!$F$16,1)))</f>
        <v>3016.725</v>
      </c>
      <c r="N9" s="100" t="n">
        <f aca="false">Pipeline!$Q$16*Pipeline!$D$16*MIN(1,MAX(0,(12-Pipeline!$E$16+1)/MAX(Pipeline!$F$16,1)))</f>
        <v>3016.725</v>
      </c>
      <c r="O9" s="100" t="n">
        <f aca="false">Pipeline!$Q$16*Pipeline!$D$16*MIN(1,MAX(0,(13-Pipeline!$E$16+1)/MAX(Pipeline!$F$16,1)))</f>
        <v>3016.725</v>
      </c>
      <c r="P9" s="100" t="n">
        <f aca="false">Pipeline!$Q$16*Pipeline!$D$16*MIN(1,MAX(0,(14-Pipeline!$E$16+1)/MAX(Pipeline!$F$16,1)))</f>
        <v>3016.725</v>
      </c>
      <c r="Q9" s="100" t="n">
        <f aca="false">Pipeline!$Q$16*Pipeline!$D$16*MIN(1,MAX(0,(15-Pipeline!$E$16+1)/MAX(Pipeline!$F$16,1)))</f>
        <v>3016.725</v>
      </c>
      <c r="R9" s="100" t="n">
        <f aca="false">Pipeline!$Q$16*Pipeline!$D$16*MIN(1,MAX(0,(16-Pipeline!$E$16+1)/MAX(Pipeline!$F$16,1)))</f>
        <v>3016.725</v>
      </c>
      <c r="S9" s="100" t="n">
        <f aca="false">Pipeline!$Q$16*Pipeline!$D$16*MIN(1,MAX(0,(17-Pipeline!$E$16+1)/MAX(Pipeline!$F$16,1)))</f>
        <v>3016.725</v>
      </c>
      <c r="T9" s="100" t="n">
        <f aca="false">Pipeline!$Q$16*Pipeline!$D$16*MIN(1,MAX(0,(18-Pipeline!$E$16+1)/MAX(Pipeline!$F$16,1)))</f>
        <v>3016.725</v>
      </c>
      <c r="U9" s="100" t="n">
        <f aca="false">Pipeline!$Q$16*Pipeline!$D$16*MIN(1,MAX(0,(19-Pipeline!$E$16+1)/MAX(Pipeline!$F$16,1)))</f>
        <v>3016.725</v>
      </c>
      <c r="V9" s="100" t="n">
        <f aca="false">Pipeline!$Q$16*Pipeline!$D$16*MIN(1,MAX(0,(20-Pipeline!$E$16+1)/MAX(Pipeline!$F$16,1)))</f>
        <v>3016.725</v>
      </c>
      <c r="W9" s="100" t="n">
        <f aca="false">Pipeline!$Q$16*Pipeline!$D$16*MIN(1,MAX(0,(21-Pipeline!$E$16+1)/MAX(Pipeline!$F$16,1)))</f>
        <v>3016.725</v>
      </c>
      <c r="X9" s="100" t="n">
        <f aca="false">Pipeline!$Q$16*Pipeline!$D$16*MIN(1,MAX(0,(22-Pipeline!$E$16+1)/MAX(Pipeline!$F$16,1)))</f>
        <v>3016.725</v>
      </c>
      <c r="Y9" s="100" t="n">
        <f aca="false">Pipeline!$Q$16*Pipeline!$D$16*MIN(1,MAX(0,(23-Pipeline!$E$16+1)/MAX(Pipeline!$F$16,1)))</f>
        <v>3016.725</v>
      </c>
      <c r="Z9" s="100" t="n">
        <f aca="false">Pipeline!$Q$16*Pipeline!$D$16*MIN(1,MAX(0,(24-Pipeline!$E$16+1)/MAX(Pipeline!$F$16,1)))</f>
        <v>3016.725</v>
      </c>
      <c r="AA9" s="100" t="n">
        <f aca="false">Pipeline!$Q$16*Pipeline!$D$16*MIN(1,MAX(0,(25-Pipeline!$E$16+1)/MAX(Pipeline!$F$16,1)))</f>
        <v>3016.725</v>
      </c>
      <c r="AB9" s="100" t="n">
        <f aca="false">Pipeline!$Q$16*Pipeline!$D$16*MIN(1,MAX(0,(26-Pipeline!$E$16+1)/MAX(Pipeline!$F$16,1)))</f>
        <v>3016.725</v>
      </c>
      <c r="AC9" s="100" t="n">
        <f aca="false">Pipeline!$Q$16*Pipeline!$D$16*MIN(1,MAX(0,(27-Pipeline!$E$16+1)/MAX(Pipeline!$F$16,1)))</f>
        <v>3016.725</v>
      </c>
      <c r="AD9" s="100" t="n">
        <f aca="false">Pipeline!$Q$16*Pipeline!$D$16*MIN(1,MAX(0,(28-Pipeline!$E$16+1)/MAX(Pipeline!$F$16,1)))</f>
        <v>3016.725</v>
      </c>
      <c r="AE9" s="100" t="n">
        <f aca="false">Pipeline!$Q$16*Pipeline!$D$16*MIN(1,MAX(0,(29-Pipeline!$E$16+1)/MAX(Pipeline!$F$16,1)))</f>
        <v>3016.725</v>
      </c>
      <c r="AF9" s="100" t="n">
        <f aca="false">Pipeline!$Q$16*Pipeline!$D$16*MIN(1,MAX(0,(30-Pipeline!$E$16+1)/MAX(Pipeline!$F$16,1)))</f>
        <v>3016.725</v>
      </c>
      <c r="AG9" s="100" t="n">
        <f aca="false">Pipeline!$Q$16*Pipeline!$D$16*MIN(1,MAX(0,(31-Pipeline!$E$16+1)/MAX(Pipeline!$F$16,1)))</f>
        <v>3016.725</v>
      </c>
      <c r="AH9" s="100" t="n">
        <f aca="false">Pipeline!$Q$16*Pipeline!$D$16*MIN(1,MAX(0,(32-Pipeline!$E$16+1)/MAX(Pipeline!$F$16,1)))</f>
        <v>3016.725</v>
      </c>
      <c r="AI9" s="100" t="n">
        <f aca="false">Pipeline!$Q$16*Pipeline!$D$16*MIN(1,MAX(0,(33-Pipeline!$E$16+1)/MAX(Pipeline!$F$16,1)))</f>
        <v>3016.725</v>
      </c>
      <c r="AJ9" s="100" t="n">
        <f aca="false">Pipeline!$Q$16*Pipeline!$D$16*MIN(1,MAX(0,(34-Pipeline!$E$16+1)/MAX(Pipeline!$F$16,1)))</f>
        <v>3016.725</v>
      </c>
      <c r="AK9" s="100" t="n">
        <f aca="false">Pipeline!$Q$16*Pipeline!$D$16*MIN(1,MAX(0,(35-Pipeline!$E$16+1)/MAX(Pipeline!$F$16,1)))</f>
        <v>3016.725</v>
      </c>
      <c r="AL9" s="100" t="n">
        <f aca="false">Pipeline!$Q$16*Pipeline!$D$16*MIN(1,MAX(0,(36-Pipeline!$E$16+1)/MAX(Pipeline!$F$16,1)))</f>
        <v>3016.725</v>
      </c>
      <c r="AM9" s="100" t="n">
        <f aca="false">Pipeline!$Q$16*Pipeline!$D$16*MIN(1,MAX(0,(37-Pipeline!$E$16+1)/MAX(Pipeline!$F$16,1)))</f>
        <v>3016.725</v>
      </c>
      <c r="AN9" s="100" t="n">
        <f aca="false">Pipeline!$Q$16*Pipeline!$D$16*MIN(1,MAX(0,(38-Pipeline!$E$16+1)/MAX(Pipeline!$F$16,1)))</f>
        <v>3016.725</v>
      </c>
      <c r="AO9" s="100" t="n">
        <f aca="false">Pipeline!$Q$16*Pipeline!$D$16*MIN(1,MAX(0,(39-Pipeline!$E$16+1)/MAX(Pipeline!$F$16,1)))</f>
        <v>3016.725</v>
      </c>
      <c r="AP9" s="100" t="n">
        <f aca="false">Pipeline!$Q$16*Pipeline!$D$16*MIN(1,MAX(0,(40-Pipeline!$E$16+1)/MAX(Pipeline!$F$16,1)))</f>
        <v>3016.725</v>
      </c>
      <c r="AQ9" s="100" t="n">
        <f aca="false">Pipeline!$Q$16*Pipeline!$D$16*MIN(1,MAX(0,(41-Pipeline!$E$16+1)/MAX(Pipeline!$F$16,1)))</f>
        <v>3016.725</v>
      </c>
      <c r="AR9" s="100" t="n">
        <f aca="false">Pipeline!$Q$16*Pipeline!$D$16*MIN(1,MAX(0,(42-Pipeline!$E$16+1)/MAX(Pipeline!$F$16,1)))</f>
        <v>3016.725</v>
      </c>
      <c r="AS9" s="100" t="n">
        <f aca="false">Pipeline!$Q$16*Pipeline!$D$16*MIN(1,MAX(0,(43-Pipeline!$E$16+1)/MAX(Pipeline!$F$16,1)))</f>
        <v>3016.725</v>
      </c>
      <c r="AT9" s="100" t="n">
        <f aca="false">Pipeline!$Q$16*Pipeline!$D$16*MIN(1,MAX(0,(44-Pipeline!$E$16+1)/MAX(Pipeline!$F$16,1)))</f>
        <v>3016.725</v>
      </c>
      <c r="AU9" s="100" t="n">
        <f aca="false">Pipeline!$Q$16*Pipeline!$D$16*MIN(1,MAX(0,(45-Pipeline!$E$16+1)/MAX(Pipeline!$F$16,1)))</f>
        <v>3016.725</v>
      </c>
      <c r="AV9" s="100" t="n">
        <f aca="false">Pipeline!$Q$16*Pipeline!$D$16*MIN(1,MAX(0,(46-Pipeline!$E$16+1)/MAX(Pipeline!$F$16,1)))</f>
        <v>3016.725</v>
      </c>
      <c r="AW9" s="100" t="n">
        <f aca="false">Pipeline!$Q$16*Pipeline!$D$16*MIN(1,MAX(0,(47-Pipeline!$E$16+1)/MAX(Pipeline!$F$16,1)))</f>
        <v>3016.725</v>
      </c>
      <c r="AX9" s="100" t="n">
        <f aca="false">Pipeline!$Q$16*Pipeline!$D$16*MIN(1,MAX(0,(48-Pipeline!$E$16+1)/MAX(Pipeline!$F$16,1)))</f>
        <v>3016.725</v>
      </c>
      <c r="AY9" s="100" t="n">
        <f aca="false">Pipeline!$Q$16*Pipeline!$D$16*MIN(1,MAX(0,(49-Pipeline!$E$16+1)/MAX(Pipeline!$F$16,1)))</f>
        <v>3016.725</v>
      </c>
      <c r="AZ9" s="100" t="n">
        <f aca="false">Pipeline!$Q$16*Pipeline!$D$16*MIN(1,MAX(0,(50-Pipeline!$E$16+1)/MAX(Pipeline!$F$16,1)))</f>
        <v>3016.725</v>
      </c>
      <c r="BA9" s="100" t="n">
        <f aca="false">Pipeline!$Q$16*Pipeline!$D$16*MIN(1,MAX(0,(51-Pipeline!$E$16+1)/MAX(Pipeline!$F$16,1)))</f>
        <v>3016.725</v>
      </c>
      <c r="BB9" s="100" t="n">
        <f aca="false">Pipeline!$Q$16*Pipeline!$D$16*MIN(1,MAX(0,(52-Pipeline!$E$16+1)/MAX(Pipeline!$F$16,1)))</f>
        <v>3016.725</v>
      </c>
      <c r="BC9" s="100" t="n">
        <f aca="false">Pipeline!$Q$16*Pipeline!$D$16*MIN(1,MAX(0,(53-Pipeline!$E$16+1)/MAX(Pipeline!$F$16,1)))</f>
        <v>3016.725</v>
      </c>
      <c r="BD9" s="100" t="n">
        <f aca="false">Pipeline!$Q$16*Pipeline!$D$16*MIN(1,MAX(0,(54-Pipeline!$E$16+1)/MAX(Pipeline!$F$16,1)))</f>
        <v>3016.725</v>
      </c>
      <c r="BE9" s="100" t="n">
        <f aca="false">Pipeline!$Q$16*Pipeline!$D$16*MIN(1,MAX(0,(55-Pipeline!$E$16+1)/MAX(Pipeline!$F$16,1)))</f>
        <v>3016.725</v>
      </c>
      <c r="BF9" s="100" t="n">
        <f aca="false">Pipeline!$Q$16*Pipeline!$D$16*MIN(1,MAX(0,(56-Pipeline!$E$16+1)/MAX(Pipeline!$F$16,1)))</f>
        <v>3016.725</v>
      </c>
      <c r="BG9" s="100" t="n">
        <f aca="false">Pipeline!$Q$16*Pipeline!$D$16*MIN(1,MAX(0,(57-Pipeline!$E$16+1)/MAX(Pipeline!$F$16,1)))</f>
        <v>3016.725</v>
      </c>
      <c r="BH9" s="100" t="n">
        <f aca="false">Pipeline!$Q$16*Pipeline!$D$16*MIN(1,MAX(0,(58-Pipeline!$E$16+1)/MAX(Pipeline!$F$16,1)))</f>
        <v>3016.725</v>
      </c>
      <c r="BI9" s="100" t="n">
        <f aca="false">Pipeline!$Q$16*Pipeline!$D$16*MIN(1,MAX(0,(59-Pipeline!$E$16+1)/MAX(Pipeline!$F$16,1)))</f>
        <v>3016.725</v>
      </c>
      <c r="BJ9" s="100" t="n">
        <f aca="false">Pipeline!$Q$16*Pipeline!$D$16*MIN(1,MAX(0,(60-Pipeline!$E$16+1)/MAX(Pipeline!$F$16,1)))</f>
        <v>3016.725</v>
      </c>
      <c r="BK9" s="100" t="n">
        <f aca="false">Pipeline!$Q$16*Pipeline!$D$16*MIN(1,MAX(0,(61-Pipeline!$E$16+1)/MAX(Pipeline!$F$16,1)))</f>
        <v>3016.725</v>
      </c>
      <c r="BL9" s="100" t="n">
        <f aca="false">Pipeline!$Q$16*Pipeline!$D$16*MIN(1,MAX(0,(62-Pipeline!$E$16+1)/MAX(Pipeline!$F$16,1)))</f>
        <v>3016.725</v>
      </c>
      <c r="BM9" s="100" t="n">
        <f aca="false">Pipeline!$Q$16*Pipeline!$D$16*MIN(1,MAX(0,(63-Pipeline!$E$16+1)/MAX(Pipeline!$F$16,1)))</f>
        <v>3016.725</v>
      </c>
      <c r="BN9" s="100" t="n">
        <f aca="false">Pipeline!$Q$16*Pipeline!$D$16*MIN(1,MAX(0,(64-Pipeline!$E$16+1)/MAX(Pipeline!$F$16,1)))</f>
        <v>3016.725</v>
      </c>
      <c r="BO9" s="100" t="n">
        <f aca="false">Pipeline!$Q$16*Pipeline!$D$16*MIN(1,MAX(0,(65-Pipeline!$E$16+1)/MAX(Pipeline!$F$16,1)))</f>
        <v>3016.725</v>
      </c>
      <c r="BP9" s="100" t="n">
        <f aca="false">Pipeline!$Q$16*Pipeline!$D$16*MIN(1,MAX(0,(66-Pipeline!$E$16+1)/MAX(Pipeline!$F$16,1)))</f>
        <v>3016.725</v>
      </c>
      <c r="BQ9" s="100" t="n">
        <f aca="false">Pipeline!$Q$16*Pipeline!$D$16*MIN(1,MAX(0,(67-Pipeline!$E$16+1)/MAX(Pipeline!$F$16,1)))</f>
        <v>3016.725</v>
      </c>
      <c r="BR9" s="100" t="n">
        <f aca="false">Pipeline!$Q$16*Pipeline!$D$16*MIN(1,MAX(0,(68-Pipeline!$E$16+1)/MAX(Pipeline!$F$16,1)))</f>
        <v>3016.725</v>
      </c>
      <c r="BS9" s="100" t="n">
        <f aca="false">Pipeline!$Q$16*Pipeline!$D$16*MIN(1,MAX(0,(69-Pipeline!$E$16+1)/MAX(Pipeline!$F$16,1)))</f>
        <v>3016.725</v>
      </c>
      <c r="BT9" s="100" t="n">
        <f aca="false">Pipeline!$Q$16*Pipeline!$D$16*MIN(1,MAX(0,(70-Pipeline!$E$16+1)/MAX(Pipeline!$F$16,1)))</f>
        <v>3016.725</v>
      </c>
      <c r="BU9" s="100" t="n">
        <f aca="false">Pipeline!$Q$16*Pipeline!$D$16*MIN(1,MAX(0,(71-Pipeline!$E$16+1)/MAX(Pipeline!$F$16,1)))</f>
        <v>3016.725</v>
      </c>
      <c r="BV9" s="100" t="n">
        <f aca="false">Pipeline!$Q$16*Pipeline!$D$16*MIN(1,MAX(0,(72-Pipeline!$E$16+1)/MAX(Pipeline!$F$16,1)))</f>
        <v>3016.725</v>
      </c>
      <c r="BW9" s="100" t="n">
        <f aca="false">Pipeline!$Q$16*Pipeline!$D$16*MIN(1,MAX(0,(73-Pipeline!$E$16+1)/MAX(Pipeline!$F$16,1)))</f>
        <v>3016.725</v>
      </c>
      <c r="BX9" s="100" t="n">
        <f aca="false">Pipeline!$Q$16*Pipeline!$D$16*MIN(1,MAX(0,(74-Pipeline!$E$16+1)/MAX(Pipeline!$F$16,1)))</f>
        <v>3016.725</v>
      </c>
      <c r="BY9" s="100" t="n">
        <f aca="false">Pipeline!$Q$16*Pipeline!$D$16*MIN(1,MAX(0,(75-Pipeline!$E$16+1)/MAX(Pipeline!$F$16,1)))</f>
        <v>3016.725</v>
      </c>
      <c r="BZ9" s="100" t="n">
        <f aca="false">Pipeline!$Q$16*Pipeline!$D$16*MIN(1,MAX(0,(76-Pipeline!$E$16+1)/MAX(Pipeline!$F$16,1)))</f>
        <v>3016.725</v>
      </c>
      <c r="CA9" s="100" t="n">
        <f aca="false">Pipeline!$Q$16*Pipeline!$D$16*MIN(1,MAX(0,(77-Pipeline!$E$16+1)/MAX(Pipeline!$F$16,1)))</f>
        <v>3016.725</v>
      </c>
      <c r="CB9" s="100" t="n">
        <f aca="false">Pipeline!$Q$16*Pipeline!$D$16*MIN(1,MAX(0,(78-Pipeline!$E$16+1)/MAX(Pipeline!$F$16,1)))</f>
        <v>3016.725</v>
      </c>
      <c r="CC9" s="100" t="n">
        <f aca="false">Pipeline!$Q$16*Pipeline!$D$16*MIN(1,MAX(0,(79-Pipeline!$E$16+1)/MAX(Pipeline!$F$16,1)))</f>
        <v>3016.725</v>
      </c>
      <c r="CD9" s="100" t="n">
        <f aca="false">Pipeline!$Q$16*Pipeline!$D$16*MIN(1,MAX(0,(80-Pipeline!$E$16+1)/MAX(Pipeline!$F$16,1)))</f>
        <v>3016.725</v>
      </c>
      <c r="CE9" s="100" t="n">
        <f aca="false">Pipeline!$Q$16*Pipeline!$D$16*MIN(1,MAX(0,(81-Pipeline!$E$16+1)/MAX(Pipeline!$F$16,1)))</f>
        <v>3016.725</v>
      </c>
      <c r="CF9" s="100" t="n">
        <f aca="false">Pipeline!$Q$16*Pipeline!$D$16*MIN(1,MAX(0,(82-Pipeline!$E$16+1)/MAX(Pipeline!$F$16,1)))</f>
        <v>3016.725</v>
      </c>
      <c r="CG9" s="100" t="n">
        <f aca="false">Pipeline!$Q$16*Pipeline!$D$16*MIN(1,MAX(0,(83-Pipeline!$E$16+1)/MAX(Pipeline!$F$16,1)))</f>
        <v>3016.725</v>
      </c>
      <c r="CH9" s="100" t="n">
        <f aca="false">Pipeline!$Q$16*Pipeline!$D$16*MIN(1,MAX(0,(84-Pipeline!$E$16+1)/MAX(Pipeline!$F$16,1)))</f>
        <v>3016.725</v>
      </c>
    </row>
    <row r="10" customFormat="false" ht="13.5" hidden="false" customHeight="true" outlineLevel="0" collapsed="false">
      <c r="A10" s="6" t="s">
        <v>490</v>
      </c>
      <c r="C10" s="100" t="n">
        <f aca="false">Pipeline!$Q$17*Pipeline!$D$17*MIN(1,MAX(0,(1-Pipeline!$E$17+1)/MAX(Pipeline!$F$17,1)))</f>
        <v>0</v>
      </c>
      <c r="D10" s="100" t="n">
        <f aca="false">Pipeline!$Q$17*Pipeline!$D$17*MIN(1,MAX(0,(2-Pipeline!$E$17+1)/MAX(Pipeline!$F$17,1)))</f>
        <v>78.3</v>
      </c>
      <c r="E10" s="100" t="n">
        <f aca="false">Pipeline!$Q$17*Pipeline!$D$17*MIN(1,MAX(0,(3-Pipeline!$E$17+1)/MAX(Pipeline!$F$17,1)))</f>
        <v>156.6</v>
      </c>
      <c r="F10" s="100" t="n">
        <f aca="false">Pipeline!$Q$17*Pipeline!$D$17*MIN(1,MAX(0,(4-Pipeline!$E$17+1)/MAX(Pipeline!$F$17,1)))</f>
        <v>234.9</v>
      </c>
      <c r="G10" s="100" t="n">
        <f aca="false">Pipeline!$Q$17*Pipeline!$D$17*MIN(1,MAX(0,(5-Pipeline!$E$17+1)/MAX(Pipeline!$F$17,1)))</f>
        <v>234.9</v>
      </c>
      <c r="H10" s="100" t="n">
        <f aca="false">Pipeline!$Q$17*Pipeline!$D$17*MIN(1,MAX(0,(6-Pipeline!$E$17+1)/MAX(Pipeline!$F$17,1)))</f>
        <v>234.9</v>
      </c>
      <c r="I10" s="100" t="n">
        <f aca="false">Pipeline!$Q$17*Pipeline!$D$17*MIN(1,MAX(0,(7-Pipeline!$E$17+1)/MAX(Pipeline!$F$17,1)))</f>
        <v>234.9</v>
      </c>
      <c r="J10" s="100" t="n">
        <f aca="false">Pipeline!$Q$17*Pipeline!$D$17*MIN(1,MAX(0,(8-Pipeline!$E$17+1)/MAX(Pipeline!$F$17,1)))</f>
        <v>234.9</v>
      </c>
      <c r="K10" s="100" t="n">
        <f aca="false">Pipeline!$Q$17*Pipeline!$D$17*MIN(1,MAX(0,(9-Pipeline!$E$17+1)/MAX(Pipeline!$F$17,1)))</f>
        <v>234.9</v>
      </c>
      <c r="L10" s="100" t="n">
        <f aca="false">Pipeline!$Q$17*Pipeline!$D$17*MIN(1,MAX(0,(10-Pipeline!$E$17+1)/MAX(Pipeline!$F$17,1)))</f>
        <v>234.9</v>
      </c>
      <c r="M10" s="100" t="n">
        <f aca="false">Pipeline!$Q$17*Pipeline!$D$17*MIN(1,MAX(0,(11-Pipeline!$E$17+1)/MAX(Pipeline!$F$17,1)))</f>
        <v>234.9</v>
      </c>
      <c r="N10" s="100" t="n">
        <f aca="false">Pipeline!$Q$17*Pipeline!$D$17*MIN(1,MAX(0,(12-Pipeline!$E$17+1)/MAX(Pipeline!$F$17,1)))</f>
        <v>234.9</v>
      </c>
      <c r="O10" s="100" t="n">
        <f aca="false">Pipeline!$Q$17*Pipeline!$D$17*MIN(1,MAX(0,(13-Pipeline!$E$17+1)/MAX(Pipeline!$F$17,1)))</f>
        <v>234.9</v>
      </c>
      <c r="P10" s="100" t="n">
        <f aca="false">Pipeline!$Q$17*Pipeline!$D$17*MIN(1,MAX(0,(14-Pipeline!$E$17+1)/MAX(Pipeline!$F$17,1)))</f>
        <v>234.9</v>
      </c>
      <c r="Q10" s="100" t="n">
        <f aca="false">Pipeline!$Q$17*Pipeline!$D$17*MIN(1,MAX(0,(15-Pipeline!$E$17+1)/MAX(Pipeline!$F$17,1)))</f>
        <v>234.9</v>
      </c>
      <c r="R10" s="100" t="n">
        <f aca="false">Pipeline!$Q$17*Pipeline!$D$17*MIN(1,MAX(0,(16-Pipeline!$E$17+1)/MAX(Pipeline!$F$17,1)))</f>
        <v>234.9</v>
      </c>
      <c r="S10" s="100" t="n">
        <f aca="false">Pipeline!$Q$17*Pipeline!$D$17*MIN(1,MAX(0,(17-Pipeline!$E$17+1)/MAX(Pipeline!$F$17,1)))</f>
        <v>234.9</v>
      </c>
      <c r="T10" s="100" t="n">
        <f aca="false">Pipeline!$Q$17*Pipeline!$D$17*MIN(1,MAX(0,(18-Pipeline!$E$17+1)/MAX(Pipeline!$F$17,1)))</f>
        <v>234.9</v>
      </c>
      <c r="U10" s="100" t="n">
        <f aca="false">Pipeline!$Q$17*Pipeline!$D$17*MIN(1,MAX(0,(19-Pipeline!$E$17+1)/MAX(Pipeline!$F$17,1)))</f>
        <v>234.9</v>
      </c>
      <c r="V10" s="100" t="n">
        <f aca="false">Pipeline!$Q$17*Pipeline!$D$17*MIN(1,MAX(0,(20-Pipeline!$E$17+1)/MAX(Pipeline!$F$17,1)))</f>
        <v>234.9</v>
      </c>
      <c r="W10" s="100" t="n">
        <f aca="false">Pipeline!$Q$17*Pipeline!$D$17*MIN(1,MAX(0,(21-Pipeline!$E$17+1)/MAX(Pipeline!$F$17,1)))</f>
        <v>234.9</v>
      </c>
      <c r="X10" s="100" t="n">
        <f aca="false">Pipeline!$Q$17*Pipeline!$D$17*MIN(1,MAX(0,(22-Pipeline!$E$17+1)/MAX(Pipeline!$F$17,1)))</f>
        <v>234.9</v>
      </c>
      <c r="Y10" s="100" t="n">
        <f aca="false">Pipeline!$Q$17*Pipeline!$D$17*MIN(1,MAX(0,(23-Pipeline!$E$17+1)/MAX(Pipeline!$F$17,1)))</f>
        <v>234.9</v>
      </c>
      <c r="Z10" s="100" t="n">
        <f aca="false">Pipeline!$Q$17*Pipeline!$D$17*MIN(1,MAX(0,(24-Pipeline!$E$17+1)/MAX(Pipeline!$F$17,1)))</f>
        <v>234.9</v>
      </c>
      <c r="AA10" s="100" t="n">
        <f aca="false">Pipeline!$Q$17*Pipeline!$D$17*MIN(1,MAX(0,(25-Pipeline!$E$17+1)/MAX(Pipeline!$F$17,1)))</f>
        <v>234.9</v>
      </c>
      <c r="AB10" s="100" t="n">
        <f aca="false">Pipeline!$Q$17*Pipeline!$D$17*MIN(1,MAX(0,(26-Pipeline!$E$17+1)/MAX(Pipeline!$F$17,1)))</f>
        <v>234.9</v>
      </c>
      <c r="AC10" s="100" t="n">
        <f aca="false">Pipeline!$Q$17*Pipeline!$D$17*MIN(1,MAX(0,(27-Pipeline!$E$17+1)/MAX(Pipeline!$F$17,1)))</f>
        <v>234.9</v>
      </c>
      <c r="AD10" s="100" t="n">
        <f aca="false">Pipeline!$Q$17*Pipeline!$D$17*MIN(1,MAX(0,(28-Pipeline!$E$17+1)/MAX(Pipeline!$F$17,1)))</f>
        <v>234.9</v>
      </c>
      <c r="AE10" s="100" t="n">
        <f aca="false">Pipeline!$Q$17*Pipeline!$D$17*MIN(1,MAX(0,(29-Pipeline!$E$17+1)/MAX(Pipeline!$F$17,1)))</f>
        <v>234.9</v>
      </c>
      <c r="AF10" s="100" t="n">
        <f aca="false">Pipeline!$Q$17*Pipeline!$D$17*MIN(1,MAX(0,(30-Pipeline!$E$17+1)/MAX(Pipeline!$F$17,1)))</f>
        <v>234.9</v>
      </c>
      <c r="AG10" s="100" t="n">
        <f aca="false">Pipeline!$Q$17*Pipeline!$D$17*MIN(1,MAX(0,(31-Pipeline!$E$17+1)/MAX(Pipeline!$F$17,1)))</f>
        <v>234.9</v>
      </c>
      <c r="AH10" s="100" t="n">
        <f aca="false">Pipeline!$Q$17*Pipeline!$D$17*MIN(1,MAX(0,(32-Pipeline!$E$17+1)/MAX(Pipeline!$F$17,1)))</f>
        <v>234.9</v>
      </c>
      <c r="AI10" s="100" t="n">
        <f aca="false">Pipeline!$Q$17*Pipeline!$D$17*MIN(1,MAX(0,(33-Pipeline!$E$17+1)/MAX(Pipeline!$F$17,1)))</f>
        <v>234.9</v>
      </c>
      <c r="AJ10" s="100" t="n">
        <f aca="false">Pipeline!$Q$17*Pipeline!$D$17*MIN(1,MAX(0,(34-Pipeline!$E$17+1)/MAX(Pipeline!$F$17,1)))</f>
        <v>234.9</v>
      </c>
      <c r="AK10" s="100" t="n">
        <f aca="false">Pipeline!$Q$17*Pipeline!$D$17*MIN(1,MAX(0,(35-Pipeline!$E$17+1)/MAX(Pipeline!$F$17,1)))</f>
        <v>234.9</v>
      </c>
      <c r="AL10" s="100" t="n">
        <f aca="false">Pipeline!$Q$17*Pipeline!$D$17*MIN(1,MAX(0,(36-Pipeline!$E$17+1)/MAX(Pipeline!$F$17,1)))</f>
        <v>234.9</v>
      </c>
      <c r="AM10" s="100" t="n">
        <f aca="false">Pipeline!$Q$17*Pipeline!$D$17*MIN(1,MAX(0,(37-Pipeline!$E$17+1)/MAX(Pipeline!$F$17,1)))</f>
        <v>234.9</v>
      </c>
      <c r="AN10" s="100" t="n">
        <f aca="false">Pipeline!$Q$17*Pipeline!$D$17*MIN(1,MAX(0,(38-Pipeline!$E$17+1)/MAX(Pipeline!$F$17,1)))</f>
        <v>234.9</v>
      </c>
      <c r="AO10" s="100" t="n">
        <f aca="false">Pipeline!$Q$17*Pipeline!$D$17*MIN(1,MAX(0,(39-Pipeline!$E$17+1)/MAX(Pipeline!$F$17,1)))</f>
        <v>234.9</v>
      </c>
      <c r="AP10" s="100" t="n">
        <f aca="false">Pipeline!$Q$17*Pipeline!$D$17*MIN(1,MAX(0,(40-Pipeline!$E$17+1)/MAX(Pipeline!$F$17,1)))</f>
        <v>234.9</v>
      </c>
      <c r="AQ10" s="100" t="n">
        <f aca="false">Pipeline!$Q$17*Pipeline!$D$17*MIN(1,MAX(0,(41-Pipeline!$E$17+1)/MAX(Pipeline!$F$17,1)))</f>
        <v>234.9</v>
      </c>
      <c r="AR10" s="100" t="n">
        <f aca="false">Pipeline!$Q$17*Pipeline!$D$17*MIN(1,MAX(0,(42-Pipeline!$E$17+1)/MAX(Pipeline!$F$17,1)))</f>
        <v>234.9</v>
      </c>
      <c r="AS10" s="100" t="n">
        <f aca="false">Pipeline!$Q$17*Pipeline!$D$17*MIN(1,MAX(0,(43-Pipeline!$E$17+1)/MAX(Pipeline!$F$17,1)))</f>
        <v>234.9</v>
      </c>
      <c r="AT10" s="100" t="n">
        <f aca="false">Pipeline!$Q$17*Pipeline!$D$17*MIN(1,MAX(0,(44-Pipeline!$E$17+1)/MAX(Pipeline!$F$17,1)))</f>
        <v>234.9</v>
      </c>
      <c r="AU10" s="100" t="n">
        <f aca="false">Pipeline!$Q$17*Pipeline!$D$17*MIN(1,MAX(0,(45-Pipeline!$E$17+1)/MAX(Pipeline!$F$17,1)))</f>
        <v>234.9</v>
      </c>
      <c r="AV10" s="100" t="n">
        <f aca="false">Pipeline!$Q$17*Pipeline!$D$17*MIN(1,MAX(0,(46-Pipeline!$E$17+1)/MAX(Pipeline!$F$17,1)))</f>
        <v>234.9</v>
      </c>
      <c r="AW10" s="100" t="n">
        <f aca="false">Pipeline!$Q$17*Pipeline!$D$17*MIN(1,MAX(0,(47-Pipeline!$E$17+1)/MAX(Pipeline!$F$17,1)))</f>
        <v>234.9</v>
      </c>
      <c r="AX10" s="100" t="n">
        <f aca="false">Pipeline!$Q$17*Pipeline!$D$17*MIN(1,MAX(0,(48-Pipeline!$E$17+1)/MAX(Pipeline!$F$17,1)))</f>
        <v>234.9</v>
      </c>
      <c r="AY10" s="100" t="n">
        <f aca="false">Pipeline!$Q$17*Pipeline!$D$17*MIN(1,MAX(0,(49-Pipeline!$E$17+1)/MAX(Pipeline!$F$17,1)))</f>
        <v>234.9</v>
      </c>
      <c r="AZ10" s="100" t="n">
        <f aca="false">Pipeline!$Q$17*Pipeline!$D$17*MIN(1,MAX(0,(50-Pipeline!$E$17+1)/MAX(Pipeline!$F$17,1)))</f>
        <v>234.9</v>
      </c>
      <c r="BA10" s="100" t="n">
        <f aca="false">Pipeline!$Q$17*Pipeline!$D$17*MIN(1,MAX(0,(51-Pipeline!$E$17+1)/MAX(Pipeline!$F$17,1)))</f>
        <v>234.9</v>
      </c>
      <c r="BB10" s="100" t="n">
        <f aca="false">Pipeline!$Q$17*Pipeline!$D$17*MIN(1,MAX(0,(52-Pipeline!$E$17+1)/MAX(Pipeline!$F$17,1)))</f>
        <v>234.9</v>
      </c>
      <c r="BC10" s="100" t="n">
        <f aca="false">Pipeline!$Q$17*Pipeline!$D$17*MIN(1,MAX(0,(53-Pipeline!$E$17+1)/MAX(Pipeline!$F$17,1)))</f>
        <v>234.9</v>
      </c>
      <c r="BD10" s="100" t="n">
        <f aca="false">Pipeline!$Q$17*Pipeline!$D$17*MIN(1,MAX(0,(54-Pipeline!$E$17+1)/MAX(Pipeline!$F$17,1)))</f>
        <v>234.9</v>
      </c>
      <c r="BE10" s="100" t="n">
        <f aca="false">Pipeline!$Q$17*Pipeline!$D$17*MIN(1,MAX(0,(55-Pipeline!$E$17+1)/MAX(Pipeline!$F$17,1)))</f>
        <v>234.9</v>
      </c>
      <c r="BF10" s="100" t="n">
        <f aca="false">Pipeline!$Q$17*Pipeline!$D$17*MIN(1,MAX(0,(56-Pipeline!$E$17+1)/MAX(Pipeline!$F$17,1)))</f>
        <v>234.9</v>
      </c>
      <c r="BG10" s="100" t="n">
        <f aca="false">Pipeline!$Q$17*Pipeline!$D$17*MIN(1,MAX(0,(57-Pipeline!$E$17+1)/MAX(Pipeline!$F$17,1)))</f>
        <v>234.9</v>
      </c>
      <c r="BH10" s="100" t="n">
        <f aca="false">Pipeline!$Q$17*Pipeline!$D$17*MIN(1,MAX(0,(58-Pipeline!$E$17+1)/MAX(Pipeline!$F$17,1)))</f>
        <v>234.9</v>
      </c>
      <c r="BI10" s="100" t="n">
        <f aca="false">Pipeline!$Q$17*Pipeline!$D$17*MIN(1,MAX(0,(59-Pipeline!$E$17+1)/MAX(Pipeline!$F$17,1)))</f>
        <v>234.9</v>
      </c>
      <c r="BJ10" s="100" t="n">
        <f aca="false">Pipeline!$Q$17*Pipeline!$D$17*MIN(1,MAX(0,(60-Pipeline!$E$17+1)/MAX(Pipeline!$F$17,1)))</f>
        <v>234.9</v>
      </c>
      <c r="BK10" s="100" t="n">
        <f aca="false">Pipeline!$Q$17*Pipeline!$D$17*MIN(1,MAX(0,(61-Pipeline!$E$17+1)/MAX(Pipeline!$F$17,1)))</f>
        <v>234.9</v>
      </c>
      <c r="BL10" s="100" t="n">
        <f aca="false">Pipeline!$Q$17*Pipeline!$D$17*MIN(1,MAX(0,(62-Pipeline!$E$17+1)/MAX(Pipeline!$F$17,1)))</f>
        <v>234.9</v>
      </c>
      <c r="BM10" s="100" t="n">
        <f aca="false">Pipeline!$Q$17*Pipeline!$D$17*MIN(1,MAX(0,(63-Pipeline!$E$17+1)/MAX(Pipeline!$F$17,1)))</f>
        <v>234.9</v>
      </c>
      <c r="BN10" s="100" t="n">
        <f aca="false">Pipeline!$Q$17*Pipeline!$D$17*MIN(1,MAX(0,(64-Pipeline!$E$17+1)/MAX(Pipeline!$F$17,1)))</f>
        <v>234.9</v>
      </c>
      <c r="BO10" s="100" t="n">
        <f aca="false">Pipeline!$Q$17*Pipeline!$D$17*MIN(1,MAX(0,(65-Pipeline!$E$17+1)/MAX(Pipeline!$F$17,1)))</f>
        <v>234.9</v>
      </c>
      <c r="BP10" s="100" t="n">
        <f aca="false">Pipeline!$Q$17*Pipeline!$D$17*MIN(1,MAX(0,(66-Pipeline!$E$17+1)/MAX(Pipeline!$F$17,1)))</f>
        <v>234.9</v>
      </c>
      <c r="BQ10" s="100" t="n">
        <f aca="false">Pipeline!$Q$17*Pipeline!$D$17*MIN(1,MAX(0,(67-Pipeline!$E$17+1)/MAX(Pipeline!$F$17,1)))</f>
        <v>234.9</v>
      </c>
      <c r="BR10" s="100" t="n">
        <f aca="false">Pipeline!$Q$17*Pipeline!$D$17*MIN(1,MAX(0,(68-Pipeline!$E$17+1)/MAX(Pipeline!$F$17,1)))</f>
        <v>234.9</v>
      </c>
      <c r="BS10" s="100" t="n">
        <f aca="false">Pipeline!$Q$17*Pipeline!$D$17*MIN(1,MAX(0,(69-Pipeline!$E$17+1)/MAX(Pipeline!$F$17,1)))</f>
        <v>234.9</v>
      </c>
      <c r="BT10" s="100" t="n">
        <f aca="false">Pipeline!$Q$17*Pipeline!$D$17*MIN(1,MAX(0,(70-Pipeline!$E$17+1)/MAX(Pipeline!$F$17,1)))</f>
        <v>234.9</v>
      </c>
      <c r="BU10" s="100" t="n">
        <f aca="false">Pipeline!$Q$17*Pipeline!$D$17*MIN(1,MAX(0,(71-Pipeline!$E$17+1)/MAX(Pipeline!$F$17,1)))</f>
        <v>234.9</v>
      </c>
      <c r="BV10" s="100" t="n">
        <f aca="false">Pipeline!$Q$17*Pipeline!$D$17*MIN(1,MAX(0,(72-Pipeline!$E$17+1)/MAX(Pipeline!$F$17,1)))</f>
        <v>234.9</v>
      </c>
      <c r="BW10" s="100" t="n">
        <f aca="false">Pipeline!$Q$17*Pipeline!$D$17*MIN(1,MAX(0,(73-Pipeline!$E$17+1)/MAX(Pipeline!$F$17,1)))</f>
        <v>234.9</v>
      </c>
      <c r="BX10" s="100" t="n">
        <f aca="false">Pipeline!$Q$17*Pipeline!$D$17*MIN(1,MAX(0,(74-Pipeline!$E$17+1)/MAX(Pipeline!$F$17,1)))</f>
        <v>234.9</v>
      </c>
      <c r="BY10" s="100" t="n">
        <f aca="false">Pipeline!$Q$17*Pipeline!$D$17*MIN(1,MAX(0,(75-Pipeline!$E$17+1)/MAX(Pipeline!$F$17,1)))</f>
        <v>234.9</v>
      </c>
      <c r="BZ10" s="100" t="n">
        <f aca="false">Pipeline!$Q$17*Pipeline!$D$17*MIN(1,MAX(0,(76-Pipeline!$E$17+1)/MAX(Pipeline!$F$17,1)))</f>
        <v>234.9</v>
      </c>
      <c r="CA10" s="100" t="n">
        <f aca="false">Pipeline!$Q$17*Pipeline!$D$17*MIN(1,MAX(0,(77-Pipeline!$E$17+1)/MAX(Pipeline!$F$17,1)))</f>
        <v>234.9</v>
      </c>
      <c r="CB10" s="100" t="n">
        <f aca="false">Pipeline!$Q$17*Pipeline!$D$17*MIN(1,MAX(0,(78-Pipeline!$E$17+1)/MAX(Pipeline!$F$17,1)))</f>
        <v>234.9</v>
      </c>
      <c r="CC10" s="100" t="n">
        <f aca="false">Pipeline!$Q$17*Pipeline!$D$17*MIN(1,MAX(0,(79-Pipeline!$E$17+1)/MAX(Pipeline!$F$17,1)))</f>
        <v>234.9</v>
      </c>
      <c r="CD10" s="100" t="n">
        <f aca="false">Pipeline!$Q$17*Pipeline!$D$17*MIN(1,MAX(0,(80-Pipeline!$E$17+1)/MAX(Pipeline!$F$17,1)))</f>
        <v>234.9</v>
      </c>
      <c r="CE10" s="100" t="n">
        <f aca="false">Pipeline!$Q$17*Pipeline!$D$17*MIN(1,MAX(0,(81-Pipeline!$E$17+1)/MAX(Pipeline!$F$17,1)))</f>
        <v>234.9</v>
      </c>
      <c r="CF10" s="100" t="n">
        <f aca="false">Pipeline!$Q$17*Pipeline!$D$17*MIN(1,MAX(0,(82-Pipeline!$E$17+1)/MAX(Pipeline!$F$17,1)))</f>
        <v>234.9</v>
      </c>
      <c r="CG10" s="100" t="n">
        <f aca="false">Pipeline!$Q$17*Pipeline!$D$17*MIN(1,MAX(0,(83-Pipeline!$E$17+1)/MAX(Pipeline!$F$17,1)))</f>
        <v>234.9</v>
      </c>
      <c r="CH10" s="100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6" t="s">
        <v>491</v>
      </c>
      <c r="C11" s="100" t="n">
        <f aca="false">Pipeline!$Q$18*Pipeline!$D$18*MIN(1,MAX(0,(1-Pipeline!$E$18+1)/MAX(Pipeline!$F$18,1)))</f>
        <v>0</v>
      </c>
      <c r="D11" s="100" t="n">
        <f aca="false">Pipeline!$Q$18*Pipeline!$D$18*MIN(1,MAX(0,(2-Pipeline!$E$18+1)/MAX(Pipeline!$F$18,1)))</f>
        <v>0</v>
      </c>
      <c r="E11" s="100" t="n">
        <f aca="false">Pipeline!$Q$18*Pipeline!$D$18*MIN(1,MAX(0,(3-Pipeline!$E$18+1)/MAX(Pipeline!$F$18,1)))</f>
        <v>1178.578125</v>
      </c>
      <c r="F11" s="100" t="n">
        <f aca="false">Pipeline!$Q$18*Pipeline!$D$18*MIN(1,MAX(0,(4-Pipeline!$E$18+1)/MAX(Pipeline!$F$18,1)))</f>
        <v>2357.15625</v>
      </c>
      <c r="G11" s="100" t="n">
        <f aca="false">Pipeline!$Q$18*Pipeline!$D$18*MIN(1,MAX(0,(5-Pipeline!$E$18+1)/MAX(Pipeline!$F$18,1)))</f>
        <v>3535.734375</v>
      </c>
      <c r="H11" s="100" t="n">
        <f aca="false">Pipeline!$Q$18*Pipeline!$D$18*MIN(1,MAX(0,(6-Pipeline!$E$18+1)/MAX(Pipeline!$F$18,1)))</f>
        <v>4714.3125</v>
      </c>
      <c r="I11" s="100" t="n">
        <f aca="false">Pipeline!$Q$18*Pipeline!$D$18*MIN(1,MAX(0,(7-Pipeline!$E$18+1)/MAX(Pipeline!$F$18,1)))</f>
        <v>5892.890625</v>
      </c>
      <c r="J11" s="100" t="n">
        <f aca="false">Pipeline!$Q$18*Pipeline!$D$18*MIN(1,MAX(0,(8-Pipeline!$E$18+1)/MAX(Pipeline!$F$18,1)))</f>
        <v>7071.46875</v>
      </c>
      <c r="K11" s="100" t="n">
        <f aca="false">Pipeline!$Q$18*Pipeline!$D$18*MIN(1,MAX(0,(9-Pipeline!$E$18+1)/MAX(Pipeline!$F$18,1)))</f>
        <v>8250.046875</v>
      </c>
      <c r="L11" s="100" t="n">
        <f aca="false">Pipeline!$Q$18*Pipeline!$D$18*MIN(1,MAX(0,(10-Pipeline!$E$18+1)/MAX(Pipeline!$F$18,1)))</f>
        <v>9428.625</v>
      </c>
      <c r="M11" s="100" t="n">
        <f aca="false">Pipeline!$Q$18*Pipeline!$D$18*MIN(1,MAX(0,(11-Pipeline!$E$18+1)/MAX(Pipeline!$F$18,1)))</f>
        <v>9428.625</v>
      </c>
      <c r="N11" s="100" t="n">
        <f aca="false">Pipeline!$Q$18*Pipeline!$D$18*MIN(1,MAX(0,(12-Pipeline!$E$18+1)/MAX(Pipeline!$F$18,1)))</f>
        <v>9428.625</v>
      </c>
      <c r="O11" s="100" t="n">
        <f aca="false">Pipeline!$Q$18*Pipeline!$D$18*MIN(1,MAX(0,(13-Pipeline!$E$18+1)/MAX(Pipeline!$F$18,1)))</f>
        <v>9428.625</v>
      </c>
      <c r="P11" s="100" t="n">
        <f aca="false">Pipeline!$Q$18*Pipeline!$D$18*MIN(1,MAX(0,(14-Pipeline!$E$18+1)/MAX(Pipeline!$F$18,1)))</f>
        <v>9428.625</v>
      </c>
      <c r="Q11" s="100" t="n">
        <f aca="false">Pipeline!$Q$18*Pipeline!$D$18*MIN(1,MAX(0,(15-Pipeline!$E$18+1)/MAX(Pipeline!$F$18,1)))</f>
        <v>9428.625</v>
      </c>
      <c r="R11" s="100" t="n">
        <f aca="false">Pipeline!$Q$18*Pipeline!$D$18*MIN(1,MAX(0,(16-Pipeline!$E$18+1)/MAX(Pipeline!$F$18,1)))</f>
        <v>9428.625</v>
      </c>
      <c r="S11" s="100" t="n">
        <f aca="false">Pipeline!$Q$18*Pipeline!$D$18*MIN(1,MAX(0,(17-Pipeline!$E$18+1)/MAX(Pipeline!$F$18,1)))</f>
        <v>9428.625</v>
      </c>
      <c r="T11" s="100" t="n">
        <f aca="false">Pipeline!$Q$18*Pipeline!$D$18*MIN(1,MAX(0,(18-Pipeline!$E$18+1)/MAX(Pipeline!$F$18,1)))</f>
        <v>9428.625</v>
      </c>
      <c r="U11" s="100" t="n">
        <f aca="false">Pipeline!$Q$18*Pipeline!$D$18*MIN(1,MAX(0,(19-Pipeline!$E$18+1)/MAX(Pipeline!$F$18,1)))</f>
        <v>9428.625</v>
      </c>
      <c r="V11" s="100" t="n">
        <f aca="false">Pipeline!$Q$18*Pipeline!$D$18*MIN(1,MAX(0,(20-Pipeline!$E$18+1)/MAX(Pipeline!$F$18,1)))</f>
        <v>9428.625</v>
      </c>
      <c r="W11" s="100" t="n">
        <f aca="false">Pipeline!$Q$18*Pipeline!$D$18*MIN(1,MAX(0,(21-Pipeline!$E$18+1)/MAX(Pipeline!$F$18,1)))</f>
        <v>9428.625</v>
      </c>
      <c r="X11" s="100" t="n">
        <f aca="false">Pipeline!$Q$18*Pipeline!$D$18*MIN(1,MAX(0,(22-Pipeline!$E$18+1)/MAX(Pipeline!$F$18,1)))</f>
        <v>9428.625</v>
      </c>
      <c r="Y11" s="100" t="n">
        <f aca="false">Pipeline!$Q$18*Pipeline!$D$18*MIN(1,MAX(0,(23-Pipeline!$E$18+1)/MAX(Pipeline!$F$18,1)))</f>
        <v>9428.625</v>
      </c>
      <c r="Z11" s="100" t="n">
        <f aca="false">Pipeline!$Q$18*Pipeline!$D$18*MIN(1,MAX(0,(24-Pipeline!$E$18+1)/MAX(Pipeline!$F$18,1)))</f>
        <v>9428.625</v>
      </c>
      <c r="AA11" s="100" t="n">
        <f aca="false">Pipeline!$Q$18*Pipeline!$D$18*MIN(1,MAX(0,(25-Pipeline!$E$18+1)/MAX(Pipeline!$F$18,1)))</f>
        <v>9428.625</v>
      </c>
      <c r="AB11" s="100" t="n">
        <f aca="false">Pipeline!$Q$18*Pipeline!$D$18*MIN(1,MAX(0,(26-Pipeline!$E$18+1)/MAX(Pipeline!$F$18,1)))</f>
        <v>9428.625</v>
      </c>
      <c r="AC11" s="100" t="n">
        <f aca="false">Pipeline!$Q$18*Pipeline!$D$18*MIN(1,MAX(0,(27-Pipeline!$E$18+1)/MAX(Pipeline!$F$18,1)))</f>
        <v>9428.625</v>
      </c>
      <c r="AD11" s="100" t="n">
        <f aca="false">Pipeline!$Q$18*Pipeline!$D$18*MIN(1,MAX(0,(28-Pipeline!$E$18+1)/MAX(Pipeline!$F$18,1)))</f>
        <v>9428.625</v>
      </c>
      <c r="AE11" s="100" t="n">
        <f aca="false">Pipeline!$Q$18*Pipeline!$D$18*MIN(1,MAX(0,(29-Pipeline!$E$18+1)/MAX(Pipeline!$F$18,1)))</f>
        <v>9428.625</v>
      </c>
      <c r="AF11" s="100" t="n">
        <f aca="false">Pipeline!$Q$18*Pipeline!$D$18*MIN(1,MAX(0,(30-Pipeline!$E$18+1)/MAX(Pipeline!$F$18,1)))</f>
        <v>9428.625</v>
      </c>
      <c r="AG11" s="100" t="n">
        <f aca="false">Pipeline!$Q$18*Pipeline!$D$18*MIN(1,MAX(0,(31-Pipeline!$E$18+1)/MAX(Pipeline!$F$18,1)))</f>
        <v>9428.625</v>
      </c>
      <c r="AH11" s="100" t="n">
        <f aca="false">Pipeline!$Q$18*Pipeline!$D$18*MIN(1,MAX(0,(32-Pipeline!$E$18+1)/MAX(Pipeline!$F$18,1)))</f>
        <v>9428.625</v>
      </c>
      <c r="AI11" s="100" t="n">
        <f aca="false">Pipeline!$Q$18*Pipeline!$D$18*MIN(1,MAX(0,(33-Pipeline!$E$18+1)/MAX(Pipeline!$F$18,1)))</f>
        <v>9428.625</v>
      </c>
      <c r="AJ11" s="100" t="n">
        <f aca="false">Pipeline!$Q$18*Pipeline!$D$18*MIN(1,MAX(0,(34-Pipeline!$E$18+1)/MAX(Pipeline!$F$18,1)))</f>
        <v>9428.625</v>
      </c>
      <c r="AK11" s="100" t="n">
        <f aca="false">Pipeline!$Q$18*Pipeline!$D$18*MIN(1,MAX(0,(35-Pipeline!$E$18+1)/MAX(Pipeline!$F$18,1)))</f>
        <v>9428.625</v>
      </c>
      <c r="AL11" s="100" t="n">
        <f aca="false">Pipeline!$Q$18*Pipeline!$D$18*MIN(1,MAX(0,(36-Pipeline!$E$18+1)/MAX(Pipeline!$F$18,1)))</f>
        <v>9428.625</v>
      </c>
      <c r="AM11" s="100" t="n">
        <f aca="false">Pipeline!$Q$18*Pipeline!$D$18*MIN(1,MAX(0,(37-Pipeline!$E$18+1)/MAX(Pipeline!$F$18,1)))</f>
        <v>9428.625</v>
      </c>
      <c r="AN11" s="100" t="n">
        <f aca="false">Pipeline!$Q$18*Pipeline!$D$18*MIN(1,MAX(0,(38-Pipeline!$E$18+1)/MAX(Pipeline!$F$18,1)))</f>
        <v>9428.625</v>
      </c>
      <c r="AO11" s="100" t="n">
        <f aca="false">Pipeline!$Q$18*Pipeline!$D$18*MIN(1,MAX(0,(39-Pipeline!$E$18+1)/MAX(Pipeline!$F$18,1)))</f>
        <v>9428.625</v>
      </c>
      <c r="AP11" s="100" t="n">
        <f aca="false">Pipeline!$Q$18*Pipeline!$D$18*MIN(1,MAX(0,(40-Pipeline!$E$18+1)/MAX(Pipeline!$F$18,1)))</f>
        <v>9428.625</v>
      </c>
      <c r="AQ11" s="100" t="n">
        <f aca="false">Pipeline!$Q$18*Pipeline!$D$18*MIN(1,MAX(0,(41-Pipeline!$E$18+1)/MAX(Pipeline!$F$18,1)))</f>
        <v>9428.625</v>
      </c>
      <c r="AR11" s="100" t="n">
        <f aca="false">Pipeline!$Q$18*Pipeline!$D$18*MIN(1,MAX(0,(42-Pipeline!$E$18+1)/MAX(Pipeline!$F$18,1)))</f>
        <v>9428.625</v>
      </c>
      <c r="AS11" s="100" t="n">
        <f aca="false">Pipeline!$Q$18*Pipeline!$D$18*MIN(1,MAX(0,(43-Pipeline!$E$18+1)/MAX(Pipeline!$F$18,1)))</f>
        <v>9428.625</v>
      </c>
      <c r="AT11" s="100" t="n">
        <f aca="false">Pipeline!$Q$18*Pipeline!$D$18*MIN(1,MAX(0,(44-Pipeline!$E$18+1)/MAX(Pipeline!$F$18,1)))</f>
        <v>9428.625</v>
      </c>
      <c r="AU11" s="100" t="n">
        <f aca="false">Pipeline!$Q$18*Pipeline!$D$18*MIN(1,MAX(0,(45-Pipeline!$E$18+1)/MAX(Pipeline!$F$18,1)))</f>
        <v>9428.625</v>
      </c>
      <c r="AV11" s="100" t="n">
        <f aca="false">Pipeline!$Q$18*Pipeline!$D$18*MIN(1,MAX(0,(46-Pipeline!$E$18+1)/MAX(Pipeline!$F$18,1)))</f>
        <v>9428.625</v>
      </c>
      <c r="AW11" s="100" t="n">
        <f aca="false">Pipeline!$Q$18*Pipeline!$D$18*MIN(1,MAX(0,(47-Pipeline!$E$18+1)/MAX(Pipeline!$F$18,1)))</f>
        <v>9428.625</v>
      </c>
      <c r="AX11" s="100" t="n">
        <f aca="false">Pipeline!$Q$18*Pipeline!$D$18*MIN(1,MAX(0,(48-Pipeline!$E$18+1)/MAX(Pipeline!$F$18,1)))</f>
        <v>9428.625</v>
      </c>
      <c r="AY11" s="100" t="n">
        <f aca="false">Pipeline!$Q$18*Pipeline!$D$18*MIN(1,MAX(0,(49-Pipeline!$E$18+1)/MAX(Pipeline!$F$18,1)))</f>
        <v>9428.625</v>
      </c>
      <c r="AZ11" s="100" t="n">
        <f aca="false">Pipeline!$Q$18*Pipeline!$D$18*MIN(1,MAX(0,(50-Pipeline!$E$18+1)/MAX(Pipeline!$F$18,1)))</f>
        <v>9428.625</v>
      </c>
      <c r="BA11" s="100" t="n">
        <f aca="false">Pipeline!$Q$18*Pipeline!$D$18*MIN(1,MAX(0,(51-Pipeline!$E$18+1)/MAX(Pipeline!$F$18,1)))</f>
        <v>9428.625</v>
      </c>
      <c r="BB11" s="100" t="n">
        <f aca="false">Pipeline!$Q$18*Pipeline!$D$18*MIN(1,MAX(0,(52-Pipeline!$E$18+1)/MAX(Pipeline!$F$18,1)))</f>
        <v>9428.625</v>
      </c>
      <c r="BC11" s="100" t="n">
        <f aca="false">Pipeline!$Q$18*Pipeline!$D$18*MIN(1,MAX(0,(53-Pipeline!$E$18+1)/MAX(Pipeline!$F$18,1)))</f>
        <v>9428.625</v>
      </c>
      <c r="BD11" s="100" t="n">
        <f aca="false">Pipeline!$Q$18*Pipeline!$D$18*MIN(1,MAX(0,(54-Pipeline!$E$18+1)/MAX(Pipeline!$F$18,1)))</f>
        <v>9428.625</v>
      </c>
      <c r="BE11" s="100" t="n">
        <f aca="false">Pipeline!$Q$18*Pipeline!$D$18*MIN(1,MAX(0,(55-Pipeline!$E$18+1)/MAX(Pipeline!$F$18,1)))</f>
        <v>9428.625</v>
      </c>
      <c r="BF11" s="100" t="n">
        <f aca="false">Pipeline!$Q$18*Pipeline!$D$18*MIN(1,MAX(0,(56-Pipeline!$E$18+1)/MAX(Pipeline!$F$18,1)))</f>
        <v>9428.625</v>
      </c>
      <c r="BG11" s="100" t="n">
        <f aca="false">Pipeline!$Q$18*Pipeline!$D$18*MIN(1,MAX(0,(57-Pipeline!$E$18+1)/MAX(Pipeline!$F$18,1)))</f>
        <v>9428.625</v>
      </c>
      <c r="BH11" s="100" t="n">
        <f aca="false">Pipeline!$Q$18*Pipeline!$D$18*MIN(1,MAX(0,(58-Pipeline!$E$18+1)/MAX(Pipeline!$F$18,1)))</f>
        <v>9428.625</v>
      </c>
      <c r="BI11" s="100" t="n">
        <f aca="false">Pipeline!$Q$18*Pipeline!$D$18*MIN(1,MAX(0,(59-Pipeline!$E$18+1)/MAX(Pipeline!$F$18,1)))</f>
        <v>9428.625</v>
      </c>
      <c r="BJ11" s="100" t="n">
        <f aca="false">Pipeline!$Q$18*Pipeline!$D$18*MIN(1,MAX(0,(60-Pipeline!$E$18+1)/MAX(Pipeline!$F$18,1)))</f>
        <v>9428.625</v>
      </c>
      <c r="BK11" s="100" t="n">
        <f aca="false">Pipeline!$Q$18*Pipeline!$D$18*MIN(1,MAX(0,(61-Pipeline!$E$18+1)/MAX(Pipeline!$F$18,1)))</f>
        <v>9428.625</v>
      </c>
      <c r="BL11" s="100" t="n">
        <f aca="false">Pipeline!$Q$18*Pipeline!$D$18*MIN(1,MAX(0,(62-Pipeline!$E$18+1)/MAX(Pipeline!$F$18,1)))</f>
        <v>9428.625</v>
      </c>
      <c r="BM11" s="100" t="n">
        <f aca="false">Pipeline!$Q$18*Pipeline!$D$18*MIN(1,MAX(0,(63-Pipeline!$E$18+1)/MAX(Pipeline!$F$18,1)))</f>
        <v>9428.625</v>
      </c>
      <c r="BN11" s="100" t="n">
        <f aca="false">Pipeline!$Q$18*Pipeline!$D$18*MIN(1,MAX(0,(64-Pipeline!$E$18+1)/MAX(Pipeline!$F$18,1)))</f>
        <v>9428.625</v>
      </c>
      <c r="BO11" s="100" t="n">
        <f aca="false">Pipeline!$Q$18*Pipeline!$D$18*MIN(1,MAX(0,(65-Pipeline!$E$18+1)/MAX(Pipeline!$F$18,1)))</f>
        <v>9428.625</v>
      </c>
      <c r="BP11" s="100" t="n">
        <f aca="false">Pipeline!$Q$18*Pipeline!$D$18*MIN(1,MAX(0,(66-Pipeline!$E$18+1)/MAX(Pipeline!$F$18,1)))</f>
        <v>9428.625</v>
      </c>
      <c r="BQ11" s="100" t="n">
        <f aca="false">Pipeline!$Q$18*Pipeline!$D$18*MIN(1,MAX(0,(67-Pipeline!$E$18+1)/MAX(Pipeline!$F$18,1)))</f>
        <v>9428.625</v>
      </c>
      <c r="BR11" s="100" t="n">
        <f aca="false">Pipeline!$Q$18*Pipeline!$D$18*MIN(1,MAX(0,(68-Pipeline!$E$18+1)/MAX(Pipeline!$F$18,1)))</f>
        <v>9428.625</v>
      </c>
      <c r="BS11" s="100" t="n">
        <f aca="false">Pipeline!$Q$18*Pipeline!$D$18*MIN(1,MAX(0,(69-Pipeline!$E$18+1)/MAX(Pipeline!$F$18,1)))</f>
        <v>9428.625</v>
      </c>
      <c r="BT11" s="100" t="n">
        <f aca="false">Pipeline!$Q$18*Pipeline!$D$18*MIN(1,MAX(0,(70-Pipeline!$E$18+1)/MAX(Pipeline!$F$18,1)))</f>
        <v>9428.625</v>
      </c>
      <c r="BU11" s="100" t="n">
        <f aca="false">Pipeline!$Q$18*Pipeline!$D$18*MIN(1,MAX(0,(71-Pipeline!$E$18+1)/MAX(Pipeline!$F$18,1)))</f>
        <v>9428.625</v>
      </c>
      <c r="BV11" s="100" t="n">
        <f aca="false">Pipeline!$Q$18*Pipeline!$D$18*MIN(1,MAX(0,(72-Pipeline!$E$18+1)/MAX(Pipeline!$F$18,1)))</f>
        <v>9428.625</v>
      </c>
      <c r="BW11" s="100" t="n">
        <f aca="false">Pipeline!$Q$18*Pipeline!$D$18*MIN(1,MAX(0,(73-Pipeline!$E$18+1)/MAX(Pipeline!$F$18,1)))</f>
        <v>9428.625</v>
      </c>
      <c r="BX11" s="100" t="n">
        <f aca="false">Pipeline!$Q$18*Pipeline!$D$18*MIN(1,MAX(0,(74-Pipeline!$E$18+1)/MAX(Pipeline!$F$18,1)))</f>
        <v>9428.625</v>
      </c>
      <c r="BY11" s="100" t="n">
        <f aca="false">Pipeline!$Q$18*Pipeline!$D$18*MIN(1,MAX(0,(75-Pipeline!$E$18+1)/MAX(Pipeline!$F$18,1)))</f>
        <v>9428.625</v>
      </c>
      <c r="BZ11" s="100" t="n">
        <f aca="false">Pipeline!$Q$18*Pipeline!$D$18*MIN(1,MAX(0,(76-Pipeline!$E$18+1)/MAX(Pipeline!$F$18,1)))</f>
        <v>9428.625</v>
      </c>
      <c r="CA11" s="100" t="n">
        <f aca="false">Pipeline!$Q$18*Pipeline!$D$18*MIN(1,MAX(0,(77-Pipeline!$E$18+1)/MAX(Pipeline!$F$18,1)))</f>
        <v>9428.625</v>
      </c>
      <c r="CB11" s="100" t="n">
        <f aca="false">Pipeline!$Q$18*Pipeline!$D$18*MIN(1,MAX(0,(78-Pipeline!$E$18+1)/MAX(Pipeline!$F$18,1)))</f>
        <v>9428.625</v>
      </c>
      <c r="CC11" s="100" t="n">
        <f aca="false">Pipeline!$Q$18*Pipeline!$D$18*MIN(1,MAX(0,(79-Pipeline!$E$18+1)/MAX(Pipeline!$F$18,1)))</f>
        <v>9428.625</v>
      </c>
      <c r="CD11" s="100" t="n">
        <f aca="false">Pipeline!$Q$18*Pipeline!$D$18*MIN(1,MAX(0,(80-Pipeline!$E$18+1)/MAX(Pipeline!$F$18,1)))</f>
        <v>9428.625</v>
      </c>
      <c r="CE11" s="100" t="n">
        <f aca="false">Pipeline!$Q$18*Pipeline!$D$18*MIN(1,MAX(0,(81-Pipeline!$E$18+1)/MAX(Pipeline!$F$18,1)))</f>
        <v>9428.625</v>
      </c>
      <c r="CF11" s="100" t="n">
        <f aca="false">Pipeline!$Q$18*Pipeline!$D$18*MIN(1,MAX(0,(82-Pipeline!$E$18+1)/MAX(Pipeline!$F$18,1)))</f>
        <v>9428.625</v>
      </c>
      <c r="CG11" s="100" t="n">
        <f aca="false">Pipeline!$Q$18*Pipeline!$D$18*MIN(1,MAX(0,(83-Pipeline!$E$18+1)/MAX(Pipeline!$F$18,1)))</f>
        <v>9428.625</v>
      </c>
      <c r="CH11" s="100" t="n">
        <f aca="false">Pipeline!$Q$18*Pipeline!$D$18*MIN(1,MAX(0,(84-Pipeline!$E$18+1)/MAX(Pipeline!$F$18,1)))</f>
        <v>9428.625</v>
      </c>
    </row>
    <row r="12" customFormat="false" ht="13.5" hidden="false" customHeight="true" outlineLevel="0" collapsed="false">
      <c r="A12" s="6" t="s">
        <v>492</v>
      </c>
      <c r="C12" s="100" t="n">
        <f aca="false">Pipeline!$Q$19*Pipeline!$D$19*MIN(1,MAX(0,(1-Pipeline!$E$19+1)/MAX(Pipeline!$F$19,1)))</f>
        <v>0</v>
      </c>
      <c r="D12" s="100" t="n">
        <f aca="false">Pipeline!$Q$19*Pipeline!$D$19*MIN(1,MAX(0,(2-Pipeline!$E$19+1)/MAX(Pipeline!$F$19,1)))</f>
        <v>0</v>
      </c>
      <c r="E12" s="100" t="n">
        <f aca="false">Pipeline!$Q$19*Pipeline!$D$19*MIN(1,MAX(0,(3-Pipeline!$E$19+1)/MAX(Pipeline!$F$19,1)))</f>
        <v>0</v>
      </c>
      <c r="F12" s="100" t="n">
        <f aca="false">Pipeline!$Q$19*Pipeline!$D$19*MIN(1,MAX(0,(4-Pipeline!$E$19+1)/MAX(Pipeline!$F$19,1)))</f>
        <v>0</v>
      </c>
      <c r="G12" s="100" t="n">
        <f aca="false">Pipeline!$Q$19*Pipeline!$D$19*MIN(1,MAX(0,(5-Pipeline!$E$19+1)/MAX(Pipeline!$F$19,1)))</f>
        <v>0</v>
      </c>
      <c r="H12" s="100" t="n">
        <f aca="false">Pipeline!$Q$19*Pipeline!$D$19*MIN(1,MAX(0,(6-Pipeline!$E$19+1)/MAX(Pipeline!$F$19,1)))</f>
        <v>717.75</v>
      </c>
      <c r="I12" s="100" t="n">
        <f aca="false">Pipeline!$Q$19*Pipeline!$D$19*MIN(1,MAX(0,(7-Pipeline!$E$19+1)/MAX(Pipeline!$F$19,1)))</f>
        <v>1435.5</v>
      </c>
      <c r="J12" s="100" t="n">
        <f aca="false">Pipeline!$Q$19*Pipeline!$D$19*MIN(1,MAX(0,(8-Pipeline!$E$19+1)/MAX(Pipeline!$F$19,1)))</f>
        <v>2153.25</v>
      </c>
      <c r="K12" s="100" t="n">
        <f aca="false">Pipeline!$Q$19*Pipeline!$D$19*MIN(1,MAX(0,(9-Pipeline!$E$19+1)/MAX(Pipeline!$F$19,1)))</f>
        <v>2871</v>
      </c>
      <c r="L12" s="100" t="n">
        <f aca="false">Pipeline!$Q$19*Pipeline!$D$19*MIN(1,MAX(0,(10-Pipeline!$E$19+1)/MAX(Pipeline!$F$19,1)))</f>
        <v>3588.75</v>
      </c>
      <c r="M12" s="100" t="n">
        <f aca="false">Pipeline!$Q$19*Pipeline!$D$19*MIN(1,MAX(0,(11-Pipeline!$E$19+1)/MAX(Pipeline!$F$19,1)))</f>
        <v>4306.5</v>
      </c>
      <c r="N12" s="100" t="n">
        <f aca="false">Pipeline!$Q$19*Pipeline!$D$19*MIN(1,MAX(0,(12-Pipeline!$E$19+1)/MAX(Pipeline!$F$19,1)))</f>
        <v>5024.25</v>
      </c>
      <c r="O12" s="100" t="n">
        <f aca="false">Pipeline!$Q$19*Pipeline!$D$19*MIN(1,MAX(0,(13-Pipeline!$E$19+1)/MAX(Pipeline!$F$19,1)))</f>
        <v>5742</v>
      </c>
      <c r="P12" s="100" t="n">
        <f aca="false">Pipeline!$Q$19*Pipeline!$D$19*MIN(1,MAX(0,(14-Pipeline!$E$19+1)/MAX(Pipeline!$F$19,1)))</f>
        <v>5742</v>
      </c>
      <c r="Q12" s="100" t="n">
        <f aca="false">Pipeline!$Q$19*Pipeline!$D$19*MIN(1,MAX(0,(15-Pipeline!$E$19+1)/MAX(Pipeline!$F$19,1)))</f>
        <v>5742</v>
      </c>
      <c r="R12" s="100" t="n">
        <f aca="false">Pipeline!$Q$19*Pipeline!$D$19*MIN(1,MAX(0,(16-Pipeline!$E$19+1)/MAX(Pipeline!$F$19,1)))</f>
        <v>5742</v>
      </c>
      <c r="S12" s="100" t="n">
        <f aca="false">Pipeline!$Q$19*Pipeline!$D$19*MIN(1,MAX(0,(17-Pipeline!$E$19+1)/MAX(Pipeline!$F$19,1)))</f>
        <v>5742</v>
      </c>
      <c r="T12" s="100" t="n">
        <f aca="false">Pipeline!$Q$19*Pipeline!$D$19*MIN(1,MAX(0,(18-Pipeline!$E$19+1)/MAX(Pipeline!$F$19,1)))</f>
        <v>5742</v>
      </c>
      <c r="U12" s="100" t="n">
        <f aca="false">Pipeline!$Q$19*Pipeline!$D$19*MIN(1,MAX(0,(19-Pipeline!$E$19+1)/MAX(Pipeline!$F$19,1)))</f>
        <v>5742</v>
      </c>
      <c r="V12" s="100" t="n">
        <f aca="false">Pipeline!$Q$19*Pipeline!$D$19*MIN(1,MAX(0,(20-Pipeline!$E$19+1)/MAX(Pipeline!$F$19,1)))</f>
        <v>5742</v>
      </c>
      <c r="W12" s="100" t="n">
        <f aca="false">Pipeline!$Q$19*Pipeline!$D$19*MIN(1,MAX(0,(21-Pipeline!$E$19+1)/MAX(Pipeline!$F$19,1)))</f>
        <v>5742</v>
      </c>
      <c r="X12" s="100" t="n">
        <f aca="false">Pipeline!$Q$19*Pipeline!$D$19*MIN(1,MAX(0,(22-Pipeline!$E$19+1)/MAX(Pipeline!$F$19,1)))</f>
        <v>5742</v>
      </c>
      <c r="Y12" s="100" t="n">
        <f aca="false">Pipeline!$Q$19*Pipeline!$D$19*MIN(1,MAX(0,(23-Pipeline!$E$19+1)/MAX(Pipeline!$F$19,1)))</f>
        <v>5742</v>
      </c>
      <c r="Z12" s="100" t="n">
        <f aca="false">Pipeline!$Q$19*Pipeline!$D$19*MIN(1,MAX(0,(24-Pipeline!$E$19+1)/MAX(Pipeline!$F$19,1)))</f>
        <v>5742</v>
      </c>
      <c r="AA12" s="100" t="n">
        <f aca="false">Pipeline!$Q$19*Pipeline!$D$19*MIN(1,MAX(0,(25-Pipeline!$E$19+1)/MAX(Pipeline!$F$19,1)))</f>
        <v>5742</v>
      </c>
      <c r="AB12" s="100" t="n">
        <f aca="false">Pipeline!$Q$19*Pipeline!$D$19*MIN(1,MAX(0,(26-Pipeline!$E$19+1)/MAX(Pipeline!$F$19,1)))</f>
        <v>5742</v>
      </c>
      <c r="AC12" s="100" t="n">
        <f aca="false">Pipeline!$Q$19*Pipeline!$D$19*MIN(1,MAX(0,(27-Pipeline!$E$19+1)/MAX(Pipeline!$F$19,1)))</f>
        <v>5742</v>
      </c>
      <c r="AD12" s="100" t="n">
        <f aca="false">Pipeline!$Q$19*Pipeline!$D$19*MIN(1,MAX(0,(28-Pipeline!$E$19+1)/MAX(Pipeline!$F$19,1)))</f>
        <v>5742</v>
      </c>
      <c r="AE12" s="100" t="n">
        <f aca="false">Pipeline!$Q$19*Pipeline!$D$19*MIN(1,MAX(0,(29-Pipeline!$E$19+1)/MAX(Pipeline!$F$19,1)))</f>
        <v>5742</v>
      </c>
      <c r="AF12" s="100" t="n">
        <f aca="false">Pipeline!$Q$19*Pipeline!$D$19*MIN(1,MAX(0,(30-Pipeline!$E$19+1)/MAX(Pipeline!$F$19,1)))</f>
        <v>5742</v>
      </c>
      <c r="AG12" s="100" t="n">
        <f aca="false">Pipeline!$Q$19*Pipeline!$D$19*MIN(1,MAX(0,(31-Pipeline!$E$19+1)/MAX(Pipeline!$F$19,1)))</f>
        <v>5742</v>
      </c>
      <c r="AH12" s="100" t="n">
        <f aca="false">Pipeline!$Q$19*Pipeline!$D$19*MIN(1,MAX(0,(32-Pipeline!$E$19+1)/MAX(Pipeline!$F$19,1)))</f>
        <v>5742</v>
      </c>
      <c r="AI12" s="100" t="n">
        <f aca="false">Pipeline!$Q$19*Pipeline!$D$19*MIN(1,MAX(0,(33-Pipeline!$E$19+1)/MAX(Pipeline!$F$19,1)))</f>
        <v>5742</v>
      </c>
      <c r="AJ12" s="100" t="n">
        <f aca="false">Pipeline!$Q$19*Pipeline!$D$19*MIN(1,MAX(0,(34-Pipeline!$E$19+1)/MAX(Pipeline!$F$19,1)))</f>
        <v>5742</v>
      </c>
      <c r="AK12" s="100" t="n">
        <f aca="false">Pipeline!$Q$19*Pipeline!$D$19*MIN(1,MAX(0,(35-Pipeline!$E$19+1)/MAX(Pipeline!$F$19,1)))</f>
        <v>5742</v>
      </c>
      <c r="AL12" s="100" t="n">
        <f aca="false">Pipeline!$Q$19*Pipeline!$D$19*MIN(1,MAX(0,(36-Pipeline!$E$19+1)/MAX(Pipeline!$F$19,1)))</f>
        <v>5742</v>
      </c>
      <c r="AM12" s="100" t="n">
        <f aca="false">Pipeline!$Q$19*Pipeline!$D$19*MIN(1,MAX(0,(37-Pipeline!$E$19+1)/MAX(Pipeline!$F$19,1)))</f>
        <v>5742</v>
      </c>
      <c r="AN12" s="100" t="n">
        <f aca="false">Pipeline!$Q$19*Pipeline!$D$19*MIN(1,MAX(0,(38-Pipeline!$E$19+1)/MAX(Pipeline!$F$19,1)))</f>
        <v>5742</v>
      </c>
      <c r="AO12" s="100" t="n">
        <f aca="false">Pipeline!$Q$19*Pipeline!$D$19*MIN(1,MAX(0,(39-Pipeline!$E$19+1)/MAX(Pipeline!$F$19,1)))</f>
        <v>5742</v>
      </c>
      <c r="AP12" s="100" t="n">
        <f aca="false">Pipeline!$Q$19*Pipeline!$D$19*MIN(1,MAX(0,(40-Pipeline!$E$19+1)/MAX(Pipeline!$F$19,1)))</f>
        <v>5742</v>
      </c>
      <c r="AQ12" s="100" t="n">
        <f aca="false">Pipeline!$Q$19*Pipeline!$D$19*MIN(1,MAX(0,(41-Pipeline!$E$19+1)/MAX(Pipeline!$F$19,1)))</f>
        <v>5742</v>
      </c>
      <c r="AR12" s="100" t="n">
        <f aca="false">Pipeline!$Q$19*Pipeline!$D$19*MIN(1,MAX(0,(42-Pipeline!$E$19+1)/MAX(Pipeline!$F$19,1)))</f>
        <v>5742</v>
      </c>
      <c r="AS12" s="100" t="n">
        <f aca="false">Pipeline!$Q$19*Pipeline!$D$19*MIN(1,MAX(0,(43-Pipeline!$E$19+1)/MAX(Pipeline!$F$19,1)))</f>
        <v>5742</v>
      </c>
      <c r="AT12" s="100" t="n">
        <f aca="false">Pipeline!$Q$19*Pipeline!$D$19*MIN(1,MAX(0,(44-Pipeline!$E$19+1)/MAX(Pipeline!$F$19,1)))</f>
        <v>5742</v>
      </c>
      <c r="AU12" s="100" t="n">
        <f aca="false">Pipeline!$Q$19*Pipeline!$D$19*MIN(1,MAX(0,(45-Pipeline!$E$19+1)/MAX(Pipeline!$F$19,1)))</f>
        <v>5742</v>
      </c>
      <c r="AV12" s="100" t="n">
        <f aca="false">Pipeline!$Q$19*Pipeline!$D$19*MIN(1,MAX(0,(46-Pipeline!$E$19+1)/MAX(Pipeline!$F$19,1)))</f>
        <v>5742</v>
      </c>
      <c r="AW12" s="100" t="n">
        <f aca="false">Pipeline!$Q$19*Pipeline!$D$19*MIN(1,MAX(0,(47-Pipeline!$E$19+1)/MAX(Pipeline!$F$19,1)))</f>
        <v>5742</v>
      </c>
      <c r="AX12" s="100" t="n">
        <f aca="false">Pipeline!$Q$19*Pipeline!$D$19*MIN(1,MAX(0,(48-Pipeline!$E$19+1)/MAX(Pipeline!$F$19,1)))</f>
        <v>5742</v>
      </c>
      <c r="AY12" s="100" t="n">
        <f aca="false">Pipeline!$Q$19*Pipeline!$D$19*MIN(1,MAX(0,(49-Pipeline!$E$19+1)/MAX(Pipeline!$F$19,1)))</f>
        <v>5742</v>
      </c>
      <c r="AZ12" s="100" t="n">
        <f aca="false">Pipeline!$Q$19*Pipeline!$D$19*MIN(1,MAX(0,(50-Pipeline!$E$19+1)/MAX(Pipeline!$F$19,1)))</f>
        <v>5742</v>
      </c>
      <c r="BA12" s="100" t="n">
        <f aca="false">Pipeline!$Q$19*Pipeline!$D$19*MIN(1,MAX(0,(51-Pipeline!$E$19+1)/MAX(Pipeline!$F$19,1)))</f>
        <v>5742</v>
      </c>
      <c r="BB12" s="100" t="n">
        <f aca="false">Pipeline!$Q$19*Pipeline!$D$19*MIN(1,MAX(0,(52-Pipeline!$E$19+1)/MAX(Pipeline!$F$19,1)))</f>
        <v>5742</v>
      </c>
      <c r="BC12" s="100" t="n">
        <f aca="false">Pipeline!$Q$19*Pipeline!$D$19*MIN(1,MAX(0,(53-Pipeline!$E$19+1)/MAX(Pipeline!$F$19,1)))</f>
        <v>5742</v>
      </c>
      <c r="BD12" s="100" t="n">
        <f aca="false">Pipeline!$Q$19*Pipeline!$D$19*MIN(1,MAX(0,(54-Pipeline!$E$19+1)/MAX(Pipeline!$F$19,1)))</f>
        <v>5742</v>
      </c>
      <c r="BE12" s="100" t="n">
        <f aca="false">Pipeline!$Q$19*Pipeline!$D$19*MIN(1,MAX(0,(55-Pipeline!$E$19+1)/MAX(Pipeline!$F$19,1)))</f>
        <v>5742</v>
      </c>
      <c r="BF12" s="100" t="n">
        <f aca="false">Pipeline!$Q$19*Pipeline!$D$19*MIN(1,MAX(0,(56-Pipeline!$E$19+1)/MAX(Pipeline!$F$19,1)))</f>
        <v>5742</v>
      </c>
      <c r="BG12" s="100" t="n">
        <f aca="false">Pipeline!$Q$19*Pipeline!$D$19*MIN(1,MAX(0,(57-Pipeline!$E$19+1)/MAX(Pipeline!$F$19,1)))</f>
        <v>5742</v>
      </c>
      <c r="BH12" s="100" t="n">
        <f aca="false">Pipeline!$Q$19*Pipeline!$D$19*MIN(1,MAX(0,(58-Pipeline!$E$19+1)/MAX(Pipeline!$F$19,1)))</f>
        <v>5742</v>
      </c>
      <c r="BI12" s="100" t="n">
        <f aca="false">Pipeline!$Q$19*Pipeline!$D$19*MIN(1,MAX(0,(59-Pipeline!$E$19+1)/MAX(Pipeline!$F$19,1)))</f>
        <v>5742</v>
      </c>
      <c r="BJ12" s="100" t="n">
        <f aca="false">Pipeline!$Q$19*Pipeline!$D$19*MIN(1,MAX(0,(60-Pipeline!$E$19+1)/MAX(Pipeline!$F$19,1)))</f>
        <v>5742</v>
      </c>
      <c r="BK12" s="100" t="n">
        <f aca="false">Pipeline!$Q$19*Pipeline!$D$19*MIN(1,MAX(0,(61-Pipeline!$E$19+1)/MAX(Pipeline!$F$19,1)))</f>
        <v>5742</v>
      </c>
      <c r="BL12" s="100" t="n">
        <f aca="false">Pipeline!$Q$19*Pipeline!$D$19*MIN(1,MAX(0,(62-Pipeline!$E$19+1)/MAX(Pipeline!$F$19,1)))</f>
        <v>5742</v>
      </c>
      <c r="BM12" s="100" t="n">
        <f aca="false">Pipeline!$Q$19*Pipeline!$D$19*MIN(1,MAX(0,(63-Pipeline!$E$19+1)/MAX(Pipeline!$F$19,1)))</f>
        <v>5742</v>
      </c>
      <c r="BN12" s="100" t="n">
        <f aca="false">Pipeline!$Q$19*Pipeline!$D$19*MIN(1,MAX(0,(64-Pipeline!$E$19+1)/MAX(Pipeline!$F$19,1)))</f>
        <v>5742</v>
      </c>
      <c r="BO12" s="100" t="n">
        <f aca="false">Pipeline!$Q$19*Pipeline!$D$19*MIN(1,MAX(0,(65-Pipeline!$E$19+1)/MAX(Pipeline!$F$19,1)))</f>
        <v>5742</v>
      </c>
      <c r="BP12" s="100" t="n">
        <f aca="false">Pipeline!$Q$19*Pipeline!$D$19*MIN(1,MAX(0,(66-Pipeline!$E$19+1)/MAX(Pipeline!$F$19,1)))</f>
        <v>5742</v>
      </c>
      <c r="BQ12" s="100" t="n">
        <f aca="false">Pipeline!$Q$19*Pipeline!$D$19*MIN(1,MAX(0,(67-Pipeline!$E$19+1)/MAX(Pipeline!$F$19,1)))</f>
        <v>5742</v>
      </c>
      <c r="BR12" s="100" t="n">
        <f aca="false">Pipeline!$Q$19*Pipeline!$D$19*MIN(1,MAX(0,(68-Pipeline!$E$19+1)/MAX(Pipeline!$F$19,1)))</f>
        <v>5742</v>
      </c>
      <c r="BS12" s="100" t="n">
        <f aca="false">Pipeline!$Q$19*Pipeline!$D$19*MIN(1,MAX(0,(69-Pipeline!$E$19+1)/MAX(Pipeline!$F$19,1)))</f>
        <v>5742</v>
      </c>
      <c r="BT12" s="100" t="n">
        <f aca="false">Pipeline!$Q$19*Pipeline!$D$19*MIN(1,MAX(0,(70-Pipeline!$E$19+1)/MAX(Pipeline!$F$19,1)))</f>
        <v>5742</v>
      </c>
      <c r="BU12" s="100" t="n">
        <f aca="false">Pipeline!$Q$19*Pipeline!$D$19*MIN(1,MAX(0,(71-Pipeline!$E$19+1)/MAX(Pipeline!$F$19,1)))</f>
        <v>5742</v>
      </c>
      <c r="BV12" s="100" t="n">
        <f aca="false">Pipeline!$Q$19*Pipeline!$D$19*MIN(1,MAX(0,(72-Pipeline!$E$19+1)/MAX(Pipeline!$F$19,1)))</f>
        <v>5742</v>
      </c>
      <c r="BW12" s="100" t="n">
        <f aca="false">Pipeline!$Q$19*Pipeline!$D$19*MIN(1,MAX(0,(73-Pipeline!$E$19+1)/MAX(Pipeline!$F$19,1)))</f>
        <v>5742</v>
      </c>
      <c r="BX12" s="100" t="n">
        <f aca="false">Pipeline!$Q$19*Pipeline!$D$19*MIN(1,MAX(0,(74-Pipeline!$E$19+1)/MAX(Pipeline!$F$19,1)))</f>
        <v>5742</v>
      </c>
      <c r="BY12" s="100" t="n">
        <f aca="false">Pipeline!$Q$19*Pipeline!$D$19*MIN(1,MAX(0,(75-Pipeline!$E$19+1)/MAX(Pipeline!$F$19,1)))</f>
        <v>5742</v>
      </c>
      <c r="BZ12" s="100" t="n">
        <f aca="false">Pipeline!$Q$19*Pipeline!$D$19*MIN(1,MAX(0,(76-Pipeline!$E$19+1)/MAX(Pipeline!$F$19,1)))</f>
        <v>5742</v>
      </c>
      <c r="CA12" s="100" t="n">
        <f aca="false">Pipeline!$Q$19*Pipeline!$D$19*MIN(1,MAX(0,(77-Pipeline!$E$19+1)/MAX(Pipeline!$F$19,1)))</f>
        <v>5742</v>
      </c>
      <c r="CB12" s="100" t="n">
        <f aca="false">Pipeline!$Q$19*Pipeline!$D$19*MIN(1,MAX(0,(78-Pipeline!$E$19+1)/MAX(Pipeline!$F$19,1)))</f>
        <v>5742</v>
      </c>
      <c r="CC12" s="100" t="n">
        <f aca="false">Pipeline!$Q$19*Pipeline!$D$19*MIN(1,MAX(0,(79-Pipeline!$E$19+1)/MAX(Pipeline!$F$19,1)))</f>
        <v>5742</v>
      </c>
      <c r="CD12" s="100" t="n">
        <f aca="false">Pipeline!$Q$19*Pipeline!$D$19*MIN(1,MAX(0,(80-Pipeline!$E$19+1)/MAX(Pipeline!$F$19,1)))</f>
        <v>5742</v>
      </c>
      <c r="CE12" s="100" t="n">
        <f aca="false">Pipeline!$Q$19*Pipeline!$D$19*MIN(1,MAX(0,(81-Pipeline!$E$19+1)/MAX(Pipeline!$F$19,1)))</f>
        <v>5742</v>
      </c>
      <c r="CF12" s="100" t="n">
        <f aca="false">Pipeline!$Q$19*Pipeline!$D$19*MIN(1,MAX(0,(82-Pipeline!$E$19+1)/MAX(Pipeline!$F$19,1)))</f>
        <v>5742</v>
      </c>
      <c r="CG12" s="100" t="n">
        <f aca="false">Pipeline!$Q$19*Pipeline!$D$19*MIN(1,MAX(0,(83-Pipeline!$E$19+1)/MAX(Pipeline!$F$19,1)))</f>
        <v>5742</v>
      </c>
      <c r="CH12" s="100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6" t="s">
        <v>493</v>
      </c>
      <c r="C13" s="100" t="n">
        <f aca="false">Pipeline!$Q$20*Pipeline!$D$20*MIN(1,MAX(0,(1-Pipeline!$E$20+1)/MAX(Pipeline!$F$20,1)))</f>
        <v>0</v>
      </c>
      <c r="D13" s="100" t="n">
        <f aca="false">Pipeline!$Q$20*Pipeline!$D$20*MIN(1,MAX(0,(2-Pipeline!$E$20+1)/MAX(Pipeline!$F$20,1)))</f>
        <v>0</v>
      </c>
      <c r="E13" s="100" t="n">
        <f aca="false">Pipeline!$Q$20*Pipeline!$D$20*MIN(1,MAX(0,(3-Pipeline!$E$20+1)/MAX(Pipeline!$F$20,1)))</f>
        <v>0</v>
      </c>
      <c r="F13" s="100" t="n">
        <f aca="false">Pipeline!$Q$20*Pipeline!$D$20*MIN(1,MAX(0,(4-Pipeline!$E$20+1)/MAX(Pipeline!$F$20,1)))</f>
        <v>0</v>
      </c>
      <c r="G13" s="100" t="n">
        <f aca="false">Pipeline!$Q$20*Pipeline!$D$20*MIN(1,MAX(0,(5-Pipeline!$E$20+1)/MAX(Pipeline!$F$20,1)))</f>
        <v>0</v>
      </c>
      <c r="H13" s="100" t="n">
        <f aca="false">Pipeline!$Q$20*Pipeline!$D$20*MIN(1,MAX(0,(6-Pipeline!$E$20+1)/MAX(Pipeline!$F$20,1)))</f>
        <v>0</v>
      </c>
      <c r="I13" s="100" t="n">
        <f aca="false">Pipeline!$Q$20*Pipeline!$D$20*MIN(1,MAX(0,(7-Pipeline!$E$20+1)/MAX(Pipeline!$F$20,1)))</f>
        <v>0</v>
      </c>
      <c r="J13" s="100" t="n">
        <f aca="false">Pipeline!$Q$20*Pipeline!$D$20*MIN(1,MAX(0,(8-Pipeline!$E$20+1)/MAX(Pipeline!$F$20,1)))</f>
        <v>0</v>
      </c>
      <c r="K13" s="100" t="n">
        <f aca="false">Pipeline!$Q$20*Pipeline!$D$20*MIN(1,MAX(0,(9-Pipeline!$E$20+1)/MAX(Pipeline!$F$20,1)))</f>
        <v>0</v>
      </c>
      <c r="L13" s="100" t="n">
        <f aca="false">Pipeline!$Q$20*Pipeline!$D$20*MIN(1,MAX(0,(10-Pipeline!$E$20+1)/MAX(Pipeline!$F$20,1)))</f>
        <v>0</v>
      </c>
      <c r="M13" s="100" t="n">
        <f aca="false">Pipeline!$Q$20*Pipeline!$D$20*MIN(1,MAX(0,(11-Pipeline!$E$20+1)/MAX(Pipeline!$F$20,1)))</f>
        <v>0</v>
      </c>
      <c r="N13" s="100" t="n">
        <f aca="false">Pipeline!$Q$20*Pipeline!$D$20*MIN(1,MAX(0,(12-Pipeline!$E$20+1)/MAX(Pipeline!$F$20,1)))</f>
        <v>978.75</v>
      </c>
      <c r="O13" s="100" t="n">
        <f aca="false">Pipeline!$Q$20*Pipeline!$D$20*MIN(1,MAX(0,(13-Pipeline!$E$20+1)/MAX(Pipeline!$F$20,1)))</f>
        <v>1957.5</v>
      </c>
      <c r="P13" s="100" t="n">
        <f aca="false">Pipeline!$Q$20*Pipeline!$D$20*MIN(1,MAX(0,(14-Pipeline!$E$20+1)/MAX(Pipeline!$F$20,1)))</f>
        <v>2936.25</v>
      </c>
      <c r="Q13" s="100" t="n">
        <f aca="false">Pipeline!$Q$20*Pipeline!$D$20*MIN(1,MAX(0,(15-Pipeline!$E$20+1)/MAX(Pipeline!$F$20,1)))</f>
        <v>3915</v>
      </c>
      <c r="R13" s="100" t="n">
        <f aca="false">Pipeline!$Q$20*Pipeline!$D$20*MIN(1,MAX(0,(16-Pipeline!$E$20+1)/MAX(Pipeline!$F$20,1)))</f>
        <v>4893.75</v>
      </c>
      <c r="S13" s="100" t="n">
        <f aca="false">Pipeline!$Q$20*Pipeline!$D$20*MIN(1,MAX(0,(17-Pipeline!$E$20+1)/MAX(Pipeline!$F$20,1)))</f>
        <v>5872.5</v>
      </c>
      <c r="T13" s="100" t="n">
        <f aca="false">Pipeline!$Q$20*Pipeline!$D$20*MIN(1,MAX(0,(18-Pipeline!$E$20+1)/MAX(Pipeline!$F$20,1)))</f>
        <v>6851.25</v>
      </c>
      <c r="U13" s="100" t="n">
        <f aca="false">Pipeline!$Q$20*Pipeline!$D$20*MIN(1,MAX(0,(19-Pipeline!$E$20+1)/MAX(Pipeline!$F$20,1)))</f>
        <v>7830</v>
      </c>
      <c r="V13" s="100" t="n">
        <f aca="false">Pipeline!$Q$20*Pipeline!$D$20*MIN(1,MAX(0,(20-Pipeline!$E$20+1)/MAX(Pipeline!$F$20,1)))</f>
        <v>8808.75</v>
      </c>
      <c r="W13" s="100" t="n">
        <f aca="false">Pipeline!$Q$20*Pipeline!$D$20*MIN(1,MAX(0,(21-Pipeline!$E$20+1)/MAX(Pipeline!$F$20,1)))</f>
        <v>9787.5</v>
      </c>
      <c r="X13" s="100" t="n">
        <f aca="false">Pipeline!$Q$20*Pipeline!$D$20*MIN(1,MAX(0,(22-Pipeline!$E$20+1)/MAX(Pipeline!$F$20,1)))</f>
        <v>9787.5</v>
      </c>
      <c r="Y13" s="100" t="n">
        <f aca="false">Pipeline!$Q$20*Pipeline!$D$20*MIN(1,MAX(0,(23-Pipeline!$E$20+1)/MAX(Pipeline!$F$20,1)))</f>
        <v>9787.5</v>
      </c>
      <c r="Z13" s="100" t="n">
        <f aca="false">Pipeline!$Q$20*Pipeline!$D$20*MIN(1,MAX(0,(24-Pipeline!$E$20+1)/MAX(Pipeline!$F$20,1)))</f>
        <v>9787.5</v>
      </c>
      <c r="AA13" s="100" t="n">
        <f aca="false">Pipeline!$Q$20*Pipeline!$D$20*MIN(1,MAX(0,(25-Pipeline!$E$20+1)/MAX(Pipeline!$F$20,1)))</f>
        <v>9787.5</v>
      </c>
      <c r="AB13" s="100" t="n">
        <f aca="false">Pipeline!$Q$20*Pipeline!$D$20*MIN(1,MAX(0,(26-Pipeline!$E$20+1)/MAX(Pipeline!$F$20,1)))</f>
        <v>9787.5</v>
      </c>
      <c r="AC13" s="100" t="n">
        <f aca="false">Pipeline!$Q$20*Pipeline!$D$20*MIN(1,MAX(0,(27-Pipeline!$E$20+1)/MAX(Pipeline!$F$20,1)))</f>
        <v>9787.5</v>
      </c>
      <c r="AD13" s="100" t="n">
        <f aca="false">Pipeline!$Q$20*Pipeline!$D$20*MIN(1,MAX(0,(28-Pipeline!$E$20+1)/MAX(Pipeline!$F$20,1)))</f>
        <v>9787.5</v>
      </c>
      <c r="AE13" s="100" t="n">
        <f aca="false">Pipeline!$Q$20*Pipeline!$D$20*MIN(1,MAX(0,(29-Pipeline!$E$20+1)/MAX(Pipeline!$F$20,1)))</f>
        <v>9787.5</v>
      </c>
      <c r="AF13" s="100" t="n">
        <f aca="false">Pipeline!$Q$20*Pipeline!$D$20*MIN(1,MAX(0,(30-Pipeline!$E$20+1)/MAX(Pipeline!$F$20,1)))</f>
        <v>9787.5</v>
      </c>
      <c r="AG13" s="100" t="n">
        <f aca="false">Pipeline!$Q$20*Pipeline!$D$20*MIN(1,MAX(0,(31-Pipeline!$E$20+1)/MAX(Pipeline!$F$20,1)))</f>
        <v>9787.5</v>
      </c>
      <c r="AH13" s="100" t="n">
        <f aca="false">Pipeline!$Q$20*Pipeline!$D$20*MIN(1,MAX(0,(32-Pipeline!$E$20+1)/MAX(Pipeline!$F$20,1)))</f>
        <v>9787.5</v>
      </c>
      <c r="AI13" s="100" t="n">
        <f aca="false">Pipeline!$Q$20*Pipeline!$D$20*MIN(1,MAX(0,(33-Pipeline!$E$20+1)/MAX(Pipeline!$F$20,1)))</f>
        <v>9787.5</v>
      </c>
      <c r="AJ13" s="100" t="n">
        <f aca="false">Pipeline!$Q$20*Pipeline!$D$20*MIN(1,MAX(0,(34-Pipeline!$E$20+1)/MAX(Pipeline!$F$20,1)))</f>
        <v>9787.5</v>
      </c>
      <c r="AK13" s="100" t="n">
        <f aca="false">Pipeline!$Q$20*Pipeline!$D$20*MIN(1,MAX(0,(35-Pipeline!$E$20+1)/MAX(Pipeline!$F$20,1)))</f>
        <v>9787.5</v>
      </c>
      <c r="AL13" s="100" t="n">
        <f aca="false">Pipeline!$Q$20*Pipeline!$D$20*MIN(1,MAX(0,(36-Pipeline!$E$20+1)/MAX(Pipeline!$F$20,1)))</f>
        <v>9787.5</v>
      </c>
      <c r="AM13" s="100" t="n">
        <f aca="false">Pipeline!$Q$20*Pipeline!$D$20*MIN(1,MAX(0,(37-Pipeline!$E$20+1)/MAX(Pipeline!$F$20,1)))</f>
        <v>9787.5</v>
      </c>
      <c r="AN13" s="100" t="n">
        <f aca="false">Pipeline!$Q$20*Pipeline!$D$20*MIN(1,MAX(0,(38-Pipeline!$E$20+1)/MAX(Pipeline!$F$20,1)))</f>
        <v>9787.5</v>
      </c>
      <c r="AO13" s="100" t="n">
        <f aca="false">Pipeline!$Q$20*Pipeline!$D$20*MIN(1,MAX(0,(39-Pipeline!$E$20+1)/MAX(Pipeline!$F$20,1)))</f>
        <v>9787.5</v>
      </c>
      <c r="AP13" s="100" t="n">
        <f aca="false">Pipeline!$Q$20*Pipeline!$D$20*MIN(1,MAX(0,(40-Pipeline!$E$20+1)/MAX(Pipeline!$F$20,1)))</f>
        <v>9787.5</v>
      </c>
      <c r="AQ13" s="100" t="n">
        <f aca="false">Pipeline!$Q$20*Pipeline!$D$20*MIN(1,MAX(0,(41-Pipeline!$E$20+1)/MAX(Pipeline!$F$20,1)))</f>
        <v>9787.5</v>
      </c>
      <c r="AR13" s="100" t="n">
        <f aca="false">Pipeline!$Q$20*Pipeline!$D$20*MIN(1,MAX(0,(42-Pipeline!$E$20+1)/MAX(Pipeline!$F$20,1)))</f>
        <v>9787.5</v>
      </c>
      <c r="AS13" s="100" t="n">
        <f aca="false">Pipeline!$Q$20*Pipeline!$D$20*MIN(1,MAX(0,(43-Pipeline!$E$20+1)/MAX(Pipeline!$F$20,1)))</f>
        <v>9787.5</v>
      </c>
      <c r="AT13" s="100" t="n">
        <f aca="false">Pipeline!$Q$20*Pipeline!$D$20*MIN(1,MAX(0,(44-Pipeline!$E$20+1)/MAX(Pipeline!$F$20,1)))</f>
        <v>9787.5</v>
      </c>
      <c r="AU13" s="100" t="n">
        <f aca="false">Pipeline!$Q$20*Pipeline!$D$20*MIN(1,MAX(0,(45-Pipeline!$E$20+1)/MAX(Pipeline!$F$20,1)))</f>
        <v>9787.5</v>
      </c>
      <c r="AV13" s="100" t="n">
        <f aca="false">Pipeline!$Q$20*Pipeline!$D$20*MIN(1,MAX(0,(46-Pipeline!$E$20+1)/MAX(Pipeline!$F$20,1)))</f>
        <v>9787.5</v>
      </c>
      <c r="AW13" s="100" t="n">
        <f aca="false">Pipeline!$Q$20*Pipeline!$D$20*MIN(1,MAX(0,(47-Pipeline!$E$20+1)/MAX(Pipeline!$F$20,1)))</f>
        <v>9787.5</v>
      </c>
      <c r="AX13" s="100" t="n">
        <f aca="false">Pipeline!$Q$20*Pipeline!$D$20*MIN(1,MAX(0,(48-Pipeline!$E$20+1)/MAX(Pipeline!$F$20,1)))</f>
        <v>9787.5</v>
      </c>
      <c r="AY13" s="100" t="n">
        <f aca="false">Pipeline!$Q$20*Pipeline!$D$20*MIN(1,MAX(0,(49-Pipeline!$E$20+1)/MAX(Pipeline!$F$20,1)))</f>
        <v>9787.5</v>
      </c>
      <c r="AZ13" s="100" t="n">
        <f aca="false">Pipeline!$Q$20*Pipeline!$D$20*MIN(1,MAX(0,(50-Pipeline!$E$20+1)/MAX(Pipeline!$F$20,1)))</f>
        <v>9787.5</v>
      </c>
      <c r="BA13" s="100" t="n">
        <f aca="false">Pipeline!$Q$20*Pipeline!$D$20*MIN(1,MAX(0,(51-Pipeline!$E$20+1)/MAX(Pipeline!$F$20,1)))</f>
        <v>9787.5</v>
      </c>
      <c r="BB13" s="100" t="n">
        <f aca="false">Pipeline!$Q$20*Pipeline!$D$20*MIN(1,MAX(0,(52-Pipeline!$E$20+1)/MAX(Pipeline!$F$20,1)))</f>
        <v>9787.5</v>
      </c>
      <c r="BC13" s="100" t="n">
        <f aca="false">Pipeline!$Q$20*Pipeline!$D$20*MIN(1,MAX(0,(53-Pipeline!$E$20+1)/MAX(Pipeline!$F$20,1)))</f>
        <v>9787.5</v>
      </c>
      <c r="BD13" s="100" t="n">
        <f aca="false">Pipeline!$Q$20*Pipeline!$D$20*MIN(1,MAX(0,(54-Pipeline!$E$20+1)/MAX(Pipeline!$F$20,1)))</f>
        <v>9787.5</v>
      </c>
      <c r="BE13" s="100" t="n">
        <f aca="false">Pipeline!$Q$20*Pipeline!$D$20*MIN(1,MAX(0,(55-Pipeline!$E$20+1)/MAX(Pipeline!$F$20,1)))</f>
        <v>9787.5</v>
      </c>
      <c r="BF13" s="100" t="n">
        <f aca="false">Pipeline!$Q$20*Pipeline!$D$20*MIN(1,MAX(0,(56-Pipeline!$E$20+1)/MAX(Pipeline!$F$20,1)))</f>
        <v>9787.5</v>
      </c>
      <c r="BG13" s="100" t="n">
        <f aca="false">Pipeline!$Q$20*Pipeline!$D$20*MIN(1,MAX(0,(57-Pipeline!$E$20+1)/MAX(Pipeline!$F$20,1)))</f>
        <v>9787.5</v>
      </c>
      <c r="BH13" s="100" t="n">
        <f aca="false">Pipeline!$Q$20*Pipeline!$D$20*MIN(1,MAX(0,(58-Pipeline!$E$20+1)/MAX(Pipeline!$F$20,1)))</f>
        <v>9787.5</v>
      </c>
      <c r="BI13" s="100" t="n">
        <f aca="false">Pipeline!$Q$20*Pipeline!$D$20*MIN(1,MAX(0,(59-Pipeline!$E$20+1)/MAX(Pipeline!$F$20,1)))</f>
        <v>9787.5</v>
      </c>
      <c r="BJ13" s="100" t="n">
        <f aca="false">Pipeline!$Q$20*Pipeline!$D$20*MIN(1,MAX(0,(60-Pipeline!$E$20+1)/MAX(Pipeline!$F$20,1)))</f>
        <v>9787.5</v>
      </c>
      <c r="BK13" s="100" t="n">
        <f aca="false">Pipeline!$Q$20*Pipeline!$D$20*MIN(1,MAX(0,(61-Pipeline!$E$20+1)/MAX(Pipeline!$F$20,1)))</f>
        <v>9787.5</v>
      </c>
      <c r="BL13" s="100" t="n">
        <f aca="false">Pipeline!$Q$20*Pipeline!$D$20*MIN(1,MAX(0,(62-Pipeline!$E$20+1)/MAX(Pipeline!$F$20,1)))</f>
        <v>9787.5</v>
      </c>
      <c r="BM13" s="100" t="n">
        <f aca="false">Pipeline!$Q$20*Pipeline!$D$20*MIN(1,MAX(0,(63-Pipeline!$E$20+1)/MAX(Pipeline!$F$20,1)))</f>
        <v>9787.5</v>
      </c>
      <c r="BN13" s="100" t="n">
        <f aca="false">Pipeline!$Q$20*Pipeline!$D$20*MIN(1,MAX(0,(64-Pipeline!$E$20+1)/MAX(Pipeline!$F$20,1)))</f>
        <v>9787.5</v>
      </c>
      <c r="BO13" s="100" t="n">
        <f aca="false">Pipeline!$Q$20*Pipeline!$D$20*MIN(1,MAX(0,(65-Pipeline!$E$20+1)/MAX(Pipeline!$F$20,1)))</f>
        <v>9787.5</v>
      </c>
      <c r="BP13" s="100" t="n">
        <f aca="false">Pipeline!$Q$20*Pipeline!$D$20*MIN(1,MAX(0,(66-Pipeline!$E$20+1)/MAX(Pipeline!$F$20,1)))</f>
        <v>9787.5</v>
      </c>
      <c r="BQ13" s="100" t="n">
        <f aca="false">Pipeline!$Q$20*Pipeline!$D$20*MIN(1,MAX(0,(67-Pipeline!$E$20+1)/MAX(Pipeline!$F$20,1)))</f>
        <v>9787.5</v>
      </c>
      <c r="BR13" s="100" t="n">
        <f aca="false">Pipeline!$Q$20*Pipeline!$D$20*MIN(1,MAX(0,(68-Pipeline!$E$20+1)/MAX(Pipeline!$F$20,1)))</f>
        <v>9787.5</v>
      </c>
      <c r="BS13" s="100" t="n">
        <f aca="false">Pipeline!$Q$20*Pipeline!$D$20*MIN(1,MAX(0,(69-Pipeline!$E$20+1)/MAX(Pipeline!$F$20,1)))</f>
        <v>9787.5</v>
      </c>
      <c r="BT13" s="100" t="n">
        <f aca="false">Pipeline!$Q$20*Pipeline!$D$20*MIN(1,MAX(0,(70-Pipeline!$E$20+1)/MAX(Pipeline!$F$20,1)))</f>
        <v>9787.5</v>
      </c>
      <c r="BU13" s="100" t="n">
        <f aca="false">Pipeline!$Q$20*Pipeline!$D$20*MIN(1,MAX(0,(71-Pipeline!$E$20+1)/MAX(Pipeline!$F$20,1)))</f>
        <v>9787.5</v>
      </c>
      <c r="BV13" s="100" t="n">
        <f aca="false">Pipeline!$Q$20*Pipeline!$D$20*MIN(1,MAX(0,(72-Pipeline!$E$20+1)/MAX(Pipeline!$F$20,1)))</f>
        <v>9787.5</v>
      </c>
      <c r="BW13" s="100" t="n">
        <f aca="false">Pipeline!$Q$20*Pipeline!$D$20*MIN(1,MAX(0,(73-Pipeline!$E$20+1)/MAX(Pipeline!$F$20,1)))</f>
        <v>9787.5</v>
      </c>
      <c r="BX13" s="100" t="n">
        <f aca="false">Pipeline!$Q$20*Pipeline!$D$20*MIN(1,MAX(0,(74-Pipeline!$E$20+1)/MAX(Pipeline!$F$20,1)))</f>
        <v>9787.5</v>
      </c>
      <c r="BY13" s="100" t="n">
        <f aca="false">Pipeline!$Q$20*Pipeline!$D$20*MIN(1,MAX(0,(75-Pipeline!$E$20+1)/MAX(Pipeline!$F$20,1)))</f>
        <v>9787.5</v>
      </c>
      <c r="BZ13" s="100" t="n">
        <f aca="false">Pipeline!$Q$20*Pipeline!$D$20*MIN(1,MAX(0,(76-Pipeline!$E$20+1)/MAX(Pipeline!$F$20,1)))</f>
        <v>9787.5</v>
      </c>
      <c r="CA13" s="100" t="n">
        <f aca="false">Pipeline!$Q$20*Pipeline!$D$20*MIN(1,MAX(0,(77-Pipeline!$E$20+1)/MAX(Pipeline!$F$20,1)))</f>
        <v>9787.5</v>
      </c>
      <c r="CB13" s="100" t="n">
        <f aca="false">Pipeline!$Q$20*Pipeline!$D$20*MIN(1,MAX(0,(78-Pipeline!$E$20+1)/MAX(Pipeline!$F$20,1)))</f>
        <v>9787.5</v>
      </c>
      <c r="CC13" s="100" t="n">
        <f aca="false">Pipeline!$Q$20*Pipeline!$D$20*MIN(1,MAX(0,(79-Pipeline!$E$20+1)/MAX(Pipeline!$F$20,1)))</f>
        <v>9787.5</v>
      </c>
      <c r="CD13" s="100" t="n">
        <f aca="false">Pipeline!$Q$20*Pipeline!$D$20*MIN(1,MAX(0,(80-Pipeline!$E$20+1)/MAX(Pipeline!$F$20,1)))</f>
        <v>9787.5</v>
      </c>
      <c r="CE13" s="100" t="n">
        <f aca="false">Pipeline!$Q$20*Pipeline!$D$20*MIN(1,MAX(0,(81-Pipeline!$E$20+1)/MAX(Pipeline!$F$20,1)))</f>
        <v>9787.5</v>
      </c>
      <c r="CF13" s="100" t="n">
        <f aca="false">Pipeline!$Q$20*Pipeline!$D$20*MIN(1,MAX(0,(82-Pipeline!$E$20+1)/MAX(Pipeline!$F$20,1)))</f>
        <v>9787.5</v>
      </c>
      <c r="CG13" s="100" t="n">
        <f aca="false">Pipeline!$Q$20*Pipeline!$D$20*MIN(1,MAX(0,(83-Pipeline!$E$20+1)/MAX(Pipeline!$F$20,1)))</f>
        <v>9787.5</v>
      </c>
      <c r="CH13" s="100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6" t="s">
        <v>494</v>
      </c>
      <c r="C14" s="100" t="n">
        <f aca="false">Pipeline!$Q$21*Pipeline!$D$21*MIN(1,MAX(0,(1-Pipeline!$E$21+1)/MAX(Pipeline!$F$21,1)))</f>
        <v>0</v>
      </c>
      <c r="D14" s="100" t="n">
        <f aca="false">Pipeline!$Q$21*Pipeline!$D$21*MIN(1,MAX(0,(2-Pipeline!$E$21+1)/MAX(Pipeline!$F$21,1)))</f>
        <v>0</v>
      </c>
      <c r="E14" s="100" t="n">
        <f aca="false">Pipeline!$Q$21*Pipeline!$D$21*MIN(1,MAX(0,(3-Pipeline!$E$21+1)/MAX(Pipeline!$F$21,1)))</f>
        <v>0</v>
      </c>
      <c r="F14" s="100" t="n">
        <f aca="false">Pipeline!$Q$21*Pipeline!$D$21*MIN(1,MAX(0,(4-Pipeline!$E$21+1)/MAX(Pipeline!$F$21,1)))</f>
        <v>0</v>
      </c>
      <c r="G14" s="100" t="n">
        <f aca="false">Pipeline!$Q$21*Pipeline!$D$21*MIN(1,MAX(0,(5-Pipeline!$E$21+1)/MAX(Pipeline!$F$21,1)))</f>
        <v>0</v>
      </c>
      <c r="H14" s="100" t="n">
        <f aca="false">Pipeline!$Q$21*Pipeline!$D$21*MIN(1,MAX(0,(6-Pipeline!$E$21+1)/MAX(Pipeline!$F$21,1)))</f>
        <v>0</v>
      </c>
      <c r="I14" s="100" t="n">
        <f aca="false">Pipeline!$Q$21*Pipeline!$D$21*MIN(1,MAX(0,(7-Pipeline!$E$21+1)/MAX(Pipeline!$F$21,1)))</f>
        <v>0</v>
      </c>
      <c r="J14" s="100" t="n">
        <f aca="false">Pipeline!$Q$21*Pipeline!$D$21*MIN(1,MAX(0,(8-Pipeline!$E$21+1)/MAX(Pipeline!$F$21,1)))</f>
        <v>0</v>
      </c>
      <c r="K14" s="100" t="n">
        <f aca="false">Pipeline!$Q$21*Pipeline!$D$21*MIN(1,MAX(0,(9-Pipeline!$E$21+1)/MAX(Pipeline!$F$21,1)))</f>
        <v>0</v>
      </c>
      <c r="L14" s="100" t="n">
        <f aca="false">Pipeline!$Q$21*Pipeline!$D$21*MIN(1,MAX(0,(10-Pipeline!$E$21+1)/MAX(Pipeline!$F$21,1)))</f>
        <v>0</v>
      </c>
      <c r="M14" s="100" t="n">
        <f aca="false">Pipeline!$Q$21*Pipeline!$D$21*MIN(1,MAX(0,(11-Pipeline!$E$21+1)/MAX(Pipeline!$F$21,1)))</f>
        <v>0</v>
      </c>
      <c r="N14" s="100" t="n">
        <f aca="false">Pipeline!$Q$21*Pipeline!$D$21*MIN(1,MAX(0,(12-Pipeline!$E$21+1)/MAX(Pipeline!$F$21,1)))</f>
        <v>0</v>
      </c>
      <c r="O14" s="100" t="n">
        <f aca="false">Pipeline!$Q$21*Pipeline!$D$21*MIN(1,MAX(0,(13-Pipeline!$E$21+1)/MAX(Pipeline!$F$21,1)))</f>
        <v>0</v>
      </c>
      <c r="P14" s="100" t="n">
        <f aca="false">Pipeline!$Q$21*Pipeline!$D$21*MIN(1,MAX(0,(14-Pipeline!$E$21+1)/MAX(Pipeline!$F$21,1)))</f>
        <v>365.4</v>
      </c>
      <c r="Q14" s="100" t="n">
        <f aca="false">Pipeline!$Q$21*Pipeline!$D$21*MIN(1,MAX(0,(15-Pipeline!$E$21+1)/MAX(Pipeline!$F$21,1)))</f>
        <v>730.8</v>
      </c>
      <c r="R14" s="100" t="n">
        <f aca="false">Pipeline!$Q$21*Pipeline!$D$21*MIN(1,MAX(0,(16-Pipeline!$E$21+1)/MAX(Pipeline!$F$21,1)))</f>
        <v>1096.2</v>
      </c>
      <c r="S14" s="100" t="n">
        <f aca="false">Pipeline!$Q$21*Pipeline!$D$21*MIN(1,MAX(0,(17-Pipeline!$E$21+1)/MAX(Pipeline!$F$21,1)))</f>
        <v>1461.6</v>
      </c>
      <c r="T14" s="100" t="n">
        <f aca="false">Pipeline!$Q$21*Pipeline!$D$21*MIN(1,MAX(0,(18-Pipeline!$E$21+1)/MAX(Pipeline!$F$21,1)))</f>
        <v>1827</v>
      </c>
      <c r="U14" s="100" t="n">
        <f aca="false">Pipeline!$Q$21*Pipeline!$D$21*MIN(1,MAX(0,(19-Pipeline!$E$21+1)/MAX(Pipeline!$F$21,1)))</f>
        <v>2192.4</v>
      </c>
      <c r="V14" s="100" t="n">
        <f aca="false">Pipeline!$Q$21*Pipeline!$D$21*MIN(1,MAX(0,(20-Pipeline!$E$21+1)/MAX(Pipeline!$F$21,1)))</f>
        <v>2557.8</v>
      </c>
      <c r="W14" s="100" t="n">
        <f aca="false">Pipeline!$Q$21*Pipeline!$D$21*MIN(1,MAX(0,(21-Pipeline!$E$21+1)/MAX(Pipeline!$F$21,1)))</f>
        <v>2923.2</v>
      </c>
      <c r="X14" s="100" t="n">
        <f aca="false">Pipeline!$Q$21*Pipeline!$D$21*MIN(1,MAX(0,(22-Pipeline!$E$21+1)/MAX(Pipeline!$F$21,1)))</f>
        <v>3288.6</v>
      </c>
      <c r="Y14" s="100" t="n">
        <f aca="false">Pipeline!$Q$21*Pipeline!$D$21*MIN(1,MAX(0,(23-Pipeline!$E$21+1)/MAX(Pipeline!$F$21,1)))</f>
        <v>3654</v>
      </c>
      <c r="Z14" s="100" t="n">
        <f aca="false">Pipeline!$Q$21*Pipeline!$D$21*MIN(1,MAX(0,(24-Pipeline!$E$21+1)/MAX(Pipeline!$F$21,1)))</f>
        <v>3654</v>
      </c>
      <c r="AA14" s="100" t="n">
        <f aca="false">Pipeline!$Q$21*Pipeline!$D$21*MIN(1,MAX(0,(25-Pipeline!$E$21+1)/MAX(Pipeline!$F$21,1)))</f>
        <v>3654</v>
      </c>
      <c r="AB14" s="100" t="n">
        <f aca="false">Pipeline!$Q$21*Pipeline!$D$21*MIN(1,MAX(0,(26-Pipeline!$E$21+1)/MAX(Pipeline!$F$21,1)))</f>
        <v>3654</v>
      </c>
      <c r="AC14" s="100" t="n">
        <f aca="false">Pipeline!$Q$21*Pipeline!$D$21*MIN(1,MAX(0,(27-Pipeline!$E$21+1)/MAX(Pipeline!$F$21,1)))</f>
        <v>3654</v>
      </c>
      <c r="AD14" s="100" t="n">
        <f aca="false">Pipeline!$Q$21*Pipeline!$D$21*MIN(1,MAX(0,(28-Pipeline!$E$21+1)/MAX(Pipeline!$F$21,1)))</f>
        <v>3654</v>
      </c>
      <c r="AE14" s="100" t="n">
        <f aca="false">Pipeline!$Q$21*Pipeline!$D$21*MIN(1,MAX(0,(29-Pipeline!$E$21+1)/MAX(Pipeline!$F$21,1)))</f>
        <v>3654</v>
      </c>
      <c r="AF14" s="100" t="n">
        <f aca="false">Pipeline!$Q$21*Pipeline!$D$21*MIN(1,MAX(0,(30-Pipeline!$E$21+1)/MAX(Pipeline!$F$21,1)))</f>
        <v>3654</v>
      </c>
      <c r="AG14" s="100" t="n">
        <f aca="false">Pipeline!$Q$21*Pipeline!$D$21*MIN(1,MAX(0,(31-Pipeline!$E$21+1)/MAX(Pipeline!$F$21,1)))</f>
        <v>3654</v>
      </c>
      <c r="AH14" s="100" t="n">
        <f aca="false">Pipeline!$Q$21*Pipeline!$D$21*MIN(1,MAX(0,(32-Pipeline!$E$21+1)/MAX(Pipeline!$F$21,1)))</f>
        <v>3654</v>
      </c>
      <c r="AI14" s="100" t="n">
        <f aca="false">Pipeline!$Q$21*Pipeline!$D$21*MIN(1,MAX(0,(33-Pipeline!$E$21+1)/MAX(Pipeline!$F$21,1)))</f>
        <v>3654</v>
      </c>
      <c r="AJ14" s="100" t="n">
        <f aca="false">Pipeline!$Q$21*Pipeline!$D$21*MIN(1,MAX(0,(34-Pipeline!$E$21+1)/MAX(Pipeline!$F$21,1)))</f>
        <v>3654</v>
      </c>
      <c r="AK14" s="100" t="n">
        <f aca="false">Pipeline!$Q$21*Pipeline!$D$21*MIN(1,MAX(0,(35-Pipeline!$E$21+1)/MAX(Pipeline!$F$21,1)))</f>
        <v>3654</v>
      </c>
      <c r="AL14" s="100" t="n">
        <f aca="false">Pipeline!$Q$21*Pipeline!$D$21*MIN(1,MAX(0,(36-Pipeline!$E$21+1)/MAX(Pipeline!$F$21,1)))</f>
        <v>3654</v>
      </c>
      <c r="AM14" s="100" t="n">
        <f aca="false">Pipeline!$Q$21*Pipeline!$D$21*MIN(1,MAX(0,(37-Pipeline!$E$21+1)/MAX(Pipeline!$F$21,1)))</f>
        <v>3654</v>
      </c>
      <c r="AN14" s="100" t="n">
        <f aca="false">Pipeline!$Q$21*Pipeline!$D$21*MIN(1,MAX(0,(38-Pipeline!$E$21+1)/MAX(Pipeline!$F$21,1)))</f>
        <v>3654</v>
      </c>
      <c r="AO14" s="100" t="n">
        <f aca="false">Pipeline!$Q$21*Pipeline!$D$21*MIN(1,MAX(0,(39-Pipeline!$E$21+1)/MAX(Pipeline!$F$21,1)))</f>
        <v>3654</v>
      </c>
      <c r="AP14" s="100" t="n">
        <f aca="false">Pipeline!$Q$21*Pipeline!$D$21*MIN(1,MAX(0,(40-Pipeline!$E$21+1)/MAX(Pipeline!$F$21,1)))</f>
        <v>3654</v>
      </c>
      <c r="AQ14" s="100" t="n">
        <f aca="false">Pipeline!$Q$21*Pipeline!$D$21*MIN(1,MAX(0,(41-Pipeline!$E$21+1)/MAX(Pipeline!$F$21,1)))</f>
        <v>3654</v>
      </c>
      <c r="AR14" s="100" t="n">
        <f aca="false">Pipeline!$Q$21*Pipeline!$D$21*MIN(1,MAX(0,(42-Pipeline!$E$21+1)/MAX(Pipeline!$F$21,1)))</f>
        <v>3654</v>
      </c>
      <c r="AS14" s="100" t="n">
        <f aca="false">Pipeline!$Q$21*Pipeline!$D$21*MIN(1,MAX(0,(43-Pipeline!$E$21+1)/MAX(Pipeline!$F$21,1)))</f>
        <v>3654</v>
      </c>
      <c r="AT14" s="100" t="n">
        <f aca="false">Pipeline!$Q$21*Pipeline!$D$21*MIN(1,MAX(0,(44-Pipeline!$E$21+1)/MAX(Pipeline!$F$21,1)))</f>
        <v>3654</v>
      </c>
      <c r="AU14" s="100" t="n">
        <f aca="false">Pipeline!$Q$21*Pipeline!$D$21*MIN(1,MAX(0,(45-Pipeline!$E$21+1)/MAX(Pipeline!$F$21,1)))</f>
        <v>3654</v>
      </c>
      <c r="AV14" s="100" t="n">
        <f aca="false">Pipeline!$Q$21*Pipeline!$D$21*MIN(1,MAX(0,(46-Pipeline!$E$21+1)/MAX(Pipeline!$F$21,1)))</f>
        <v>3654</v>
      </c>
      <c r="AW14" s="100" t="n">
        <f aca="false">Pipeline!$Q$21*Pipeline!$D$21*MIN(1,MAX(0,(47-Pipeline!$E$21+1)/MAX(Pipeline!$F$21,1)))</f>
        <v>3654</v>
      </c>
      <c r="AX14" s="100" t="n">
        <f aca="false">Pipeline!$Q$21*Pipeline!$D$21*MIN(1,MAX(0,(48-Pipeline!$E$21+1)/MAX(Pipeline!$F$21,1)))</f>
        <v>3654</v>
      </c>
      <c r="AY14" s="100" t="n">
        <f aca="false">Pipeline!$Q$21*Pipeline!$D$21*MIN(1,MAX(0,(49-Pipeline!$E$21+1)/MAX(Pipeline!$F$21,1)))</f>
        <v>3654</v>
      </c>
      <c r="AZ14" s="100" t="n">
        <f aca="false">Pipeline!$Q$21*Pipeline!$D$21*MIN(1,MAX(0,(50-Pipeline!$E$21+1)/MAX(Pipeline!$F$21,1)))</f>
        <v>3654</v>
      </c>
      <c r="BA14" s="100" t="n">
        <f aca="false">Pipeline!$Q$21*Pipeline!$D$21*MIN(1,MAX(0,(51-Pipeline!$E$21+1)/MAX(Pipeline!$F$21,1)))</f>
        <v>3654</v>
      </c>
      <c r="BB14" s="100" t="n">
        <f aca="false">Pipeline!$Q$21*Pipeline!$D$21*MIN(1,MAX(0,(52-Pipeline!$E$21+1)/MAX(Pipeline!$F$21,1)))</f>
        <v>3654</v>
      </c>
      <c r="BC14" s="100" t="n">
        <f aca="false">Pipeline!$Q$21*Pipeline!$D$21*MIN(1,MAX(0,(53-Pipeline!$E$21+1)/MAX(Pipeline!$F$21,1)))</f>
        <v>3654</v>
      </c>
      <c r="BD14" s="100" t="n">
        <f aca="false">Pipeline!$Q$21*Pipeline!$D$21*MIN(1,MAX(0,(54-Pipeline!$E$21+1)/MAX(Pipeline!$F$21,1)))</f>
        <v>3654</v>
      </c>
      <c r="BE14" s="100" t="n">
        <f aca="false">Pipeline!$Q$21*Pipeline!$D$21*MIN(1,MAX(0,(55-Pipeline!$E$21+1)/MAX(Pipeline!$F$21,1)))</f>
        <v>3654</v>
      </c>
      <c r="BF14" s="100" t="n">
        <f aca="false">Pipeline!$Q$21*Pipeline!$D$21*MIN(1,MAX(0,(56-Pipeline!$E$21+1)/MAX(Pipeline!$F$21,1)))</f>
        <v>3654</v>
      </c>
      <c r="BG14" s="100" t="n">
        <f aca="false">Pipeline!$Q$21*Pipeline!$D$21*MIN(1,MAX(0,(57-Pipeline!$E$21+1)/MAX(Pipeline!$F$21,1)))</f>
        <v>3654</v>
      </c>
      <c r="BH14" s="100" t="n">
        <f aca="false">Pipeline!$Q$21*Pipeline!$D$21*MIN(1,MAX(0,(58-Pipeline!$E$21+1)/MAX(Pipeline!$F$21,1)))</f>
        <v>3654</v>
      </c>
      <c r="BI14" s="100" t="n">
        <f aca="false">Pipeline!$Q$21*Pipeline!$D$21*MIN(1,MAX(0,(59-Pipeline!$E$21+1)/MAX(Pipeline!$F$21,1)))</f>
        <v>3654</v>
      </c>
      <c r="BJ14" s="100" t="n">
        <f aca="false">Pipeline!$Q$21*Pipeline!$D$21*MIN(1,MAX(0,(60-Pipeline!$E$21+1)/MAX(Pipeline!$F$21,1)))</f>
        <v>3654</v>
      </c>
      <c r="BK14" s="100" t="n">
        <f aca="false">Pipeline!$Q$21*Pipeline!$D$21*MIN(1,MAX(0,(61-Pipeline!$E$21+1)/MAX(Pipeline!$F$21,1)))</f>
        <v>3654</v>
      </c>
      <c r="BL14" s="100" t="n">
        <f aca="false">Pipeline!$Q$21*Pipeline!$D$21*MIN(1,MAX(0,(62-Pipeline!$E$21+1)/MAX(Pipeline!$F$21,1)))</f>
        <v>3654</v>
      </c>
      <c r="BM14" s="100" t="n">
        <f aca="false">Pipeline!$Q$21*Pipeline!$D$21*MIN(1,MAX(0,(63-Pipeline!$E$21+1)/MAX(Pipeline!$F$21,1)))</f>
        <v>3654</v>
      </c>
      <c r="BN14" s="100" t="n">
        <f aca="false">Pipeline!$Q$21*Pipeline!$D$21*MIN(1,MAX(0,(64-Pipeline!$E$21+1)/MAX(Pipeline!$F$21,1)))</f>
        <v>3654</v>
      </c>
      <c r="BO14" s="100" t="n">
        <f aca="false">Pipeline!$Q$21*Pipeline!$D$21*MIN(1,MAX(0,(65-Pipeline!$E$21+1)/MAX(Pipeline!$F$21,1)))</f>
        <v>3654</v>
      </c>
      <c r="BP14" s="100" t="n">
        <f aca="false">Pipeline!$Q$21*Pipeline!$D$21*MIN(1,MAX(0,(66-Pipeline!$E$21+1)/MAX(Pipeline!$F$21,1)))</f>
        <v>3654</v>
      </c>
      <c r="BQ14" s="100" t="n">
        <f aca="false">Pipeline!$Q$21*Pipeline!$D$21*MIN(1,MAX(0,(67-Pipeline!$E$21+1)/MAX(Pipeline!$F$21,1)))</f>
        <v>3654</v>
      </c>
      <c r="BR14" s="100" t="n">
        <f aca="false">Pipeline!$Q$21*Pipeline!$D$21*MIN(1,MAX(0,(68-Pipeline!$E$21+1)/MAX(Pipeline!$F$21,1)))</f>
        <v>3654</v>
      </c>
      <c r="BS14" s="100" t="n">
        <f aca="false">Pipeline!$Q$21*Pipeline!$D$21*MIN(1,MAX(0,(69-Pipeline!$E$21+1)/MAX(Pipeline!$F$21,1)))</f>
        <v>3654</v>
      </c>
      <c r="BT14" s="100" t="n">
        <f aca="false">Pipeline!$Q$21*Pipeline!$D$21*MIN(1,MAX(0,(70-Pipeline!$E$21+1)/MAX(Pipeline!$F$21,1)))</f>
        <v>3654</v>
      </c>
      <c r="BU14" s="100" t="n">
        <f aca="false">Pipeline!$Q$21*Pipeline!$D$21*MIN(1,MAX(0,(71-Pipeline!$E$21+1)/MAX(Pipeline!$F$21,1)))</f>
        <v>3654</v>
      </c>
      <c r="BV14" s="100" t="n">
        <f aca="false">Pipeline!$Q$21*Pipeline!$D$21*MIN(1,MAX(0,(72-Pipeline!$E$21+1)/MAX(Pipeline!$F$21,1)))</f>
        <v>3654</v>
      </c>
      <c r="BW14" s="100" t="n">
        <f aca="false">Pipeline!$Q$21*Pipeline!$D$21*MIN(1,MAX(0,(73-Pipeline!$E$21+1)/MAX(Pipeline!$F$21,1)))</f>
        <v>3654</v>
      </c>
      <c r="BX14" s="100" t="n">
        <f aca="false">Pipeline!$Q$21*Pipeline!$D$21*MIN(1,MAX(0,(74-Pipeline!$E$21+1)/MAX(Pipeline!$F$21,1)))</f>
        <v>3654</v>
      </c>
      <c r="BY14" s="100" t="n">
        <f aca="false">Pipeline!$Q$21*Pipeline!$D$21*MIN(1,MAX(0,(75-Pipeline!$E$21+1)/MAX(Pipeline!$F$21,1)))</f>
        <v>3654</v>
      </c>
      <c r="BZ14" s="100" t="n">
        <f aca="false">Pipeline!$Q$21*Pipeline!$D$21*MIN(1,MAX(0,(76-Pipeline!$E$21+1)/MAX(Pipeline!$F$21,1)))</f>
        <v>3654</v>
      </c>
      <c r="CA14" s="100" t="n">
        <f aca="false">Pipeline!$Q$21*Pipeline!$D$21*MIN(1,MAX(0,(77-Pipeline!$E$21+1)/MAX(Pipeline!$F$21,1)))</f>
        <v>3654</v>
      </c>
      <c r="CB14" s="100" t="n">
        <f aca="false">Pipeline!$Q$21*Pipeline!$D$21*MIN(1,MAX(0,(78-Pipeline!$E$21+1)/MAX(Pipeline!$F$21,1)))</f>
        <v>3654</v>
      </c>
      <c r="CC14" s="100" t="n">
        <f aca="false">Pipeline!$Q$21*Pipeline!$D$21*MIN(1,MAX(0,(79-Pipeline!$E$21+1)/MAX(Pipeline!$F$21,1)))</f>
        <v>3654</v>
      </c>
      <c r="CD14" s="100" t="n">
        <f aca="false">Pipeline!$Q$21*Pipeline!$D$21*MIN(1,MAX(0,(80-Pipeline!$E$21+1)/MAX(Pipeline!$F$21,1)))</f>
        <v>3654</v>
      </c>
      <c r="CE14" s="100" t="n">
        <f aca="false">Pipeline!$Q$21*Pipeline!$D$21*MIN(1,MAX(0,(81-Pipeline!$E$21+1)/MAX(Pipeline!$F$21,1)))</f>
        <v>3654</v>
      </c>
      <c r="CF14" s="100" t="n">
        <f aca="false">Pipeline!$Q$21*Pipeline!$D$21*MIN(1,MAX(0,(82-Pipeline!$E$21+1)/MAX(Pipeline!$F$21,1)))</f>
        <v>3654</v>
      </c>
      <c r="CG14" s="100" t="n">
        <f aca="false">Pipeline!$Q$21*Pipeline!$D$21*MIN(1,MAX(0,(83-Pipeline!$E$21+1)/MAX(Pipeline!$F$21,1)))</f>
        <v>3654</v>
      </c>
      <c r="CH14" s="100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6" t="s">
        <v>495</v>
      </c>
      <c r="C15" s="100" t="n">
        <f aca="false">Pipeline!$Q$22*Pipeline!$D$22*MIN(1,MAX(0,(1-Pipeline!$E$22+1)/MAX(Pipeline!$F$22,1)))</f>
        <v>0</v>
      </c>
      <c r="D15" s="100" t="n">
        <f aca="false">Pipeline!$Q$22*Pipeline!$D$22*MIN(1,MAX(0,(2-Pipeline!$E$22+1)/MAX(Pipeline!$F$22,1)))</f>
        <v>0</v>
      </c>
      <c r="E15" s="100" t="n">
        <f aca="false">Pipeline!$Q$22*Pipeline!$D$22*MIN(1,MAX(0,(3-Pipeline!$E$22+1)/MAX(Pipeline!$F$22,1)))</f>
        <v>0</v>
      </c>
      <c r="F15" s="100" t="n">
        <f aca="false">Pipeline!$Q$22*Pipeline!$D$22*MIN(1,MAX(0,(4-Pipeline!$E$22+1)/MAX(Pipeline!$F$22,1)))</f>
        <v>0</v>
      </c>
      <c r="G15" s="100" t="n">
        <f aca="false">Pipeline!$Q$22*Pipeline!$D$22*MIN(1,MAX(0,(5-Pipeline!$E$22+1)/MAX(Pipeline!$F$22,1)))</f>
        <v>0</v>
      </c>
      <c r="H15" s="100" t="n">
        <f aca="false">Pipeline!$Q$22*Pipeline!$D$22*MIN(1,MAX(0,(6-Pipeline!$E$22+1)/MAX(Pipeline!$F$22,1)))</f>
        <v>0</v>
      </c>
      <c r="I15" s="100" t="n">
        <f aca="false">Pipeline!$Q$22*Pipeline!$D$22*MIN(1,MAX(0,(7-Pipeline!$E$22+1)/MAX(Pipeline!$F$22,1)))</f>
        <v>0</v>
      </c>
      <c r="J15" s="100" t="n">
        <f aca="false">Pipeline!$Q$22*Pipeline!$D$22*MIN(1,MAX(0,(8-Pipeline!$E$22+1)/MAX(Pipeline!$F$22,1)))</f>
        <v>0</v>
      </c>
      <c r="K15" s="100" t="n">
        <f aca="false">Pipeline!$Q$22*Pipeline!$D$22*MIN(1,MAX(0,(9-Pipeline!$E$22+1)/MAX(Pipeline!$F$22,1)))</f>
        <v>0</v>
      </c>
      <c r="L15" s="100" t="n">
        <f aca="false">Pipeline!$Q$22*Pipeline!$D$22*MIN(1,MAX(0,(10-Pipeline!$E$22+1)/MAX(Pipeline!$F$22,1)))</f>
        <v>0</v>
      </c>
      <c r="M15" s="100" t="n">
        <f aca="false">Pipeline!$Q$22*Pipeline!$D$22*MIN(1,MAX(0,(11-Pipeline!$E$22+1)/MAX(Pipeline!$F$22,1)))</f>
        <v>0</v>
      </c>
      <c r="N15" s="100" t="n">
        <f aca="false">Pipeline!$Q$22*Pipeline!$D$22*MIN(1,MAX(0,(12-Pipeline!$E$22+1)/MAX(Pipeline!$F$22,1)))</f>
        <v>0</v>
      </c>
      <c r="O15" s="100" t="n">
        <f aca="false">Pipeline!$Q$22*Pipeline!$D$22*MIN(1,MAX(0,(13-Pipeline!$E$22+1)/MAX(Pipeline!$F$22,1)))</f>
        <v>0</v>
      </c>
      <c r="P15" s="100" t="n">
        <f aca="false">Pipeline!$Q$22*Pipeline!$D$22*MIN(1,MAX(0,(14-Pipeline!$E$22+1)/MAX(Pipeline!$F$22,1)))</f>
        <v>0</v>
      </c>
      <c r="Q15" s="100" t="n">
        <f aca="false">Pipeline!$Q$22*Pipeline!$D$22*MIN(1,MAX(0,(15-Pipeline!$E$22+1)/MAX(Pipeline!$F$22,1)))</f>
        <v>0</v>
      </c>
      <c r="R15" s="100" t="n">
        <f aca="false">Pipeline!$Q$22*Pipeline!$D$22*MIN(1,MAX(0,(16-Pipeline!$E$22+1)/MAX(Pipeline!$F$22,1)))</f>
        <v>0</v>
      </c>
      <c r="S15" s="100" t="n">
        <f aca="false">Pipeline!$Q$22*Pipeline!$D$22*MIN(1,MAX(0,(17-Pipeline!$E$22+1)/MAX(Pipeline!$F$22,1)))</f>
        <v>0</v>
      </c>
      <c r="T15" s="100" t="n">
        <f aca="false">Pipeline!$Q$22*Pipeline!$D$22*MIN(1,MAX(0,(18-Pipeline!$E$22+1)/MAX(Pipeline!$F$22,1)))</f>
        <v>0</v>
      </c>
      <c r="U15" s="100" t="n">
        <f aca="false">Pipeline!$Q$22*Pipeline!$D$22*MIN(1,MAX(0,(19-Pipeline!$E$22+1)/MAX(Pipeline!$F$22,1)))</f>
        <v>0</v>
      </c>
      <c r="V15" s="100" t="n">
        <f aca="false">Pipeline!$Q$22*Pipeline!$D$22*MIN(1,MAX(0,(20-Pipeline!$E$22+1)/MAX(Pipeline!$F$22,1)))</f>
        <v>0</v>
      </c>
      <c r="W15" s="100" t="n">
        <f aca="false">Pipeline!$Q$22*Pipeline!$D$22*MIN(1,MAX(0,(21-Pipeline!$E$22+1)/MAX(Pipeline!$F$22,1)))</f>
        <v>0</v>
      </c>
      <c r="X15" s="100" t="n">
        <f aca="false">Pipeline!$Q$22*Pipeline!$D$22*MIN(1,MAX(0,(22-Pipeline!$E$22+1)/MAX(Pipeline!$F$22,1)))</f>
        <v>0</v>
      </c>
      <c r="Y15" s="100" t="n">
        <f aca="false">Pipeline!$Q$22*Pipeline!$D$22*MIN(1,MAX(0,(23-Pipeline!$E$22+1)/MAX(Pipeline!$F$22,1)))</f>
        <v>0</v>
      </c>
      <c r="Z15" s="100" t="n">
        <f aca="false">Pipeline!$Q$22*Pipeline!$D$22*MIN(1,MAX(0,(24-Pipeline!$E$22+1)/MAX(Pipeline!$F$22,1)))</f>
        <v>0</v>
      </c>
      <c r="AA15" s="100" t="n">
        <f aca="false">Pipeline!$Q$22*Pipeline!$D$22*MIN(1,MAX(0,(25-Pipeline!$E$22+1)/MAX(Pipeline!$F$22,1)))</f>
        <v>0</v>
      </c>
      <c r="AB15" s="100" t="n">
        <f aca="false">Pipeline!$Q$22*Pipeline!$D$22*MIN(1,MAX(0,(26-Pipeline!$E$22+1)/MAX(Pipeline!$F$22,1)))</f>
        <v>0</v>
      </c>
      <c r="AC15" s="100" t="n">
        <f aca="false">Pipeline!$Q$22*Pipeline!$D$22*MIN(1,MAX(0,(27-Pipeline!$E$22+1)/MAX(Pipeline!$F$22,1)))</f>
        <v>0</v>
      </c>
      <c r="AD15" s="100" t="n">
        <f aca="false">Pipeline!$Q$22*Pipeline!$D$22*MIN(1,MAX(0,(28-Pipeline!$E$22+1)/MAX(Pipeline!$F$22,1)))</f>
        <v>0</v>
      </c>
      <c r="AE15" s="100" t="n">
        <f aca="false">Pipeline!$Q$22*Pipeline!$D$22*MIN(1,MAX(0,(29-Pipeline!$E$22+1)/MAX(Pipeline!$F$22,1)))</f>
        <v>0</v>
      </c>
      <c r="AF15" s="100" t="n">
        <f aca="false">Pipeline!$Q$22*Pipeline!$D$22*MIN(1,MAX(0,(30-Pipeline!$E$22+1)/MAX(Pipeline!$F$22,1)))</f>
        <v>0</v>
      </c>
      <c r="AG15" s="100" t="n">
        <f aca="false">Pipeline!$Q$22*Pipeline!$D$22*MIN(1,MAX(0,(31-Pipeline!$E$22+1)/MAX(Pipeline!$F$22,1)))</f>
        <v>0</v>
      </c>
      <c r="AH15" s="100" t="n">
        <f aca="false">Pipeline!$Q$22*Pipeline!$D$22*MIN(1,MAX(0,(32-Pipeline!$E$22+1)/MAX(Pipeline!$F$22,1)))</f>
        <v>0</v>
      </c>
      <c r="AI15" s="100" t="n">
        <f aca="false">Pipeline!$Q$22*Pipeline!$D$22*MIN(1,MAX(0,(33-Pipeline!$E$22+1)/MAX(Pipeline!$F$22,1)))</f>
        <v>0</v>
      </c>
      <c r="AJ15" s="100" t="n">
        <f aca="false">Pipeline!$Q$22*Pipeline!$D$22*MIN(1,MAX(0,(34-Pipeline!$E$22+1)/MAX(Pipeline!$F$22,1)))</f>
        <v>0</v>
      </c>
      <c r="AK15" s="100" t="n">
        <f aca="false">Pipeline!$Q$22*Pipeline!$D$22*MIN(1,MAX(0,(35-Pipeline!$E$22+1)/MAX(Pipeline!$F$22,1)))</f>
        <v>0</v>
      </c>
      <c r="AL15" s="100" t="n">
        <f aca="false">Pipeline!$Q$22*Pipeline!$D$22*MIN(1,MAX(0,(36-Pipeline!$E$22+1)/MAX(Pipeline!$F$22,1)))</f>
        <v>0</v>
      </c>
      <c r="AM15" s="100" t="n">
        <f aca="false">Pipeline!$Q$22*Pipeline!$D$22*MIN(1,MAX(0,(37-Pipeline!$E$22+1)/MAX(Pipeline!$F$22,1)))</f>
        <v>0</v>
      </c>
      <c r="AN15" s="100" t="n">
        <f aca="false">Pipeline!$Q$22*Pipeline!$D$22*MIN(1,MAX(0,(38-Pipeline!$E$22+1)/MAX(Pipeline!$F$22,1)))</f>
        <v>0</v>
      </c>
      <c r="AO15" s="100" t="n">
        <f aca="false">Pipeline!$Q$22*Pipeline!$D$22*MIN(1,MAX(0,(39-Pipeline!$E$22+1)/MAX(Pipeline!$F$22,1)))</f>
        <v>0</v>
      </c>
      <c r="AP15" s="100" t="n">
        <f aca="false">Pipeline!$Q$22*Pipeline!$D$22*MIN(1,MAX(0,(40-Pipeline!$E$22+1)/MAX(Pipeline!$F$22,1)))</f>
        <v>0</v>
      </c>
      <c r="AQ15" s="100" t="n">
        <f aca="false">Pipeline!$Q$22*Pipeline!$D$22*MIN(1,MAX(0,(41-Pipeline!$E$22+1)/MAX(Pipeline!$F$22,1)))</f>
        <v>0</v>
      </c>
      <c r="AR15" s="100" t="n">
        <f aca="false">Pipeline!$Q$22*Pipeline!$D$22*MIN(1,MAX(0,(42-Pipeline!$E$22+1)/MAX(Pipeline!$F$22,1)))</f>
        <v>0</v>
      </c>
      <c r="AS15" s="100" t="n">
        <f aca="false">Pipeline!$Q$22*Pipeline!$D$22*MIN(1,MAX(0,(43-Pipeline!$E$22+1)/MAX(Pipeline!$F$22,1)))</f>
        <v>0</v>
      </c>
      <c r="AT15" s="100" t="n">
        <f aca="false">Pipeline!$Q$22*Pipeline!$D$22*MIN(1,MAX(0,(44-Pipeline!$E$22+1)/MAX(Pipeline!$F$22,1)))</f>
        <v>0</v>
      </c>
      <c r="AU15" s="100" t="n">
        <f aca="false">Pipeline!$Q$22*Pipeline!$D$22*MIN(1,MAX(0,(45-Pipeline!$E$22+1)/MAX(Pipeline!$F$22,1)))</f>
        <v>0</v>
      </c>
      <c r="AV15" s="100" t="n">
        <f aca="false">Pipeline!$Q$22*Pipeline!$D$22*MIN(1,MAX(0,(46-Pipeline!$E$22+1)/MAX(Pipeline!$F$22,1)))</f>
        <v>0</v>
      </c>
      <c r="AW15" s="100" t="n">
        <f aca="false">Pipeline!$Q$22*Pipeline!$D$22*MIN(1,MAX(0,(47-Pipeline!$E$22+1)/MAX(Pipeline!$F$22,1)))</f>
        <v>0</v>
      </c>
      <c r="AX15" s="100" t="n">
        <f aca="false">Pipeline!$Q$22*Pipeline!$D$22*MIN(1,MAX(0,(48-Pipeline!$E$22+1)/MAX(Pipeline!$F$22,1)))</f>
        <v>0</v>
      </c>
      <c r="AY15" s="100" t="n">
        <f aca="false">Pipeline!$Q$22*Pipeline!$D$22*MIN(1,MAX(0,(49-Pipeline!$E$22+1)/MAX(Pipeline!$F$22,1)))</f>
        <v>0</v>
      </c>
      <c r="AZ15" s="100" t="n">
        <f aca="false">Pipeline!$Q$22*Pipeline!$D$22*MIN(1,MAX(0,(50-Pipeline!$E$22+1)/MAX(Pipeline!$F$22,1)))</f>
        <v>0</v>
      </c>
      <c r="BA15" s="100" t="n">
        <f aca="false">Pipeline!$Q$22*Pipeline!$D$22*MIN(1,MAX(0,(51-Pipeline!$E$22+1)/MAX(Pipeline!$F$22,1)))</f>
        <v>0</v>
      </c>
      <c r="BB15" s="100" t="n">
        <f aca="false">Pipeline!$Q$22*Pipeline!$D$22*MIN(1,MAX(0,(52-Pipeline!$E$22+1)/MAX(Pipeline!$F$22,1)))</f>
        <v>0</v>
      </c>
      <c r="BC15" s="100" t="n">
        <f aca="false">Pipeline!$Q$22*Pipeline!$D$22*MIN(1,MAX(0,(53-Pipeline!$E$22+1)/MAX(Pipeline!$F$22,1)))</f>
        <v>0</v>
      </c>
      <c r="BD15" s="100" t="n">
        <f aca="false">Pipeline!$Q$22*Pipeline!$D$22*MIN(1,MAX(0,(54-Pipeline!$E$22+1)/MAX(Pipeline!$F$22,1)))</f>
        <v>0</v>
      </c>
      <c r="BE15" s="100" t="n">
        <f aca="false">Pipeline!$Q$22*Pipeline!$D$22*MIN(1,MAX(0,(55-Pipeline!$E$22+1)/MAX(Pipeline!$F$22,1)))</f>
        <v>0</v>
      </c>
      <c r="BF15" s="100" t="n">
        <f aca="false">Pipeline!$Q$22*Pipeline!$D$22*MIN(1,MAX(0,(56-Pipeline!$E$22+1)/MAX(Pipeline!$F$22,1)))</f>
        <v>0</v>
      </c>
      <c r="BG15" s="100" t="n">
        <f aca="false">Pipeline!$Q$22*Pipeline!$D$22*MIN(1,MAX(0,(57-Pipeline!$E$22+1)/MAX(Pipeline!$F$22,1)))</f>
        <v>0</v>
      </c>
      <c r="BH15" s="100" t="n">
        <f aca="false">Pipeline!$Q$22*Pipeline!$D$22*MIN(1,MAX(0,(58-Pipeline!$E$22+1)/MAX(Pipeline!$F$22,1)))</f>
        <v>0</v>
      </c>
      <c r="BI15" s="100" t="n">
        <f aca="false">Pipeline!$Q$22*Pipeline!$D$22*MIN(1,MAX(0,(59-Pipeline!$E$22+1)/MAX(Pipeline!$F$22,1)))</f>
        <v>0</v>
      </c>
      <c r="BJ15" s="100" t="n">
        <f aca="false">Pipeline!$Q$22*Pipeline!$D$22*MIN(1,MAX(0,(60-Pipeline!$E$22+1)/MAX(Pipeline!$F$22,1)))</f>
        <v>0</v>
      </c>
      <c r="BK15" s="100" t="n">
        <f aca="false">Pipeline!$Q$22*Pipeline!$D$22*MIN(1,MAX(0,(61-Pipeline!$E$22+1)/MAX(Pipeline!$F$22,1)))</f>
        <v>0</v>
      </c>
      <c r="BL15" s="100" t="n">
        <f aca="false">Pipeline!$Q$22*Pipeline!$D$22*MIN(1,MAX(0,(62-Pipeline!$E$22+1)/MAX(Pipeline!$F$22,1)))</f>
        <v>0</v>
      </c>
      <c r="BM15" s="100" t="n">
        <f aca="false">Pipeline!$Q$22*Pipeline!$D$22*MIN(1,MAX(0,(63-Pipeline!$E$22+1)/MAX(Pipeline!$F$22,1)))</f>
        <v>0</v>
      </c>
      <c r="BN15" s="100" t="n">
        <f aca="false">Pipeline!$Q$22*Pipeline!$D$22*MIN(1,MAX(0,(64-Pipeline!$E$22+1)/MAX(Pipeline!$F$22,1)))</f>
        <v>0</v>
      </c>
      <c r="BO15" s="100" t="n">
        <f aca="false">Pipeline!$Q$22*Pipeline!$D$22*MIN(1,MAX(0,(65-Pipeline!$E$22+1)/MAX(Pipeline!$F$22,1)))</f>
        <v>0</v>
      </c>
      <c r="BP15" s="100" t="n">
        <f aca="false">Pipeline!$Q$22*Pipeline!$D$22*MIN(1,MAX(0,(66-Pipeline!$E$22+1)/MAX(Pipeline!$F$22,1)))</f>
        <v>0</v>
      </c>
      <c r="BQ15" s="100" t="n">
        <f aca="false">Pipeline!$Q$22*Pipeline!$D$22*MIN(1,MAX(0,(67-Pipeline!$E$22+1)/MAX(Pipeline!$F$22,1)))</f>
        <v>0</v>
      </c>
      <c r="BR15" s="100" t="n">
        <f aca="false">Pipeline!$Q$22*Pipeline!$D$22*MIN(1,MAX(0,(68-Pipeline!$E$22+1)/MAX(Pipeline!$F$22,1)))</f>
        <v>0</v>
      </c>
      <c r="BS15" s="100" t="n">
        <f aca="false">Pipeline!$Q$22*Pipeline!$D$22*MIN(1,MAX(0,(69-Pipeline!$E$22+1)/MAX(Pipeline!$F$22,1)))</f>
        <v>0</v>
      </c>
      <c r="BT15" s="100" t="n">
        <f aca="false">Pipeline!$Q$22*Pipeline!$D$22*MIN(1,MAX(0,(70-Pipeline!$E$22+1)/MAX(Pipeline!$F$22,1)))</f>
        <v>0</v>
      </c>
      <c r="BU15" s="100" t="n">
        <f aca="false">Pipeline!$Q$22*Pipeline!$D$22*MIN(1,MAX(0,(71-Pipeline!$E$22+1)/MAX(Pipeline!$F$22,1)))</f>
        <v>0</v>
      </c>
      <c r="BV15" s="100" t="n">
        <f aca="false">Pipeline!$Q$22*Pipeline!$D$22*MIN(1,MAX(0,(72-Pipeline!$E$22+1)/MAX(Pipeline!$F$22,1)))</f>
        <v>0</v>
      </c>
      <c r="BW15" s="100" t="n">
        <f aca="false">Pipeline!$Q$22*Pipeline!$D$22*MIN(1,MAX(0,(73-Pipeline!$E$22+1)/MAX(Pipeline!$F$22,1)))</f>
        <v>0</v>
      </c>
      <c r="BX15" s="100" t="n">
        <f aca="false">Pipeline!$Q$22*Pipeline!$D$22*MIN(1,MAX(0,(74-Pipeline!$E$22+1)/MAX(Pipeline!$F$22,1)))</f>
        <v>0</v>
      </c>
      <c r="BY15" s="100" t="n">
        <f aca="false">Pipeline!$Q$22*Pipeline!$D$22*MIN(1,MAX(0,(75-Pipeline!$E$22+1)/MAX(Pipeline!$F$22,1)))</f>
        <v>0</v>
      </c>
      <c r="BZ15" s="100" t="n">
        <f aca="false">Pipeline!$Q$22*Pipeline!$D$22*MIN(1,MAX(0,(76-Pipeline!$E$22+1)/MAX(Pipeline!$F$22,1)))</f>
        <v>0</v>
      </c>
      <c r="CA15" s="100" t="n">
        <f aca="false">Pipeline!$Q$22*Pipeline!$D$22*MIN(1,MAX(0,(77-Pipeline!$E$22+1)/MAX(Pipeline!$F$22,1)))</f>
        <v>0</v>
      </c>
      <c r="CB15" s="100" t="n">
        <f aca="false">Pipeline!$Q$22*Pipeline!$D$22*MIN(1,MAX(0,(78-Pipeline!$E$22+1)/MAX(Pipeline!$F$22,1)))</f>
        <v>0</v>
      </c>
      <c r="CC15" s="100" t="n">
        <f aca="false">Pipeline!$Q$22*Pipeline!$D$22*MIN(1,MAX(0,(79-Pipeline!$E$22+1)/MAX(Pipeline!$F$22,1)))</f>
        <v>0</v>
      </c>
      <c r="CD15" s="100" t="n">
        <f aca="false">Pipeline!$Q$22*Pipeline!$D$22*MIN(1,MAX(0,(80-Pipeline!$E$22+1)/MAX(Pipeline!$F$22,1)))</f>
        <v>0</v>
      </c>
      <c r="CE15" s="100" t="n">
        <f aca="false">Pipeline!$Q$22*Pipeline!$D$22*MIN(1,MAX(0,(81-Pipeline!$E$22+1)/MAX(Pipeline!$F$22,1)))</f>
        <v>0</v>
      </c>
      <c r="CF15" s="100" t="n">
        <f aca="false">Pipeline!$Q$22*Pipeline!$D$22*MIN(1,MAX(0,(82-Pipeline!$E$22+1)/MAX(Pipeline!$F$22,1)))</f>
        <v>0</v>
      </c>
      <c r="CG15" s="100" t="n">
        <f aca="false">Pipeline!$Q$22*Pipeline!$D$22*MIN(1,MAX(0,(83-Pipeline!$E$22+1)/MAX(Pipeline!$F$22,1)))</f>
        <v>0</v>
      </c>
      <c r="CH15" s="100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22" t="s">
        <v>496</v>
      </c>
      <c r="C16" s="100" t="n">
        <f aca="false">SUM(C9:C15)</f>
        <v>1005.575</v>
      </c>
      <c r="D16" s="100" t="n">
        <f aca="false">SUM(D9:D15)</f>
        <v>2089.45</v>
      </c>
      <c r="E16" s="100" t="n">
        <f aca="false">SUM(E9:E15)</f>
        <v>4351.903125</v>
      </c>
      <c r="F16" s="100" t="n">
        <f aca="false">SUM(F9:F15)</f>
        <v>5608.78125</v>
      </c>
      <c r="G16" s="100" t="n">
        <f aca="false">SUM(G9:G15)</f>
        <v>6787.359375</v>
      </c>
      <c r="H16" s="100" t="n">
        <f aca="false">SUM(H9:H15)</f>
        <v>8683.6875</v>
      </c>
      <c r="I16" s="100" t="n">
        <f aca="false">SUM(I9:I15)</f>
        <v>10580.015625</v>
      </c>
      <c r="J16" s="100" t="n">
        <f aca="false">SUM(J9:J15)</f>
        <v>12476.34375</v>
      </c>
      <c r="K16" s="100" t="n">
        <f aca="false">SUM(K9:K15)</f>
        <v>14372.671875</v>
      </c>
      <c r="L16" s="100" t="n">
        <f aca="false">SUM(L9:L15)</f>
        <v>16269</v>
      </c>
      <c r="M16" s="100" t="n">
        <f aca="false">SUM(M9:M15)</f>
        <v>16986.75</v>
      </c>
      <c r="N16" s="100" t="n">
        <f aca="false">SUM(N9:N15)</f>
        <v>18683.25</v>
      </c>
      <c r="O16" s="100" t="n">
        <f aca="false">SUM(O9:O15)</f>
        <v>20379.75</v>
      </c>
      <c r="P16" s="100" t="n">
        <f aca="false">SUM(P9:P15)</f>
        <v>21723.9</v>
      </c>
      <c r="Q16" s="100" t="n">
        <f aca="false">SUM(Q9:Q15)</f>
        <v>23068.05</v>
      </c>
      <c r="R16" s="100" t="n">
        <f aca="false">SUM(R9:R15)</f>
        <v>24412.2</v>
      </c>
      <c r="S16" s="100" t="n">
        <f aca="false">SUM(S9:S15)</f>
        <v>25756.35</v>
      </c>
      <c r="T16" s="100" t="n">
        <f aca="false">SUM(T9:T15)</f>
        <v>27100.5</v>
      </c>
      <c r="U16" s="100" t="n">
        <f aca="false">SUM(U9:U15)</f>
        <v>28444.65</v>
      </c>
      <c r="V16" s="100" t="n">
        <f aca="false">SUM(V9:V15)</f>
        <v>29788.8</v>
      </c>
      <c r="W16" s="100" t="n">
        <f aca="false">SUM(W9:W15)</f>
        <v>31132.95</v>
      </c>
      <c r="X16" s="100" t="n">
        <f aca="false">SUM(X9:X15)</f>
        <v>31498.35</v>
      </c>
      <c r="Y16" s="100" t="n">
        <f aca="false">SUM(Y9:Y15)</f>
        <v>31863.75</v>
      </c>
      <c r="Z16" s="100" t="n">
        <f aca="false">SUM(Z9:Z15)</f>
        <v>31863.75</v>
      </c>
      <c r="AA16" s="100" t="n">
        <f aca="false">SUM(AA9:AA15)</f>
        <v>31863.75</v>
      </c>
      <c r="AB16" s="100" t="n">
        <f aca="false">SUM(AB9:AB15)</f>
        <v>31863.75</v>
      </c>
      <c r="AC16" s="100" t="n">
        <f aca="false">SUM(AC9:AC15)</f>
        <v>31863.75</v>
      </c>
      <c r="AD16" s="100" t="n">
        <f aca="false">SUM(AD9:AD15)</f>
        <v>31863.75</v>
      </c>
      <c r="AE16" s="100" t="n">
        <f aca="false">SUM(AE9:AE15)</f>
        <v>31863.75</v>
      </c>
      <c r="AF16" s="100" t="n">
        <f aca="false">SUM(AF9:AF15)</f>
        <v>31863.75</v>
      </c>
      <c r="AG16" s="100" t="n">
        <f aca="false">SUM(AG9:AG15)</f>
        <v>31863.75</v>
      </c>
      <c r="AH16" s="100" t="n">
        <f aca="false">SUM(AH9:AH15)</f>
        <v>31863.75</v>
      </c>
      <c r="AI16" s="100" t="n">
        <f aca="false">SUM(AI9:AI15)</f>
        <v>31863.75</v>
      </c>
      <c r="AJ16" s="100" t="n">
        <f aca="false">SUM(AJ9:AJ15)</f>
        <v>31863.75</v>
      </c>
      <c r="AK16" s="100" t="n">
        <f aca="false">SUM(AK9:AK15)</f>
        <v>31863.75</v>
      </c>
      <c r="AL16" s="100" t="n">
        <f aca="false">SUM(AL9:AL15)</f>
        <v>31863.75</v>
      </c>
      <c r="AM16" s="100" t="n">
        <f aca="false">SUM(AM9:AM15)</f>
        <v>31863.75</v>
      </c>
      <c r="AN16" s="100" t="n">
        <f aca="false">SUM(AN9:AN15)</f>
        <v>31863.75</v>
      </c>
      <c r="AO16" s="100" t="n">
        <f aca="false">SUM(AO9:AO15)</f>
        <v>31863.75</v>
      </c>
      <c r="AP16" s="100" t="n">
        <f aca="false">SUM(AP9:AP15)</f>
        <v>31863.75</v>
      </c>
      <c r="AQ16" s="100" t="n">
        <f aca="false">SUM(AQ9:AQ15)</f>
        <v>31863.75</v>
      </c>
      <c r="AR16" s="100" t="n">
        <f aca="false">SUM(AR9:AR15)</f>
        <v>31863.75</v>
      </c>
      <c r="AS16" s="100" t="n">
        <f aca="false">SUM(AS9:AS15)</f>
        <v>31863.75</v>
      </c>
      <c r="AT16" s="100" t="n">
        <f aca="false">SUM(AT9:AT15)</f>
        <v>31863.75</v>
      </c>
      <c r="AU16" s="100" t="n">
        <f aca="false">SUM(AU9:AU15)</f>
        <v>31863.75</v>
      </c>
      <c r="AV16" s="100" t="n">
        <f aca="false">SUM(AV9:AV15)</f>
        <v>31863.75</v>
      </c>
      <c r="AW16" s="100" t="n">
        <f aca="false">SUM(AW9:AW15)</f>
        <v>31863.75</v>
      </c>
      <c r="AX16" s="100" t="n">
        <f aca="false">SUM(AX9:AX15)</f>
        <v>31863.75</v>
      </c>
      <c r="AY16" s="100" t="n">
        <f aca="false">SUM(AY9:AY15)</f>
        <v>31863.75</v>
      </c>
      <c r="AZ16" s="100" t="n">
        <f aca="false">SUM(AZ9:AZ15)</f>
        <v>31863.75</v>
      </c>
      <c r="BA16" s="100" t="n">
        <f aca="false">SUM(BA9:BA15)</f>
        <v>31863.75</v>
      </c>
      <c r="BB16" s="100" t="n">
        <f aca="false">SUM(BB9:BB15)</f>
        <v>31863.75</v>
      </c>
      <c r="BC16" s="100" t="n">
        <f aca="false">SUM(BC9:BC15)</f>
        <v>31863.75</v>
      </c>
      <c r="BD16" s="100" t="n">
        <f aca="false">SUM(BD9:BD15)</f>
        <v>31863.75</v>
      </c>
      <c r="BE16" s="100" t="n">
        <f aca="false">SUM(BE9:BE15)</f>
        <v>31863.75</v>
      </c>
      <c r="BF16" s="100" t="n">
        <f aca="false">SUM(BF9:BF15)</f>
        <v>31863.75</v>
      </c>
      <c r="BG16" s="100" t="n">
        <f aca="false">SUM(BG9:BG15)</f>
        <v>31863.75</v>
      </c>
      <c r="BH16" s="100" t="n">
        <f aca="false">SUM(BH9:BH15)</f>
        <v>31863.75</v>
      </c>
      <c r="BI16" s="100" t="n">
        <f aca="false">SUM(BI9:BI15)</f>
        <v>31863.75</v>
      </c>
      <c r="BJ16" s="100" t="n">
        <f aca="false">SUM(BJ9:BJ15)</f>
        <v>31863.75</v>
      </c>
      <c r="BK16" s="100" t="n">
        <f aca="false">SUM(BK9:BK15)</f>
        <v>31863.75</v>
      </c>
      <c r="BL16" s="100" t="n">
        <f aca="false">SUM(BL9:BL15)</f>
        <v>31863.75</v>
      </c>
      <c r="BM16" s="100" t="n">
        <f aca="false">SUM(BM9:BM15)</f>
        <v>31863.75</v>
      </c>
      <c r="BN16" s="100" t="n">
        <f aca="false">SUM(BN9:BN15)</f>
        <v>31863.75</v>
      </c>
      <c r="BO16" s="100" t="n">
        <f aca="false">SUM(BO9:BO15)</f>
        <v>31863.75</v>
      </c>
      <c r="BP16" s="100" t="n">
        <f aca="false">SUM(BP9:BP15)</f>
        <v>31863.75</v>
      </c>
      <c r="BQ16" s="100" t="n">
        <f aca="false">SUM(BQ9:BQ15)</f>
        <v>31863.75</v>
      </c>
      <c r="BR16" s="100" t="n">
        <f aca="false">SUM(BR9:BR15)</f>
        <v>31863.75</v>
      </c>
      <c r="BS16" s="100" t="n">
        <f aca="false">SUM(BS9:BS15)</f>
        <v>31863.75</v>
      </c>
      <c r="BT16" s="100" t="n">
        <f aca="false">SUM(BT9:BT15)</f>
        <v>31863.75</v>
      </c>
      <c r="BU16" s="100" t="n">
        <f aca="false">SUM(BU9:BU15)</f>
        <v>31863.75</v>
      </c>
      <c r="BV16" s="100" t="n">
        <f aca="false">SUM(BV9:BV15)</f>
        <v>31863.75</v>
      </c>
      <c r="BW16" s="100" t="n">
        <f aca="false">SUM(BW9:BW15)</f>
        <v>31863.75</v>
      </c>
      <c r="BX16" s="100" t="n">
        <f aca="false">SUM(BX9:BX15)</f>
        <v>31863.75</v>
      </c>
      <c r="BY16" s="100" t="n">
        <f aca="false">SUM(BY9:BY15)</f>
        <v>31863.75</v>
      </c>
      <c r="BZ16" s="100" t="n">
        <f aca="false">SUM(BZ9:BZ15)</f>
        <v>31863.75</v>
      </c>
      <c r="CA16" s="100" t="n">
        <f aca="false">SUM(CA9:CA15)</f>
        <v>31863.75</v>
      </c>
      <c r="CB16" s="100" t="n">
        <f aca="false">SUM(CB9:CB15)</f>
        <v>31863.75</v>
      </c>
      <c r="CC16" s="100" t="n">
        <f aca="false">SUM(CC9:CC15)</f>
        <v>31863.75</v>
      </c>
      <c r="CD16" s="100" t="n">
        <f aca="false">SUM(CD9:CD15)</f>
        <v>31863.75</v>
      </c>
      <c r="CE16" s="100" t="n">
        <f aca="false">SUM(CE9:CE15)</f>
        <v>31863.75</v>
      </c>
      <c r="CF16" s="100" t="n">
        <f aca="false">SUM(CF9:CF15)</f>
        <v>31863.75</v>
      </c>
      <c r="CG16" s="100" t="n">
        <f aca="false">SUM(CG9:CG15)</f>
        <v>31863.75</v>
      </c>
      <c r="CH16" s="100" t="n">
        <f aca="false">SUM(CH9:CH15)</f>
        <v>31863.75</v>
      </c>
    </row>
    <row r="17" customFormat="false" ht="13.5" hidden="false" customHeight="true" outlineLevel="0" collapsed="false">
      <c r="A17" s="6" t="s">
        <v>497</v>
      </c>
      <c r="C17" s="101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C$17</f>
        <v>119.782608695652</v>
      </c>
      <c r="D17" s="101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C$17</f>
        <v>256.253196930946</v>
      </c>
      <c r="E17" s="101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C$17</f>
        <v>614.888721113445</v>
      </c>
      <c r="F17" s="101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C$17</f>
        <v>853.741636600292</v>
      </c>
      <c r="G17" s="101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C$17</f>
        <v>1075.9065725475</v>
      </c>
      <c r="H17" s="101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C$17</f>
        <v>1489.28794071977</v>
      </c>
      <c r="I17" s="101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C$17</f>
        <v>1902.66930889203</v>
      </c>
      <c r="J17" s="101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C$17</f>
        <v>2316.0506770643</v>
      </c>
      <c r="K17" s="101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C$17</f>
        <v>2729.43204523657</v>
      </c>
      <c r="L17" s="101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C$17</f>
        <v>3142.81341340884</v>
      </c>
      <c r="M17" s="101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C$17</f>
        <v>3334.02984563391</v>
      </c>
      <c r="N17" s="101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C$17</f>
        <v>3803.37927018634</v>
      </c>
      <c r="O17" s="101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C$17</f>
        <v>4272.72869473877</v>
      </c>
      <c r="P17" s="101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C$17</f>
        <v>4662.11488399708</v>
      </c>
      <c r="Q17" s="101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C$17</f>
        <v>5051.50107325539</v>
      </c>
      <c r="R17" s="101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C$17</f>
        <v>5440.8872625137</v>
      </c>
      <c r="S17" s="101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C$17</f>
        <v>5830.27345177201</v>
      </c>
      <c r="T17" s="101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C$17</f>
        <v>6219.65964103033</v>
      </c>
      <c r="U17" s="101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C$17</f>
        <v>6609.04583028864</v>
      </c>
      <c r="V17" s="101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C$17</f>
        <v>6998.43201954695</v>
      </c>
      <c r="W17" s="101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C$17</f>
        <v>7387.81820880526</v>
      </c>
      <c r="X17" s="101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C$17</f>
        <v>7499.07140573621</v>
      </c>
      <c r="Y17" s="101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C$17</f>
        <v>7610.32460266715</v>
      </c>
      <c r="Z17" s="101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C$17</f>
        <v>7610.32460266715</v>
      </c>
      <c r="AA17" s="101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C$17</f>
        <v>7610.32460266715</v>
      </c>
      <c r="AB17" s="101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C$17</f>
        <v>7610.32460266715</v>
      </c>
      <c r="AC17" s="101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C$17</f>
        <v>7610.32460266715</v>
      </c>
      <c r="AD17" s="101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C$17</f>
        <v>7610.32460266715</v>
      </c>
      <c r="AE17" s="101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C$17</f>
        <v>7610.32460266715</v>
      </c>
      <c r="AF17" s="101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C$17</f>
        <v>7610.32460266715</v>
      </c>
      <c r="AG17" s="101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C$17</f>
        <v>7610.32460266715</v>
      </c>
      <c r="AH17" s="101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C$17</f>
        <v>7610.32460266715</v>
      </c>
      <c r="AI17" s="101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C$17</f>
        <v>7610.32460266715</v>
      </c>
      <c r="AJ17" s="101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C$17</f>
        <v>7610.32460266715</v>
      </c>
      <c r="AK17" s="101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C$17</f>
        <v>7610.32460266715</v>
      </c>
      <c r="AL17" s="101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C$17</f>
        <v>7610.32460266715</v>
      </c>
      <c r="AM17" s="101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C$17</f>
        <v>7610.32460266715</v>
      </c>
      <c r="AN17" s="101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C$17</f>
        <v>7610.32460266715</v>
      </c>
      <c r="AO17" s="101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C$17</f>
        <v>7610.32460266715</v>
      </c>
      <c r="AP17" s="101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C$17</f>
        <v>7610.32460266715</v>
      </c>
      <c r="AQ17" s="101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C$17</f>
        <v>7610.32460266715</v>
      </c>
      <c r="AR17" s="101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C$17</f>
        <v>7610.32460266715</v>
      </c>
      <c r="AS17" s="101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C$17</f>
        <v>7610.32460266715</v>
      </c>
      <c r="AT17" s="101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C$17</f>
        <v>7610.32460266715</v>
      </c>
      <c r="AU17" s="101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C$17</f>
        <v>7610.32460266715</v>
      </c>
      <c r="AV17" s="101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C$17</f>
        <v>7610.32460266715</v>
      </c>
      <c r="AW17" s="101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C$17</f>
        <v>7610.32460266715</v>
      </c>
      <c r="AX17" s="101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C$17</f>
        <v>7610.32460266715</v>
      </c>
      <c r="AY17" s="101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C$17</f>
        <v>7610.32460266715</v>
      </c>
      <c r="AZ17" s="101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C$17</f>
        <v>7610.32460266715</v>
      </c>
      <c r="BA17" s="101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C$17</f>
        <v>7610.32460266715</v>
      </c>
      <c r="BB17" s="101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C$17</f>
        <v>7610.32460266715</v>
      </c>
      <c r="BC17" s="101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C$17</f>
        <v>7610.32460266715</v>
      </c>
      <c r="BD17" s="101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C$17</f>
        <v>7610.32460266715</v>
      </c>
      <c r="BE17" s="101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C$17</f>
        <v>7610.32460266715</v>
      </c>
      <c r="BF17" s="101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C$17</f>
        <v>7610.32460266715</v>
      </c>
      <c r="BG17" s="101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C$17</f>
        <v>7610.32460266715</v>
      </c>
      <c r="BH17" s="101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C$17</f>
        <v>7610.32460266715</v>
      </c>
      <c r="BI17" s="101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C$17</f>
        <v>7610.32460266715</v>
      </c>
      <c r="BJ17" s="101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C$17</f>
        <v>7610.32460266715</v>
      </c>
      <c r="BK17" s="101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C$17</f>
        <v>7610.32460266715</v>
      </c>
      <c r="BL17" s="101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C$17</f>
        <v>7610.32460266715</v>
      </c>
      <c r="BM17" s="101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C$17</f>
        <v>7610.32460266715</v>
      </c>
      <c r="BN17" s="101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C$17</f>
        <v>7610.32460266715</v>
      </c>
      <c r="BO17" s="101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C$17</f>
        <v>7610.32460266715</v>
      </c>
      <c r="BP17" s="101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C$17</f>
        <v>7610.32460266715</v>
      </c>
      <c r="BQ17" s="101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C$17</f>
        <v>7610.32460266715</v>
      </c>
      <c r="BR17" s="101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C$17</f>
        <v>7610.32460266715</v>
      </c>
      <c r="BS17" s="101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C$17</f>
        <v>7610.32460266715</v>
      </c>
      <c r="BT17" s="101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C$17</f>
        <v>7610.32460266715</v>
      </c>
      <c r="BU17" s="101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C$17</f>
        <v>7610.32460266715</v>
      </c>
      <c r="BV17" s="101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C$17</f>
        <v>7610.32460266715</v>
      </c>
      <c r="BW17" s="101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C$17</f>
        <v>7610.32460266715</v>
      </c>
      <c r="BX17" s="101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C$17</f>
        <v>7610.32460266715</v>
      </c>
      <c r="BY17" s="101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C$17</f>
        <v>7610.32460266715</v>
      </c>
      <c r="BZ17" s="101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C$17</f>
        <v>7610.32460266715</v>
      </c>
      <c r="CA17" s="101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C$17</f>
        <v>7610.32460266715</v>
      </c>
      <c r="CB17" s="101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C$17</f>
        <v>7610.32460266715</v>
      </c>
      <c r="CC17" s="101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C$17</f>
        <v>7610.32460266715</v>
      </c>
      <c r="CD17" s="101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C$17</f>
        <v>7610.32460266715</v>
      </c>
      <c r="CE17" s="101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C$17</f>
        <v>7610.32460266715</v>
      </c>
      <c r="CF17" s="101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C$17</f>
        <v>7610.32460266715</v>
      </c>
      <c r="CG17" s="101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C$17</f>
        <v>7610.32460266715</v>
      </c>
      <c r="CH17" s="101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C$17</f>
        <v>7610.32460266715</v>
      </c>
    </row>
    <row r="18" customFormat="false" ht="13.5" hidden="false" customHeight="true" outlineLevel="0" collapsed="false">
      <c r="A18" s="6" t="s">
        <v>498</v>
      </c>
      <c r="C18" s="109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C$17</f>
        <v>46.2671154560787</v>
      </c>
      <c r="D18" s="109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C$17</f>
        <v>94.563998311785</v>
      </c>
      <c r="E18" s="109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C$17</f>
        <v>177.108103861882</v>
      </c>
      <c r="F18" s="109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C$17</f>
        <v>213.3850939559</v>
      </c>
      <c r="G18" s="109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C$17</f>
        <v>247.63231665029</v>
      </c>
      <c r="H18" s="109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C$17</f>
        <v>305.137290798748</v>
      </c>
      <c r="I18" s="109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C$17</f>
        <v>362.642264947206</v>
      </c>
      <c r="J18" s="109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C$17</f>
        <v>420.147239095664</v>
      </c>
      <c r="K18" s="109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C$17</f>
        <v>477.652213244122</v>
      </c>
      <c r="L18" s="109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C$17</f>
        <v>535.15718739258</v>
      </c>
      <c r="M18" s="109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C$17</f>
        <v>558.414938846647</v>
      </c>
      <c r="N18" s="109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C$17</f>
        <v>615.502146961177</v>
      </c>
      <c r="O18" s="109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C$17</f>
        <v>672.589355075706</v>
      </c>
      <c r="P18" s="109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C$17</f>
        <v>719.950594400353</v>
      </c>
      <c r="Q18" s="109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C$17</f>
        <v>767.311833725</v>
      </c>
      <c r="R18" s="109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C$17</f>
        <v>814.673073049647</v>
      </c>
      <c r="S18" s="109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C$17</f>
        <v>862.034312374293</v>
      </c>
      <c r="T18" s="109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C$17</f>
        <v>909.39555169894</v>
      </c>
      <c r="U18" s="109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C$17</f>
        <v>956.756791023587</v>
      </c>
      <c r="V18" s="109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C$17</f>
        <v>1004.11803034823</v>
      </c>
      <c r="W18" s="109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C$17</f>
        <v>1051.47926967288</v>
      </c>
      <c r="X18" s="109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C$17</f>
        <v>1065.01105233707</v>
      </c>
      <c r="Y18" s="109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C$17</f>
        <v>1078.54283500125</v>
      </c>
      <c r="Z18" s="109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C$17</f>
        <v>1078.54283500125</v>
      </c>
      <c r="AA18" s="109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C$17</f>
        <v>1078.54283500125</v>
      </c>
      <c r="AB18" s="109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C$17</f>
        <v>1078.54283500125</v>
      </c>
      <c r="AC18" s="109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C$17</f>
        <v>1078.54283500125</v>
      </c>
      <c r="AD18" s="109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C$17</f>
        <v>1078.54283500125</v>
      </c>
      <c r="AE18" s="109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C$17</f>
        <v>1078.54283500125</v>
      </c>
      <c r="AF18" s="109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C$17</f>
        <v>1078.54283500125</v>
      </c>
      <c r="AG18" s="109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C$17</f>
        <v>1078.54283500125</v>
      </c>
      <c r="AH18" s="109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C$17</f>
        <v>1078.54283500125</v>
      </c>
      <c r="AI18" s="109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C$17</f>
        <v>1078.54283500125</v>
      </c>
      <c r="AJ18" s="109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C$17</f>
        <v>1078.54283500125</v>
      </c>
      <c r="AK18" s="109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C$17</f>
        <v>1078.54283500125</v>
      </c>
      <c r="AL18" s="109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C$17</f>
        <v>1078.54283500125</v>
      </c>
      <c r="AM18" s="109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C$17</f>
        <v>1078.54283500125</v>
      </c>
      <c r="AN18" s="109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C$17</f>
        <v>1078.54283500125</v>
      </c>
      <c r="AO18" s="109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C$17</f>
        <v>1078.54283500125</v>
      </c>
      <c r="AP18" s="109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C$17</f>
        <v>1078.54283500125</v>
      </c>
      <c r="AQ18" s="109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C$17</f>
        <v>1078.54283500125</v>
      </c>
      <c r="AR18" s="109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C$17</f>
        <v>1078.54283500125</v>
      </c>
      <c r="AS18" s="109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C$17</f>
        <v>1078.54283500125</v>
      </c>
      <c r="AT18" s="109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C$17</f>
        <v>1078.54283500125</v>
      </c>
      <c r="AU18" s="109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C$17</f>
        <v>1078.54283500125</v>
      </c>
      <c r="AV18" s="109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C$17</f>
        <v>1078.54283500125</v>
      </c>
      <c r="AW18" s="109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C$17</f>
        <v>1078.54283500125</v>
      </c>
      <c r="AX18" s="109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C$17</f>
        <v>1078.54283500125</v>
      </c>
      <c r="AY18" s="109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C$17</f>
        <v>1078.54283500125</v>
      </c>
      <c r="AZ18" s="109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C$17</f>
        <v>1078.54283500125</v>
      </c>
      <c r="BA18" s="109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C$17</f>
        <v>1078.54283500125</v>
      </c>
      <c r="BB18" s="109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C$17</f>
        <v>1078.54283500125</v>
      </c>
      <c r="BC18" s="109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C$17</f>
        <v>1078.54283500125</v>
      </c>
      <c r="BD18" s="109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C$17</f>
        <v>1078.54283500125</v>
      </c>
      <c r="BE18" s="109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C$17</f>
        <v>1078.54283500125</v>
      </c>
      <c r="BF18" s="109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C$17</f>
        <v>1078.54283500125</v>
      </c>
      <c r="BG18" s="109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C$17</f>
        <v>1078.54283500125</v>
      </c>
      <c r="BH18" s="109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C$17</f>
        <v>1078.54283500125</v>
      </c>
      <c r="BI18" s="109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C$17</f>
        <v>1078.54283500125</v>
      </c>
      <c r="BJ18" s="109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C$17</f>
        <v>1078.54283500125</v>
      </c>
      <c r="BK18" s="109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C$17</f>
        <v>1078.54283500125</v>
      </c>
      <c r="BL18" s="109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C$17</f>
        <v>1078.54283500125</v>
      </c>
      <c r="BM18" s="109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C$17</f>
        <v>1078.54283500125</v>
      </c>
      <c r="BN18" s="109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C$17</f>
        <v>1078.54283500125</v>
      </c>
      <c r="BO18" s="109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C$17</f>
        <v>1078.54283500125</v>
      </c>
      <c r="BP18" s="109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C$17</f>
        <v>1078.54283500125</v>
      </c>
      <c r="BQ18" s="109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C$17</f>
        <v>1078.54283500125</v>
      </c>
      <c r="BR18" s="109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C$17</f>
        <v>1078.54283500125</v>
      </c>
      <c r="BS18" s="109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C$17</f>
        <v>1078.54283500125</v>
      </c>
      <c r="BT18" s="109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C$17</f>
        <v>1078.54283500125</v>
      </c>
      <c r="BU18" s="109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C$17</f>
        <v>1078.54283500125</v>
      </c>
      <c r="BV18" s="109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C$17</f>
        <v>1078.54283500125</v>
      </c>
      <c r="BW18" s="109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C$17</f>
        <v>1078.54283500125</v>
      </c>
      <c r="BX18" s="109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C$17</f>
        <v>1078.54283500125</v>
      </c>
      <c r="BY18" s="109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C$17</f>
        <v>1078.54283500125</v>
      </c>
      <c r="BZ18" s="109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C$17</f>
        <v>1078.54283500125</v>
      </c>
      <c r="CA18" s="109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C$17</f>
        <v>1078.54283500125</v>
      </c>
      <c r="CB18" s="109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C$17</f>
        <v>1078.54283500125</v>
      </c>
      <c r="CC18" s="109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C$17</f>
        <v>1078.54283500125</v>
      </c>
      <c r="CD18" s="109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C$17</f>
        <v>1078.54283500125</v>
      </c>
      <c r="CE18" s="109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C$17</f>
        <v>1078.54283500125</v>
      </c>
      <c r="CF18" s="109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C$17</f>
        <v>1078.54283500125</v>
      </c>
      <c r="CG18" s="109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C$17</f>
        <v>1078.54283500125</v>
      </c>
      <c r="CH18" s="109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C$17</f>
        <v>1078.54283500125</v>
      </c>
    </row>
    <row r="19" customFormat="false" ht="13.5" hidden="false" customHeight="true" outlineLevel="0" collapsed="false">
      <c r="A19" s="6" t="s">
        <v>499</v>
      </c>
      <c r="C19" s="100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109.098</v>
      </c>
      <c r="D19" s="100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234.623647058823</v>
      </c>
      <c r="E19" s="100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579.188495010504</v>
      </c>
      <c r="F19" s="100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814.655342962185</v>
      </c>
      <c r="G19" s="100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1033.69454385504</v>
      </c>
      <c r="H19" s="100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1440.96720063025</v>
      </c>
      <c r="I19" s="100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1848.23985740546</v>
      </c>
      <c r="J19" s="100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2255.51251418067</v>
      </c>
      <c r="K19" s="100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2662.78517095588</v>
      </c>
      <c r="L19" s="100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3070.05782773109</v>
      </c>
      <c r="M19" s="100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3258.29128361345</v>
      </c>
      <c r="N19" s="100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3720.31885714286</v>
      </c>
      <c r="O19" s="100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4182.34643067227</v>
      </c>
      <c r="P19" s="100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4565.65819537815</v>
      </c>
      <c r="Q19" s="100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4948.96996008403</v>
      </c>
      <c r="R19" s="100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5332.28172478992</v>
      </c>
      <c r="S19" s="100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5715.5934894958</v>
      </c>
      <c r="T19" s="100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6098.90525420168</v>
      </c>
      <c r="U19" s="100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6482.21701890756</v>
      </c>
      <c r="V19" s="100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6865.52878361345</v>
      </c>
      <c r="W19" s="100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7248.84054831933</v>
      </c>
      <c r="X19" s="100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7358.35819537815</v>
      </c>
      <c r="Y19" s="100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7467.87584243697</v>
      </c>
      <c r="Z19" s="100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7467.87584243697</v>
      </c>
      <c r="AA19" s="100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7467.87584243697</v>
      </c>
      <c r="AB19" s="100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7467.87584243697</v>
      </c>
      <c r="AC19" s="100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7467.87584243697</v>
      </c>
      <c r="AD19" s="100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7467.87584243697</v>
      </c>
      <c r="AE19" s="100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7467.87584243697</v>
      </c>
      <c r="AF19" s="100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7467.87584243697</v>
      </c>
      <c r="AG19" s="100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7467.87584243697</v>
      </c>
      <c r="AH19" s="100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7467.87584243697</v>
      </c>
      <c r="AI19" s="100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7467.87584243697</v>
      </c>
      <c r="AJ19" s="100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7467.87584243697</v>
      </c>
      <c r="AK19" s="100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7467.87584243697</v>
      </c>
      <c r="AL19" s="100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7467.87584243697</v>
      </c>
      <c r="AM19" s="100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7467.87584243697</v>
      </c>
      <c r="AN19" s="100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7467.87584243697</v>
      </c>
      <c r="AO19" s="100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7467.87584243697</v>
      </c>
      <c r="AP19" s="100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7467.87584243697</v>
      </c>
      <c r="AQ19" s="100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7467.87584243697</v>
      </c>
      <c r="AR19" s="100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7467.87584243697</v>
      </c>
      <c r="AS19" s="100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7467.87584243697</v>
      </c>
      <c r="AT19" s="100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7467.87584243697</v>
      </c>
      <c r="AU19" s="100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7467.87584243697</v>
      </c>
      <c r="AV19" s="100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7467.87584243697</v>
      </c>
      <c r="AW19" s="100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7467.87584243697</v>
      </c>
      <c r="AX19" s="100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7467.87584243697</v>
      </c>
      <c r="AY19" s="100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7467.87584243697</v>
      </c>
      <c r="AZ19" s="100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7467.87584243697</v>
      </c>
      <c r="BA19" s="100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7467.87584243697</v>
      </c>
      <c r="BB19" s="100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7467.87584243697</v>
      </c>
      <c r="BC19" s="100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7467.87584243697</v>
      </c>
      <c r="BD19" s="100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7467.87584243697</v>
      </c>
      <c r="BE19" s="100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7467.87584243697</v>
      </c>
      <c r="BF19" s="100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7467.87584243697</v>
      </c>
      <c r="BG19" s="100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7467.87584243697</v>
      </c>
      <c r="BH19" s="100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7467.87584243697</v>
      </c>
      <c r="BI19" s="100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7467.87584243697</v>
      </c>
      <c r="BJ19" s="100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7467.87584243697</v>
      </c>
      <c r="BK19" s="100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7467.87584243697</v>
      </c>
      <c r="BL19" s="100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7467.87584243697</v>
      </c>
      <c r="BM19" s="100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7467.87584243697</v>
      </c>
      <c r="BN19" s="100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7467.87584243697</v>
      </c>
      <c r="BO19" s="100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7467.87584243697</v>
      </c>
      <c r="BP19" s="100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7467.87584243697</v>
      </c>
      <c r="BQ19" s="100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7467.87584243697</v>
      </c>
      <c r="BR19" s="100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7467.87584243697</v>
      </c>
      <c r="BS19" s="100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7467.87584243697</v>
      </c>
      <c r="BT19" s="100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7467.87584243697</v>
      </c>
      <c r="BU19" s="100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7467.87584243697</v>
      </c>
      <c r="BV19" s="100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7467.87584243697</v>
      </c>
      <c r="BW19" s="100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7467.87584243697</v>
      </c>
      <c r="BX19" s="100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7467.87584243697</v>
      </c>
      <c r="BY19" s="100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7467.87584243697</v>
      </c>
      <c r="BZ19" s="100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7467.87584243697</v>
      </c>
      <c r="CA19" s="100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7467.87584243697</v>
      </c>
      <c r="CB19" s="100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7467.87584243697</v>
      </c>
      <c r="CC19" s="100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7467.87584243697</v>
      </c>
      <c r="CD19" s="100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7467.87584243697</v>
      </c>
      <c r="CE19" s="100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7467.87584243697</v>
      </c>
      <c r="CF19" s="100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7467.87584243697</v>
      </c>
      <c r="CG19" s="100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7467.87584243697</v>
      </c>
      <c r="CH19" s="100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7467.87584243697</v>
      </c>
    </row>
    <row r="20" customFormat="false" ht="13.5" hidden="false" customHeight="true" outlineLevel="0" collapsed="false">
      <c r="A20" s="6" t="s">
        <v>500</v>
      </c>
      <c r="C20" s="109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09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09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09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09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09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09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09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09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09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09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09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09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09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09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09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09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09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09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09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09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09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09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09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09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09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09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09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09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09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09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09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09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09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09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09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09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09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09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09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09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09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09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09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09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09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09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09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09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09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09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09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09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09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09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09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09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09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09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09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09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09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09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09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09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09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09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09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09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09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09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09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09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09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09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09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09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09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09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09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09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09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09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09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6" t="s">
        <v>501</v>
      </c>
      <c r="C21" s="110" t="n">
        <f aca="false">IF(C18=0,1,MIN(1,C8/C18))</f>
        <v>1</v>
      </c>
      <c r="D21" s="110" t="n">
        <f aca="false">IF(D18=0,1,MIN(1,D8/D18))</f>
        <v>1</v>
      </c>
      <c r="E21" s="110" t="n">
        <f aca="false">IF(E18=0,1,MIN(1,E8/E18))</f>
        <v>1</v>
      </c>
      <c r="F21" s="110" t="n">
        <f aca="false">IF(F18=0,1,MIN(1,F8/F18))</f>
        <v>1</v>
      </c>
      <c r="G21" s="110" t="n">
        <f aca="false">IF(G18=0,1,MIN(1,G8/G18))</f>
        <v>1</v>
      </c>
      <c r="H21" s="110" t="n">
        <f aca="false">IF(H18=0,1,MIN(1,H8/H18))</f>
        <v>1</v>
      </c>
      <c r="I21" s="110" t="n">
        <f aca="false">IF(I18=0,1,MIN(1,I8/I18))</f>
        <v>1</v>
      </c>
      <c r="J21" s="110" t="n">
        <f aca="false">IF(J18=0,1,MIN(1,J8/J18))</f>
        <v>1</v>
      </c>
      <c r="K21" s="110" t="n">
        <f aca="false">IF(K18=0,1,MIN(1,K8/K18))</f>
        <v>1</v>
      </c>
      <c r="L21" s="110" t="n">
        <f aca="false">IF(L18=0,1,MIN(1,L8/L18))</f>
        <v>1</v>
      </c>
      <c r="M21" s="110" t="n">
        <f aca="false">IF(M18=0,1,MIN(1,M8/M18))</f>
        <v>1</v>
      </c>
      <c r="N21" s="110" t="n">
        <f aca="false">IF(N18=0,1,MIN(1,N8/N18))</f>
        <v>1</v>
      </c>
      <c r="O21" s="110" t="n">
        <f aca="false">IF(O18=0,1,MIN(1,O8/O18))</f>
        <v>1</v>
      </c>
      <c r="P21" s="110" t="n">
        <f aca="false">IF(P18=0,1,MIN(1,P8/P18))</f>
        <v>1</v>
      </c>
      <c r="Q21" s="110" t="n">
        <f aca="false">IF(Q18=0,1,MIN(1,Q8/Q18))</f>
        <v>1</v>
      </c>
      <c r="R21" s="110" t="n">
        <f aca="false">IF(R18=0,1,MIN(1,R8/R18))</f>
        <v>1</v>
      </c>
      <c r="S21" s="110" t="n">
        <f aca="false">IF(S18=0,1,MIN(1,S8/S18))</f>
        <v>1</v>
      </c>
      <c r="T21" s="110" t="n">
        <f aca="false">IF(T18=0,1,MIN(1,T8/T18))</f>
        <v>1</v>
      </c>
      <c r="U21" s="110" t="n">
        <f aca="false">IF(U18=0,1,MIN(1,U8/U18))</f>
        <v>1</v>
      </c>
      <c r="V21" s="110" t="n">
        <f aca="false">IF(V18=0,1,MIN(1,V8/V18))</f>
        <v>1</v>
      </c>
      <c r="W21" s="110" t="n">
        <f aca="false">IF(W18=0,1,MIN(1,W8/W18))</f>
        <v>1</v>
      </c>
      <c r="X21" s="110" t="n">
        <f aca="false">IF(X18=0,1,MIN(1,X8/X18))</f>
        <v>1</v>
      </c>
      <c r="Y21" s="110" t="n">
        <f aca="false">IF(Y18=0,1,MIN(1,Y8/Y18))</f>
        <v>1</v>
      </c>
      <c r="Z21" s="110" t="n">
        <f aca="false">IF(Z18=0,1,MIN(1,Z8/Z18))</f>
        <v>1</v>
      </c>
      <c r="AA21" s="110" t="n">
        <f aca="false">IF(AA18=0,1,MIN(1,AA8/AA18))</f>
        <v>1</v>
      </c>
      <c r="AB21" s="110" t="n">
        <f aca="false">IF(AB18=0,1,MIN(1,AB8/AB18))</f>
        <v>1</v>
      </c>
      <c r="AC21" s="110" t="n">
        <f aca="false">IF(AC18=0,1,MIN(1,AC8/AC18))</f>
        <v>1</v>
      </c>
      <c r="AD21" s="110" t="n">
        <f aca="false">IF(AD18=0,1,MIN(1,AD8/AD18))</f>
        <v>1</v>
      </c>
      <c r="AE21" s="110" t="n">
        <f aca="false">IF(AE18=0,1,MIN(1,AE8/AE18))</f>
        <v>1</v>
      </c>
      <c r="AF21" s="110" t="n">
        <f aca="false">IF(AF18=0,1,MIN(1,AF8/AF18))</f>
        <v>1</v>
      </c>
      <c r="AG21" s="110" t="n">
        <f aca="false">IF(AG18=0,1,MIN(1,AG8/AG18))</f>
        <v>1</v>
      </c>
      <c r="AH21" s="110" t="n">
        <f aca="false">IF(AH18=0,1,MIN(1,AH8/AH18))</f>
        <v>1</v>
      </c>
      <c r="AI21" s="110" t="n">
        <f aca="false">IF(AI18=0,1,MIN(1,AI8/AI18))</f>
        <v>1</v>
      </c>
      <c r="AJ21" s="110" t="n">
        <f aca="false">IF(AJ18=0,1,MIN(1,AJ8/AJ18))</f>
        <v>1</v>
      </c>
      <c r="AK21" s="110" t="n">
        <f aca="false">IF(AK18=0,1,MIN(1,AK8/AK18))</f>
        <v>1</v>
      </c>
      <c r="AL21" s="110" t="n">
        <f aca="false">IF(AL18=0,1,MIN(1,AL8/AL18))</f>
        <v>1</v>
      </c>
      <c r="AM21" s="110" t="n">
        <f aca="false">IF(AM18=0,1,MIN(1,AM8/AM18))</f>
        <v>1</v>
      </c>
      <c r="AN21" s="110" t="n">
        <f aca="false">IF(AN18=0,1,MIN(1,AN8/AN18))</f>
        <v>1</v>
      </c>
      <c r="AO21" s="110" t="n">
        <f aca="false">IF(AO18=0,1,MIN(1,AO8/AO18))</f>
        <v>1</v>
      </c>
      <c r="AP21" s="110" t="n">
        <f aca="false">IF(AP18=0,1,MIN(1,AP8/AP18))</f>
        <v>1</v>
      </c>
      <c r="AQ21" s="110" t="n">
        <f aca="false">IF(AQ18=0,1,MIN(1,AQ8/AQ18))</f>
        <v>1</v>
      </c>
      <c r="AR21" s="110" t="n">
        <f aca="false">IF(AR18=0,1,MIN(1,AR8/AR18))</f>
        <v>1</v>
      </c>
      <c r="AS21" s="110" t="n">
        <f aca="false">IF(AS18=0,1,MIN(1,AS8/AS18))</f>
        <v>1</v>
      </c>
      <c r="AT21" s="110" t="n">
        <f aca="false">IF(AT18=0,1,MIN(1,AT8/AT18))</f>
        <v>1</v>
      </c>
      <c r="AU21" s="110" t="n">
        <f aca="false">IF(AU18=0,1,MIN(1,AU8/AU18))</f>
        <v>1</v>
      </c>
      <c r="AV21" s="110" t="n">
        <f aca="false">IF(AV18=0,1,MIN(1,AV8/AV18))</f>
        <v>1</v>
      </c>
      <c r="AW21" s="110" t="n">
        <f aca="false">IF(AW18=0,1,MIN(1,AW8/AW18))</f>
        <v>1</v>
      </c>
      <c r="AX21" s="110" t="n">
        <f aca="false">IF(AX18=0,1,MIN(1,AX8/AX18))</f>
        <v>1</v>
      </c>
      <c r="AY21" s="110" t="n">
        <f aca="false">IF(AY18=0,1,MIN(1,AY8/AY18))</f>
        <v>1</v>
      </c>
      <c r="AZ21" s="110" t="n">
        <f aca="false">IF(AZ18=0,1,MIN(1,AZ8/AZ18))</f>
        <v>1</v>
      </c>
      <c r="BA21" s="110" t="n">
        <f aca="false">IF(BA18=0,1,MIN(1,BA8/BA18))</f>
        <v>1</v>
      </c>
      <c r="BB21" s="110" t="n">
        <f aca="false">IF(BB18=0,1,MIN(1,BB8/BB18))</f>
        <v>1</v>
      </c>
      <c r="BC21" s="110" t="n">
        <f aca="false">IF(BC18=0,1,MIN(1,BC8/BC18))</f>
        <v>1</v>
      </c>
      <c r="BD21" s="110" t="n">
        <f aca="false">IF(BD18=0,1,MIN(1,BD8/BD18))</f>
        <v>1</v>
      </c>
      <c r="BE21" s="110" t="n">
        <f aca="false">IF(BE18=0,1,MIN(1,BE8/BE18))</f>
        <v>1</v>
      </c>
      <c r="BF21" s="110" t="n">
        <f aca="false">IF(BF18=0,1,MIN(1,BF8/BF18))</f>
        <v>1</v>
      </c>
      <c r="BG21" s="110" t="n">
        <f aca="false">IF(BG18=0,1,MIN(1,BG8/BG18))</f>
        <v>1</v>
      </c>
      <c r="BH21" s="110" t="n">
        <f aca="false">IF(BH18=0,1,MIN(1,BH8/BH18))</f>
        <v>1</v>
      </c>
      <c r="BI21" s="110" t="n">
        <f aca="false">IF(BI18=0,1,MIN(1,BI8/BI18))</f>
        <v>1</v>
      </c>
      <c r="BJ21" s="110" t="n">
        <f aca="false">IF(BJ18=0,1,MIN(1,BJ8/BJ18))</f>
        <v>1</v>
      </c>
      <c r="BK21" s="110" t="n">
        <f aca="false">IF(BK18=0,1,MIN(1,BK8/BK18))</f>
        <v>1</v>
      </c>
      <c r="BL21" s="110" t="n">
        <f aca="false">IF(BL18=0,1,MIN(1,BL8/BL18))</f>
        <v>1</v>
      </c>
      <c r="BM21" s="110" t="n">
        <f aca="false">IF(BM18=0,1,MIN(1,BM8/BM18))</f>
        <v>1</v>
      </c>
      <c r="BN21" s="110" t="n">
        <f aca="false">IF(BN18=0,1,MIN(1,BN8/BN18))</f>
        <v>1</v>
      </c>
      <c r="BO21" s="110" t="n">
        <f aca="false">IF(BO18=0,1,MIN(1,BO8/BO18))</f>
        <v>1</v>
      </c>
      <c r="BP21" s="110" t="n">
        <f aca="false">IF(BP18=0,1,MIN(1,BP8/BP18))</f>
        <v>1</v>
      </c>
      <c r="BQ21" s="110" t="n">
        <f aca="false">IF(BQ18=0,1,MIN(1,BQ8/BQ18))</f>
        <v>1</v>
      </c>
      <c r="BR21" s="110" t="n">
        <f aca="false">IF(BR18=0,1,MIN(1,BR8/BR18))</f>
        <v>1</v>
      </c>
      <c r="BS21" s="110" t="n">
        <f aca="false">IF(BS18=0,1,MIN(1,BS8/BS18))</f>
        <v>1</v>
      </c>
      <c r="BT21" s="110" t="n">
        <f aca="false">IF(BT18=0,1,MIN(1,BT8/BT18))</f>
        <v>1</v>
      </c>
      <c r="BU21" s="110" t="n">
        <f aca="false">IF(BU18=0,1,MIN(1,BU8/BU18))</f>
        <v>1</v>
      </c>
      <c r="BV21" s="110" t="n">
        <f aca="false">IF(BV18=0,1,MIN(1,BV8/BV18))</f>
        <v>1</v>
      </c>
      <c r="BW21" s="110" t="n">
        <f aca="false">IF(BW18=0,1,MIN(1,BW8/BW18))</f>
        <v>1</v>
      </c>
      <c r="BX21" s="110" t="n">
        <f aca="false">IF(BX18=0,1,MIN(1,BX8/BX18))</f>
        <v>1</v>
      </c>
      <c r="BY21" s="110" t="n">
        <f aca="false">IF(BY18=0,1,MIN(1,BY8/BY18))</f>
        <v>1</v>
      </c>
      <c r="BZ21" s="110" t="n">
        <f aca="false">IF(BZ18=0,1,MIN(1,BZ8/BZ18))</f>
        <v>1</v>
      </c>
      <c r="CA21" s="110" t="n">
        <f aca="false">IF(CA18=0,1,MIN(1,CA8/CA18))</f>
        <v>1</v>
      </c>
      <c r="CB21" s="110" t="n">
        <f aca="false">IF(CB18=0,1,MIN(1,CB8/CB18))</f>
        <v>1</v>
      </c>
      <c r="CC21" s="110" t="n">
        <f aca="false">IF(CC18=0,1,MIN(1,CC8/CC18))</f>
        <v>1</v>
      </c>
      <c r="CD21" s="110" t="n">
        <f aca="false">IF(CD18=0,1,MIN(1,CD8/CD18))</f>
        <v>1</v>
      </c>
      <c r="CE21" s="110" t="n">
        <f aca="false">IF(CE18=0,1,MIN(1,CE8/CE18))</f>
        <v>1</v>
      </c>
      <c r="CF21" s="110" t="n">
        <f aca="false">IF(CF18=0,1,MIN(1,CF8/CF18))</f>
        <v>1</v>
      </c>
      <c r="CG21" s="110" t="n">
        <f aca="false">IF(CG18=0,1,MIN(1,CG8/CG18))</f>
        <v>1</v>
      </c>
      <c r="CH21" s="110" t="n">
        <f aca="false">IF(CH18=0,1,MIN(1,CH8/CH18))</f>
        <v>1</v>
      </c>
    </row>
    <row r="22" customFormat="false" ht="13.5" hidden="false" customHeight="true" outlineLevel="0" collapsed="false">
      <c r="A22" s="6" t="s">
        <v>502</v>
      </c>
      <c r="C22" s="110" t="n">
        <f aca="false">MIN(Hipótesis!$C$32,Hipótesis!$C$31+(Hipótesis!$C$32-Hipótesis!$C$31)*MAX(0,1-Hipótesis!$C$29)/Hipótesis!$C$33)</f>
        <v>0</v>
      </c>
      <c r="D22" s="110" t="n">
        <f aca="false">MIN(Hipótesis!$C$32,Hipótesis!$C$31+(Hipótesis!$C$32-Hipótesis!$C$31)*MAX(0,2-Hipótesis!$C$29)/Hipótesis!$C$33)</f>
        <v>0</v>
      </c>
      <c r="E22" s="110" t="n">
        <f aca="false">MIN(Hipótesis!$C$32,Hipótesis!$C$31+(Hipótesis!$C$32-Hipótesis!$C$31)*MAX(0,3-Hipótesis!$C$29)/Hipótesis!$C$33)</f>
        <v>0</v>
      </c>
      <c r="F22" s="110" t="n">
        <f aca="false">MIN(Hipótesis!$C$32,Hipótesis!$C$31+(Hipótesis!$C$32-Hipótesis!$C$31)*MAX(0,4-Hipótesis!$C$29)/Hipótesis!$C$33)</f>
        <v>0</v>
      </c>
      <c r="G22" s="110" t="n">
        <f aca="false">MIN(Hipótesis!$C$32,Hipótesis!$C$31+(Hipótesis!$C$32-Hipótesis!$C$31)*MAX(0,5-Hipótesis!$C$29)/Hipótesis!$C$33)</f>
        <v>0</v>
      </c>
      <c r="H22" s="110" t="n">
        <f aca="false">MIN(Hipótesis!$C$32,Hipótesis!$C$31+(Hipótesis!$C$32-Hipótesis!$C$31)*MAX(0,6-Hipótesis!$C$29)/Hipótesis!$C$33)</f>
        <v>0</v>
      </c>
      <c r="I22" s="110" t="n">
        <f aca="false">MIN(Hipótesis!$C$32,Hipótesis!$C$31+(Hipótesis!$C$32-Hipótesis!$C$31)*MAX(0,7-Hipótesis!$C$29)/Hipótesis!$C$33)</f>
        <v>0.0152777777777778</v>
      </c>
      <c r="J22" s="110" t="n">
        <f aca="false">MIN(Hipótesis!$C$32,Hipótesis!$C$31+(Hipótesis!$C$32-Hipótesis!$C$31)*MAX(0,8-Hipótesis!$C$29)/Hipótesis!$C$33)</f>
        <v>0.0305555555555556</v>
      </c>
      <c r="K22" s="110" t="n">
        <f aca="false">MIN(Hipótesis!$C$32,Hipótesis!$C$31+(Hipótesis!$C$32-Hipótesis!$C$31)*MAX(0,9-Hipótesis!$C$29)/Hipótesis!$C$33)</f>
        <v>0.0458333333333333</v>
      </c>
      <c r="L22" s="110" t="n">
        <f aca="false">MIN(Hipótesis!$C$32,Hipótesis!$C$31+(Hipótesis!$C$32-Hipótesis!$C$31)*MAX(0,10-Hipótesis!$C$29)/Hipótesis!$C$33)</f>
        <v>0.0611111111111111</v>
      </c>
      <c r="M22" s="110" t="n">
        <f aca="false">MIN(Hipótesis!$C$32,Hipótesis!$C$31+(Hipótesis!$C$32-Hipótesis!$C$31)*MAX(0,11-Hipótesis!$C$29)/Hipótesis!$C$33)</f>
        <v>0.0763888888888889</v>
      </c>
      <c r="N22" s="110" t="n">
        <f aca="false">MIN(Hipótesis!$C$32,Hipótesis!$C$31+(Hipótesis!$C$32-Hipótesis!$C$31)*MAX(0,12-Hipótesis!$C$29)/Hipótesis!$C$33)</f>
        <v>0.0916666666666667</v>
      </c>
      <c r="O22" s="110" t="n">
        <f aca="false">MIN(Hipótesis!$C$32,Hipótesis!$C$31+(Hipótesis!$C$32-Hipótesis!$C$31)*MAX(0,13-Hipótesis!$C$29)/Hipótesis!$C$33)</f>
        <v>0.106944444444444</v>
      </c>
      <c r="P22" s="110" t="n">
        <f aca="false">MIN(Hipótesis!$C$32,Hipótesis!$C$31+(Hipótesis!$C$32-Hipótesis!$C$31)*MAX(0,14-Hipótesis!$C$29)/Hipótesis!$C$33)</f>
        <v>0.122222222222222</v>
      </c>
      <c r="Q22" s="110" t="n">
        <f aca="false">MIN(Hipótesis!$C$32,Hipótesis!$C$31+(Hipótesis!$C$32-Hipótesis!$C$31)*MAX(0,15-Hipótesis!$C$29)/Hipótesis!$C$33)</f>
        <v>0.1375</v>
      </c>
      <c r="R22" s="110" t="n">
        <f aca="false">MIN(Hipótesis!$C$32,Hipótesis!$C$31+(Hipótesis!$C$32-Hipótesis!$C$31)*MAX(0,16-Hipótesis!$C$29)/Hipótesis!$C$33)</f>
        <v>0.152777777777778</v>
      </c>
      <c r="S22" s="110" t="n">
        <f aca="false">MIN(Hipótesis!$C$32,Hipótesis!$C$31+(Hipótesis!$C$32-Hipótesis!$C$31)*MAX(0,17-Hipótesis!$C$29)/Hipótesis!$C$33)</f>
        <v>0.168055555555556</v>
      </c>
      <c r="T22" s="110" t="n">
        <f aca="false">MIN(Hipótesis!$C$32,Hipótesis!$C$31+(Hipótesis!$C$32-Hipótesis!$C$31)*MAX(0,18-Hipótesis!$C$29)/Hipótesis!$C$33)</f>
        <v>0.183333333333333</v>
      </c>
      <c r="U22" s="110" t="n">
        <f aca="false">MIN(Hipótesis!$C$32,Hipótesis!$C$31+(Hipótesis!$C$32-Hipótesis!$C$31)*MAX(0,19-Hipótesis!$C$29)/Hipótesis!$C$33)</f>
        <v>0.198611111111111</v>
      </c>
      <c r="V22" s="110" t="n">
        <f aca="false">MIN(Hipótesis!$C$32,Hipótesis!$C$31+(Hipótesis!$C$32-Hipótesis!$C$31)*MAX(0,20-Hipótesis!$C$29)/Hipótesis!$C$33)</f>
        <v>0.213888888888889</v>
      </c>
      <c r="W22" s="110" t="n">
        <f aca="false">MIN(Hipótesis!$C$32,Hipótesis!$C$31+(Hipótesis!$C$32-Hipótesis!$C$31)*MAX(0,21-Hipótesis!$C$29)/Hipótesis!$C$33)</f>
        <v>0.229166666666667</v>
      </c>
      <c r="X22" s="110" t="n">
        <f aca="false">MIN(Hipótesis!$C$32,Hipótesis!$C$31+(Hipótesis!$C$32-Hipótesis!$C$31)*MAX(0,22-Hipótesis!$C$29)/Hipótesis!$C$33)</f>
        <v>0.244444444444444</v>
      </c>
      <c r="Y22" s="110" t="n">
        <f aca="false">MIN(Hipótesis!$C$32,Hipótesis!$C$31+(Hipótesis!$C$32-Hipótesis!$C$31)*MAX(0,23-Hipótesis!$C$29)/Hipótesis!$C$33)</f>
        <v>0.259722222222222</v>
      </c>
      <c r="Z22" s="110" t="n">
        <f aca="false">MIN(Hipótesis!$C$32,Hipótesis!$C$31+(Hipótesis!$C$32-Hipótesis!$C$31)*MAX(0,24-Hipótesis!$C$29)/Hipótesis!$C$33)</f>
        <v>0.275</v>
      </c>
      <c r="AA22" s="110" t="n">
        <f aca="false">MIN(Hipótesis!$C$32,Hipótesis!$C$31+(Hipótesis!$C$32-Hipótesis!$C$31)*MAX(0,25-Hipótesis!$C$29)/Hipótesis!$C$33)</f>
        <v>0.290277777777778</v>
      </c>
      <c r="AB22" s="110" t="n">
        <f aca="false">MIN(Hipótesis!$C$32,Hipótesis!$C$31+(Hipótesis!$C$32-Hipótesis!$C$31)*MAX(0,26-Hipótesis!$C$29)/Hipótesis!$C$33)</f>
        <v>0.305555555555556</v>
      </c>
      <c r="AC22" s="110" t="n">
        <f aca="false">MIN(Hipótesis!$C$32,Hipótesis!$C$31+(Hipótesis!$C$32-Hipótesis!$C$31)*MAX(0,27-Hipótesis!$C$29)/Hipótesis!$C$33)</f>
        <v>0.320833333333333</v>
      </c>
      <c r="AD22" s="110" t="n">
        <f aca="false">MIN(Hipótesis!$C$32,Hipótesis!$C$31+(Hipótesis!$C$32-Hipótesis!$C$31)*MAX(0,28-Hipótesis!$C$29)/Hipótesis!$C$33)</f>
        <v>0.336111111111111</v>
      </c>
      <c r="AE22" s="110" t="n">
        <f aca="false">MIN(Hipótesis!$C$32,Hipótesis!$C$31+(Hipótesis!$C$32-Hipótesis!$C$31)*MAX(0,29-Hipótesis!$C$29)/Hipótesis!$C$33)</f>
        <v>0.351388888888889</v>
      </c>
      <c r="AF22" s="110" t="n">
        <f aca="false">MIN(Hipótesis!$C$32,Hipótesis!$C$31+(Hipótesis!$C$32-Hipótesis!$C$31)*MAX(0,30-Hipótesis!$C$29)/Hipótesis!$C$33)</f>
        <v>0.366666666666667</v>
      </c>
      <c r="AG22" s="110" t="n">
        <f aca="false">MIN(Hipótesis!$C$32,Hipótesis!$C$31+(Hipótesis!$C$32-Hipótesis!$C$31)*MAX(0,31-Hipótesis!$C$29)/Hipótesis!$C$33)</f>
        <v>0.381944444444445</v>
      </c>
      <c r="AH22" s="110" t="n">
        <f aca="false">MIN(Hipótesis!$C$32,Hipótesis!$C$31+(Hipótesis!$C$32-Hipótesis!$C$31)*MAX(0,32-Hipótesis!$C$29)/Hipótesis!$C$33)</f>
        <v>0.397222222222222</v>
      </c>
      <c r="AI22" s="110" t="n">
        <f aca="false">MIN(Hipótesis!$C$32,Hipótesis!$C$31+(Hipótesis!$C$32-Hipótesis!$C$31)*MAX(0,33-Hipótesis!$C$29)/Hipótesis!$C$33)</f>
        <v>0.4125</v>
      </c>
      <c r="AJ22" s="110" t="n">
        <f aca="false">MIN(Hipótesis!$C$32,Hipótesis!$C$31+(Hipótesis!$C$32-Hipótesis!$C$31)*MAX(0,34-Hipótesis!$C$29)/Hipótesis!$C$33)</f>
        <v>0.427777777777778</v>
      </c>
      <c r="AK22" s="110" t="n">
        <f aca="false">MIN(Hipótesis!$C$32,Hipótesis!$C$31+(Hipótesis!$C$32-Hipótesis!$C$31)*MAX(0,35-Hipótesis!$C$29)/Hipótesis!$C$33)</f>
        <v>0.443055555555556</v>
      </c>
      <c r="AL22" s="110" t="n">
        <f aca="false">MIN(Hipótesis!$C$32,Hipótesis!$C$31+(Hipótesis!$C$32-Hipótesis!$C$31)*MAX(0,36-Hipótesis!$C$29)/Hipótesis!$C$33)</f>
        <v>0.458333333333333</v>
      </c>
      <c r="AM22" s="110" t="n">
        <f aca="false">MIN(Hipótesis!$C$32,Hipótesis!$C$31+(Hipótesis!$C$32-Hipótesis!$C$31)*MAX(0,37-Hipótesis!$C$29)/Hipótesis!$C$33)</f>
        <v>0.473611111111111</v>
      </c>
      <c r="AN22" s="110" t="n">
        <f aca="false">MIN(Hipótesis!$C$32,Hipótesis!$C$31+(Hipótesis!$C$32-Hipótesis!$C$31)*MAX(0,38-Hipótesis!$C$29)/Hipótesis!$C$33)</f>
        <v>0.488888888888889</v>
      </c>
      <c r="AO22" s="110" t="n">
        <f aca="false">MIN(Hipótesis!$C$32,Hipótesis!$C$31+(Hipótesis!$C$32-Hipótesis!$C$31)*MAX(0,39-Hipótesis!$C$29)/Hipótesis!$C$33)</f>
        <v>0.504166666666667</v>
      </c>
      <c r="AP22" s="110" t="n">
        <f aca="false">MIN(Hipótesis!$C$32,Hipótesis!$C$31+(Hipótesis!$C$32-Hipótesis!$C$31)*MAX(0,40-Hipótesis!$C$29)/Hipótesis!$C$33)</f>
        <v>0.519444444444445</v>
      </c>
      <c r="AQ22" s="110" t="n">
        <f aca="false">MIN(Hipótesis!$C$32,Hipótesis!$C$31+(Hipótesis!$C$32-Hipótesis!$C$31)*MAX(0,41-Hipótesis!$C$29)/Hipótesis!$C$33)</f>
        <v>0.534722222222222</v>
      </c>
      <c r="AR22" s="110" t="n">
        <f aca="false">MIN(Hipótesis!$C$32,Hipótesis!$C$31+(Hipótesis!$C$32-Hipótesis!$C$31)*MAX(0,42-Hipótesis!$C$29)/Hipótesis!$C$33)</f>
        <v>0.55</v>
      </c>
      <c r="AS22" s="110" t="n">
        <f aca="false">MIN(Hipótesis!$C$32,Hipótesis!$C$31+(Hipótesis!$C$32-Hipótesis!$C$31)*MAX(0,43-Hipótesis!$C$29)/Hipótesis!$C$33)</f>
        <v>0.55</v>
      </c>
      <c r="AT22" s="110" t="n">
        <f aca="false">MIN(Hipótesis!$C$32,Hipótesis!$C$31+(Hipótesis!$C$32-Hipótesis!$C$31)*MAX(0,44-Hipótesis!$C$29)/Hipótesis!$C$33)</f>
        <v>0.55</v>
      </c>
      <c r="AU22" s="110" t="n">
        <f aca="false">MIN(Hipótesis!$C$32,Hipótesis!$C$31+(Hipótesis!$C$32-Hipótesis!$C$31)*MAX(0,45-Hipótesis!$C$29)/Hipótesis!$C$33)</f>
        <v>0.55</v>
      </c>
      <c r="AV22" s="110" t="n">
        <f aca="false">MIN(Hipótesis!$C$32,Hipótesis!$C$31+(Hipótesis!$C$32-Hipótesis!$C$31)*MAX(0,46-Hipótesis!$C$29)/Hipótesis!$C$33)</f>
        <v>0.55</v>
      </c>
      <c r="AW22" s="110" t="n">
        <f aca="false">MIN(Hipótesis!$C$32,Hipótesis!$C$31+(Hipótesis!$C$32-Hipótesis!$C$31)*MAX(0,47-Hipótesis!$C$29)/Hipótesis!$C$33)</f>
        <v>0.55</v>
      </c>
      <c r="AX22" s="110" t="n">
        <f aca="false">MIN(Hipótesis!$C$32,Hipótesis!$C$31+(Hipótesis!$C$32-Hipótesis!$C$31)*MAX(0,48-Hipótesis!$C$29)/Hipótesis!$C$33)</f>
        <v>0.55</v>
      </c>
      <c r="AY22" s="110" t="n">
        <f aca="false">MIN(Hipótesis!$C$32,Hipótesis!$C$31+(Hipótesis!$C$32-Hipótesis!$C$31)*MAX(0,49-Hipótesis!$C$29)/Hipótesis!$C$33)</f>
        <v>0.55</v>
      </c>
      <c r="AZ22" s="110" t="n">
        <f aca="false">MIN(Hipótesis!$C$32,Hipótesis!$C$31+(Hipótesis!$C$32-Hipótesis!$C$31)*MAX(0,50-Hipótesis!$C$29)/Hipótesis!$C$33)</f>
        <v>0.55</v>
      </c>
      <c r="BA22" s="110" t="n">
        <f aca="false">MIN(Hipótesis!$C$32,Hipótesis!$C$31+(Hipótesis!$C$32-Hipótesis!$C$31)*MAX(0,51-Hipótesis!$C$29)/Hipótesis!$C$33)</f>
        <v>0.55</v>
      </c>
      <c r="BB22" s="110" t="n">
        <f aca="false">MIN(Hipótesis!$C$32,Hipótesis!$C$31+(Hipótesis!$C$32-Hipótesis!$C$31)*MAX(0,52-Hipótesis!$C$29)/Hipótesis!$C$33)</f>
        <v>0.55</v>
      </c>
      <c r="BC22" s="110" t="n">
        <f aca="false">MIN(Hipótesis!$C$32,Hipótesis!$C$31+(Hipótesis!$C$32-Hipótesis!$C$31)*MAX(0,53-Hipótesis!$C$29)/Hipótesis!$C$33)</f>
        <v>0.55</v>
      </c>
      <c r="BD22" s="110" t="n">
        <f aca="false">MIN(Hipótesis!$C$32,Hipótesis!$C$31+(Hipótesis!$C$32-Hipótesis!$C$31)*MAX(0,54-Hipótesis!$C$29)/Hipótesis!$C$33)</f>
        <v>0.55</v>
      </c>
      <c r="BE22" s="110" t="n">
        <f aca="false">MIN(Hipótesis!$C$32,Hipótesis!$C$31+(Hipótesis!$C$32-Hipótesis!$C$31)*MAX(0,55-Hipótesis!$C$29)/Hipótesis!$C$33)</f>
        <v>0.55</v>
      </c>
      <c r="BF22" s="110" t="n">
        <f aca="false">MIN(Hipótesis!$C$32,Hipótesis!$C$31+(Hipótesis!$C$32-Hipótesis!$C$31)*MAX(0,56-Hipótesis!$C$29)/Hipótesis!$C$33)</f>
        <v>0.55</v>
      </c>
      <c r="BG22" s="110" t="n">
        <f aca="false">MIN(Hipótesis!$C$32,Hipótesis!$C$31+(Hipótesis!$C$32-Hipótesis!$C$31)*MAX(0,57-Hipótesis!$C$29)/Hipótesis!$C$33)</f>
        <v>0.55</v>
      </c>
      <c r="BH22" s="110" t="n">
        <f aca="false">MIN(Hipótesis!$C$32,Hipótesis!$C$31+(Hipótesis!$C$32-Hipótesis!$C$31)*MAX(0,58-Hipótesis!$C$29)/Hipótesis!$C$33)</f>
        <v>0.55</v>
      </c>
      <c r="BI22" s="110" t="n">
        <f aca="false">MIN(Hipótesis!$C$32,Hipótesis!$C$31+(Hipótesis!$C$32-Hipótesis!$C$31)*MAX(0,59-Hipótesis!$C$29)/Hipótesis!$C$33)</f>
        <v>0.55</v>
      </c>
      <c r="BJ22" s="110" t="n">
        <f aca="false">MIN(Hipótesis!$C$32,Hipótesis!$C$31+(Hipótesis!$C$32-Hipótesis!$C$31)*MAX(0,60-Hipótesis!$C$29)/Hipótesis!$C$33)</f>
        <v>0.55</v>
      </c>
      <c r="BK22" s="110" t="n">
        <f aca="false">MIN(Hipótesis!$C$32,Hipótesis!$C$31+(Hipótesis!$C$32-Hipótesis!$C$31)*MAX(0,61-Hipótesis!$C$29)/Hipótesis!$C$33)</f>
        <v>0.55</v>
      </c>
      <c r="BL22" s="110" t="n">
        <f aca="false">MIN(Hipótesis!$C$32,Hipótesis!$C$31+(Hipótesis!$C$32-Hipótesis!$C$31)*MAX(0,62-Hipótesis!$C$29)/Hipótesis!$C$33)</f>
        <v>0.55</v>
      </c>
      <c r="BM22" s="110" t="n">
        <f aca="false">MIN(Hipótesis!$C$32,Hipótesis!$C$31+(Hipótesis!$C$32-Hipótesis!$C$31)*MAX(0,63-Hipótesis!$C$29)/Hipótesis!$C$33)</f>
        <v>0.55</v>
      </c>
      <c r="BN22" s="110" t="n">
        <f aca="false">MIN(Hipótesis!$C$32,Hipótesis!$C$31+(Hipótesis!$C$32-Hipótesis!$C$31)*MAX(0,64-Hipótesis!$C$29)/Hipótesis!$C$33)</f>
        <v>0.55</v>
      </c>
      <c r="BO22" s="110" t="n">
        <f aca="false">MIN(Hipótesis!$C$32,Hipótesis!$C$31+(Hipótesis!$C$32-Hipótesis!$C$31)*MAX(0,65-Hipótesis!$C$29)/Hipótesis!$C$33)</f>
        <v>0.55</v>
      </c>
      <c r="BP22" s="110" t="n">
        <f aca="false">MIN(Hipótesis!$C$32,Hipótesis!$C$31+(Hipótesis!$C$32-Hipótesis!$C$31)*MAX(0,66-Hipótesis!$C$29)/Hipótesis!$C$33)</f>
        <v>0.55</v>
      </c>
      <c r="BQ22" s="110" t="n">
        <f aca="false">MIN(Hipótesis!$C$32,Hipótesis!$C$31+(Hipótesis!$C$32-Hipótesis!$C$31)*MAX(0,67-Hipótesis!$C$29)/Hipótesis!$C$33)</f>
        <v>0.55</v>
      </c>
      <c r="BR22" s="110" t="n">
        <f aca="false">MIN(Hipótesis!$C$32,Hipótesis!$C$31+(Hipótesis!$C$32-Hipótesis!$C$31)*MAX(0,68-Hipótesis!$C$29)/Hipótesis!$C$33)</f>
        <v>0.55</v>
      </c>
      <c r="BS22" s="110" t="n">
        <f aca="false">MIN(Hipótesis!$C$32,Hipótesis!$C$31+(Hipótesis!$C$32-Hipótesis!$C$31)*MAX(0,69-Hipótesis!$C$29)/Hipótesis!$C$33)</f>
        <v>0.55</v>
      </c>
      <c r="BT22" s="110" t="n">
        <f aca="false">MIN(Hipótesis!$C$32,Hipótesis!$C$31+(Hipótesis!$C$32-Hipótesis!$C$31)*MAX(0,70-Hipótesis!$C$29)/Hipótesis!$C$33)</f>
        <v>0.55</v>
      </c>
      <c r="BU22" s="110" t="n">
        <f aca="false">MIN(Hipótesis!$C$32,Hipótesis!$C$31+(Hipótesis!$C$32-Hipótesis!$C$31)*MAX(0,71-Hipótesis!$C$29)/Hipótesis!$C$33)</f>
        <v>0.55</v>
      </c>
      <c r="BV22" s="110" t="n">
        <f aca="false">MIN(Hipótesis!$C$32,Hipótesis!$C$31+(Hipótesis!$C$32-Hipótesis!$C$31)*MAX(0,72-Hipótesis!$C$29)/Hipótesis!$C$33)</f>
        <v>0.55</v>
      </c>
      <c r="BW22" s="110" t="n">
        <f aca="false">MIN(Hipótesis!$C$32,Hipótesis!$C$31+(Hipótesis!$C$32-Hipótesis!$C$31)*MAX(0,73-Hipótesis!$C$29)/Hipótesis!$C$33)</f>
        <v>0.55</v>
      </c>
      <c r="BX22" s="110" t="n">
        <f aca="false">MIN(Hipótesis!$C$32,Hipótesis!$C$31+(Hipótesis!$C$32-Hipótesis!$C$31)*MAX(0,74-Hipótesis!$C$29)/Hipótesis!$C$33)</f>
        <v>0.55</v>
      </c>
      <c r="BY22" s="110" t="n">
        <f aca="false">MIN(Hipótesis!$C$32,Hipótesis!$C$31+(Hipótesis!$C$32-Hipótesis!$C$31)*MAX(0,75-Hipótesis!$C$29)/Hipótesis!$C$33)</f>
        <v>0.55</v>
      </c>
      <c r="BZ22" s="110" t="n">
        <f aca="false">MIN(Hipótesis!$C$32,Hipótesis!$C$31+(Hipótesis!$C$32-Hipótesis!$C$31)*MAX(0,76-Hipótesis!$C$29)/Hipótesis!$C$33)</f>
        <v>0.55</v>
      </c>
      <c r="CA22" s="110" t="n">
        <f aca="false">MIN(Hipótesis!$C$32,Hipótesis!$C$31+(Hipótesis!$C$32-Hipótesis!$C$31)*MAX(0,77-Hipótesis!$C$29)/Hipótesis!$C$33)</f>
        <v>0.55</v>
      </c>
      <c r="CB22" s="110" t="n">
        <f aca="false">MIN(Hipótesis!$C$32,Hipótesis!$C$31+(Hipótesis!$C$32-Hipótesis!$C$31)*MAX(0,78-Hipótesis!$C$29)/Hipótesis!$C$33)</f>
        <v>0.55</v>
      </c>
      <c r="CC22" s="110" t="n">
        <f aca="false">MIN(Hipótesis!$C$32,Hipótesis!$C$31+(Hipótesis!$C$32-Hipótesis!$C$31)*MAX(0,79-Hipótesis!$C$29)/Hipótesis!$C$33)</f>
        <v>0.55</v>
      </c>
      <c r="CD22" s="110" t="n">
        <f aca="false">MIN(Hipótesis!$C$32,Hipótesis!$C$31+(Hipótesis!$C$32-Hipótesis!$C$31)*MAX(0,80-Hipótesis!$C$29)/Hipótesis!$C$33)</f>
        <v>0.55</v>
      </c>
      <c r="CE22" s="110" t="n">
        <f aca="false">MIN(Hipótesis!$C$32,Hipótesis!$C$31+(Hipótesis!$C$32-Hipótesis!$C$31)*MAX(0,81-Hipótesis!$C$29)/Hipótesis!$C$33)</f>
        <v>0.55</v>
      </c>
      <c r="CF22" s="110" t="n">
        <f aca="false">MIN(Hipótesis!$C$32,Hipótesis!$C$31+(Hipótesis!$C$32-Hipótesis!$C$31)*MAX(0,82-Hipótesis!$C$29)/Hipótesis!$C$33)</f>
        <v>0.55</v>
      </c>
      <c r="CG22" s="110" t="n">
        <f aca="false">MIN(Hipótesis!$C$32,Hipótesis!$C$31+(Hipótesis!$C$32-Hipótesis!$C$31)*MAX(0,83-Hipótesis!$C$29)/Hipótesis!$C$33)</f>
        <v>0.55</v>
      </c>
      <c r="CH22" s="110" t="n">
        <f aca="false">MIN(Hipótesis!$C$32,Hipótesis!$C$31+(Hipótesis!$C$32-Hipótesis!$C$31)*MAX(0,84-Hipótesis!$C$29)/Hipótesis!$C$33)</f>
        <v>0.55</v>
      </c>
    </row>
    <row r="23" customFormat="false" ht="13.5" hidden="false" customHeight="true" outlineLevel="0" collapsed="false">
      <c r="A23" s="6" t="s">
        <v>503</v>
      </c>
      <c r="C23" s="101" t="n">
        <f aca="false">MAX(0,MIN(C8*C22,C8-C18*C21))</f>
        <v>0</v>
      </c>
      <c r="D23" s="101" t="n">
        <f aca="false">MAX(0,MIN(D8*D22,D8-D18*D21))</f>
        <v>0</v>
      </c>
      <c r="E23" s="101" t="n">
        <f aca="false">MAX(0,MIN(E8*E22,E8-E18*E21))</f>
        <v>0</v>
      </c>
      <c r="F23" s="101" t="n">
        <f aca="false">MAX(0,MIN(F8*F22,F8-F18*F21))</f>
        <v>0</v>
      </c>
      <c r="G23" s="101" t="n">
        <f aca="false">MAX(0,MIN(G8*G22,G8-G18*G21))</f>
        <v>0</v>
      </c>
      <c r="H23" s="101" t="n">
        <f aca="false">MAX(0,MIN(H8*H22,H8-H18*H21))</f>
        <v>0</v>
      </c>
      <c r="I23" s="101" t="n">
        <f aca="false">MAX(0,MIN(I8*I22,I8-I18*I21))</f>
        <v>44</v>
      </c>
      <c r="J23" s="101" t="n">
        <f aca="false">MAX(0,MIN(J8*J22,J8-J18*J21))</f>
        <v>88</v>
      </c>
      <c r="K23" s="101" t="n">
        <f aca="false">MAX(0,MIN(K8*K22,K8-K18*K21))</f>
        <v>132</v>
      </c>
      <c r="L23" s="101" t="n">
        <f aca="false">MAX(0,MIN(L8*L22,L8-L18*L21))</f>
        <v>176</v>
      </c>
      <c r="M23" s="101" t="n">
        <f aca="false">MAX(0,MIN(M8*M22,M8-M18*M21))</f>
        <v>220</v>
      </c>
      <c r="N23" s="101" t="n">
        <f aca="false">MAX(0,MIN(N8*N22,N8-N18*N21))</f>
        <v>264</v>
      </c>
      <c r="O23" s="101" t="n">
        <f aca="false">MAX(0,MIN(O8*O22,O8-O18*O21))</f>
        <v>308</v>
      </c>
      <c r="P23" s="101" t="n">
        <f aca="false">MAX(0,MIN(P8*P22,P8-P18*P21))</f>
        <v>352</v>
      </c>
      <c r="Q23" s="101" t="n">
        <f aca="false">MAX(0,MIN(Q8*Q22,Q8-Q18*Q21))</f>
        <v>396</v>
      </c>
      <c r="R23" s="101" t="n">
        <f aca="false">MAX(0,MIN(R8*R22,R8-R18*R21))</f>
        <v>440</v>
      </c>
      <c r="S23" s="101" t="n">
        <f aca="false">MAX(0,MIN(S8*S22,S8-S18*S21))</f>
        <v>484</v>
      </c>
      <c r="T23" s="101" t="n">
        <f aca="false">MAX(0,MIN(T8*T22,T8-T18*T21))</f>
        <v>528</v>
      </c>
      <c r="U23" s="101" t="n">
        <f aca="false">MAX(0,MIN(U8*U22,U8-U18*U21))</f>
        <v>572</v>
      </c>
      <c r="V23" s="101" t="n">
        <f aca="false">MAX(0,MIN(V8*V22,V8-V18*V21))</f>
        <v>616</v>
      </c>
      <c r="W23" s="101" t="n">
        <f aca="false">MAX(0,MIN(W8*W22,W8-W18*W21))</f>
        <v>660</v>
      </c>
      <c r="X23" s="101" t="n">
        <f aca="false">MAX(0,MIN(X8*X22,X8-X18*X21))</f>
        <v>704</v>
      </c>
      <c r="Y23" s="101" t="n">
        <f aca="false">MAX(0,MIN(Y8*Y22,Y8-Y18*Y21))</f>
        <v>748</v>
      </c>
      <c r="Z23" s="101" t="n">
        <f aca="false">MAX(0,MIN(Z8*Z22,Z8-Z18*Z21))</f>
        <v>792</v>
      </c>
      <c r="AA23" s="101" t="n">
        <f aca="false">MAX(0,MIN(AA8*AA22,AA8-AA18*AA21))</f>
        <v>836</v>
      </c>
      <c r="AB23" s="101" t="n">
        <f aca="false">MAX(0,MIN(AB8*AB22,AB8-AB18*AB21))</f>
        <v>880</v>
      </c>
      <c r="AC23" s="101" t="n">
        <f aca="false">MAX(0,MIN(AC8*AC22,AC8-AC18*AC21))</f>
        <v>924</v>
      </c>
      <c r="AD23" s="101" t="n">
        <f aca="false">MAX(0,MIN(AD8*AD22,AD8-AD18*AD21))</f>
        <v>968</v>
      </c>
      <c r="AE23" s="101" t="n">
        <f aca="false">MAX(0,MIN(AE8*AE22,AE8-AE18*AE21))</f>
        <v>1012</v>
      </c>
      <c r="AF23" s="101" t="n">
        <f aca="false">MAX(0,MIN(AF8*AF22,AF8-AF18*AF21))</f>
        <v>1056</v>
      </c>
      <c r="AG23" s="101" t="n">
        <f aca="false">MAX(0,MIN(AG8*AG22,AG8-AG18*AG21))</f>
        <v>1100</v>
      </c>
      <c r="AH23" s="101" t="n">
        <f aca="false">MAX(0,MIN(AH8*AH22,AH8-AH18*AH21))</f>
        <v>1144</v>
      </c>
      <c r="AI23" s="101" t="n">
        <f aca="false">MAX(0,MIN(AI8*AI22,AI8-AI18*AI21))</f>
        <v>1188</v>
      </c>
      <c r="AJ23" s="101" t="n">
        <f aca="false">MAX(0,MIN(AJ8*AJ22,AJ8-AJ18*AJ21))</f>
        <v>1232</v>
      </c>
      <c r="AK23" s="101" t="n">
        <f aca="false">MAX(0,MIN(AK8*AK22,AK8-AK18*AK21))</f>
        <v>1276</v>
      </c>
      <c r="AL23" s="101" t="n">
        <f aca="false">MAX(0,MIN(AL8*AL22,AL8-AL18*AL21))</f>
        <v>1320</v>
      </c>
      <c r="AM23" s="101" t="n">
        <f aca="false">MAX(0,MIN(AM8*AM22,AM8-AM18*AM21))</f>
        <v>1364</v>
      </c>
      <c r="AN23" s="101" t="n">
        <f aca="false">MAX(0,MIN(AN8*AN22,AN8-AN18*AN21))</f>
        <v>1408</v>
      </c>
      <c r="AO23" s="101" t="n">
        <f aca="false">MAX(0,MIN(AO8*AO22,AO8-AO18*AO21))</f>
        <v>1452</v>
      </c>
      <c r="AP23" s="101" t="n">
        <f aca="false">MAX(0,MIN(AP8*AP22,AP8-AP18*AP21))</f>
        <v>1496</v>
      </c>
      <c r="AQ23" s="101" t="n">
        <f aca="false">MAX(0,MIN(AQ8*AQ22,AQ8-AQ18*AQ21))</f>
        <v>1540</v>
      </c>
      <c r="AR23" s="101" t="n">
        <f aca="false">MAX(0,MIN(AR8*AR22,AR8-AR18*AR21))</f>
        <v>1584</v>
      </c>
      <c r="AS23" s="101" t="n">
        <f aca="false">MAX(0,MIN(AS8*AS22,AS8-AS18*AS21))</f>
        <v>1584</v>
      </c>
      <c r="AT23" s="101" t="n">
        <f aca="false">MAX(0,MIN(AT8*AT22,AT8-AT18*AT21))</f>
        <v>1584</v>
      </c>
      <c r="AU23" s="101" t="n">
        <f aca="false">MAX(0,MIN(AU8*AU22,AU8-AU18*AU21))</f>
        <v>1584</v>
      </c>
      <c r="AV23" s="101" t="n">
        <f aca="false">MAX(0,MIN(AV8*AV22,AV8-AV18*AV21))</f>
        <v>1584</v>
      </c>
      <c r="AW23" s="101" t="n">
        <f aca="false">MAX(0,MIN(AW8*AW22,AW8-AW18*AW21))</f>
        <v>1584</v>
      </c>
      <c r="AX23" s="101" t="n">
        <f aca="false">MAX(0,MIN(AX8*AX22,AX8-AX18*AX21))</f>
        <v>1584</v>
      </c>
      <c r="AY23" s="101" t="n">
        <f aca="false">MAX(0,MIN(AY8*AY22,AY8-AY18*AY21))</f>
        <v>1584</v>
      </c>
      <c r="AZ23" s="101" t="n">
        <f aca="false">MAX(0,MIN(AZ8*AZ22,AZ8-AZ18*AZ21))</f>
        <v>1584</v>
      </c>
      <c r="BA23" s="101" t="n">
        <f aca="false">MAX(0,MIN(BA8*BA22,BA8-BA18*BA21))</f>
        <v>1584</v>
      </c>
      <c r="BB23" s="101" t="n">
        <f aca="false">MAX(0,MIN(BB8*BB22,BB8-BB18*BB21))</f>
        <v>1584</v>
      </c>
      <c r="BC23" s="101" t="n">
        <f aca="false">MAX(0,MIN(BC8*BC22,BC8-BC18*BC21))</f>
        <v>1584</v>
      </c>
      <c r="BD23" s="101" t="n">
        <f aca="false">MAX(0,MIN(BD8*BD22,BD8-BD18*BD21))</f>
        <v>1584</v>
      </c>
      <c r="BE23" s="101" t="n">
        <f aca="false">MAX(0,MIN(BE8*BE22,BE8-BE18*BE21))</f>
        <v>1584</v>
      </c>
      <c r="BF23" s="101" t="n">
        <f aca="false">MAX(0,MIN(BF8*BF22,BF8-BF18*BF21))</f>
        <v>1584</v>
      </c>
      <c r="BG23" s="101" t="n">
        <f aca="false">MAX(0,MIN(BG8*BG22,BG8-BG18*BG21))</f>
        <v>1584</v>
      </c>
      <c r="BH23" s="101" t="n">
        <f aca="false">MAX(0,MIN(BH8*BH22,BH8-BH18*BH21))</f>
        <v>1584</v>
      </c>
      <c r="BI23" s="101" t="n">
        <f aca="false">MAX(0,MIN(BI8*BI22,BI8-BI18*BI21))</f>
        <v>1584</v>
      </c>
      <c r="BJ23" s="101" t="n">
        <f aca="false">MAX(0,MIN(BJ8*BJ22,BJ8-BJ18*BJ21))</f>
        <v>1584</v>
      </c>
      <c r="BK23" s="101" t="n">
        <f aca="false">MAX(0,MIN(BK8*BK22,BK8-BK18*BK21))</f>
        <v>1584</v>
      </c>
      <c r="BL23" s="101" t="n">
        <f aca="false">MAX(0,MIN(BL8*BL22,BL8-BL18*BL21))</f>
        <v>1584</v>
      </c>
      <c r="BM23" s="101" t="n">
        <f aca="false">MAX(0,MIN(BM8*BM22,BM8-BM18*BM21))</f>
        <v>1584</v>
      </c>
      <c r="BN23" s="101" t="n">
        <f aca="false">MAX(0,MIN(BN8*BN22,BN8-BN18*BN21))</f>
        <v>1584</v>
      </c>
      <c r="BO23" s="101" t="n">
        <f aca="false">MAX(0,MIN(BO8*BO22,BO8-BO18*BO21))</f>
        <v>1584</v>
      </c>
      <c r="BP23" s="101" t="n">
        <f aca="false">MAX(0,MIN(BP8*BP22,BP8-BP18*BP21))</f>
        <v>1584</v>
      </c>
      <c r="BQ23" s="101" t="n">
        <f aca="false">MAX(0,MIN(BQ8*BQ22,BQ8-BQ18*BQ21))</f>
        <v>1584</v>
      </c>
      <c r="BR23" s="101" t="n">
        <f aca="false">MAX(0,MIN(BR8*BR22,BR8-BR18*BR21))</f>
        <v>1584</v>
      </c>
      <c r="BS23" s="101" t="n">
        <f aca="false">MAX(0,MIN(BS8*BS22,BS8-BS18*BS21))</f>
        <v>1584</v>
      </c>
      <c r="BT23" s="101" t="n">
        <f aca="false">MAX(0,MIN(BT8*BT22,BT8-BT18*BT21))</f>
        <v>1584</v>
      </c>
      <c r="BU23" s="101" t="n">
        <f aca="false">MAX(0,MIN(BU8*BU22,BU8-BU18*BU21))</f>
        <v>1584</v>
      </c>
      <c r="BV23" s="101" t="n">
        <f aca="false">MAX(0,MIN(BV8*BV22,BV8-BV18*BV21))</f>
        <v>1584</v>
      </c>
      <c r="BW23" s="101" t="n">
        <f aca="false">MAX(0,MIN(BW8*BW22,BW8-BW18*BW21))</f>
        <v>1584</v>
      </c>
      <c r="BX23" s="101" t="n">
        <f aca="false">MAX(0,MIN(BX8*BX22,BX8-BX18*BX21))</f>
        <v>1584</v>
      </c>
      <c r="BY23" s="101" t="n">
        <f aca="false">MAX(0,MIN(BY8*BY22,BY8-BY18*BY21))</f>
        <v>1584</v>
      </c>
      <c r="BZ23" s="101" t="n">
        <f aca="false">MAX(0,MIN(BZ8*BZ22,BZ8-BZ18*BZ21))</f>
        <v>1584</v>
      </c>
      <c r="CA23" s="101" t="n">
        <f aca="false">MAX(0,MIN(CA8*CA22,CA8-CA18*CA21))</f>
        <v>1584</v>
      </c>
      <c r="CB23" s="101" t="n">
        <f aca="false">MAX(0,MIN(CB8*CB22,CB8-CB18*CB21))</f>
        <v>1584</v>
      </c>
      <c r="CC23" s="101" t="n">
        <f aca="false">MAX(0,MIN(CC8*CC22,CC8-CC18*CC21))</f>
        <v>1584</v>
      </c>
      <c r="CD23" s="101" t="n">
        <f aca="false">MAX(0,MIN(CD8*CD22,CD8-CD18*CD21))</f>
        <v>1584</v>
      </c>
      <c r="CE23" s="101" t="n">
        <f aca="false">MAX(0,MIN(CE8*CE22,CE8-CE18*CE21))</f>
        <v>1584</v>
      </c>
      <c r="CF23" s="101" t="n">
        <f aca="false">MAX(0,MIN(CF8*CF22,CF8-CF18*CF21))</f>
        <v>1584</v>
      </c>
      <c r="CG23" s="101" t="n">
        <f aca="false">MAX(0,MIN(CG8*CG22,CG8-CG18*CG21))</f>
        <v>1584</v>
      </c>
      <c r="CH23" s="101" t="n">
        <f aca="false">MAX(0,MIN(CH8*CH22,CH8-CH18*CH21))</f>
        <v>1584</v>
      </c>
    </row>
    <row r="24" customFormat="false" ht="13.5" hidden="false" customHeight="true" outlineLevel="0" collapsed="false">
      <c r="A24" s="22" t="s">
        <v>504</v>
      </c>
      <c r="C24" s="101" t="n">
        <f aca="false">C18*C21+C23</f>
        <v>46.2671154560787</v>
      </c>
      <c r="D24" s="101" t="n">
        <f aca="false">D18*D21+D23</f>
        <v>94.563998311785</v>
      </c>
      <c r="E24" s="101" t="n">
        <f aca="false">E18*E21+E23</f>
        <v>177.108103861882</v>
      </c>
      <c r="F24" s="101" t="n">
        <f aca="false">F18*F21+F23</f>
        <v>213.3850939559</v>
      </c>
      <c r="G24" s="101" t="n">
        <f aca="false">G18*G21+G23</f>
        <v>247.63231665029</v>
      </c>
      <c r="H24" s="101" t="n">
        <f aca="false">H18*H21+H23</f>
        <v>305.137290798748</v>
      </c>
      <c r="I24" s="101" t="n">
        <f aca="false">I18*I21+I23</f>
        <v>406.642264947206</v>
      </c>
      <c r="J24" s="101" t="n">
        <f aca="false">J18*J21+J23</f>
        <v>508.147239095664</v>
      </c>
      <c r="K24" s="101" t="n">
        <f aca="false">K18*K21+K23</f>
        <v>609.652213244122</v>
      </c>
      <c r="L24" s="101" t="n">
        <f aca="false">L18*L21+L23</f>
        <v>711.15718739258</v>
      </c>
      <c r="M24" s="101" t="n">
        <f aca="false">M18*M21+M23</f>
        <v>778.414938846647</v>
      </c>
      <c r="N24" s="101" t="n">
        <f aca="false">N18*N21+N23</f>
        <v>879.502146961177</v>
      </c>
      <c r="O24" s="101" t="n">
        <f aca="false">O18*O21+O23</f>
        <v>980.589355075706</v>
      </c>
      <c r="P24" s="101" t="n">
        <f aca="false">P18*P21+P23</f>
        <v>1071.95059440035</v>
      </c>
      <c r="Q24" s="101" t="n">
        <f aca="false">Q18*Q21+Q23</f>
        <v>1163.311833725</v>
      </c>
      <c r="R24" s="101" t="n">
        <f aca="false">R18*R21+R23</f>
        <v>1254.67307304965</v>
      </c>
      <c r="S24" s="101" t="n">
        <f aca="false">S18*S21+S23</f>
        <v>1346.03431237429</v>
      </c>
      <c r="T24" s="101" t="n">
        <f aca="false">T18*T21+T23</f>
        <v>1437.39555169894</v>
      </c>
      <c r="U24" s="101" t="n">
        <f aca="false">U18*U21+U23</f>
        <v>1528.75679102359</v>
      </c>
      <c r="V24" s="101" t="n">
        <f aca="false">V18*V21+V23</f>
        <v>1620.11803034823</v>
      </c>
      <c r="W24" s="101" t="n">
        <f aca="false">W18*W21+W23</f>
        <v>1711.47926967288</v>
      </c>
      <c r="X24" s="101" t="n">
        <f aca="false">X18*X21+X23</f>
        <v>1769.01105233707</v>
      </c>
      <c r="Y24" s="101" t="n">
        <f aca="false">Y18*Y21+Y23</f>
        <v>1826.54283500125</v>
      </c>
      <c r="Z24" s="101" t="n">
        <f aca="false">Z18*Z21+Z23</f>
        <v>1870.54283500125</v>
      </c>
      <c r="AA24" s="101" t="n">
        <f aca="false">AA18*AA21+AA23</f>
        <v>1914.54283500125</v>
      </c>
      <c r="AB24" s="101" t="n">
        <f aca="false">AB18*AB21+AB23</f>
        <v>1958.54283500125</v>
      </c>
      <c r="AC24" s="101" t="n">
        <f aca="false">AC18*AC21+AC23</f>
        <v>2002.54283500125</v>
      </c>
      <c r="AD24" s="101" t="n">
        <f aca="false">AD18*AD21+AD23</f>
        <v>2046.54283500125</v>
      </c>
      <c r="AE24" s="101" t="n">
        <f aca="false">AE18*AE21+AE23</f>
        <v>2090.54283500125</v>
      </c>
      <c r="AF24" s="101" t="n">
        <f aca="false">AF18*AF21+AF23</f>
        <v>2134.54283500125</v>
      </c>
      <c r="AG24" s="101" t="n">
        <f aca="false">AG18*AG21+AG23</f>
        <v>2178.54283500125</v>
      </c>
      <c r="AH24" s="101" t="n">
        <f aca="false">AH18*AH21+AH23</f>
        <v>2222.54283500125</v>
      </c>
      <c r="AI24" s="101" t="n">
        <f aca="false">AI18*AI21+AI23</f>
        <v>2266.54283500125</v>
      </c>
      <c r="AJ24" s="101" t="n">
        <f aca="false">AJ18*AJ21+AJ23</f>
        <v>2310.54283500125</v>
      </c>
      <c r="AK24" s="101" t="n">
        <f aca="false">AK18*AK21+AK23</f>
        <v>2354.54283500125</v>
      </c>
      <c r="AL24" s="101" t="n">
        <f aca="false">AL18*AL21+AL23</f>
        <v>2398.54283500125</v>
      </c>
      <c r="AM24" s="101" t="n">
        <f aca="false">AM18*AM21+AM23</f>
        <v>2442.54283500125</v>
      </c>
      <c r="AN24" s="101" t="n">
        <f aca="false">AN18*AN21+AN23</f>
        <v>2486.54283500125</v>
      </c>
      <c r="AO24" s="101" t="n">
        <f aca="false">AO18*AO21+AO23</f>
        <v>2530.54283500125</v>
      </c>
      <c r="AP24" s="101" t="n">
        <f aca="false">AP18*AP21+AP23</f>
        <v>2574.54283500125</v>
      </c>
      <c r="AQ24" s="101" t="n">
        <f aca="false">AQ18*AQ21+AQ23</f>
        <v>2618.54283500125</v>
      </c>
      <c r="AR24" s="101" t="n">
        <f aca="false">AR18*AR21+AR23</f>
        <v>2662.54283500125</v>
      </c>
      <c r="AS24" s="101" t="n">
        <f aca="false">AS18*AS21+AS23</f>
        <v>2662.54283500125</v>
      </c>
      <c r="AT24" s="101" t="n">
        <f aca="false">AT18*AT21+AT23</f>
        <v>2662.54283500125</v>
      </c>
      <c r="AU24" s="101" t="n">
        <f aca="false">AU18*AU21+AU23</f>
        <v>2662.54283500125</v>
      </c>
      <c r="AV24" s="101" t="n">
        <f aca="false">AV18*AV21+AV23</f>
        <v>2662.54283500125</v>
      </c>
      <c r="AW24" s="101" t="n">
        <f aca="false">AW18*AW21+AW23</f>
        <v>2662.54283500125</v>
      </c>
      <c r="AX24" s="101" t="n">
        <f aca="false">AX18*AX21+AX23</f>
        <v>2662.54283500125</v>
      </c>
      <c r="AY24" s="101" t="n">
        <f aca="false">AY18*AY21+AY23</f>
        <v>2662.54283500125</v>
      </c>
      <c r="AZ24" s="101" t="n">
        <f aca="false">AZ18*AZ21+AZ23</f>
        <v>2662.54283500125</v>
      </c>
      <c r="BA24" s="101" t="n">
        <f aca="false">BA18*BA21+BA23</f>
        <v>2662.54283500125</v>
      </c>
      <c r="BB24" s="101" t="n">
        <f aca="false">BB18*BB21+BB23</f>
        <v>2662.54283500125</v>
      </c>
      <c r="BC24" s="101" t="n">
        <f aca="false">BC18*BC21+BC23</f>
        <v>2662.54283500125</v>
      </c>
      <c r="BD24" s="101" t="n">
        <f aca="false">BD18*BD21+BD23</f>
        <v>2662.54283500125</v>
      </c>
      <c r="BE24" s="101" t="n">
        <f aca="false">BE18*BE21+BE23</f>
        <v>2662.54283500125</v>
      </c>
      <c r="BF24" s="101" t="n">
        <f aca="false">BF18*BF21+BF23</f>
        <v>2662.54283500125</v>
      </c>
      <c r="BG24" s="101" t="n">
        <f aca="false">BG18*BG21+BG23</f>
        <v>2662.54283500125</v>
      </c>
      <c r="BH24" s="101" t="n">
        <f aca="false">BH18*BH21+BH23</f>
        <v>2662.54283500125</v>
      </c>
      <c r="BI24" s="101" t="n">
        <f aca="false">BI18*BI21+BI23</f>
        <v>2662.54283500125</v>
      </c>
      <c r="BJ24" s="101" t="n">
        <f aca="false">BJ18*BJ21+BJ23</f>
        <v>2662.54283500125</v>
      </c>
      <c r="BK24" s="101" t="n">
        <f aca="false">BK18*BK21+BK23</f>
        <v>2662.54283500125</v>
      </c>
      <c r="BL24" s="101" t="n">
        <f aca="false">BL18*BL21+BL23</f>
        <v>2662.54283500125</v>
      </c>
      <c r="BM24" s="101" t="n">
        <f aca="false">BM18*BM21+BM23</f>
        <v>2662.54283500125</v>
      </c>
      <c r="BN24" s="101" t="n">
        <f aca="false">BN18*BN21+BN23</f>
        <v>2662.54283500125</v>
      </c>
      <c r="BO24" s="101" t="n">
        <f aca="false">BO18*BO21+BO23</f>
        <v>2662.54283500125</v>
      </c>
      <c r="BP24" s="101" t="n">
        <f aca="false">BP18*BP21+BP23</f>
        <v>2662.54283500125</v>
      </c>
      <c r="BQ24" s="101" t="n">
        <f aca="false">BQ18*BQ21+BQ23</f>
        <v>2662.54283500125</v>
      </c>
      <c r="BR24" s="101" t="n">
        <f aca="false">BR18*BR21+BR23</f>
        <v>2662.54283500125</v>
      </c>
      <c r="BS24" s="101" t="n">
        <f aca="false">BS18*BS21+BS23</f>
        <v>2662.54283500125</v>
      </c>
      <c r="BT24" s="101" t="n">
        <f aca="false">BT18*BT21+BT23</f>
        <v>2662.54283500125</v>
      </c>
      <c r="BU24" s="101" t="n">
        <f aca="false">BU18*BU21+BU23</f>
        <v>2662.54283500125</v>
      </c>
      <c r="BV24" s="101" t="n">
        <f aca="false">BV18*BV21+BV23</f>
        <v>2662.54283500125</v>
      </c>
      <c r="BW24" s="101" t="n">
        <f aca="false">BW18*BW21+BW23</f>
        <v>2662.54283500125</v>
      </c>
      <c r="BX24" s="101" t="n">
        <f aca="false">BX18*BX21+BX23</f>
        <v>2662.54283500125</v>
      </c>
      <c r="BY24" s="101" t="n">
        <f aca="false">BY18*BY21+BY23</f>
        <v>2662.54283500125</v>
      </c>
      <c r="BZ24" s="101" t="n">
        <f aca="false">BZ18*BZ21+BZ23</f>
        <v>2662.54283500125</v>
      </c>
      <c r="CA24" s="101" t="n">
        <f aca="false">CA18*CA21+CA23</f>
        <v>2662.54283500125</v>
      </c>
      <c r="CB24" s="101" t="n">
        <f aca="false">CB18*CB21+CB23</f>
        <v>2662.54283500125</v>
      </c>
      <c r="CC24" s="101" t="n">
        <f aca="false">CC18*CC21+CC23</f>
        <v>2662.54283500125</v>
      </c>
      <c r="CD24" s="101" t="n">
        <f aca="false">CD18*CD21+CD23</f>
        <v>2662.54283500125</v>
      </c>
      <c r="CE24" s="101" t="n">
        <f aca="false">CE18*CE21+CE23</f>
        <v>2662.54283500125</v>
      </c>
      <c r="CF24" s="101" t="n">
        <f aca="false">CF18*CF21+CF23</f>
        <v>2662.54283500125</v>
      </c>
      <c r="CG24" s="101" t="n">
        <f aca="false">CG18*CG21+CG23</f>
        <v>2662.54283500125</v>
      </c>
      <c r="CH24" s="101" t="n">
        <f aca="false">CH18*CH21+CH23</f>
        <v>2662.54283500125</v>
      </c>
    </row>
    <row r="25" customFormat="false" ht="13.5" hidden="false" customHeight="true" outlineLevel="0" collapsed="false">
      <c r="A25" s="6" t="s">
        <v>505</v>
      </c>
      <c r="C25" s="110" t="n">
        <f aca="false">IFERROR(C24/C8,0)</f>
        <v>0.0481949119334153</v>
      </c>
      <c r="D25" s="110" t="n">
        <f aca="false">IFERROR(D24/D8,0)</f>
        <v>0.0656694432720729</v>
      </c>
      <c r="E25" s="110" t="n">
        <f aca="false">IFERROR(E24/E8,0)</f>
        <v>0.0922438040947301</v>
      </c>
      <c r="F25" s="110" t="n">
        <f aca="false">IFERROR(F24/F8,0)</f>
        <v>0.0889104558149582</v>
      </c>
      <c r="G25" s="110" t="n">
        <f aca="false">IFERROR(G24/G8,0)</f>
        <v>0.0859834432813507</v>
      </c>
      <c r="H25" s="110" t="n">
        <f aca="false">IFERROR(H24/H8,0)</f>
        <v>0.10595044819401</v>
      </c>
      <c r="I25" s="110" t="n">
        <f aca="false">IFERROR(I24/I8,0)</f>
        <v>0.141195230884447</v>
      </c>
      <c r="J25" s="110" t="n">
        <f aca="false">IFERROR(J24/J8,0)</f>
        <v>0.176440013574883</v>
      </c>
      <c r="K25" s="110" t="n">
        <f aca="false">IFERROR(K24/K8,0)</f>
        <v>0.21168479626532</v>
      </c>
      <c r="L25" s="110" t="n">
        <f aca="false">IFERROR(L24/L8,0)</f>
        <v>0.246929578955757</v>
      </c>
      <c r="M25" s="110" t="n">
        <f aca="false">IFERROR(M24/M8,0)</f>
        <v>0.270282964877308</v>
      </c>
      <c r="N25" s="110" t="n">
        <f aca="false">IFERROR(N24/N8,0)</f>
        <v>0.305382689917075</v>
      </c>
      <c r="O25" s="110" t="n">
        <f aca="false">IFERROR(O24/O8,0)</f>
        <v>0.340482414956843</v>
      </c>
      <c r="P25" s="110" t="n">
        <f aca="false">IFERROR(P24/P8,0)</f>
        <v>0.372205067500123</v>
      </c>
      <c r="Q25" s="110" t="n">
        <f aca="false">IFERROR(Q24/Q8,0)</f>
        <v>0.403927720043403</v>
      </c>
      <c r="R25" s="110" t="n">
        <f aca="false">IFERROR(R24/R8,0)</f>
        <v>0.435650372586683</v>
      </c>
      <c r="S25" s="110" t="n">
        <f aca="false">IFERROR(S24/S8,0)</f>
        <v>0.467373025129963</v>
      </c>
      <c r="T25" s="110" t="n">
        <f aca="false">IFERROR(T24/T8,0)</f>
        <v>0.499095677673243</v>
      </c>
      <c r="U25" s="110" t="n">
        <f aca="false">IFERROR(U24/U8,0)</f>
        <v>0.530818330216523</v>
      </c>
      <c r="V25" s="110" t="n">
        <f aca="false">IFERROR(V24/V8,0)</f>
        <v>0.562540982759803</v>
      </c>
      <c r="W25" s="110" t="n">
        <f aca="false">IFERROR(W24/W8,0)</f>
        <v>0.594263635303084</v>
      </c>
      <c r="X25" s="110" t="n">
        <f aca="false">IFERROR(X24/X8,0)</f>
        <v>0.614239948728148</v>
      </c>
      <c r="Y25" s="110" t="n">
        <f aca="false">IFERROR(Y24/Y8,0)</f>
        <v>0.634216262153212</v>
      </c>
      <c r="Z25" s="110" t="n">
        <f aca="false">IFERROR(Z24/Z8,0)</f>
        <v>0.64949403993099</v>
      </c>
      <c r="AA25" s="110" t="n">
        <f aca="false">IFERROR(AA24/AA8,0)</f>
        <v>0.664771817708767</v>
      </c>
      <c r="AB25" s="110" t="n">
        <f aca="false">IFERROR(AB24/AB8,0)</f>
        <v>0.680049595486545</v>
      </c>
      <c r="AC25" s="110" t="n">
        <f aca="false">IFERROR(AC24/AC8,0)</f>
        <v>0.695327373264323</v>
      </c>
      <c r="AD25" s="110" t="n">
        <f aca="false">IFERROR(AD24/AD8,0)</f>
        <v>0.710605151042101</v>
      </c>
      <c r="AE25" s="110" t="n">
        <f aca="false">IFERROR(AE24/AE8,0)</f>
        <v>0.725882928819878</v>
      </c>
      <c r="AF25" s="110" t="n">
        <f aca="false">IFERROR(AF24/AF8,0)</f>
        <v>0.741160706597656</v>
      </c>
      <c r="AG25" s="110" t="n">
        <f aca="false">IFERROR(AG24/AG8,0)</f>
        <v>0.756438484375434</v>
      </c>
      <c r="AH25" s="110" t="n">
        <f aca="false">IFERROR(AH24/AH8,0)</f>
        <v>0.771716262153212</v>
      </c>
      <c r="AI25" s="110" t="n">
        <f aca="false">IFERROR(AI24/AI8,0)</f>
        <v>0.78699403993099</v>
      </c>
      <c r="AJ25" s="110" t="n">
        <f aca="false">IFERROR(AJ24/AJ8,0)</f>
        <v>0.802271817708767</v>
      </c>
      <c r="AK25" s="110" t="n">
        <f aca="false">IFERROR(AK24/AK8,0)</f>
        <v>0.817549595486545</v>
      </c>
      <c r="AL25" s="110" t="n">
        <f aca="false">IFERROR(AL24/AL8,0)</f>
        <v>0.832827373264323</v>
      </c>
      <c r="AM25" s="110" t="n">
        <f aca="false">IFERROR(AM24/AM8,0)</f>
        <v>0.848105151042101</v>
      </c>
      <c r="AN25" s="110" t="n">
        <f aca="false">IFERROR(AN24/AN8,0)</f>
        <v>0.863382928819878</v>
      </c>
      <c r="AO25" s="110" t="n">
        <f aca="false">IFERROR(AO24/AO8,0)</f>
        <v>0.878660706597656</v>
      </c>
      <c r="AP25" s="110" t="n">
        <f aca="false">IFERROR(AP24/AP8,0)</f>
        <v>0.893938484375434</v>
      </c>
      <c r="AQ25" s="110" t="n">
        <f aca="false">IFERROR(AQ24/AQ8,0)</f>
        <v>0.909216262153212</v>
      </c>
      <c r="AR25" s="110" t="n">
        <f aca="false">IFERROR(AR24/AR8,0)</f>
        <v>0.92449403993099</v>
      </c>
      <c r="AS25" s="110" t="n">
        <f aca="false">IFERROR(AS24/AS8,0)</f>
        <v>0.92449403993099</v>
      </c>
      <c r="AT25" s="110" t="n">
        <f aca="false">IFERROR(AT24/AT8,0)</f>
        <v>0.92449403993099</v>
      </c>
      <c r="AU25" s="110" t="n">
        <f aca="false">IFERROR(AU24/AU8,0)</f>
        <v>0.92449403993099</v>
      </c>
      <c r="AV25" s="110" t="n">
        <f aca="false">IFERROR(AV24/AV8,0)</f>
        <v>0.92449403993099</v>
      </c>
      <c r="AW25" s="110" t="n">
        <f aca="false">IFERROR(AW24/AW8,0)</f>
        <v>0.92449403993099</v>
      </c>
      <c r="AX25" s="110" t="n">
        <f aca="false">IFERROR(AX24/AX8,0)</f>
        <v>0.92449403993099</v>
      </c>
      <c r="AY25" s="110" t="n">
        <f aca="false">IFERROR(AY24/AY8,0)</f>
        <v>0.92449403993099</v>
      </c>
      <c r="AZ25" s="110" t="n">
        <f aca="false">IFERROR(AZ24/AZ8,0)</f>
        <v>0.92449403993099</v>
      </c>
      <c r="BA25" s="110" t="n">
        <f aca="false">IFERROR(BA24/BA8,0)</f>
        <v>0.92449403993099</v>
      </c>
      <c r="BB25" s="110" t="n">
        <f aca="false">IFERROR(BB24/BB8,0)</f>
        <v>0.92449403993099</v>
      </c>
      <c r="BC25" s="110" t="n">
        <f aca="false">IFERROR(BC24/BC8,0)</f>
        <v>0.92449403993099</v>
      </c>
      <c r="BD25" s="110" t="n">
        <f aca="false">IFERROR(BD24/BD8,0)</f>
        <v>0.92449403993099</v>
      </c>
      <c r="BE25" s="110" t="n">
        <f aca="false">IFERROR(BE24/BE8,0)</f>
        <v>0.92449403993099</v>
      </c>
      <c r="BF25" s="110" t="n">
        <f aca="false">IFERROR(BF24/BF8,0)</f>
        <v>0.92449403993099</v>
      </c>
      <c r="BG25" s="110" t="n">
        <f aca="false">IFERROR(BG24/BG8,0)</f>
        <v>0.92449403993099</v>
      </c>
      <c r="BH25" s="110" t="n">
        <f aca="false">IFERROR(BH24/BH8,0)</f>
        <v>0.92449403993099</v>
      </c>
      <c r="BI25" s="110" t="n">
        <f aca="false">IFERROR(BI24/BI8,0)</f>
        <v>0.92449403993099</v>
      </c>
      <c r="BJ25" s="110" t="n">
        <f aca="false">IFERROR(BJ24/BJ8,0)</f>
        <v>0.92449403993099</v>
      </c>
      <c r="BK25" s="110" t="n">
        <f aca="false">IFERROR(BK24/BK8,0)</f>
        <v>0.92449403993099</v>
      </c>
      <c r="BL25" s="110" t="n">
        <f aca="false">IFERROR(BL24/BL8,0)</f>
        <v>0.92449403993099</v>
      </c>
      <c r="BM25" s="110" t="n">
        <f aca="false">IFERROR(BM24/BM8,0)</f>
        <v>0.92449403993099</v>
      </c>
      <c r="BN25" s="110" t="n">
        <f aca="false">IFERROR(BN24/BN8,0)</f>
        <v>0.92449403993099</v>
      </c>
      <c r="BO25" s="110" t="n">
        <f aca="false">IFERROR(BO24/BO8,0)</f>
        <v>0.92449403993099</v>
      </c>
      <c r="BP25" s="110" t="n">
        <f aca="false">IFERROR(BP24/BP8,0)</f>
        <v>0.92449403993099</v>
      </c>
      <c r="BQ25" s="110" t="n">
        <f aca="false">IFERROR(BQ24/BQ8,0)</f>
        <v>0.92449403993099</v>
      </c>
      <c r="BR25" s="110" t="n">
        <f aca="false">IFERROR(BR24/BR8,0)</f>
        <v>0.92449403993099</v>
      </c>
      <c r="BS25" s="110" t="n">
        <f aca="false">IFERROR(BS24/BS8,0)</f>
        <v>0.92449403993099</v>
      </c>
      <c r="BT25" s="110" t="n">
        <f aca="false">IFERROR(BT24/BT8,0)</f>
        <v>0.92449403993099</v>
      </c>
      <c r="BU25" s="110" t="n">
        <f aca="false">IFERROR(BU24/BU8,0)</f>
        <v>0.92449403993099</v>
      </c>
      <c r="BV25" s="110" t="n">
        <f aca="false">IFERROR(BV24/BV8,0)</f>
        <v>0.92449403993099</v>
      </c>
      <c r="BW25" s="110" t="n">
        <f aca="false">IFERROR(BW24/BW8,0)</f>
        <v>0.92449403993099</v>
      </c>
      <c r="BX25" s="110" t="n">
        <f aca="false">IFERROR(BX24/BX8,0)</f>
        <v>0.92449403993099</v>
      </c>
      <c r="BY25" s="110" t="n">
        <f aca="false">IFERROR(BY24/BY8,0)</f>
        <v>0.92449403993099</v>
      </c>
      <c r="BZ25" s="110" t="n">
        <f aca="false">IFERROR(BZ24/BZ8,0)</f>
        <v>0.92449403993099</v>
      </c>
      <c r="CA25" s="110" t="n">
        <f aca="false">IFERROR(CA24/CA8,0)</f>
        <v>0.92449403993099</v>
      </c>
      <c r="CB25" s="110" t="n">
        <f aca="false">IFERROR(CB24/CB8,0)</f>
        <v>0.92449403993099</v>
      </c>
      <c r="CC25" s="110" t="n">
        <f aca="false">IFERROR(CC24/CC8,0)</f>
        <v>0.92449403993099</v>
      </c>
      <c r="CD25" s="110" t="n">
        <f aca="false">IFERROR(CD24/CD8,0)</f>
        <v>0.92449403993099</v>
      </c>
      <c r="CE25" s="110" t="n">
        <f aca="false">IFERROR(CE24/CE8,0)</f>
        <v>0.92449403993099</v>
      </c>
      <c r="CF25" s="110" t="n">
        <f aca="false">IFERROR(CF24/CF8,0)</f>
        <v>0.92449403993099</v>
      </c>
      <c r="CG25" s="110" t="n">
        <f aca="false">IFERROR(CG24/CG8,0)</f>
        <v>0.92449403993099</v>
      </c>
      <c r="CH25" s="110" t="n">
        <f aca="false">IFERROR(CH24/CH8,0)</f>
        <v>0.92449403993099</v>
      </c>
    </row>
    <row r="26" customFormat="false" ht="13.5" hidden="false" customHeight="true" outlineLevel="0" collapsed="false">
      <c r="A26" s="6" t="s">
        <v>241</v>
      </c>
      <c r="C26" s="101" t="n">
        <f aca="false">C20*C21+C23*Hipótesis!$C$23</f>
        <v>12.3975</v>
      </c>
      <c r="D26" s="101" t="n">
        <f aca="false">D20*D21+D23*Hipótesis!$C$23</f>
        <v>27.405</v>
      </c>
      <c r="E26" s="101" t="n">
        <f aca="false">E20*E21+E23*Hipótesis!$C$23</f>
        <v>75.69</v>
      </c>
      <c r="F26" s="101" t="n">
        <f aca="false">F20*F21+F23*Hipótesis!$C$23</f>
        <v>111.5775</v>
      </c>
      <c r="G26" s="101" t="n">
        <f aca="false">G20*G21+G23*Hipótesis!$C$23</f>
        <v>144.855</v>
      </c>
      <c r="H26" s="101" t="n">
        <f aca="false">H20*H21+H23*Hipótesis!$C$23</f>
        <v>208.03875</v>
      </c>
      <c r="I26" s="101" t="n">
        <f aca="false">I20*I21+I23*Hipótesis!$C$23</f>
        <v>316.662006460541</v>
      </c>
      <c r="J26" s="101" t="n">
        <f aca="false">J20*J21+J23*Hipótesis!$C$23</f>
        <v>425.285262921081</v>
      </c>
      <c r="K26" s="101" t="n">
        <f aca="false">K20*K21+K23*Hipótesis!$C$23</f>
        <v>533.908519381622</v>
      </c>
      <c r="L26" s="101" t="n">
        <f aca="false">L20*L21+L23*Hipótesis!$C$23</f>
        <v>642.531775842162</v>
      </c>
      <c r="M26" s="101" t="n">
        <f aca="false">M20*M21+M23*Hipótesis!$C$23</f>
        <v>717.877532302703</v>
      </c>
      <c r="N26" s="101" t="n">
        <f aca="false">N20*N21+N23*Hipótesis!$C$23</f>
        <v>836.723288763243</v>
      </c>
      <c r="O26" s="101" t="n">
        <f aca="false">O20*O21+O23*Hipótesis!$C$23</f>
        <v>955.569045223784</v>
      </c>
      <c r="P26" s="101" t="n">
        <f aca="false">P20*P21+P23*Hipótesis!$C$23</f>
        <v>1061.90855168432</v>
      </c>
      <c r="Q26" s="101" t="n">
        <f aca="false">Q20*Q21+Q23*Hipótesis!$C$23</f>
        <v>1168.24805814487</v>
      </c>
      <c r="R26" s="101" t="n">
        <f aca="false">R20*R21+R23*Hipótesis!$C$23</f>
        <v>1274.58756460541</v>
      </c>
      <c r="S26" s="101" t="n">
        <f aca="false">S20*S21+S23*Hipótesis!$C$23</f>
        <v>1380.92707106595</v>
      </c>
      <c r="T26" s="101" t="n">
        <f aca="false">T20*T21+T23*Hipótesis!$C$23</f>
        <v>1487.26657752649</v>
      </c>
      <c r="U26" s="101" t="n">
        <f aca="false">U20*U21+U23*Hipótesis!$C$23</f>
        <v>1593.60608398703</v>
      </c>
      <c r="V26" s="101" t="n">
        <f aca="false">V20*V21+V23*Hipótesis!$C$23</f>
        <v>1699.94559044757</v>
      </c>
      <c r="W26" s="101" t="n">
        <f aca="false">W20*W21+W23*Hipótesis!$C$23</f>
        <v>1806.28509690811</v>
      </c>
      <c r="X26" s="101" t="n">
        <f aca="false">X20*X21+X23*Hipótesis!$C$23</f>
        <v>1869.12460336865</v>
      </c>
      <c r="Y26" s="101" t="n">
        <f aca="false">Y20*Y21+Y23*Hipótesis!$C$23</f>
        <v>1931.96410982919</v>
      </c>
      <c r="Z26" s="101" t="n">
        <f aca="false">Z20*Z21+Z23*Hipótesis!$C$23</f>
        <v>1977.40361628973</v>
      </c>
      <c r="AA26" s="101" t="n">
        <f aca="false">AA20*AA21+AA23*Hipótesis!$C$23</f>
        <v>2022.84312275027</v>
      </c>
      <c r="AB26" s="101" t="n">
        <f aca="false">AB20*AB21+AB23*Hipótesis!$C$23</f>
        <v>2068.28262921081</v>
      </c>
      <c r="AC26" s="101" t="n">
        <f aca="false">AC20*AC21+AC23*Hipótesis!$C$23</f>
        <v>2113.72213567135</v>
      </c>
      <c r="AD26" s="101" t="n">
        <f aca="false">AD20*AD21+AD23*Hipótesis!$C$23</f>
        <v>2159.16164213189</v>
      </c>
      <c r="AE26" s="101" t="n">
        <f aca="false">AE20*AE21+AE23*Hipótesis!$C$23</f>
        <v>2204.60114859243</v>
      </c>
      <c r="AF26" s="101" t="n">
        <f aca="false">AF20*AF21+AF23*Hipótesis!$C$23</f>
        <v>2250.04065505297</v>
      </c>
      <c r="AG26" s="101" t="n">
        <f aca="false">AG20*AG21+AG23*Hipótesis!$C$23</f>
        <v>2295.48016151351</v>
      </c>
      <c r="AH26" s="101" t="n">
        <f aca="false">AH20*AH21+AH23*Hipótesis!$C$23</f>
        <v>2340.91966797405</v>
      </c>
      <c r="AI26" s="101" t="n">
        <f aca="false">AI20*AI21+AI23*Hipótesis!$C$23</f>
        <v>2386.3591744346</v>
      </c>
      <c r="AJ26" s="101" t="n">
        <f aca="false">AJ20*AJ21+AJ23*Hipótesis!$C$23</f>
        <v>2431.79868089514</v>
      </c>
      <c r="AK26" s="101" t="n">
        <f aca="false">AK20*AK21+AK23*Hipótesis!$C$23</f>
        <v>2477.23818735568</v>
      </c>
      <c r="AL26" s="101" t="n">
        <f aca="false">AL20*AL21+AL23*Hipótesis!$C$23</f>
        <v>2522.67769381622</v>
      </c>
      <c r="AM26" s="101" t="n">
        <f aca="false">AM20*AM21+AM23*Hipótesis!$C$23</f>
        <v>2568.11720027676</v>
      </c>
      <c r="AN26" s="101" t="n">
        <f aca="false">AN20*AN21+AN23*Hipótesis!$C$23</f>
        <v>2613.5567067373</v>
      </c>
      <c r="AO26" s="101" t="n">
        <f aca="false">AO20*AO21+AO23*Hipótesis!$C$23</f>
        <v>2658.99621319784</v>
      </c>
      <c r="AP26" s="101" t="n">
        <f aca="false">AP20*AP21+AP23*Hipótesis!$C$23</f>
        <v>2704.43571965838</v>
      </c>
      <c r="AQ26" s="101" t="n">
        <f aca="false">AQ20*AQ21+AQ23*Hipótesis!$C$23</f>
        <v>2749.87522611892</v>
      </c>
      <c r="AR26" s="101" t="n">
        <f aca="false">AR20*AR21+AR23*Hipótesis!$C$23</f>
        <v>2795.31473257946</v>
      </c>
      <c r="AS26" s="101" t="n">
        <f aca="false">AS20*AS21+AS23*Hipótesis!$C$23</f>
        <v>2795.31473257946</v>
      </c>
      <c r="AT26" s="101" t="n">
        <f aca="false">AT20*AT21+AT23*Hipótesis!$C$23</f>
        <v>2795.31473257946</v>
      </c>
      <c r="AU26" s="101" t="n">
        <f aca="false">AU20*AU21+AU23*Hipótesis!$C$23</f>
        <v>2795.31473257946</v>
      </c>
      <c r="AV26" s="101" t="n">
        <f aca="false">AV20*AV21+AV23*Hipótesis!$C$23</f>
        <v>2795.31473257946</v>
      </c>
      <c r="AW26" s="101" t="n">
        <f aca="false">AW20*AW21+AW23*Hipótesis!$C$23</f>
        <v>2795.31473257946</v>
      </c>
      <c r="AX26" s="101" t="n">
        <f aca="false">AX20*AX21+AX23*Hipótesis!$C$23</f>
        <v>2795.31473257946</v>
      </c>
      <c r="AY26" s="101" t="n">
        <f aca="false">AY20*AY21+AY23*Hipótesis!$C$23</f>
        <v>2795.31473257946</v>
      </c>
      <c r="AZ26" s="101" t="n">
        <f aca="false">AZ20*AZ21+AZ23*Hipótesis!$C$23</f>
        <v>2795.31473257946</v>
      </c>
      <c r="BA26" s="101" t="n">
        <f aca="false">BA20*BA21+BA23*Hipótesis!$C$23</f>
        <v>2795.31473257946</v>
      </c>
      <c r="BB26" s="101" t="n">
        <f aca="false">BB20*BB21+BB23*Hipótesis!$C$23</f>
        <v>2795.31473257946</v>
      </c>
      <c r="BC26" s="101" t="n">
        <f aca="false">BC20*BC21+BC23*Hipótesis!$C$23</f>
        <v>2795.31473257946</v>
      </c>
      <c r="BD26" s="101" t="n">
        <f aca="false">BD20*BD21+BD23*Hipótesis!$C$23</f>
        <v>2795.31473257946</v>
      </c>
      <c r="BE26" s="101" t="n">
        <f aca="false">BE20*BE21+BE23*Hipótesis!$C$23</f>
        <v>2795.31473257946</v>
      </c>
      <c r="BF26" s="101" t="n">
        <f aca="false">BF20*BF21+BF23*Hipótesis!$C$23</f>
        <v>2795.31473257946</v>
      </c>
      <c r="BG26" s="101" t="n">
        <f aca="false">BG20*BG21+BG23*Hipótesis!$C$23</f>
        <v>2795.31473257946</v>
      </c>
      <c r="BH26" s="101" t="n">
        <f aca="false">BH20*BH21+BH23*Hipótesis!$C$23</f>
        <v>2795.31473257946</v>
      </c>
      <c r="BI26" s="101" t="n">
        <f aca="false">BI20*BI21+BI23*Hipótesis!$C$23</f>
        <v>2795.31473257946</v>
      </c>
      <c r="BJ26" s="101" t="n">
        <f aca="false">BJ20*BJ21+BJ23*Hipótesis!$C$23</f>
        <v>2795.31473257946</v>
      </c>
      <c r="BK26" s="101" t="n">
        <f aca="false">BK20*BK21+BK23*Hipótesis!$C$23</f>
        <v>2795.31473257946</v>
      </c>
      <c r="BL26" s="101" t="n">
        <f aca="false">BL20*BL21+BL23*Hipótesis!$C$23</f>
        <v>2795.31473257946</v>
      </c>
      <c r="BM26" s="101" t="n">
        <f aca="false">BM20*BM21+BM23*Hipótesis!$C$23</f>
        <v>2795.31473257946</v>
      </c>
      <c r="BN26" s="101" t="n">
        <f aca="false">BN20*BN21+BN23*Hipótesis!$C$23</f>
        <v>2795.31473257946</v>
      </c>
      <c r="BO26" s="101" t="n">
        <f aca="false">BO20*BO21+BO23*Hipótesis!$C$23</f>
        <v>2795.31473257946</v>
      </c>
      <c r="BP26" s="101" t="n">
        <f aca="false">BP20*BP21+BP23*Hipótesis!$C$23</f>
        <v>2795.31473257946</v>
      </c>
      <c r="BQ26" s="101" t="n">
        <f aca="false">BQ20*BQ21+BQ23*Hipótesis!$C$23</f>
        <v>2795.31473257946</v>
      </c>
      <c r="BR26" s="101" t="n">
        <f aca="false">BR20*BR21+BR23*Hipótesis!$C$23</f>
        <v>2795.31473257946</v>
      </c>
      <c r="BS26" s="101" t="n">
        <f aca="false">BS20*BS21+BS23*Hipótesis!$C$23</f>
        <v>2795.31473257946</v>
      </c>
      <c r="BT26" s="101" t="n">
        <f aca="false">BT20*BT21+BT23*Hipótesis!$C$23</f>
        <v>2795.31473257946</v>
      </c>
      <c r="BU26" s="101" t="n">
        <f aca="false">BU20*BU21+BU23*Hipótesis!$C$23</f>
        <v>2795.31473257946</v>
      </c>
      <c r="BV26" s="101" t="n">
        <f aca="false">BV20*BV21+BV23*Hipótesis!$C$23</f>
        <v>2795.31473257946</v>
      </c>
      <c r="BW26" s="101" t="n">
        <f aca="false">BW20*BW21+BW23*Hipótesis!$C$23</f>
        <v>2795.31473257946</v>
      </c>
      <c r="BX26" s="101" t="n">
        <f aca="false">BX20*BX21+BX23*Hipótesis!$C$23</f>
        <v>2795.31473257946</v>
      </c>
      <c r="BY26" s="101" t="n">
        <f aca="false">BY20*BY21+BY23*Hipótesis!$C$23</f>
        <v>2795.31473257946</v>
      </c>
      <c r="BZ26" s="101" t="n">
        <f aca="false">BZ20*BZ21+BZ23*Hipótesis!$C$23</f>
        <v>2795.31473257946</v>
      </c>
      <c r="CA26" s="101" t="n">
        <f aca="false">CA20*CA21+CA23*Hipótesis!$C$23</f>
        <v>2795.31473257946</v>
      </c>
      <c r="CB26" s="101" t="n">
        <f aca="false">CB20*CB21+CB23*Hipótesis!$C$23</f>
        <v>2795.31473257946</v>
      </c>
      <c r="CC26" s="101" t="n">
        <f aca="false">CC20*CC21+CC23*Hipótesis!$C$23</f>
        <v>2795.31473257946</v>
      </c>
      <c r="CD26" s="101" t="n">
        <f aca="false">CD20*CD21+CD23*Hipótesis!$C$23</f>
        <v>2795.31473257946</v>
      </c>
      <c r="CE26" s="101" t="n">
        <f aca="false">CE20*CE21+CE23*Hipótesis!$C$23</f>
        <v>2795.31473257946</v>
      </c>
      <c r="CF26" s="101" t="n">
        <f aca="false">CF20*CF21+CF23*Hipótesis!$C$23</f>
        <v>2795.31473257946</v>
      </c>
      <c r="CG26" s="101" t="n">
        <f aca="false">CG20*CG21+CG23*Hipótesis!$C$23</f>
        <v>2795.31473257946</v>
      </c>
      <c r="CH26" s="101" t="n">
        <f aca="false">CH20*CH21+CH23*Hipótesis!$C$23</f>
        <v>2795.31473257946</v>
      </c>
    </row>
    <row r="27" customFormat="false" ht="13.5" hidden="false" customHeight="true" outlineLevel="0" collapsed="false">
      <c r="A27" s="6" t="s">
        <v>427</v>
      </c>
      <c r="C27" s="101" t="n">
        <f aca="false">C17*C21+C23*Hipótesis!$C$24</f>
        <v>119.782608695652</v>
      </c>
      <c r="D27" s="101" t="n">
        <f aca="false">D17*D21+D23*Hipótesis!$C$24</f>
        <v>256.253196930946</v>
      </c>
      <c r="E27" s="101" t="n">
        <f aca="false">E17*E21+E23*Hipótesis!$C$24</f>
        <v>614.888721113445</v>
      </c>
      <c r="F27" s="101" t="n">
        <f aca="false">F17*F21+F23*Hipótesis!$C$24</f>
        <v>853.741636600292</v>
      </c>
      <c r="G27" s="101" t="n">
        <f aca="false">G17*G21+G23*Hipótesis!$C$24</f>
        <v>1075.9065725475</v>
      </c>
      <c r="H27" s="101" t="n">
        <f aca="false">H17*H21+H23*Hipótesis!$C$24</f>
        <v>1489.28794071977</v>
      </c>
      <c r="I27" s="101" t="n">
        <f aca="false">I17*I21+I23*Hipótesis!$C$24</f>
        <v>2204.18884943258</v>
      </c>
      <c r="J27" s="101" t="n">
        <f aca="false">J17*J21+J23*Hipótesis!$C$24</f>
        <v>2919.08975814538</v>
      </c>
      <c r="K27" s="101" t="n">
        <f aca="false">K17*K21+K23*Hipótesis!$C$24</f>
        <v>3633.99066685819</v>
      </c>
      <c r="L27" s="101" t="n">
        <f aca="false">L17*L21+L23*Hipótesis!$C$24</f>
        <v>4348.891575571</v>
      </c>
      <c r="M27" s="101" t="n">
        <f aca="false">M17*M21+M23*Hipótesis!$C$24</f>
        <v>4841.62754833661</v>
      </c>
      <c r="N27" s="101" t="n">
        <f aca="false">N17*N21+N23*Hipótesis!$C$24</f>
        <v>5612.49651342958</v>
      </c>
      <c r="O27" s="101" t="n">
        <f aca="false">O17*O21+O23*Hipótesis!$C$24</f>
        <v>6383.36547852255</v>
      </c>
      <c r="P27" s="101" t="n">
        <f aca="false">P17*P21+P23*Hipótesis!$C$24</f>
        <v>7074.2712083214</v>
      </c>
      <c r="Q27" s="101" t="n">
        <f aca="false">Q17*Q21+Q23*Hipótesis!$C$24</f>
        <v>7765.17693812026</v>
      </c>
      <c r="R27" s="101" t="n">
        <f aca="false">R17*R21+R23*Hipótesis!$C$24</f>
        <v>8456.08266791911</v>
      </c>
      <c r="S27" s="101" t="n">
        <f aca="false">S17*S21+S23*Hipótesis!$C$24</f>
        <v>9146.98839771796</v>
      </c>
      <c r="T27" s="101" t="n">
        <f aca="false">T17*T21+T23*Hipótesis!$C$24</f>
        <v>9837.89412751681</v>
      </c>
      <c r="U27" s="101" t="n">
        <f aca="false">U17*U21+U23*Hipótesis!$C$24</f>
        <v>10528.7998573157</v>
      </c>
      <c r="V27" s="101" t="n">
        <f aca="false">V17*V21+V23*Hipótesis!$C$24</f>
        <v>11219.7055871145</v>
      </c>
      <c r="W27" s="101" t="n">
        <f aca="false">W17*W21+W23*Hipótesis!$C$24</f>
        <v>11910.6113169134</v>
      </c>
      <c r="X27" s="101" t="n">
        <f aca="false">X17*X21+X23*Hipótesis!$C$24</f>
        <v>12323.3840543849</v>
      </c>
      <c r="Y27" s="101" t="n">
        <f aca="false">Y17*Y21+Y23*Hipótesis!$C$24</f>
        <v>12736.1567918563</v>
      </c>
      <c r="Z27" s="101" t="n">
        <f aca="false">Z17*Z21+Z23*Hipótesis!$C$24</f>
        <v>13037.6763323969</v>
      </c>
      <c r="AA27" s="101" t="n">
        <f aca="false">AA17*AA21+AA23*Hipótesis!$C$24</f>
        <v>13339.1958729374</v>
      </c>
      <c r="AB27" s="101" t="n">
        <f aca="false">AB17*AB21+AB23*Hipótesis!$C$24</f>
        <v>13640.715413478</v>
      </c>
      <c r="AC27" s="101" t="n">
        <f aca="false">AC17*AC21+AC23*Hipótesis!$C$24</f>
        <v>13942.2349540185</v>
      </c>
      <c r="AD27" s="101" t="n">
        <f aca="false">AD17*AD21+AD23*Hipótesis!$C$24</f>
        <v>14243.754494559</v>
      </c>
      <c r="AE27" s="101" t="n">
        <f aca="false">AE17*AE21+AE23*Hipótesis!$C$24</f>
        <v>14545.2740350996</v>
      </c>
      <c r="AF27" s="101" t="n">
        <f aca="false">AF17*AF21+AF23*Hipótesis!$C$24</f>
        <v>14846.7935756401</v>
      </c>
      <c r="AG27" s="101" t="n">
        <f aca="false">AG17*AG21+AG23*Hipótesis!$C$24</f>
        <v>15148.3131161807</v>
      </c>
      <c r="AH27" s="101" t="n">
        <f aca="false">AH17*AH21+AH23*Hipótesis!$C$24</f>
        <v>15449.8326567212</v>
      </c>
      <c r="AI27" s="101" t="n">
        <f aca="false">AI17*AI21+AI23*Hipótesis!$C$24</f>
        <v>15751.3521972618</v>
      </c>
      <c r="AJ27" s="101" t="n">
        <f aca="false">AJ17*AJ21+AJ23*Hipótesis!$C$24</f>
        <v>16052.8717378023</v>
      </c>
      <c r="AK27" s="101" t="n">
        <f aca="false">AK17*AK21+AK23*Hipótesis!$C$24</f>
        <v>16354.3912783428</v>
      </c>
      <c r="AL27" s="101" t="n">
        <f aca="false">AL17*AL21+AL23*Hipótesis!$C$24</f>
        <v>16655.9108188834</v>
      </c>
      <c r="AM27" s="101" t="n">
        <f aca="false">AM17*AM21+AM23*Hipótesis!$C$24</f>
        <v>16957.4303594239</v>
      </c>
      <c r="AN27" s="101" t="n">
        <f aca="false">AN17*AN21+AN23*Hipótesis!$C$24</f>
        <v>17258.9498999645</v>
      </c>
      <c r="AO27" s="101" t="n">
        <f aca="false">AO17*AO21+AO23*Hipótesis!$C$24</f>
        <v>17560.469440505</v>
      </c>
      <c r="AP27" s="101" t="n">
        <f aca="false">AP17*AP21+AP23*Hipótesis!$C$24</f>
        <v>17861.9889810455</v>
      </c>
      <c r="AQ27" s="101" t="n">
        <f aca="false">AQ17*AQ21+AQ23*Hipótesis!$C$24</f>
        <v>18163.5085215861</v>
      </c>
      <c r="AR27" s="101" t="n">
        <f aca="false">AR17*AR21+AR23*Hipótesis!$C$24</f>
        <v>18465.0280621266</v>
      </c>
      <c r="AS27" s="101" t="n">
        <f aca="false">AS17*AS21+AS23*Hipótesis!$C$24</f>
        <v>18465.0280621266</v>
      </c>
      <c r="AT27" s="101" t="n">
        <f aca="false">AT17*AT21+AT23*Hipótesis!$C$24</f>
        <v>18465.0280621266</v>
      </c>
      <c r="AU27" s="101" t="n">
        <f aca="false">AU17*AU21+AU23*Hipótesis!$C$24</f>
        <v>18465.0280621266</v>
      </c>
      <c r="AV27" s="101" t="n">
        <f aca="false">AV17*AV21+AV23*Hipótesis!$C$24</f>
        <v>18465.0280621266</v>
      </c>
      <c r="AW27" s="101" t="n">
        <f aca="false">AW17*AW21+AW23*Hipótesis!$C$24</f>
        <v>18465.0280621266</v>
      </c>
      <c r="AX27" s="101" t="n">
        <f aca="false">AX17*AX21+AX23*Hipótesis!$C$24</f>
        <v>18465.0280621266</v>
      </c>
      <c r="AY27" s="101" t="n">
        <f aca="false">AY17*AY21+AY23*Hipótesis!$C$24</f>
        <v>18465.0280621266</v>
      </c>
      <c r="AZ27" s="101" t="n">
        <f aca="false">AZ17*AZ21+AZ23*Hipótesis!$C$24</f>
        <v>18465.0280621266</v>
      </c>
      <c r="BA27" s="101" t="n">
        <f aca="false">BA17*BA21+BA23*Hipótesis!$C$24</f>
        <v>18465.0280621266</v>
      </c>
      <c r="BB27" s="101" t="n">
        <f aca="false">BB17*BB21+BB23*Hipótesis!$C$24</f>
        <v>18465.0280621266</v>
      </c>
      <c r="BC27" s="101" t="n">
        <f aca="false">BC17*BC21+BC23*Hipótesis!$C$24</f>
        <v>18465.0280621266</v>
      </c>
      <c r="BD27" s="101" t="n">
        <f aca="false">BD17*BD21+BD23*Hipótesis!$C$24</f>
        <v>18465.0280621266</v>
      </c>
      <c r="BE27" s="101" t="n">
        <f aca="false">BE17*BE21+BE23*Hipótesis!$C$24</f>
        <v>18465.0280621266</v>
      </c>
      <c r="BF27" s="101" t="n">
        <f aca="false">BF17*BF21+BF23*Hipótesis!$C$24</f>
        <v>18465.0280621266</v>
      </c>
      <c r="BG27" s="101" t="n">
        <f aca="false">BG17*BG21+BG23*Hipótesis!$C$24</f>
        <v>18465.0280621266</v>
      </c>
      <c r="BH27" s="101" t="n">
        <f aca="false">BH17*BH21+BH23*Hipótesis!$C$24</f>
        <v>18465.0280621266</v>
      </c>
      <c r="BI27" s="101" t="n">
        <f aca="false">BI17*BI21+BI23*Hipótesis!$C$24</f>
        <v>18465.0280621266</v>
      </c>
      <c r="BJ27" s="101" t="n">
        <f aca="false">BJ17*BJ21+BJ23*Hipótesis!$C$24</f>
        <v>18465.0280621266</v>
      </c>
      <c r="BK27" s="101" t="n">
        <f aca="false">BK17*BK21+BK23*Hipótesis!$C$24</f>
        <v>18465.0280621266</v>
      </c>
      <c r="BL27" s="101" t="n">
        <f aca="false">BL17*BL21+BL23*Hipótesis!$C$24</f>
        <v>18465.0280621266</v>
      </c>
      <c r="BM27" s="101" t="n">
        <f aca="false">BM17*BM21+BM23*Hipótesis!$C$24</f>
        <v>18465.0280621266</v>
      </c>
      <c r="BN27" s="101" t="n">
        <f aca="false">BN17*BN21+BN23*Hipótesis!$C$24</f>
        <v>18465.0280621266</v>
      </c>
      <c r="BO27" s="101" t="n">
        <f aca="false">BO17*BO21+BO23*Hipótesis!$C$24</f>
        <v>18465.0280621266</v>
      </c>
      <c r="BP27" s="101" t="n">
        <f aca="false">BP17*BP21+BP23*Hipótesis!$C$24</f>
        <v>18465.0280621266</v>
      </c>
      <c r="BQ27" s="101" t="n">
        <f aca="false">BQ17*BQ21+BQ23*Hipótesis!$C$24</f>
        <v>18465.0280621266</v>
      </c>
      <c r="BR27" s="101" t="n">
        <f aca="false">BR17*BR21+BR23*Hipótesis!$C$24</f>
        <v>18465.0280621266</v>
      </c>
      <c r="BS27" s="101" t="n">
        <f aca="false">BS17*BS21+BS23*Hipótesis!$C$24</f>
        <v>18465.0280621266</v>
      </c>
      <c r="BT27" s="101" t="n">
        <f aca="false">BT17*BT21+BT23*Hipótesis!$C$24</f>
        <v>18465.0280621266</v>
      </c>
      <c r="BU27" s="101" t="n">
        <f aca="false">BU17*BU21+BU23*Hipótesis!$C$24</f>
        <v>18465.0280621266</v>
      </c>
      <c r="BV27" s="101" t="n">
        <f aca="false">BV17*BV21+BV23*Hipótesis!$C$24</f>
        <v>18465.0280621266</v>
      </c>
      <c r="BW27" s="101" t="n">
        <f aca="false">BW17*BW21+BW23*Hipótesis!$C$24</f>
        <v>18465.0280621266</v>
      </c>
      <c r="BX27" s="101" t="n">
        <f aca="false">BX17*BX21+BX23*Hipótesis!$C$24</f>
        <v>18465.0280621266</v>
      </c>
      <c r="BY27" s="101" t="n">
        <f aca="false">BY17*BY21+BY23*Hipótesis!$C$24</f>
        <v>18465.0280621266</v>
      </c>
      <c r="BZ27" s="101" t="n">
        <f aca="false">BZ17*BZ21+BZ23*Hipótesis!$C$24</f>
        <v>18465.0280621266</v>
      </c>
      <c r="CA27" s="101" t="n">
        <f aca="false">CA17*CA21+CA23*Hipótesis!$C$24</f>
        <v>18465.0280621266</v>
      </c>
      <c r="CB27" s="101" t="n">
        <f aca="false">CB17*CB21+CB23*Hipótesis!$C$24</f>
        <v>18465.0280621266</v>
      </c>
      <c r="CC27" s="101" t="n">
        <f aca="false">CC17*CC21+CC23*Hipótesis!$C$24</f>
        <v>18465.0280621266</v>
      </c>
      <c r="CD27" s="101" t="n">
        <f aca="false">CD17*CD21+CD23*Hipótesis!$C$24</f>
        <v>18465.0280621266</v>
      </c>
      <c r="CE27" s="101" t="n">
        <f aca="false">CE17*CE21+CE23*Hipótesis!$C$24</f>
        <v>18465.0280621266</v>
      </c>
      <c r="CF27" s="101" t="n">
        <f aca="false">CF17*CF21+CF23*Hipótesis!$C$24</f>
        <v>18465.0280621266</v>
      </c>
      <c r="CG27" s="101" t="n">
        <f aca="false">CG17*CG21+CG23*Hipótesis!$C$24</f>
        <v>18465.0280621266</v>
      </c>
      <c r="CH27" s="101" t="n">
        <f aca="false">CH17*CH21+CH23*Hipótesis!$C$24</f>
        <v>18465.0280621266</v>
      </c>
    </row>
    <row r="28" customFormat="false" ht="13.5" hidden="false" customHeight="true" outlineLevel="0" collapsed="false">
      <c r="A28" s="6" t="s">
        <v>506</v>
      </c>
      <c r="C28" s="101" t="n">
        <f aca="false">C27*Producto!$D$8/60</f>
        <v>7.98550724637681</v>
      </c>
      <c r="D28" s="101" t="n">
        <f aca="false">D27*Producto!$D$8/60</f>
        <v>17.0835464620631</v>
      </c>
      <c r="E28" s="101" t="n">
        <f aca="false">E27*Producto!$D$8/60</f>
        <v>40.992581407563</v>
      </c>
      <c r="F28" s="101" t="n">
        <f aca="false">F27*Producto!$D$8/60</f>
        <v>56.9161091066861</v>
      </c>
      <c r="G28" s="101" t="n">
        <f aca="false">G27*Producto!$D$8/60</f>
        <v>71.7271048364998</v>
      </c>
      <c r="H28" s="101" t="n">
        <f aca="false">H27*Producto!$D$8/60</f>
        <v>99.2858627146511</v>
      </c>
      <c r="I28" s="101" t="n">
        <f aca="false">I27*Producto!$D$8/60</f>
        <v>146.945923295505</v>
      </c>
      <c r="J28" s="101" t="n">
        <f aca="false">J27*Producto!$D$8/60</f>
        <v>194.605983876359</v>
      </c>
      <c r="K28" s="101" t="n">
        <f aca="false">K27*Producto!$D$8/60</f>
        <v>242.266044457213</v>
      </c>
      <c r="L28" s="101" t="n">
        <f aca="false">L27*Producto!$D$8/60</f>
        <v>289.926105038067</v>
      </c>
      <c r="M28" s="101" t="n">
        <f aca="false">M27*Producto!$D$8/60</f>
        <v>322.775169889107</v>
      </c>
      <c r="N28" s="101" t="n">
        <f aca="false">N27*Producto!$D$8/60</f>
        <v>374.166434228639</v>
      </c>
      <c r="O28" s="101" t="n">
        <f aca="false">O27*Producto!$D$8/60</f>
        <v>425.55769856817</v>
      </c>
      <c r="P28" s="101" t="n">
        <f aca="false">P27*Producto!$D$8/60</f>
        <v>471.61808055476</v>
      </c>
      <c r="Q28" s="101" t="n">
        <f aca="false">Q27*Producto!$D$8/60</f>
        <v>517.67846254135</v>
      </c>
      <c r="R28" s="101" t="n">
        <f aca="false">R27*Producto!$D$8/60</f>
        <v>563.738844527941</v>
      </c>
      <c r="S28" s="101" t="n">
        <f aca="false">S27*Producto!$D$8/60</f>
        <v>609.799226514531</v>
      </c>
      <c r="T28" s="101" t="n">
        <f aca="false">T27*Producto!$D$8/60</f>
        <v>655.859608501121</v>
      </c>
      <c r="U28" s="101" t="n">
        <f aca="false">U27*Producto!$D$8/60</f>
        <v>701.919990487711</v>
      </c>
      <c r="V28" s="101" t="n">
        <f aca="false">V27*Producto!$D$8/60</f>
        <v>747.980372474301</v>
      </c>
      <c r="W28" s="101" t="n">
        <f aca="false">W27*Producto!$D$8/60</f>
        <v>794.040754460891</v>
      </c>
      <c r="X28" s="101" t="n">
        <f aca="false">X27*Producto!$D$8/60</f>
        <v>821.55893695899</v>
      </c>
      <c r="Y28" s="101" t="n">
        <f aca="false">Y27*Producto!$D$8/60</f>
        <v>849.07711945709</v>
      </c>
      <c r="Z28" s="101" t="n">
        <f aca="false">Z27*Producto!$D$8/60</f>
        <v>869.178422159792</v>
      </c>
      <c r="AA28" s="101" t="n">
        <f aca="false">AA27*Producto!$D$8/60</f>
        <v>889.279724862495</v>
      </c>
      <c r="AB28" s="101" t="n">
        <f aca="false">AB27*Producto!$D$8/60</f>
        <v>909.381027565198</v>
      </c>
      <c r="AC28" s="101" t="n">
        <f aca="false">AC27*Producto!$D$8/60</f>
        <v>929.4823302679</v>
      </c>
      <c r="AD28" s="101" t="n">
        <f aca="false">AD27*Producto!$D$8/60</f>
        <v>949.583632970603</v>
      </c>
      <c r="AE28" s="101" t="n">
        <f aca="false">AE27*Producto!$D$8/60</f>
        <v>969.684935673306</v>
      </c>
      <c r="AF28" s="101" t="n">
        <f aca="false">AF27*Producto!$D$8/60</f>
        <v>989.786238376009</v>
      </c>
      <c r="AG28" s="101" t="n">
        <f aca="false">AG27*Producto!$D$8/60</f>
        <v>1009.88754107871</v>
      </c>
      <c r="AH28" s="101" t="n">
        <f aca="false">AH27*Producto!$D$8/60</f>
        <v>1029.98884378141</v>
      </c>
      <c r="AI28" s="101" t="n">
        <f aca="false">AI27*Producto!$D$8/60</f>
        <v>1050.09014648412</v>
      </c>
      <c r="AJ28" s="101" t="n">
        <f aca="false">AJ27*Producto!$D$8/60</f>
        <v>1070.19144918682</v>
      </c>
      <c r="AK28" s="101" t="n">
        <f aca="false">AK27*Producto!$D$8/60</f>
        <v>1090.29275188952</v>
      </c>
      <c r="AL28" s="101" t="n">
        <f aca="false">AL27*Producto!$D$8/60</f>
        <v>1110.39405459222</v>
      </c>
      <c r="AM28" s="101" t="n">
        <f aca="false">AM27*Producto!$D$8/60</f>
        <v>1130.49535729493</v>
      </c>
      <c r="AN28" s="101" t="n">
        <f aca="false">AN27*Producto!$D$8/60</f>
        <v>1150.59665999763</v>
      </c>
      <c r="AO28" s="101" t="n">
        <f aca="false">AO27*Producto!$D$8/60</f>
        <v>1170.69796270033</v>
      </c>
      <c r="AP28" s="101" t="n">
        <f aca="false">AP27*Producto!$D$8/60</f>
        <v>1190.79926540304</v>
      </c>
      <c r="AQ28" s="101" t="n">
        <f aca="false">AQ27*Producto!$D$8/60</f>
        <v>1210.90056810574</v>
      </c>
      <c r="AR28" s="101" t="n">
        <f aca="false">AR27*Producto!$D$8/60</f>
        <v>1231.00187080844</v>
      </c>
      <c r="AS28" s="101" t="n">
        <f aca="false">AS27*Producto!$D$8/60</f>
        <v>1231.00187080844</v>
      </c>
      <c r="AT28" s="101" t="n">
        <f aca="false">AT27*Producto!$D$8/60</f>
        <v>1231.00187080844</v>
      </c>
      <c r="AU28" s="101" t="n">
        <f aca="false">AU27*Producto!$D$8/60</f>
        <v>1231.00187080844</v>
      </c>
      <c r="AV28" s="101" t="n">
        <f aca="false">AV27*Producto!$D$8/60</f>
        <v>1231.00187080844</v>
      </c>
      <c r="AW28" s="101" t="n">
        <f aca="false">AW27*Producto!$D$8/60</f>
        <v>1231.00187080844</v>
      </c>
      <c r="AX28" s="101" t="n">
        <f aca="false">AX27*Producto!$D$8/60</f>
        <v>1231.00187080844</v>
      </c>
      <c r="AY28" s="101" t="n">
        <f aca="false">AY27*Producto!$D$8/60</f>
        <v>1231.00187080844</v>
      </c>
      <c r="AZ28" s="101" t="n">
        <f aca="false">AZ27*Producto!$D$8/60</f>
        <v>1231.00187080844</v>
      </c>
      <c r="BA28" s="101" t="n">
        <f aca="false">BA27*Producto!$D$8/60</f>
        <v>1231.00187080844</v>
      </c>
      <c r="BB28" s="101" t="n">
        <f aca="false">BB27*Producto!$D$8/60</f>
        <v>1231.00187080844</v>
      </c>
      <c r="BC28" s="101" t="n">
        <f aca="false">BC27*Producto!$D$8/60</f>
        <v>1231.00187080844</v>
      </c>
      <c r="BD28" s="101" t="n">
        <f aca="false">BD27*Producto!$D$8/60</f>
        <v>1231.00187080844</v>
      </c>
      <c r="BE28" s="101" t="n">
        <f aca="false">BE27*Producto!$D$8/60</f>
        <v>1231.00187080844</v>
      </c>
      <c r="BF28" s="101" t="n">
        <f aca="false">BF27*Producto!$D$8/60</f>
        <v>1231.00187080844</v>
      </c>
      <c r="BG28" s="101" t="n">
        <f aca="false">BG27*Producto!$D$8/60</f>
        <v>1231.00187080844</v>
      </c>
      <c r="BH28" s="101" t="n">
        <f aca="false">BH27*Producto!$D$8/60</f>
        <v>1231.00187080844</v>
      </c>
      <c r="BI28" s="101" t="n">
        <f aca="false">BI27*Producto!$D$8/60</f>
        <v>1231.00187080844</v>
      </c>
      <c r="BJ28" s="101" t="n">
        <f aca="false">BJ27*Producto!$D$8/60</f>
        <v>1231.00187080844</v>
      </c>
      <c r="BK28" s="101" t="n">
        <f aca="false">BK27*Producto!$D$8/60</f>
        <v>1231.00187080844</v>
      </c>
      <c r="BL28" s="101" t="n">
        <f aca="false">BL27*Producto!$D$8/60</f>
        <v>1231.00187080844</v>
      </c>
      <c r="BM28" s="101" t="n">
        <f aca="false">BM27*Producto!$D$8/60</f>
        <v>1231.00187080844</v>
      </c>
      <c r="BN28" s="101" t="n">
        <f aca="false">BN27*Producto!$D$8/60</f>
        <v>1231.00187080844</v>
      </c>
      <c r="BO28" s="101" t="n">
        <f aca="false">BO27*Producto!$D$8/60</f>
        <v>1231.00187080844</v>
      </c>
      <c r="BP28" s="101" t="n">
        <f aca="false">BP27*Producto!$D$8/60</f>
        <v>1231.00187080844</v>
      </c>
      <c r="BQ28" s="101" t="n">
        <f aca="false">BQ27*Producto!$D$8/60</f>
        <v>1231.00187080844</v>
      </c>
      <c r="BR28" s="101" t="n">
        <f aca="false">BR27*Producto!$D$8/60</f>
        <v>1231.00187080844</v>
      </c>
      <c r="BS28" s="101" t="n">
        <f aca="false">BS27*Producto!$D$8/60</f>
        <v>1231.00187080844</v>
      </c>
      <c r="BT28" s="101" t="n">
        <f aca="false">BT27*Producto!$D$8/60</f>
        <v>1231.00187080844</v>
      </c>
      <c r="BU28" s="101" t="n">
        <f aca="false">BU27*Producto!$D$8/60</f>
        <v>1231.00187080844</v>
      </c>
      <c r="BV28" s="101" t="n">
        <f aca="false">BV27*Producto!$D$8/60</f>
        <v>1231.00187080844</v>
      </c>
      <c r="BW28" s="101" t="n">
        <f aca="false">BW27*Producto!$D$8/60</f>
        <v>1231.00187080844</v>
      </c>
      <c r="BX28" s="101" t="n">
        <f aca="false">BX27*Producto!$D$8/60</f>
        <v>1231.00187080844</v>
      </c>
      <c r="BY28" s="101" t="n">
        <f aca="false">BY27*Producto!$D$8/60</f>
        <v>1231.00187080844</v>
      </c>
      <c r="BZ28" s="101" t="n">
        <f aca="false">BZ27*Producto!$D$8/60</f>
        <v>1231.00187080844</v>
      </c>
      <c r="CA28" s="101" t="n">
        <f aca="false">CA27*Producto!$D$8/60</f>
        <v>1231.00187080844</v>
      </c>
      <c r="CB28" s="101" t="n">
        <f aca="false">CB27*Producto!$D$8/60</f>
        <v>1231.00187080844</v>
      </c>
      <c r="CC28" s="101" t="n">
        <f aca="false">CC27*Producto!$D$8/60</f>
        <v>1231.00187080844</v>
      </c>
      <c r="CD28" s="101" t="n">
        <f aca="false">CD27*Producto!$D$8/60</f>
        <v>1231.00187080844</v>
      </c>
      <c r="CE28" s="101" t="n">
        <f aca="false">CE27*Producto!$D$8/60</f>
        <v>1231.00187080844</v>
      </c>
      <c r="CF28" s="101" t="n">
        <f aca="false">CF27*Producto!$D$8/60</f>
        <v>1231.00187080844</v>
      </c>
      <c r="CG28" s="101" t="n">
        <f aca="false">CG27*Producto!$D$8/60</f>
        <v>1231.00187080844</v>
      </c>
      <c r="CH28" s="101" t="n">
        <f aca="false">CH27*Producto!$D$8/60</f>
        <v>1231.00187080844</v>
      </c>
    </row>
    <row r="29" customFormat="false" ht="13.5" hidden="false" customHeight="true" outlineLevel="0" collapsed="false">
      <c r="A29" s="6" t="s">
        <v>507</v>
      </c>
      <c r="C29" s="101" t="n">
        <f aca="false">SUMPRODUCT((Hipótesis!$D$48:$D$53&lt;=1)*(Hipótesis!$B$48:$B$53)*(Hipótesis!$F$48:$F$53))</f>
        <v>320</v>
      </c>
      <c r="D29" s="101" t="n">
        <f aca="false">SUMPRODUCT((Hipótesis!$D$48:$D$53&lt;=2)*(Hipótesis!$B$48:$B$53)*(Hipótesis!$F$48:$F$53))</f>
        <v>320</v>
      </c>
      <c r="E29" s="101" t="n">
        <f aca="false">SUMPRODUCT((Hipótesis!$D$48:$D$53&lt;=3)*(Hipótesis!$B$48:$B$53)*(Hipótesis!$F$48:$F$53))</f>
        <v>320</v>
      </c>
      <c r="F29" s="101" t="n">
        <f aca="false">SUMPRODUCT((Hipótesis!$D$48:$D$53&lt;=4)*(Hipótesis!$B$48:$B$53)*(Hipótesis!$F$48:$F$53))</f>
        <v>320</v>
      </c>
      <c r="G29" s="101" t="n">
        <f aca="false">SUMPRODUCT((Hipótesis!$D$48:$D$53&lt;=5)*(Hipótesis!$B$48:$B$53)*(Hipótesis!$F$48:$F$53))</f>
        <v>320</v>
      </c>
      <c r="H29" s="101" t="n">
        <f aca="false">SUMPRODUCT((Hipótesis!$D$48:$D$53&lt;=6)*(Hipótesis!$B$48:$B$53)*(Hipótesis!$F$48:$F$53))</f>
        <v>320</v>
      </c>
      <c r="I29" s="101" t="n">
        <f aca="false">SUMPRODUCT((Hipótesis!$D$48:$D$53&lt;=7)*(Hipótesis!$B$48:$B$53)*(Hipótesis!$F$48:$F$53))</f>
        <v>320</v>
      </c>
      <c r="J29" s="101" t="n">
        <f aca="false">SUMPRODUCT((Hipótesis!$D$48:$D$53&lt;=8)*(Hipótesis!$B$48:$B$53)*(Hipótesis!$F$48:$F$53))</f>
        <v>320</v>
      </c>
      <c r="K29" s="101" t="n">
        <f aca="false">SUMPRODUCT((Hipótesis!$D$48:$D$53&lt;=9)*(Hipótesis!$B$48:$B$53)*(Hipótesis!$F$48:$F$53))</f>
        <v>320</v>
      </c>
      <c r="L29" s="101" t="n">
        <f aca="false">SUMPRODUCT((Hipótesis!$D$48:$D$53&lt;=10)*(Hipótesis!$B$48:$B$53)*(Hipótesis!$F$48:$F$53))</f>
        <v>320</v>
      </c>
      <c r="M29" s="101" t="n">
        <f aca="false">SUMPRODUCT((Hipótesis!$D$48:$D$53&lt;=11)*(Hipótesis!$B$48:$B$53)*(Hipótesis!$F$48:$F$53))</f>
        <v>320</v>
      </c>
      <c r="N29" s="101" t="n">
        <f aca="false">SUMPRODUCT((Hipótesis!$D$48:$D$53&lt;=12)*(Hipótesis!$B$48:$B$53)*(Hipótesis!$F$48:$F$53))</f>
        <v>320</v>
      </c>
      <c r="O29" s="101" t="n">
        <f aca="false">SUMPRODUCT((Hipótesis!$D$48:$D$53&lt;=13)*(Hipótesis!$B$48:$B$53)*(Hipótesis!$F$48:$F$53))</f>
        <v>320</v>
      </c>
      <c r="P29" s="101" t="n">
        <f aca="false">SUMPRODUCT((Hipótesis!$D$48:$D$53&lt;=14)*(Hipótesis!$B$48:$B$53)*(Hipótesis!$F$48:$F$53))</f>
        <v>320</v>
      </c>
      <c r="Q29" s="101" t="n">
        <f aca="false">SUMPRODUCT((Hipótesis!$D$48:$D$53&lt;=15)*(Hipótesis!$B$48:$B$53)*(Hipótesis!$F$48:$F$53))</f>
        <v>320</v>
      </c>
      <c r="R29" s="101" t="n">
        <f aca="false">SUMPRODUCT((Hipótesis!$D$48:$D$53&lt;=16)*(Hipótesis!$B$48:$B$53)*(Hipótesis!$F$48:$F$53))</f>
        <v>320</v>
      </c>
      <c r="S29" s="101" t="n">
        <f aca="false">SUMPRODUCT((Hipótesis!$D$48:$D$53&lt;=17)*(Hipótesis!$B$48:$B$53)*(Hipótesis!$F$48:$F$53))</f>
        <v>320</v>
      </c>
      <c r="T29" s="101" t="n">
        <f aca="false">SUMPRODUCT((Hipótesis!$D$48:$D$53&lt;=18)*(Hipótesis!$B$48:$B$53)*(Hipótesis!$F$48:$F$53))</f>
        <v>320</v>
      </c>
      <c r="U29" s="101" t="n">
        <f aca="false">SUMPRODUCT((Hipótesis!$D$48:$D$53&lt;=19)*(Hipótesis!$B$48:$B$53)*(Hipótesis!$F$48:$F$53))</f>
        <v>320</v>
      </c>
      <c r="V29" s="101" t="n">
        <f aca="false">SUMPRODUCT((Hipótesis!$D$48:$D$53&lt;=20)*(Hipótesis!$B$48:$B$53)*(Hipótesis!$F$48:$F$53))</f>
        <v>320</v>
      </c>
      <c r="W29" s="101" t="n">
        <f aca="false">SUMPRODUCT((Hipótesis!$D$48:$D$53&lt;=21)*(Hipótesis!$B$48:$B$53)*(Hipótesis!$F$48:$F$53))</f>
        <v>320</v>
      </c>
      <c r="X29" s="101" t="n">
        <f aca="false">SUMPRODUCT((Hipótesis!$D$48:$D$53&lt;=22)*(Hipótesis!$B$48:$B$53)*(Hipótesis!$F$48:$F$53))</f>
        <v>320</v>
      </c>
      <c r="Y29" s="101" t="n">
        <f aca="false">SUMPRODUCT((Hipótesis!$D$48:$D$53&lt;=23)*(Hipótesis!$B$48:$B$53)*(Hipótesis!$F$48:$F$53))</f>
        <v>320</v>
      </c>
      <c r="Z29" s="101" t="n">
        <f aca="false">SUMPRODUCT((Hipótesis!$D$48:$D$53&lt;=24)*(Hipótesis!$B$48:$B$53)*(Hipótesis!$F$48:$F$53))</f>
        <v>320</v>
      </c>
      <c r="AA29" s="101" t="n">
        <f aca="false">SUMPRODUCT((Hipótesis!$D$48:$D$53&lt;=25)*(Hipótesis!$B$48:$B$53)*(Hipótesis!$F$48:$F$53))</f>
        <v>320</v>
      </c>
      <c r="AB29" s="101" t="n">
        <f aca="false">SUMPRODUCT((Hipótesis!$D$48:$D$53&lt;=26)*(Hipótesis!$B$48:$B$53)*(Hipótesis!$F$48:$F$53))</f>
        <v>320</v>
      </c>
      <c r="AC29" s="101" t="n">
        <f aca="false">SUMPRODUCT((Hipótesis!$D$48:$D$53&lt;=27)*(Hipótesis!$B$48:$B$53)*(Hipótesis!$F$48:$F$53))</f>
        <v>320</v>
      </c>
      <c r="AD29" s="101" t="n">
        <f aca="false">SUMPRODUCT((Hipótesis!$D$48:$D$53&lt;=28)*(Hipótesis!$B$48:$B$53)*(Hipótesis!$F$48:$F$53))</f>
        <v>320</v>
      </c>
      <c r="AE29" s="101" t="n">
        <f aca="false">SUMPRODUCT((Hipótesis!$D$48:$D$53&lt;=29)*(Hipótesis!$B$48:$B$53)*(Hipótesis!$F$48:$F$53))</f>
        <v>320</v>
      </c>
      <c r="AF29" s="101" t="n">
        <f aca="false">SUMPRODUCT((Hipótesis!$D$48:$D$53&lt;=30)*(Hipótesis!$B$48:$B$53)*(Hipótesis!$F$48:$F$53))</f>
        <v>320</v>
      </c>
      <c r="AG29" s="101" t="n">
        <f aca="false">SUMPRODUCT((Hipótesis!$D$48:$D$53&lt;=31)*(Hipótesis!$B$48:$B$53)*(Hipótesis!$F$48:$F$53))</f>
        <v>320</v>
      </c>
      <c r="AH29" s="101" t="n">
        <f aca="false">SUMPRODUCT((Hipótesis!$D$48:$D$53&lt;=32)*(Hipótesis!$B$48:$B$53)*(Hipótesis!$F$48:$F$53))</f>
        <v>320</v>
      </c>
      <c r="AI29" s="101" t="n">
        <f aca="false">SUMPRODUCT((Hipótesis!$D$48:$D$53&lt;=33)*(Hipótesis!$B$48:$B$53)*(Hipótesis!$F$48:$F$53))</f>
        <v>320</v>
      </c>
      <c r="AJ29" s="101" t="n">
        <f aca="false">SUMPRODUCT((Hipótesis!$D$48:$D$53&lt;=34)*(Hipótesis!$B$48:$B$53)*(Hipótesis!$F$48:$F$53))</f>
        <v>320</v>
      </c>
      <c r="AK29" s="101" t="n">
        <f aca="false">SUMPRODUCT((Hipótesis!$D$48:$D$53&lt;=35)*(Hipótesis!$B$48:$B$53)*(Hipótesis!$F$48:$F$53))</f>
        <v>320</v>
      </c>
      <c r="AL29" s="101" t="n">
        <f aca="false">SUMPRODUCT((Hipótesis!$D$48:$D$53&lt;=36)*(Hipótesis!$B$48:$B$53)*(Hipótesis!$F$48:$F$53))</f>
        <v>320</v>
      </c>
      <c r="AM29" s="101" t="n">
        <f aca="false">SUMPRODUCT((Hipótesis!$D$48:$D$53&lt;=37)*(Hipótesis!$B$48:$B$53)*(Hipótesis!$F$48:$F$53))</f>
        <v>320</v>
      </c>
      <c r="AN29" s="101" t="n">
        <f aca="false">SUMPRODUCT((Hipótesis!$D$48:$D$53&lt;=38)*(Hipótesis!$B$48:$B$53)*(Hipótesis!$F$48:$F$53))</f>
        <v>320</v>
      </c>
      <c r="AO29" s="101" t="n">
        <f aca="false">SUMPRODUCT((Hipótesis!$D$48:$D$53&lt;=39)*(Hipótesis!$B$48:$B$53)*(Hipótesis!$F$48:$F$53))</f>
        <v>320</v>
      </c>
      <c r="AP29" s="101" t="n">
        <f aca="false">SUMPRODUCT((Hipótesis!$D$48:$D$53&lt;=40)*(Hipótesis!$B$48:$B$53)*(Hipótesis!$F$48:$F$53))</f>
        <v>320</v>
      </c>
      <c r="AQ29" s="101" t="n">
        <f aca="false">SUMPRODUCT((Hipótesis!$D$48:$D$53&lt;=41)*(Hipótesis!$B$48:$B$53)*(Hipótesis!$F$48:$F$53))</f>
        <v>320</v>
      </c>
      <c r="AR29" s="101" t="n">
        <f aca="false">SUMPRODUCT((Hipótesis!$D$48:$D$53&lt;=42)*(Hipótesis!$B$48:$B$53)*(Hipótesis!$F$48:$F$53))</f>
        <v>320</v>
      </c>
      <c r="AS29" s="101" t="n">
        <f aca="false">SUMPRODUCT((Hipótesis!$D$48:$D$53&lt;=43)*(Hipótesis!$B$48:$B$53)*(Hipótesis!$F$48:$F$53))</f>
        <v>320</v>
      </c>
      <c r="AT29" s="101" t="n">
        <f aca="false">SUMPRODUCT((Hipótesis!$D$48:$D$53&lt;=44)*(Hipótesis!$B$48:$B$53)*(Hipótesis!$F$48:$F$53))</f>
        <v>320</v>
      </c>
      <c r="AU29" s="101" t="n">
        <f aca="false">SUMPRODUCT((Hipótesis!$D$48:$D$53&lt;=45)*(Hipótesis!$B$48:$B$53)*(Hipótesis!$F$48:$F$53))</f>
        <v>320</v>
      </c>
      <c r="AV29" s="101" t="n">
        <f aca="false">SUMPRODUCT((Hipótesis!$D$48:$D$53&lt;=46)*(Hipótesis!$B$48:$B$53)*(Hipótesis!$F$48:$F$53))</f>
        <v>320</v>
      </c>
      <c r="AW29" s="101" t="n">
        <f aca="false">SUMPRODUCT((Hipótesis!$D$48:$D$53&lt;=47)*(Hipótesis!$B$48:$B$53)*(Hipótesis!$F$48:$F$53))</f>
        <v>320</v>
      </c>
      <c r="AX29" s="101" t="n">
        <f aca="false">SUMPRODUCT((Hipótesis!$D$48:$D$53&lt;=48)*(Hipótesis!$B$48:$B$53)*(Hipótesis!$F$48:$F$53))</f>
        <v>320</v>
      </c>
      <c r="AY29" s="101" t="n">
        <f aca="false">SUMPRODUCT((Hipótesis!$D$48:$D$53&lt;=49)*(Hipótesis!$B$48:$B$53)*(Hipótesis!$F$48:$F$53))</f>
        <v>320</v>
      </c>
      <c r="AZ29" s="101" t="n">
        <f aca="false">SUMPRODUCT((Hipótesis!$D$48:$D$53&lt;=50)*(Hipótesis!$B$48:$B$53)*(Hipótesis!$F$48:$F$53))</f>
        <v>320</v>
      </c>
      <c r="BA29" s="101" t="n">
        <f aca="false">SUMPRODUCT((Hipótesis!$D$48:$D$53&lt;=51)*(Hipótesis!$B$48:$B$53)*(Hipótesis!$F$48:$F$53))</f>
        <v>320</v>
      </c>
      <c r="BB29" s="101" t="n">
        <f aca="false">SUMPRODUCT((Hipótesis!$D$48:$D$53&lt;=52)*(Hipótesis!$B$48:$B$53)*(Hipótesis!$F$48:$F$53))</f>
        <v>320</v>
      </c>
      <c r="BC29" s="101" t="n">
        <f aca="false">SUMPRODUCT((Hipótesis!$D$48:$D$53&lt;=53)*(Hipótesis!$B$48:$B$53)*(Hipótesis!$F$48:$F$53))</f>
        <v>320</v>
      </c>
      <c r="BD29" s="101" t="n">
        <f aca="false">SUMPRODUCT((Hipótesis!$D$48:$D$53&lt;=54)*(Hipótesis!$B$48:$B$53)*(Hipótesis!$F$48:$F$53))</f>
        <v>320</v>
      </c>
      <c r="BE29" s="101" t="n">
        <f aca="false">SUMPRODUCT((Hipótesis!$D$48:$D$53&lt;=55)*(Hipótesis!$B$48:$B$53)*(Hipótesis!$F$48:$F$53))</f>
        <v>320</v>
      </c>
      <c r="BF29" s="101" t="n">
        <f aca="false">SUMPRODUCT((Hipótesis!$D$48:$D$53&lt;=56)*(Hipótesis!$B$48:$B$53)*(Hipótesis!$F$48:$F$53))</f>
        <v>320</v>
      </c>
      <c r="BG29" s="101" t="n">
        <f aca="false">SUMPRODUCT((Hipótesis!$D$48:$D$53&lt;=57)*(Hipótesis!$B$48:$B$53)*(Hipótesis!$F$48:$F$53))</f>
        <v>320</v>
      </c>
      <c r="BH29" s="101" t="n">
        <f aca="false">SUMPRODUCT((Hipótesis!$D$48:$D$53&lt;=58)*(Hipótesis!$B$48:$B$53)*(Hipótesis!$F$48:$F$53))</f>
        <v>320</v>
      </c>
      <c r="BI29" s="101" t="n">
        <f aca="false">SUMPRODUCT((Hipótesis!$D$48:$D$53&lt;=59)*(Hipótesis!$B$48:$B$53)*(Hipótesis!$F$48:$F$53))</f>
        <v>320</v>
      </c>
      <c r="BJ29" s="101" t="n">
        <f aca="false">SUMPRODUCT((Hipótesis!$D$48:$D$53&lt;=60)*(Hipótesis!$B$48:$B$53)*(Hipótesis!$F$48:$F$53))</f>
        <v>320</v>
      </c>
      <c r="BK29" s="101" t="n">
        <f aca="false">SUMPRODUCT((Hipótesis!$D$48:$D$53&lt;=61)*(Hipótesis!$B$48:$B$53)*(Hipótesis!$F$48:$F$53))</f>
        <v>320</v>
      </c>
      <c r="BL29" s="101" t="n">
        <f aca="false">SUMPRODUCT((Hipótesis!$D$48:$D$53&lt;=62)*(Hipótesis!$B$48:$B$53)*(Hipótesis!$F$48:$F$53))</f>
        <v>320</v>
      </c>
      <c r="BM29" s="101" t="n">
        <f aca="false">SUMPRODUCT((Hipótesis!$D$48:$D$53&lt;=63)*(Hipótesis!$B$48:$B$53)*(Hipótesis!$F$48:$F$53))</f>
        <v>320</v>
      </c>
      <c r="BN29" s="101" t="n">
        <f aca="false">SUMPRODUCT((Hipótesis!$D$48:$D$53&lt;=64)*(Hipótesis!$B$48:$B$53)*(Hipótesis!$F$48:$F$53))</f>
        <v>320</v>
      </c>
      <c r="BO29" s="101" t="n">
        <f aca="false">SUMPRODUCT((Hipótesis!$D$48:$D$53&lt;=65)*(Hipótesis!$B$48:$B$53)*(Hipótesis!$F$48:$F$53))</f>
        <v>320</v>
      </c>
      <c r="BP29" s="101" t="n">
        <f aca="false">SUMPRODUCT((Hipótesis!$D$48:$D$53&lt;=66)*(Hipótesis!$B$48:$B$53)*(Hipótesis!$F$48:$F$53))</f>
        <v>320</v>
      </c>
      <c r="BQ29" s="101" t="n">
        <f aca="false">SUMPRODUCT((Hipótesis!$D$48:$D$53&lt;=67)*(Hipótesis!$B$48:$B$53)*(Hipótesis!$F$48:$F$53))</f>
        <v>320</v>
      </c>
      <c r="BR29" s="101" t="n">
        <f aca="false">SUMPRODUCT((Hipótesis!$D$48:$D$53&lt;=68)*(Hipótesis!$B$48:$B$53)*(Hipótesis!$F$48:$F$53))</f>
        <v>320</v>
      </c>
      <c r="BS29" s="101" t="n">
        <f aca="false">SUMPRODUCT((Hipótesis!$D$48:$D$53&lt;=69)*(Hipótesis!$B$48:$B$53)*(Hipótesis!$F$48:$F$53))</f>
        <v>320</v>
      </c>
      <c r="BT29" s="101" t="n">
        <f aca="false">SUMPRODUCT((Hipótesis!$D$48:$D$53&lt;=70)*(Hipótesis!$B$48:$B$53)*(Hipótesis!$F$48:$F$53))</f>
        <v>320</v>
      </c>
      <c r="BU29" s="101" t="n">
        <f aca="false">SUMPRODUCT((Hipótesis!$D$48:$D$53&lt;=71)*(Hipótesis!$B$48:$B$53)*(Hipótesis!$F$48:$F$53))</f>
        <v>320</v>
      </c>
      <c r="BV29" s="101" t="n">
        <f aca="false">SUMPRODUCT((Hipótesis!$D$48:$D$53&lt;=72)*(Hipótesis!$B$48:$B$53)*(Hipótesis!$F$48:$F$53))</f>
        <v>320</v>
      </c>
      <c r="BW29" s="101" t="n">
        <f aca="false">SUMPRODUCT((Hipótesis!$D$48:$D$53&lt;=73)*(Hipótesis!$B$48:$B$53)*(Hipótesis!$F$48:$F$53))</f>
        <v>320</v>
      </c>
      <c r="BX29" s="101" t="n">
        <f aca="false">SUMPRODUCT((Hipótesis!$D$48:$D$53&lt;=74)*(Hipótesis!$B$48:$B$53)*(Hipótesis!$F$48:$F$53))</f>
        <v>320</v>
      </c>
      <c r="BY29" s="101" t="n">
        <f aca="false">SUMPRODUCT((Hipótesis!$D$48:$D$53&lt;=75)*(Hipótesis!$B$48:$B$53)*(Hipótesis!$F$48:$F$53))</f>
        <v>320</v>
      </c>
      <c r="BZ29" s="101" t="n">
        <f aca="false">SUMPRODUCT((Hipótesis!$D$48:$D$53&lt;=76)*(Hipótesis!$B$48:$B$53)*(Hipótesis!$F$48:$F$53))</f>
        <v>320</v>
      </c>
      <c r="CA29" s="101" t="n">
        <f aca="false">SUMPRODUCT((Hipótesis!$D$48:$D$53&lt;=77)*(Hipótesis!$B$48:$B$53)*(Hipótesis!$F$48:$F$53))</f>
        <v>320</v>
      </c>
      <c r="CB29" s="101" t="n">
        <f aca="false">SUMPRODUCT((Hipótesis!$D$48:$D$53&lt;=78)*(Hipótesis!$B$48:$B$53)*(Hipótesis!$F$48:$F$53))</f>
        <v>320</v>
      </c>
      <c r="CC29" s="101" t="n">
        <f aca="false">SUMPRODUCT((Hipótesis!$D$48:$D$53&lt;=79)*(Hipótesis!$B$48:$B$53)*(Hipótesis!$F$48:$F$53))</f>
        <v>320</v>
      </c>
      <c r="CD29" s="101" t="n">
        <f aca="false">SUMPRODUCT((Hipótesis!$D$48:$D$53&lt;=80)*(Hipótesis!$B$48:$B$53)*(Hipótesis!$F$48:$F$53))</f>
        <v>320</v>
      </c>
      <c r="CE29" s="101" t="n">
        <f aca="false">SUMPRODUCT((Hipótesis!$D$48:$D$53&lt;=81)*(Hipótesis!$B$48:$B$53)*(Hipótesis!$F$48:$F$53))</f>
        <v>320</v>
      </c>
      <c r="CF29" s="101" t="n">
        <f aca="false">SUMPRODUCT((Hipótesis!$D$48:$D$53&lt;=82)*(Hipótesis!$B$48:$B$53)*(Hipótesis!$F$48:$F$53))</f>
        <v>320</v>
      </c>
      <c r="CG29" s="101" t="n">
        <f aca="false">SUMPRODUCT((Hipótesis!$D$48:$D$53&lt;=83)*(Hipótesis!$B$48:$B$53)*(Hipótesis!$F$48:$F$53))</f>
        <v>320</v>
      </c>
      <c r="CH29" s="101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22" t="s">
        <v>508</v>
      </c>
      <c r="C30" s="101" t="n">
        <f aca="false">ROUNDUP(MAX(0,C28-C29)/Hipótesis!$D$63,0)</f>
        <v>0</v>
      </c>
      <c r="D30" s="101" t="n">
        <f aca="false">ROUNDUP(MAX(0,D28-D29)/Hipótesis!$D$63,0)</f>
        <v>0</v>
      </c>
      <c r="E30" s="101" t="n">
        <f aca="false">ROUNDUP(MAX(0,E28-E29)/Hipótesis!$D$63,0)</f>
        <v>0</v>
      </c>
      <c r="F30" s="101" t="n">
        <f aca="false">ROUNDUP(MAX(0,F28-F29)/Hipótesis!$D$63,0)</f>
        <v>0</v>
      </c>
      <c r="G30" s="101" t="n">
        <f aca="false">ROUNDUP(MAX(0,G28-G29)/Hipótesis!$D$63,0)</f>
        <v>0</v>
      </c>
      <c r="H30" s="101" t="n">
        <f aca="false">ROUNDUP(MAX(0,H28-H29)/Hipótesis!$D$63,0)</f>
        <v>0</v>
      </c>
      <c r="I30" s="101" t="n">
        <f aca="false">ROUNDUP(MAX(0,I28-I29)/Hipótesis!$D$63,0)</f>
        <v>0</v>
      </c>
      <c r="J30" s="101" t="n">
        <f aca="false">ROUNDUP(MAX(0,J28-J29)/Hipótesis!$D$63,0)</f>
        <v>0</v>
      </c>
      <c r="K30" s="101" t="n">
        <f aca="false">ROUNDUP(MAX(0,K28-K29)/Hipótesis!$D$63,0)</f>
        <v>0</v>
      </c>
      <c r="L30" s="101" t="n">
        <f aca="false">ROUNDUP(MAX(0,L28-L29)/Hipótesis!$D$63,0)</f>
        <v>0</v>
      </c>
      <c r="M30" s="101" t="n">
        <f aca="false">ROUNDUP(MAX(0,M28-M29)/Hipótesis!$D$63,0)</f>
        <v>1</v>
      </c>
      <c r="N30" s="101" t="n">
        <f aca="false">ROUNDUP(MAX(0,N28-N29)/Hipótesis!$D$63,0)</f>
        <v>1</v>
      </c>
      <c r="O30" s="101" t="n">
        <f aca="false">ROUNDUP(MAX(0,O28-O29)/Hipótesis!$D$63,0)</f>
        <v>1</v>
      </c>
      <c r="P30" s="101" t="n">
        <f aca="false">ROUNDUP(MAX(0,P28-P29)/Hipótesis!$D$63,0)</f>
        <v>1</v>
      </c>
      <c r="Q30" s="101" t="n">
        <f aca="false">ROUNDUP(MAX(0,Q28-Q29)/Hipótesis!$D$63,0)</f>
        <v>2</v>
      </c>
      <c r="R30" s="101" t="n">
        <f aca="false">ROUNDUP(MAX(0,R28-R29)/Hipótesis!$D$63,0)</f>
        <v>2</v>
      </c>
      <c r="S30" s="101" t="n">
        <f aca="false">ROUNDUP(MAX(0,S28-S29)/Hipótesis!$D$63,0)</f>
        <v>2</v>
      </c>
      <c r="T30" s="101" t="n">
        <f aca="false">ROUNDUP(MAX(0,T28-T29)/Hipótesis!$D$63,0)</f>
        <v>3</v>
      </c>
      <c r="U30" s="101" t="n">
        <f aca="false">ROUNDUP(MAX(0,U28-U29)/Hipótesis!$D$63,0)</f>
        <v>3</v>
      </c>
      <c r="V30" s="101" t="n">
        <f aca="false">ROUNDUP(MAX(0,V28-V29)/Hipótesis!$D$63,0)</f>
        <v>3</v>
      </c>
      <c r="W30" s="101" t="n">
        <f aca="false">ROUNDUP(MAX(0,W28-W29)/Hipótesis!$D$63,0)</f>
        <v>3</v>
      </c>
      <c r="X30" s="101" t="n">
        <f aca="false">ROUNDUP(MAX(0,X28-X29)/Hipótesis!$D$63,0)</f>
        <v>4</v>
      </c>
      <c r="Y30" s="101" t="n">
        <f aca="false">ROUNDUP(MAX(0,Y28-Y29)/Hipótesis!$D$63,0)</f>
        <v>4</v>
      </c>
      <c r="Z30" s="101" t="n">
        <f aca="false">ROUNDUP(MAX(0,Z28-Z29)/Hipótesis!$D$63,0)</f>
        <v>4</v>
      </c>
      <c r="AA30" s="101" t="n">
        <f aca="false">ROUNDUP(MAX(0,AA28-AA29)/Hipótesis!$D$63,0)</f>
        <v>4</v>
      </c>
      <c r="AB30" s="101" t="n">
        <f aca="false">ROUNDUP(MAX(0,AB28-AB29)/Hipótesis!$D$63,0)</f>
        <v>4</v>
      </c>
      <c r="AC30" s="101" t="n">
        <f aca="false">ROUNDUP(MAX(0,AC28-AC29)/Hipótesis!$D$63,0)</f>
        <v>4</v>
      </c>
      <c r="AD30" s="101" t="n">
        <f aca="false">ROUNDUP(MAX(0,AD28-AD29)/Hipótesis!$D$63,0)</f>
        <v>4</v>
      </c>
      <c r="AE30" s="101" t="n">
        <f aca="false">ROUNDUP(MAX(0,AE28-AE29)/Hipótesis!$D$63,0)</f>
        <v>5</v>
      </c>
      <c r="AF30" s="101" t="n">
        <f aca="false">ROUNDUP(MAX(0,AF28-AF29)/Hipótesis!$D$63,0)</f>
        <v>5</v>
      </c>
      <c r="AG30" s="101" t="n">
        <f aca="false">ROUNDUP(MAX(0,AG28-AG29)/Hipótesis!$D$63,0)</f>
        <v>5</v>
      </c>
      <c r="AH30" s="101" t="n">
        <f aca="false">ROUNDUP(MAX(0,AH28-AH29)/Hipótesis!$D$63,0)</f>
        <v>5</v>
      </c>
      <c r="AI30" s="101" t="n">
        <f aca="false">ROUNDUP(MAX(0,AI28-AI29)/Hipótesis!$D$63,0)</f>
        <v>5</v>
      </c>
      <c r="AJ30" s="101" t="n">
        <f aca="false">ROUNDUP(MAX(0,AJ28-AJ29)/Hipótesis!$D$63,0)</f>
        <v>5</v>
      </c>
      <c r="AK30" s="101" t="n">
        <f aca="false">ROUNDUP(MAX(0,AK28-AK29)/Hipótesis!$D$63,0)</f>
        <v>5</v>
      </c>
      <c r="AL30" s="101" t="n">
        <f aca="false">ROUNDUP(MAX(0,AL28-AL29)/Hipótesis!$D$63,0)</f>
        <v>5</v>
      </c>
      <c r="AM30" s="101" t="n">
        <f aca="false">ROUNDUP(MAX(0,AM28-AM29)/Hipótesis!$D$63,0)</f>
        <v>6</v>
      </c>
      <c r="AN30" s="101" t="n">
        <f aca="false">ROUNDUP(MAX(0,AN28-AN29)/Hipótesis!$D$63,0)</f>
        <v>6</v>
      </c>
      <c r="AO30" s="101" t="n">
        <f aca="false">ROUNDUP(MAX(0,AO28-AO29)/Hipótesis!$D$63,0)</f>
        <v>6</v>
      </c>
      <c r="AP30" s="101" t="n">
        <f aca="false">ROUNDUP(MAX(0,AP28-AP29)/Hipótesis!$D$63,0)</f>
        <v>6</v>
      </c>
      <c r="AQ30" s="101" t="n">
        <f aca="false">ROUNDUP(MAX(0,AQ28-AQ29)/Hipótesis!$D$63,0)</f>
        <v>6</v>
      </c>
      <c r="AR30" s="101" t="n">
        <f aca="false">ROUNDUP(MAX(0,AR28-AR29)/Hipótesis!$D$63,0)</f>
        <v>6</v>
      </c>
      <c r="AS30" s="101" t="n">
        <f aca="false">ROUNDUP(MAX(0,AS28-AS29)/Hipótesis!$D$63,0)</f>
        <v>6</v>
      </c>
      <c r="AT30" s="101" t="n">
        <f aca="false">ROUNDUP(MAX(0,AT28-AT29)/Hipótesis!$D$63,0)</f>
        <v>6</v>
      </c>
      <c r="AU30" s="101" t="n">
        <f aca="false">ROUNDUP(MAX(0,AU28-AU29)/Hipótesis!$D$63,0)</f>
        <v>6</v>
      </c>
      <c r="AV30" s="101" t="n">
        <f aca="false">ROUNDUP(MAX(0,AV28-AV29)/Hipótesis!$D$63,0)</f>
        <v>6</v>
      </c>
      <c r="AW30" s="101" t="n">
        <f aca="false">ROUNDUP(MAX(0,AW28-AW29)/Hipótesis!$D$63,0)</f>
        <v>6</v>
      </c>
      <c r="AX30" s="101" t="n">
        <f aca="false">ROUNDUP(MAX(0,AX28-AX29)/Hipótesis!$D$63,0)</f>
        <v>6</v>
      </c>
      <c r="AY30" s="101" t="n">
        <f aca="false">ROUNDUP(MAX(0,AY28-AY29)/Hipótesis!$D$63,0)</f>
        <v>6</v>
      </c>
      <c r="AZ30" s="101" t="n">
        <f aca="false">ROUNDUP(MAX(0,AZ28-AZ29)/Hipótesis!$D$63,0)</f>
        <v>6</v>
      </c>
      <c r="BA30" s="101" t="n">
        <f aca="false">ROUNDUP(MAX(0,BA28-BA29)/Hipótesis!$D$63,0)</f>
        <v>6</v>
      </c>
      <c r="BB30" s="101" t="n">
        <f aca="false">ROUNDUP(MAX(0,BB28-BB29)/Hipótesis!$D$63,0)</f>
        <v>6</v>
      </c>
      <c r="BC30" s="101" t="n">
        <f aca="false">ROUNDUP(MAX(0,BC28-BC29)/Hipótesis!$D$63,0)</f>
        <v>6</v>
      </c>
      <c r="BD30" s="101" t="n">
        <f aca="false">ROUNDUP(MAX(0,BD28-BD29)/Hipótesis!$D$63,0)</f>
        <v>6</v>
      </c>
      <c r="BE30" s="101" t="n">
        <f aca="false">ROUNDUP(MAX(0,BE28-BE29)/Hipótesis!$D$63,0)</f>
        <v>6</v>
      </c>
      <c r="BF30" s="101" t="n">
        <f aca="false">ROUNDUP(MAX(0,BF28-BF29)/Hipótesis!$D$63,0)</f>
        <v>6</v>
      </c>
      <c r="BG30" s="101" t="n">
        <f aca="false">ROUNDUP(MAX(0,BG28-BG29)/Hipótesis!$D$63,0)</f>
        <v>6</v>
      </c>
      <c r="BH30" s="101" t="n">
        <f aca="false">ROUNDUP(MAX(0,BH28-BH29)/Hipótesis!$D$63,0)</f>
        <v>6</v>
      </c>
      <c r="BI30" s="101" t="n">
        <f aca="false">ROUNDUP(MAX(0,BI28-BI29)/Hipótesis!$D$63,0)</f>
        <v>6</v>
      </c>
      <c r="BJ30" s="101" t="n">
        <f aca="false">ROUNDUP(MAX(0,BJ28-BJ29)/Hipótesis!$D$63,0)</f>
        <v>6</v>
      </c>
      <c r="BK30" s="101" t="n">
        <f aca="false">ROUNDUP(MAX(0,BK28-BK29)/Hipótesis!$D$63,0)</f>
        <v>6</v>
      </c>
      <c r="BL30" s="101" t="n">
        <f aca="false">ROUNDUP(MAX(0,BL28-BL29)/Hipótesis!$D$63,0)</f>
        <v>6</v>
      </c>
      <c r="BM30" s="101" t="n">
        <f aca="false">ROUNDUP(MAX(0,BM28-BM29)/Hipótesis!$D$63,0)</f>
        <v>6</v>
      </c>
      <c r="BN30" s="101" t="n">
        <f aca="false">ROUNDUP(MAX(0,BN28-BN29)/Hipótesis!$D$63,0)</f>
        <v>6</v>
      </c>
      <c r="BO30" s="101" t="n">
        <f aca="false">ROUNDUP(MAX(0,BO28-BO29)/Hipótesis!$D$63,0)</f>
        <v>6</v>
      </c>
      <c r="BP30" s="101" t="n">
        <f aca="false">ROUNDUP(MAX(0,BP28-BP29)/Hipótesis!$D$63,0)</f>
        <v>6</v>
      </c>
      <c r="BQ30" s="101" t="n">
        <f aca="false">ROUNDUP(MAX(0,BQ28-BQ29)/Hipótesis!$D$63,0)</f>
        <v>6</v>
      </c>
      <c r="BR30" s="101" t="n">
        <f aca="false">ROUNDUP(MAX(0,BR28-BR29)/Hipótesis!$D$63,0)</f>
        <v>6</v>
      </c>
      <c r="BS30" s="101" t="n">
        <f aca="false">ROUNDUP(MAX(0,BS28-BS29)/Hipótesis!$D$63,0)</f>
        <v>6</v>
      </c>
      <c r="BT30" s="101" t="n">
        <f aca="false">ROUNDUP(MAX(0,BT28-BT29)/Hipótesis!$D$63,0)</f>
        <v>6</v>
      </c>
      <c r="BU30" s="101" t="n">
        <f aca="false">ROUNDUP(MAX(0,BU28-BU29)/Hipótesis!$D$63,0)</f>
        <v>6</v>
      </c>
      <c r="BV30" s="101" t="n">
        <f aca="false">ROUNDUP(MAX(0,BV28-BV29)/Hipótesis!$D$63,0)</f>
        <v>6</v>
      </c>
      <c r="BW30" s="101" t="n">
        <f aca="false">ROUNDUP(MAX(0,BW28-BW29)/Hipótesis!$D$63,0)</f>
        <v>6</v>
      </c>
      <c r="BX30" s="101" t="n">
        <f aca="false">ROUNDUP(MAX(0,BX28-BX29)/Hipótesis!$D$63,0)</f>
        <v>6</v>
      </c>
      <c r="BY30" s="101" t="n">
        <f aca="false">ROUNDUP(MAX(0,BY28-BY29)/Hipótesis!$D$63,0)</f>
        <v>6</v>
      </c>
      <c r="BZ30" s="101" t="n">
        <f aca="false">ROUNDUP(MAX(0,BZ28-BZ29)/Hipótesis!$D$63,0)</f>
        <v>6</v>
      </c>
      <c r="CA30" s="101" t="n">
        <f aca="false">ROUNDUP(MAX(0,CA28-CA29)/Hipótesis!$D$63,0)</f>
        <v>6</v>
      </c>
      <c r="CB30" s="101" t="n">
        <f aca="false">ROUNDUP(MAX(0,CB28-CB29)/Hipótesis!$D$63,0)</f>
        <v>6</v>
      </c>
      <c r="CC30" s="101" t="n">
        <f aca="false">ROUNDUP(MAX(0,CC28-CC29)/Hipótesis!$D$63,0)</f>
        <v>6</v>
      </c>
      <c r="CD30" s="101" t="n">
        <f aca="false">ROUNDUP(MAX(0,CD28-CD29)/Hipótesis!$D$63,0)</f>
        <v>6</v>
      </c>
      <c r="CE30" s="101" t="n">
        <f aca="false">ROUNDUP(MAX(0,CE28-CE29)/Hipótesis!$D$63,0)</f>
        <v>6</v>
      </c>
      <c r="CF30" s="101" t="n">
        <f aca="false">ROUNDUP(MAX(0,CF28-CF29)/Hipótesis!$D$63,0)</f>
        <v>6</v>
      </c>
      <c r="CG30" s="101" t="n">
        <f aca="false">ROUNDUP(MAX(0,CG28-CG29)/Hipótesis!$D$63,0)</f>
        <v>6</v>
      </c>
      <c r="CH30" s="101" t="n">
        <f aca="false">ROUNDUP(MAX(0,CH28-CH29)/Hipótesis!$D$63,0)</f>
        <v>6</v>
      </c>
    </row>
    <row r="31" customFormat="false" ht="13.5" hidden="false" customHeight="true" outlineLevel="0" collapsed="false">
      <c r="A31" s="22" t="s">
        <v>509</v>
      </c>
      <c r="C31" s="101" t="n">
        <f aca="false">SUMPRODUCT((Hipótesis!$D$48:$D$53&lt;=1)*(Hipótesis!$B$48:$B$53))+C30</f>
        <v>4</v>
      </c>
      <c r="D31" s="101" t="n">
        <f aca="false">SUMPRODUCT((Hipótesis!$D$48:$D$53&lt;=2)*(Hipótesis!$B$48:$B$53))+D30</f>
        <v>4</v>
      </c>
      <c r="E31" s="101" t="n">
        <f aca="false">SUMPRODUCT((Hipótesis!$D$48:$D$53&lt;=3)*(Hipótesis!$B$48:$B$53))+E30</f>
        <v>4</v>
      </c>
      <c r="F31" s="101" t="n">
        <f aca="false">SUMPRODUCT((Hipótesis!$D$48:$D$53&lt;=4)*(Hipótesis!$B$48:$B$53))+F30</f>
        <v>4</v>
      </c>
      <c r="G31" s="101" t="n">
        <f aca="false">SUMPRODUCT((Hipótesis!$D$48:$D$53&lt;=5)*(Hipótesis!$B$48:$B$53))+G30</f>
        <v>4</v>
      </c>
      <c r="H31" s="101" t="n">
        <f aca="false">SUMPRODUCT((Hipótesis!$D$48:$D$53&lt;=6)*(Hipótesis!$B$48:$B$53))+H30</f>
        <v>4</v>
      </c>
      <c r="I31" s="101" t="n">
        <f aca="false">SUMPRODUCT((Hipótesis!$D$48:$D$53&lt;=7)*(Hipótesis!$B$48:$B$53))+I30</f>
        <v>4</v>
      </c>
      <c r="J31" s="101" t="n">
        <f aca="false">SUMPRODUCT((Hipótesis!$D$48:$D$53&lt;=8)*(Hipótesis!$B$48:$B$53))+J30</f>
        <v>4</v>
      </c>
      <c r="K31" s="101" t="n">
        <f aca="false">SUMPRODUCT((Hipótesis!$D$48:$D$53&lt;=9)*(Hipótesis!$B$48:$B$53))+K30</f>
        <v>4</v>
      </c>
      <c r="L31" s="101" t="n">
        <f aca="false">SUMPRODUCT((Hipótesis!$D$48:$D$53&lt;=10)*(Hipótesis!$B$48:$B$53))+L30</f>
        <v>4</v>
      </c>
      <c r="M31" s="101" t="n">
        <f aca="false">SUMPRODUCT((Hipótesis!$D$48:$D$53&lt;=11)*(Hipótesis!$B$48:$B$53))+M30</f>
        <v>5</v>
      </c>
      <c r="N31" s="101" t="n">
        <f aca="false">SUMPRODUCT((Hipótesis!$D$48:$D$53&lt;=12)*(Hipótesis!$B$48:$B$53))+N30</f>
        <v>5</v>
      </c>
      <c r="O31" s="101" t="n">
        <f aca="false">SUMPRODUCT((Hipótesis!$D$48:$D$53&lt;=13)*(Hipótesis!$B$48:$B$53))+O30</f>
        <v>5</v>
      </c>
      <c r="P31" s="101" t="n">
        <f aca="false">SUMPRODUCT((Hipótesis!$D$48:$D$53&lt;=14)*(Hipótesis!$B$48:$B$53))+P30</f>
        <v>5</v>
      </c>
      <c r="Q31" s="101" t="n">
        <f aca="false">SUMPRODUCT((Hipótesis!$D$48:$D$53&lt;=15)*(Hipótesis!$B$48:$B$53))+Q30</f>
        <v>6</v>
      </c>
      <c r="R31" s="101" t="n">
        <f aca="false">SUMPRODUCT((Hipótesis!$D$48:$D$53&lt;=16)*(Hipótesis!$B$48:$B$53))+R30</f>
        <v>6</v>
      </c>
      <c r="S31" s="101" t="n">
        <f aca="false">SUMPRODUCT((Hipótesis!$D$48:$D$53&lt;=17)*(Hipótesis!$B$48:$B$53))+S30</f>
        <v>6</v>
      </c>
      <c r="T31" s="101" t="n">
        <f aca="false">SUMPRODUCT((Hipótesis!$D$48:$D$53&lt;=18)*(Hipótesis!$B$48:$B$53))+T30</f>
        <v>7</v>
      </c>
      <c r="U31" s="101" t="n">
        <f aca="false">SUMPRODUCT((Hipótesis!$D$48:$D$53&lt;=19)*(Hipótesis!$B$48:$B$53))+U30</f>
        <v>7</v>
      </c>
      <c r="V31" s="101" t="n">
        <f aca="false">SUMPRODUCT((Hipótesis!$D$48:$D$53&lt;=20)*(Hipótesis!$B$48:$B$53))+V30</f>
        <v>8</v>
      </c>
      <c r="W31" s="101" t="n">
        <f aca="false">SUMPRODUCT((Hipótesis!$D$48:$D$53&lt;=21)*(Hipótesis!$B$48:$B$53))+W30</f>
        <v>8</v>
      </c>
      <c r="X31" s="101" t="n">
        <f aca="false">SUMPRODUCT((Hipótesis!$D$48:$D$53&lt;=22)*(Hipótesis!$B$48:$B$53))+X30</f>
        <v>9</v>
      </c>
      <c r="Y31" s="101" t="n">
        <f aca="false">SUMPRODUCT((Hipótesis!$D$48:$D$53&lt;=23)*(Hipótesis!$B$48:$B$53))+Y30</f>
        <v>9</v>
      </c>
      <c r="Z31" s="101" t="n">
        <f aca="false">SUMPRODUCT((Hipótesis!$D$48:$D$53&lt;=24)*(Hipótesis!$B$48:$B$53))+Z30</f>
        <v>9</v>
      </c>
      <c r="AA31" s="101" t="n">
        <f aca="false">SUMPRODUCT((Hipótesis!$D$48:$D$53&lt;=25)*(Hipótesis!$B$48:$B$53))+AA30</f>
        <v>9</v>
      </c>
      <c r="AB31" s="101" t="n">
        <f aca="false">SUMPRODUCT((Hipótesis!$D$48:$D$53&lt;=26)*(Hipótesis!$B$48:$B$53))+AB30</f>
        <v>9</v>
      </c>
      <c r="AC31" s="101" t="n">
        <f aca="false">SUMPRODUCT((Hipótesis!$D$48:$D$53&lt;=27)*(Hipótesis!$B$48:$B$53))+AC30</f>
        <v>9</v>
      </c>
      <c r="AD31" s="101" t="n">
        <f aca="false">SUMPRODUCT((Hipótesis!$D$48:$D$53&lt;=28)*(Hipótesis!$B$48:$B$53))+AD30</f>
        <v>9</v>
      </c>
      <c r="AE31" s="101" t="n">
        <f aca="false">SUMPRODUCT((Hipótesis!$D$48:$D$53&lt;=29)*(Hipótesis!$B$48:$B$53))+AE30</f>
        <v>10</v>
      </c>
      <c r="AF31" s="101" t="n">
        <f aca="false">SUMPRODUCT((Hipótesis!$D$48:$D$53&lt;=30)*(Hipótesis!$B$48:$B$53))+AF30</f>
        <v>10</v>
      </c>
      <c r="AG31" s="101" t="n">
        <f aca="false">SUMPRODUCT((Hipótesis!$D$48:$D$53&lt;=31)*(Hipótesis!$B$48:$B$53))+AG30</f>
        <v>10</v>
      </c>
      <c r="AH31" s="101" t="n">
        <f aca="false">SUMPRODUCT((Hipótesis!$D$48:$D$53&lt;=32)*(Hipótesis!$B$48:$B$53))+AH30</f>
        <v>10</v>
      </c>
      <c r="AI31" s="101" t="n">
        <f aca="false">SUMPRODUCT((Hipótesis!$D$48:$D$53&lt;=33)*(Hipótesis!$B$48:$B$53))+AI30</f>
        <v>10</v>
      </c>
      <c r="AJ31" s="101" t="n">
        <f aca="false">SUMPRODUCT((Hipótesis!$D$48:$D$53&lt;=34)*(Hipótesis!$B$48:$B$53))+AJ30</f>
        <v>10</v>
      </c>
      <c r="AK31" s="101" t="n">
        <f aca="false">SUMPRODUCT((Hipótesis!$D$48:$D$53&lt;=35)*(Hipótesis!$B$48:$B$53))+AK30</f>
        <v>10</v>
      </c>
      <c r="AL31" s="101" t="n">
        <f aca="false">SUMPRODUCT((Hipótesis!$D$48:$D$53&lt;=36)*(Hipótesis!$B$48:$B$53))+AL30</f>
        <v>10</v>
      </c>
      <c r="AM31" s="101" t="n">
        <f aca="false">SUMPRODUCT((Hipótesis!$D$48:$D$53&lt;=37)*(Hipótesis!$B$48:$B$53))+AM30</f>
        <v>11</v>
      </c>
      <c r="AN31" s="101" t="n">
        <f aca="false">SUMPRODUCT((Hipótesis!$D$48:$D$53&lt;=38)*(Hipótesis!$B$48:$B$53))+AN30</f>
        <v>11</v>
      </c>
      <c r="AO31" s="101" t="n">
        <f aca="false">SUMPRODUCT((Hipótesis!$D$48:$D$53&lt;=39)*(Hipótesis!$B$48:$B$53))+AO30</f>
        <v>11</v>
      </c>
      <c r="AP31" s="101" t="n">
        <f aca="false">SUMPRODUCT((Hipótesis!$D$48:$D$53&lt;=40)*(Hipótesis!$B$48:$B$53))+AP30</f>
        <v>11</v>
      </c>
      <c r="AQ31" s="101" t="n">
        <f aca="false">SUMPRODUCT((Hipótesis!$D$48:$D$53&lt;=41)*(Hipótesis!$B$48:$B$53))+AQ30</f>
        <v>11</v>
      </c>
      <c r="AR31" s="101" t="n">
        <f aca="false">SUMPRODUCT((Hipótesis!$D$48:$D$53&lt;=42)*(Hipótesis!$B$48:$B$53))+AR30</f>
        <v>11</v>
      </c>
      <c r="AS31" s="101" t="n">
        <f aca="false">SUMPRODUCT((Hipótesis!$D$48:$D$53&lt;=43)*(Hipótesis!$B$48:$B$53))+AS30</f>
        <v>11</v>
      </c>
      <c r="AT31" s="101" t="n">
        <f aca="false">SUMPRODUCT((Hipótesis!$D$48:$D$53&lt;=44)*(Hipótesis!$B$48:$B$53))+AT30</f>
        <v>11</v>
      </c>
      <c r="AU31" s="101" t="n">
        <f aca="false">SUMPRODUCT((Hipótesis!$D$48:$D$53&lt;=45)*(Hipótesis!$B$48:$B$53))+AU30</f>
        <v>11</v>
      </c>
      <c r="AV31" s="101" t="n">
        <f aca="false">SUMPRODUCT((Hipótesis!$D$48:$D$53&lt;=46)*(Hipótesis!$B$48:$B$53))+AV30</f>
        <v>11</v>
      </c>
      <c r="AW31" s="101" t="n">
        <f aca="false">SUMPRODUCT((Hipótesis!$D$48:$D$53&lt;=47)*(Hipótesis!$B$48:$B$53))+AW30</f>
        <v>11</v>
      </c>
      <c r="AX31" s="101" t="n">
        <f aca="false">SUMPRODUCT((Hipótesis!$D$48:$D$53&lt;=48)*(Hipótesis!$B$48:$B$53))+AX30</f>
        <v>11</v>
      </c>
      <c r="AY31" s="101" t="n">
        <f aca="false">SUMPRODUCT((Hipótesis!$D$48:$D$53&lt;=49)*(Hipótesis!$B$48:$B$53))+AY30</f>
        <v>11</v>
      </c>
      <c r="AZ31" s="101" t="n">
        <f aca="false">SUMPRODUCT((Hipótesis!$D$48:$D$53&lt;=50)*(Hipótesis!$B$48:$B$53))+AZ30</f>
        <v>11</v>
      </c>
      <c r="BA31" s="101" t="n">
        <f aca="false">SUMPRODUCT((Hipótesis!$D$48:$D$53&lt;=51)*(Hipótesis!$B$48:$B$53))+BA30</f>
        <v>11</v>
      </c>
      <c r="BB31" s="101" t="n">
        <f aca="false">SUMPRODUCT((Hipótesis!$D$48:$D$53&lt;=52)*(Hipótesis!$B$48:$B$53))+BB30</f>
        <v>11</v>
      </c>
      <c r="BC31" s="101" t="n">
        <f aca="false">SUMPRODUCT((Hipótesis!$D$48:$D$53&lt;=53)*(Hipótesis!$B$48:$B$53))+BC30</f>
        <v>11</v>
      </c>
      <c r="BD31" s="101" t="n">
        <f aca="false">SUMPRODUCT((Hipótesis!$D$48:$D$53&lt;=54)*(Hipótesis!$B$48:$B$53))+BD30</f>
        <v>11</v>
      </c>
      <c r="BE31" s="101" t="n">
        <f aca="false">SUMPRODUCT((Hipótesis!$D$48:$D$53&lt;=55)*(Hipótesis!$B$48:$B$53))+BE30</f>
        <v>11</v>
      </c>
      <c r="BF31" s="101" t="n">
        <f aca="false">SUMPRODUCT((Hipótesis!$D$48:$D$53&lt;=56)*(Hipótesis!$B$48:$B$53))+BF30</f>
        <v>11</v>
      </c>
      <c r="BG31" s="101" t="n">
        <f aca="false">SUMPRODUCT((Hipótesis!$D$48:$D$53&lt;=57)*(Hipótesis!$B$48:$B$53))+BG30</f>
        <v>11</v>
      </c>
      <c r="BH31" s="101" t="n">
        <f aca="false">SUMPRODUCT((Hipótesis!$D$48:$D$53&lt;=58)*(Hipótesis!$B$48:$B$53))+BH30</f>
        <v>11</v>
      </c>
      <c r="BI31" s="101" t="n">
        <f aca="false">SUMPRODUCT((Hipótesis!$D$48:$D$53&lt;=59)*(Hipótesis!$B$48:$B$53))+BI30</f>
        <v>11</v>
      </c>
      <c r="BJ31" s="101" t="n">
        <f aca="false">SUMPRODUCT((Hipótesis!$D$48:$D$53&lt;=60)*(Hipótesis!$B$48:$B$53))+BJ30</f>
        <v>11</v>
      </c>
      <c r="BK31" s="101" t="n">
        <f aca="false">SUMPRODUCT((Hipótesis!$D$48:$D$53&lt;=61)*(Hipótesis!$B$48:$B$53))+BK30</f>
        <v>11</v>
      </c>
      <c r="BL31" s="101" t="n">
        <f aca="false">SUMPRODUCT((Hipótesis!$D$48:$D$53&lt;=62)*(Hipótesis!$B$48:$B$53))+BL30</f>
        <v>11</v>
      </c>
      <c r="BM31" s="101" t="n">
        <f aca="false">SUMPRODUCT((Hipótesis!$D$48:$D$53&lt;=63)*(Hipótesis!$B$48:$B$53))+BM30</f>
        <v>11</v>
      </c>
      <c r="BN31" s="101" t="n">
        <f aca="false">SUMPRODUCT((Hipótesis!$D$48:$D$53&lt;=64)*(Hipótesis!$B$48:$B$53))+BN30</f>
        <v>11</v>
      </c>
      <c r="BO31" s="101" t="n">
        <f aca="false">SUMPRODUCT((Hipótesis!$D$48:$D$53&lt;=65)*(Hipótesis!$B$48:$B$53))+BO30</f>
        <v>11</v>
      </c>
      <c r="BP31" s="101" t="n">
        <f aca="false">SUMPRODUCT((Hipótesis!$D$48:$D$53&lt;=66)*(Hipótesis!$B$48:$B$53))+BP30</f>
        <v>11</v>
      </c>
      <c r="BQ31" s="101" t="n">
        <f aca="false">SUMPRODUCT((Hipótesis!$D$48:$D$53&lt;=67)*(Hipótesis!$B$48:$B$53))+BQ30</f>
        <v>11</v>
      </c>
      <c r="BR31" s="101" t="n">
        <f aca="false">SUMPRODUCT((Hipótesis!$D$48:$D$53&lt;=68)*(Hipótesis!$B$48:$B$53))+BR30</f>
        <v>11</v>
      </c>
      <c r="BS31" s="101" t="n">
        <f aca="false">SUMPRODUCT((Hipótesis!$D$48:$D$53&lt;=69)*(Hipótesis!$B$48:$B$53))+BS30</f>
        <v>11</v>
      </c>
      <c r="BT31" s="101" t="n">
        <f aca="false">SUMPRODUCT((Hipótesis!$D$48:$D$53&lt;=70)*(Hipótesis!$B$48:$B$53))+BT30</f>
        <v>11</v>
      </c>
      <c r="BU31" s="101" t="n">
        <f aca="false">SUMPRODUCT((Hipótesis!$D$48:$D$53&lt;=71)*(Hipótesis!$B$48:$B$53))+BU30</f>
        <v>11</v>
      </c>
      <c r="BV31" s="101" t="n">
        <f aca="false">SUMPRODUCT((Hipótesis!$D$48:$D$53&lt;=72)*(Hipótesis!$B$48:$B$53))+BV30</f>
        <v>11</v>
      </c>
      <c r="BW31" s="101" t="n">
        <f aca="false">SUMPRODUCT((Hipótesis!$D$48:$D$53&lt;=73)*(Hipótesis!$B$48:$B$53))+BW30</f>
        <v>11</v>
      </c>
      <c r="BX31" s="101" t="n">
        <f aca="false">SUMPRODUCT((Hipótesis!$D$48:$D$53&lt;=74)*(Hipótesis!$B$48:$B$53))+BX30</f>
        <v>11</v>
      </c>
      <c r="BY31" s="101" t="n">
        <f aca="false">SUMPRODUCT((Hipótesis!$D$48:$D$53&lt;=75)*(Hipótesis!$B$48:$B$53))+BY30</f>
        <v>11</v>
      </c>
      <c r="BZ31" s="101" t="n">
        <f aca="false">SUMPRODUCT((Hipótesis!$D$48:$D$53&lt;=76)*(Hipótesis!$B$48:$B$53))+BZ30</f>
        <v>11</v>
      </c>
      <c r="CA31" s="101" t="n">
        <f aca="false">SUMPRODUCT((Hipótesis!$D$48:$D$53&lt;=77)*(Hipótesis!$B$48:$B$53))+CA30</f>
        <v>11</v>
      </c>
      <c r="CB31" s="101" t="n">
        <f aca="false">SUMPRODUCT((Hipótesis!$D$48:$D$53&lt;=78)*(Hipótesis!$B$48:$B$53))+CB30</f>
        <v>11</v>
      </c>
      <c r="CC31" s="101" t="n">
        <f aca="false">SUMPRODUCT((Hipótesis!$D$48:$D$53&lt;=79)*(Hipótesis!$B$48:$B$53))+CC30</f>
        <v>11</v>
      </c>
      <c r="CD31" s="101" t="n">
        <f aca="false">SUMPRODUCT((Hipótesis!$D$48:$D$53&lt;=80)*(Hipótesis!$B$48:$B$53))+CD30</f>
        <v>11</v>
      </c>
      <c r="CE31" s="101" t="n">
        <f aca="false">SUMPRODUCT((Hipótesis!$D$48:$D$53&lt;=81)*(Hipótesis!$B$48:$B$53))+CE30</f>
        <v>11</v>
      </c>
      <c r="CF31" s="101" t="n">
        <f aca="false">SUMPRODUCT((Hipótesis!$D$48:$D$53&lt;=82)*(Hipótesis!$B$48:$B$53))+CF30</f>
        <v>11</v>
      </c>
      <c r="CG31" s="101" t="n">
        <f aca="false">SUMPRODUCT((Hipótesis!$D$48:$D$53&lt;=83)*(Hipótesis!$B$48:$B$53))+CG30</f>
        <v>11</v>
      </c>
      <c r="CH31" s="101" t="n">
        <f aca="false">SUMPRODUCT((Hipótesis!$D$48:$D$53&lt;=84)*(Hipótesis!$B$48:$B$53))+CH30</f>
        <v>11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9" t="s">
        <v>510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</row>
    <row r="34" customFormat="false" ht="13.5" hidden="false" customHeight="true" outlineLevel="0" collapsed="false">
      <c r="A34" s="6" t="s">
        <v>511</v>
      </c>
      <c r="C34" s="100" t="n">
        <f aca="false">C16*C21*Hipótesis!$C$16</f>
        <v>1005.575</v>
      </c>
      <c r="D34" s="100" t="n">
        <f aca="false">D16*D21*Hipótesis!$C$16</f>
        <v>2089.45</v>
      </c>
      <c r="E34" s="100" t="n">
        <f aca="false">E16*E21*Hipótesis!$C$16</f>
        <v>4351.903125</v>
      </c>
      <c r="F34" s="100" t="n">
        <f aca="false">F16*F21*Hipótesis!$C$16</f>
        <v>5608.78125</v>
      </c>
      <c r="G34" s="100" t="n">
        <f aca="false">G16*G21*Hipótesis!$C$16</f>
        <v>6787.359375</v>
      </c>
      <c r="H34" s="100" t="n">
        <f aca="false">H16*H21*Hipótesis!$C$16</f>
        <v>8683.6875</v>
      </c>
      <c r="I34" s="100" t="n">
        <f aca="false">I16*I21*Hipótesis!$C$16</f>
        <v>10580.015625</v>
      </c>
      <c r="J34" s="100" t="n">
        <f aca="false">J16*J21*Hipótesis!$C$16</f>
        <v>12476.34375</v>
      </c>
      <c r="K34" s="100" t="n">
        <f aca="false">K16*K21*Hipótesis!$C$16</f>
        <v>14372.671875</v>
      </c>
      <c r="L34" s="100" t="n">
        <f aca="false">L16*L21*Hipótesis!$C$16</f>
        <v>16269</v>
      </c>
      <c r="M34" s="100" t="n">
        <f aca="false">M16*M21*Hipótesis!$C$16</f>
        <v>16986.75</v>
      </c>
      <c r="N34" s="100" t="n">
        <f aca="false">N16*N21*Hipótesis!$C$16</f>
        <v>18683.25</v>
      </c>
      <c r="O34" s="100" t="n">
        <f aca="false">O16*O21*Hipótesis!$C$16</f>
        <v>20379.75</v>
      </c>
      <c r="P34" s="100" t="n">
        <f aca="false">P16*P21*Hipótesis!$C$16</f>
        <v>21723.9</v>
      </c>
      <c r="Q34" s="100" t="n">
        <f aca="false">Q16*Q21*Hipótesis!$C$16</f>
        <v>23068.05</v>
      </c>
      <c r="R34" s="100" t="n">
        <f aca="false">R16*R21*Hipótesis!$C$16</f>
        <v>24412.2</v>
      </c>
      <c r="S34" s="100" t="n">
        <f aca="false">S16*S21*Hipótesis!$C$16</f>
        <v>25756.35</v>
      </c>
      <c r="T34" s="100" t="n">
        <f aca="false">T16*T21*Hipótesis!$C$16</f>
        <v>27100.5</v>
      </c>
      <c r="U34" s="100" t="n">
        <f aca="false">U16*U21*Hipótesis!$C$16</f>
        <v>28444.65</v>
      </c>
      <c r="V34" s="100" t="n">
        <f aca="false">V16*V21*Hipótesis!$C$16</f>
        <v>29788.8</v>
      </c>
      <c r="W34" s="100" t="n">
        <f aca="false">W16*W21*Hipótesis!$C$16</f>
        <v>31132.95</v>
      </c>
      <c r="X34" s="100" t="n">
        <f aca="false">X16*X21*Hipótesis!$C$16</f>
        <v>31498.35</v>
      </c>
      <c r="Y34" s="100" t="n">
        <f aca="false">Y16*Y21*Hipótesis!$C$16</f>
        <v>31863.75</v>
      </c>
      <c r="Z34" s="100" t="n">
        <f aca="false">Z16*Z21*Hipótesis!$C$16</f>
        <v>31863.75</v>
      </c>
      <c r="AA34" s="100" t="n">
        <f aca="false">AA16*AA21*Hipótesis!$C$16</f>
        <v>31863.75</v>
      </c>
      <c r="AB34" s="100" t="n">
        <f aca="false">AB16*AB21*Hipótesis!$C$16</f>
        <v>31863.75</v>
      </c>
      <c r="AC34" s="100" t="n">
        <f aca="false">AC16*AC21*Hipótesis!$C$16</f>
        <v>31863.75</v>
      </c>
      <c r="AD34" s="100" t="n">
        <f aca="false">AD16*AD21*Hipótesis!$C$16</f>
        <v>31863.75</v>
      </c>
      <c r="AE34" s="100" t="n">
        <f aca="false">AE16*AE21*Hipótesis!$C$16</f>
        <v>31863.75</v>
      </c>
      <c r="AF34" s="100" t="n">
        <f aca="false">AF16*AF21*Hipótesis!$C$16</f>
        <v>31863.75</v>
      </c>
      <c r="AG34" s="100" t="n">
        <f aca="false">AG16*AG21*Hipótesis!$C$16</f>
        <v>31863.75</v>
      </c>
      <c r="AH34" s="100" t="n">
        <f aca="false">AH16*AH21*Hipótesis!$C$16</f>
        <v>31863.75</v>
      </c>
      <c r="AI34" s="100" t="n">
        <f aca="false">AI16*AI21*Hipótesis!$C$16</f>
        <v>31863.75</v>
      </c>
      <c r="AJ34" s="100" t="n">
        <f aca="false">AJ16*AJ21*Hipótesis!$C$16</f>
        <v>31863.75</v>
      </c>
      <c r="AK34" s="100" t="n">
        <f aca="false">AK16*AK21*Hipótesis!$C$16</f>
        <v>31863.75</v>
      </c>
      <c r="AL34" s="100" t="n">
        <f aca="false">AL16*AL21*Hipótesis!$C$16</f>
        <v>31863.75</v>
      </c>
      <c r="AM34" s="100" t="n">
        <f aca="false">AM16*AM21*Hipótesis!$C$16</f>
        <v>31863.75</v>
      </c>
      <c r="AN34" s="100" t="n">
        <f aca="false">AN16*AN21*Hipótesis!$C$16</f>
        <v>31863.75</v>
      </c>
      <c r="AO34" s="100" t="n">
        <f aca="false">AO16*AO21*Hipótesis!$C$16</f>
        <v>31863.75</v>
      </c>
      <c r="AP34" s="100" t="n">
        <f aca="false">AP16*AP21*Hipótesis!$C$16</f>
        <v>31863.75</v>
      </c>
      <c r="AQ34" s="100" t="n">
        <f aca="false">AQ16*AQ21*Hipótesis!$C$16</f>
        <v>31863.75</v>
      </c>
      <c r="AR34" s="100" t="n">
        <f aca="false">AR16*AR21*Hipótesis!$C$16</f>
        <v>31863.75</v>
      </c>
      <c r="AS34" s="100" t="n">
        <f aca="false">AS16*AS21*Hipótesis!$C$16</f>
        <v>31863.75</v>
      </c>
      <c r="AT34" s="100" t="n">
        <f aca="false">AT16*AT21*Hipótesis!$C$16</f>
        <v>31863.75</v>
      </c>
      <c r="AU34" s="100" t="n">
        <f aca="false">AU16*AU21*Hipótesis!$C$16</f>
        <v>31863.75</v>
      </c>
      <c r="AV34" s="100" t="n">
        <f aca="false">AV16*AV21*Hipótesis!$C$16</f>
        <v>31863.75</v>
      </c>
      <c r="AW34" s="100" t="n">
        <f aca="false">AW16*AW21*Hipótesis!$C$16</f>
        <v>31863.75</v>
      </c>
      <c r="AX34" s="100" t="n">
        <f aca="false">AX16*AX21*Hipótesis!$C$16</f>
        <v>31863.75</v>
      </c>
      <c r="AY34" s="100" t="n">
        <f aca="false">AY16*AY21*Hipótesis!$C$16</f>
        <v>31863.75</v>
      </c>
      <c r="AZ34" s="100" t="n">
        <f aca="false">AZ16*AZ21*Hipótesis!$C$16</f>
        <v>31863.75</v>
      </c>
      <c r="BA34" s="100" t="n">
        <f aca="false">BA16*BA21*Hipótesis!$C$16</f>
        <v>31863.75</v>
      </c>
      <c r="BB34" s="100" t="n">
        <f aca="false">BB16*BB21*Hipótesis!$C$16</f>
        <v>31863.75</v>
      </c>
      <c r="BC34" s="100" t="n">
        <f aca="false">BC16*BC21*Hipótesis!$C$16</f>
        <v>31863.75</v>
      </c>
      <c r="BD34" s="100" t="n">
        <f aca="false">BD16*BD21*Hipótesis!$C$16</f>
        <v>31863.75</v>
      </c>
      <c r="BE34" s="100" t="n">
        <f aca="false">BE16*BE21*Hipótesis!$C$16</f>
        <v>31863.75</v>
      </c>
      <c r="BF34" s="100" t="n">
        <f aca="false">BF16*BF21*Hipótesis!$C$16</f>
        <v>31863.75</v>
      </c>
      <c r="BG34" s="100" t="n">
        <f aca="false">BG16*BG21*Hipótesis!$C$16</f>
        <v>31863.75</v>
      </c>
      <c r="BH34" s="100" t="n">
        <f aca="false">BH16*BH21*Hipótesis!$C$16</f>
        <v>31863.75</v>
      </c>
      <c r="BI34" s="100" t="n">
        <f aca="false">BI16*BI21*Hipótesis!$C$16</f>
        <v>31863.75</v>
      </c>
      <c r="BJ34" s="100" t="n">
        <f aca="false">BJ16*BJ21*Hipótesis!$C$16</f>
        <v>31863.75</v>
      </c>
      <c r="BK34" s="100" t="n">
        <f aca="false">BK16*BK21*Hipótesis!$C$16</f>
        <v>31863.75</v>
      </c>
      <c r="BL34" s="100" t="n">
        <f aca="false">BL16*BL21*Hipótesis!$C$16</f>
        <v>31863.75</v>
      </c>
      <c r="BM34" s="100" t="n">
        <f aca="false">BM16*BM21*Hipótesis!$C$16</f>
        <v>31863.75</v>
      </c>
      <c r="BN34" s="100" t="n">
        <f aca="false">BN16*BN21*Hipótesis!$C$16</f>
        <v>31863.75</v>
      </c>
      <c r="BO34" s="100" t="n">
        <f aca="false">BO16*BO21*Hipótesis!$C$16</f>
        <v>31863.75</v>
      </c>
      <c r="BP34" s="100" t="n">
        <f aca="false">BP16*BP21*Hipótesis!$C$16</f>
        <v>31863.75</v>
      </c>
      <c r="BQ34" s="100" t="n">
        <f aca="false">BQ16*BQ21*Hipótesis!$C$16</f>
        <v>31863.75</v>
      </c>
      <c r="BR34" s="100" t="n">
        <f aca="false">BR16*BR21*Hipótesis!$C$16</f>
        <v>31863.75</v>
      </c>
      <c r="BS34" s="100" t="n">
        <f aca="false">BS16*BS21*Hipótesis!$C$16</f>
        <v>31863.75</v>
      </c>
      <c r="BT34" s="100" t="n">
        <f aca="false">BT16*BT21*Hipótesis!$C$16</f>
        <v>31863.75</v>
      </c>
      <c r="BU34" s="100" t="n">
        <f aca="false">BU16*BU21*Hipótesis!$C$16</f>
        <v>31863.75</v>
      </c>
      <c r="BV34" s="100" t="n">
        <f aca="false">BV16*BV21*Hipótesis!$C$16</f>
        <v>31863.75</v>
      </c>
      <c r="BW34" s="100" t="n">
        <f aca="false">BW16*BW21*Hipótesis!$C$16</f>
        <v>31863.75</v>
      </c>
      <c r="BX34" s="100" t="n">
        <f aca="false">BX16*BX21*Hipótesis!$C$16</f>
        <v>31863.75</v>
      </c>
      <c r="BY34" s="100" t="n">
        <f aca="false">BY16*BY21*Hipótesis!$C$16</f>
        <v>31863.75</v>
      </c>
      <c r="BZ34" s="100" t="n">
        <f aca="false">BZ16*BZ21*Hipótesis!$C$16</f>
        <v>31863.75</v>
      </c>
      <c r="CA34" s="100" t="n">
        <f aca="false">CA16*CA21*Hipótesis!$C$16</f>
        <v>31863.75</v>
      </c>
      <c r="CB34" s="100" t="n">
        <f aca="false">CB16*CB21*Hipótesis!$C$16</f>
        <v>31863.75</v>
      </c>
      <c r="CC34" s="100" t="n">
        <f aca="false">CC16*CC21*Hipótesis!$C$16</f>
        <v>31863.75</v>
      </c>
      <c r="CD34" s="100" t="n">
        <f aca="false">CD16*CD21*Hipótesis!$C$16</f>
        <v>31863.75</v>
      </c>
      <c r="CE34" s="100" t="n">
        <f aca="false">CE16*CE21*Hipótesis!$C$16</f>
        <v>31863.75</v>
      </c>
      <c r="CF34" s="100" t="n">
        <f aca="false">CF16*CF21*Hipótesis!$C$16</f>
        <v>31863.75</v>
      </c>
      <c r="CG34" s="100" t="n">
        <f aca="false">CG16*CG21*Hipótesis!$C$16</f>
        <v>31863.75</v>
      </c>
      <c r="CH34" s="100" t="n">
        <f aca="false">CH16*CH21*Hipótesis!$C$16</f>
        <v>31863.75</v>
      </c>
    </row>
    <row r="35" customFormat="false" ht="13.5" hidden="false" customHeight="true" outlineLevel="0" collapsed="false">
      <c r="A35" s="6" t="s">
        <v>512</v>
      </c>
      <c r="C35" s="100" t="n">
        <f aca="false">C23*(Hipótesis!$C$30*Hipótesis!$C$20+(1-Hipótesis!$C$30)*Hipótesis!$C$21)</f>
        <v>0</v>
      </c>
      <c r="D35" s="100" t="n">
        <f aca="false">D23*(Hipótesis!$C$30*Hipótesis!$C$20+(1-Hipótesis!$C$30)*Hipótesis!$C$21)</f>
        <v>0</v>
      </c>
      <c r="E35" s="100" t="n">
        <f aca="false">E23*(Hipótesis!$C$30*Hipótesis!$C$20+(1-Hipótesis!$C$30)*Hipótesis!$C$21)</f>
        <v>0</v>
      </c>
      <c r="F35" s="100" t="n">
        <f aca="false">F23*(Hipótesis!$C$30*Hipótesis!$C$20+(1-Hipótesis!$C$30)*Hipótesis!$C$21)</f>
        <v>0</v>
      </c>
      <c r="G35" s="100" t="n">
        <f aca="false">G23*(Hipótesis!$C$30*Hipótesis!$C$20+(1-Hipótesis!$C$30)*Hipótesis!$C$21)</f>
        <v>0</v>
      </c>
      <c r="H35" s="100" t="n">
        <f aca="false">H23*(Hipótesis!$C$30*Hipótesis!$C$20+(1-Hipótesis!$C$30)*Hipótesis!$C$21)</f>
        <v>0</v>
      </c>
      <c r="I35" s="100" t="n">
        <f aca="false">I23*(Hipótesis!$C$30*Hipótesis!$C$20+(1-Hipótesis!$C$30)*Hipótesis!$C$21)</f>
        <v>1498.10593561514</v>
      </c>
      <c r="J35" s="100" t="n">
        <f aca="false">J23*(Hipótesis!$C$30*Hipótesis!$C$20+(1-Hipótesis!$C$30)*Hipótesis!$C$21)</f>
        <v>2996.21187123027</v>
      </c>
      <c r="K35" s="100" t="n">
        <f aca="false">K23*(Hipótesis!$C$30*Hipótesis!$C$20+(1-Hipótesis!$C$30)*Hipótesis!$C$21)</f>
        <v>4494.31780684541</v>
      </c>
      <c r="L35" s="100" t="n">
        <f aca="false">L23*(Hipótesis!$C$30*Hipótesis!$C$20+(1-Hipótesis!$C$30)*Hipótesis!$C$21)</f>
        <v>5992.42374246054</v>
      </c>
      <c r="M35" s="100" t="n">
        <f aca="false">M23*(Hipótesis!$C$30*Hipótesis!$C$20+(1-Hipótesis!$C$30)*Hipótesis!$C$21)</f>
        <v>7490.52967807568</v>
      </c>
      <c r="N35" s="100" t="n">
        <f aca="false">N23*(Hipótesis!$C$30*Hipótesis!$C$20+(1-Hipótesis!$C$30)*Hipótesis!$C$21)</f>
        <v>8988.63561369081</v>
      </c>
      <c r="O35" s="100" t="n">
        <f aca="false">O23*(Hipótesis!$C$30*Hipótesis!$C$20+(1-Hipótesis!$C$30)*Hipótesis!$C$21)</f>
        <v>10486.7415493059</v>
      </c>
      <c r="P35" s="100" t="n">
        <f aca="false">P23*(Hipótesis!$C$30*Hipótesis!$C$20+(1-Hipótesis!$C$30)*Hipótesis!$C$21)</f>
        <v>11984.8474849211</v>
      </c>
      <c r="Q35" s="100" t="n">
        <f aca="false">Q23*(Hipótesis!$C$30*Hipótesis!$C$20+(1-Hipótesis!$C$30)*Hipótesis!$C$21)</f>
        <v>13482.9534205362</v>
      </c>
      <c r="R35" s="100" t="n">
        <f aca="false">R23*(Hipótesis!$C$30*Hipótesis!$C$20+(1-Hipótesis!$C$30)*Hipótesis!$C$21)</f>
        <v>14981.0593561514</v>
      </c>
      <c r="S35" s="100" t="n">
        <f aca="false">S23*(Hipótesis!$C$30*Hipótesis!$C$20+(1-Hipótesis!$C$30)*Hipótesis!$C$21)</f>
        <v>16479.1652917665</v>
      </c>
      <c r="T35" s="100" t="n">
        <f aca="false">T23*(Hipótesis!$C$30*Hipótesis!$C$20+(1-Hipótesis!$C$30)*Hipótesis!$C$21)</f>
        <v>17977.2712273816</v>
      </c>
      <c r="U35" s="100" t="n">
        <f aca="false">U23*(Hipótesis!$C$30*Hipótesis!$C$20+(1-Hipótesis!$C$30)*Hipótesis!$C$21)</f>
        <v>19475.3771629968</v>
      </c>
      <c r="V35" s="100" t="n">
        <f aca="false">V23*(Hipótesis!$C$30*Hipótesis!$C$20+(1-Hipótesis!$C$30)*Hipótesis!$C$21)</f>
        <v>20973.4830986119</v>
      </c>
      <c r="W35" s="100" t="n">
        <f aca="false">W23*(Hipótesis!$C$30*Hipótesis!$C$20+(1-Hipótesis!$C$30)*Hipótesis!$C$21)</f>
        <v>22471.589034227</v>
      </c>
      <c r="X35" s="100" t="n">
        <f aca="false">X23*(Hipótesis!$C$30*Hipótesis!$C$20+(1-Hipótesis!$C$30)*Hipótesis!$C$21)</f>
        <v>23969.6949698422</v>
      </c>
      <c r="Y35" s="100" t="n">
        <f aca="false">Y23*(Hipótesis!$C$30*Hipótesis!$C$20+(1-Hipótesis!$C$30)*Hipótesis!$C$21)</f>
        <v>25467.8009054573</v>
      </c>
      <c r="Z35" s="100" t="n">
        <f aca="false">Z23*(Hipótesis!$C$30*Hipótesis!$C$20+(1-Hipótesis!$C$30)*Hipótesis!$C$21)</f>
        <v>26965.9068410724</v>
      </c>
      <c r="AA35" s="100" t="n">
        <f aca="false">AA23*(Hipótesis!$C$30*Hipótesis!$C$20+(1-Hipótesis!$C$30)*Hipótesis!$C$21)</f>
        <v>28464.0127766876</v>
      </c>
      <c r="AB35" s="100" t="n">
        <f aca="false">AB23*(Hipótesis!$C$30*Hipótesis!$C$20+(1-Hipótesis!$C$30)*Hipótesis!$C$21)</f>
        <v>29962.1187123027</v>
      </c>
      <c r="AC35" s="100" t="n">
        <f aca="false">AC23*(Hipótesis!$C$30*Hipótesis!$C$20+(1-Hipótesis!$C$30)*Hipótesis!$C$21)</f>
        <v>31460.2246479178</v>
      </c>
      <c r="AD35" s="100" t="n">
        <f aca="false">AD23*(Hipótesis!$C$30*Hipótesis!$C$20+(1-Hipótesis!$C$30)*Hipótesis!$C$21)</f>
        <v>32958.330583533</v>
      </c>
      <c r="AE35" s="100" t="n">
        <f aca="false">AE23*(Hipótesis!$C$30*Hipótesis!$C$20+(1-Hipótesis!$C$30)*Hipótesis!$C$21)</f>
        <v>34456.4365191481</v>
      </c>
      <c r="AF35" s="100" t="n">
        <f aca="false">AF23*(Hipótesis!$C$30*Hipótesis!$C$20+(1-Hipótesis!$C$30)*Hipótesis!$C$21)</f>
        <v>35954.5424547632</v>
      </c>
      <c r="AG35" s="100" t="n">
        <f aca="false">AG23*(Hipótesis!$C$30*Hipótesis!$C$20+(1-Hipótesis!$C$30)*Hipótesis!$C$21)</f>
        <v>37452.6483903784</v>
      </c>
      <c r="AH35" s="100" t="n">
        <f aca="false">AH23*(Hipótesis!$C$30*Hipótesis!$C$20+(1-Hipótesis!$C$30)*Hipótesis!$C$21)</f>
        <v>38950.7543259935</v>
      </c>
      <c r="AI35" s="100" t="n">
        <f aca="false">AI23*(Hipótesis!$C$30*Hipótesis!$C$20+(1-Hipótesis!$C$30)*Hipótesis!$C$21)</f>
        <v>40448.8602616087</v>
      </c>
      <c r="AJ35" s="100" t="n">
        <f aca="false">AJ23*(Hipótesis!$C$30*Hipótesis!$C$20+(1-Hipótesis!$C$30)*Hipótesis!$C$21)</f>
        <v>41946.9661972238</v>
      </c>
      <c r="AK35" s="100" t="n">
        <f aca="false">AK23*(Hipótesis!$C$30*Hipótesis!$C$20+(1-Hipótesis!$C$30)*Hipótesis!$C$21)</f>
        <v>43445.0721328389</v>
      </c>
      <c r="AL35" s="100" t="n">
        <f aca="false">AL23*(Hipótesis!$C$30*Hipótesis!$C$20+(1-Hipótesis!$C$30)*Hipótesis!$C$21)</f>
        <v>44943.1780684541</v>
      </c>
      <c r="AM35" s="100" t="n">
        <f aca="false">AM23*(Hipótesis!$C$30*Hipótesis!$C$20+(1-Hipótesis!$C$30)*Hipótesis!$C$21)</f>
        <v>46441.2840040692</v>
      </c>
      <c r="AN35" s="100" t="n">
        <f aca="false">AN23*(Hipótesis!$C$30*Hipótesis!$C$20+(1-Hipótesis!$C$30)*Hipótesis!$C$21)</f>
        <v>47939.3899396843</v>
      </c>
      <c r="AO35" s="100" t="n">
        <f aca="false">AO23*(Hipótesis!$C$30*Hipótesis!$C$20+(1-Hipótesis!$C$30)*Hipótesis!$C$21)</f>
        <v>49437.4958752995</v>
      </c>
      <c r="AP35" s="100" t="n">
        <f aca="false">AP23*(Hipótesis!$C$30*Hipótesis!$C$20+(1-Hipótesis!$C$30)*Hipótesis!$C$21)</f>
        <v>50935.6018109146</v>
      </c>
      <c r="AQ35" s="100" t="n">
        <f aca="false">AQ23*(Hipótesis!$C$30*Hipótesis!$C$20+(1-Hipótesis!$C$30)*Hipótesis!$C$21)</f>
        <v>52433.7077465297</v>
      </c>
      <c r="AR35" s="100" t="n">
        <f aca="false">AR23*(Hipótesis!$C$30*Hipótesis!$C$20+(1-Hipótesis!$C$30)*Hipótesis!$C$21)</f>
        <v>53931.8136821449</v>
      </c>
      <c r="AS35" s="100" t="n">
        <f aca="false">AS23*(Hipótesis!$C$30*Hipótesis!$C$20+(1-Hipótesis!$C$30)*Hipótesis!$C$21)</f>
        <v>53931.8136821449</v>
      </c>
      <c r="AT35" s="100" t="n">
        <f aca="false">AT23*(Hipótesis!$C$30*Hipótesis!$C$20+(1-Hipótesis!$C$30)*Hipótesis!$C$21)</f>
        <v>53931.8136821449</v>
      </c>
      <c r="AU35" s="100" t="n">
        <f aca="false">AU23*(Hipótesis!$C$30*Hipótesis!$C$20+(1-Hipótesis!$C$30)*Hipótesis!$C$21)</f>
        <v>53931.8136821449</v>
      </c>
      <c r="AV35" s="100" t="n">
        <f aca="false">AV23*(Hipótesis!$C$30*Hipótesis!$C$20+(1-Hipótesis!$C$30)*Hipótesis!$C$21)</f>
        <v>53931.8136821449</v>
      </c>
      <c r="AW35" s="100" t="n">
        <f aca="false">AW23*(Hipótesis!$C$30*Hipótesis!$C$20+(1-Hipótesis!$C$30)*Hipótesis!$C$21)</f>
        <v>53931.8136821449</v>
      </c>
      <c r="AX35" s="100" t="n">
        <f aca="false">AX23*(Hipótesis!$C$30*Hipótesis!$C$20+(1-Hipótesis!$C$30)*Hipótesis!$C$21)</f>
        <v>53931.8136821449</v>
      </c>
      <c r="AY35" s="100" t="n">
        <f aca="false">AY23*(Hipótesis!$C$30*Hipótesis!$C$20+(1-Hipótesis!$C$30)*Hipótesis!$C$21)</f>
        <v>53931.8136821449</v>
      </c>
      <c r="AZ35" s="100" t="n">
        <f aca="false">AZ23*(Hipótesis!$C$30*Hipótesis!$C$20+(1-Hipótesis!$C$30)*Hipótesis!$C$21)</f>
        <v>53931.8136821449</v>
      </c>
      <c r="BA35" s="100" t="n">
        <f aca="false">BA23*(Hipótesis!$C$30*Hipótesis!$C$20+(1-Hipótesis!$C$30)*Hipótesis!$C$21)</f>
        <v>53931.8136821449</v>
      </c>
      <c r="BB35" s="100" t="n">
        <f aca="false">BB23*(Hipótesis!$C$30*Hipótesis!$C$20+(1-Hipótesis!$C$30)*Hipótesis!$C$21)</f>
        <v>53931.8136821449</v>
      </c>
      <c r="BC35" s="100" t="n">
        <f aca="false">BC23*(Hipótesis!$C$30*Hipótesis!$C$20+(1-Hipótesis!$C$30)*Hipótesis!$C$21)</f>
        <v>53931.8136821449</v>
      </c>
      <c r="BD35" s="100" t="n">
        <f aca="false">BD23*(Hipótesis!$C$30*Hipótesis!$C$20+(1-Hipótesis!$C$30)*Hipótesis!$C$21)</f>
        <v>53931.8136821449</v>
      </c>
      <c r="BE35" s="100" t="n">
        <f aca="false">BE23*(Hipótesis!$C$30*Hipótesis!$C$20+(1-Hipótesis!$C$30)*Hipótesis!$C$21)</f>
        <v>53931.8136821449</v>
      </c>
      <c r="BF35" s="100" t="n">
        <f aca="false">BF23*(Hipótesis!$C$30*Hipótesis!$C$20+(1-Hipótesis!$C$30)*Hipótesis!$C$21)</f>
        <v>53931.8136821449</v>
      </c>
      <c r="BG35" s="100" t="n">
        <f aca="false">BG23*(Hipótesis!$C$30*Hipótesis!$C$20+(1-Hipótesis!$C$30)*Hipótesis!$C$21)</f>
        <v>53931.8136821449</v>
      </c>
      <c r="BH35" s="100" t="n">
        <f aca="false">BH23*(Hipótesis!$C$30*Hipótesis!$C$20+(1-Hipótesis!$C$30)*Hipótesis!$C$21)</f>
        <v>53931.8136821449</v>
      </c>
      <c r="BI35" s="100" t="n">
        <f aca="false">BI23*(Hipótesis!$C$30*Hipótesis!$C$20+(1-Hipótesis!$C$30)*Hipótesis!$C$21)</f>
        <v>53931.8136821449</v>
      </c>
      <c r="BJ35" s="100" t="n">
        <f aca="false">BJ23*(Hipótesis!$C$30*Hipótesis!$C$20+(1-Hipótesis!$C$30)*Hipótesis!$C$21)</f>
        <v>53931.8136821449</v>
      </c>
      <c r="BK35" s="100" t="n">
        <f aca="false">BK23*(Hipótesis!$C$30*Hipótesis!$C$20+(1-Hipótesis!$C$30)*Hipótesis!$C$21)</f>
        <v>53931.8136821449</v>
      </c>
      <c r="BL35" s="100" t="n">
        <f aca="false">BL23*(Hipótesis!$C$30*Hipótesis!$C$20+(1-Hipótesis!$C$30)*Hipótesis!$C$21)</f>
        <v>53931.8136821449</v>
      </c>
      <c r="BM35" s="100" t="n">
        <f aca="false">BM23*(Hipótesis!$C$30*Hipótesis!$C$20+(1-Hipótesis!$C$30)*Hipótesis!$C$21)</f>
        <v>53931.8136821449</v>
      </c>
      <c r="BN35" s="100" t="n">
        <f aca="false">BN23*(Hipótesis!$C$30*Hipótesis!$C$20+(1-Hipótesis!$C$30)*Hipótesis!$C$21)</f>
        <v>53931.8136821449</v>
      </c>
      <c r="BO35" s="100" t="n">
        <f aca="false">BO23*(Hipótesis!$C$30*Hipótesis!$C$20+(1-Hipótesis!$C$30)*Hipótesis!$C$21)</f>
        <v>53931.8136821449</v>
      </c>
      <c r="BP35" s="100" t="n">
        <f aca="false">BP23*(Hipótesis!$C$30*Hipótesis!$C$20+(1-Hipótesis!$C$30)*Hipótesis!$C$21)</f>
        <v>53931.8136821449</v>
      </c>
      <c r="BQ35" s="100" t="n">
        <f aca="false">BQ23*(Hipótesis!$C$30*Hipótesis!$C$20+(1-Hipótesis!$C$30)*Hipótesis!$C$21)</f>
        <v>53931.8136821449</v>
      </c>
      <c r="BR35" s="100" t="n">
        <f aca="false">BR23*(Hipótesis!$C$30*Hipótesis!$C$20+(1-Hipótesis!$C$30)*Hipótesis!$C$21)</f>
        <v>53931.8136821449</v>
      </c>
      <c r="BS35" s="100" t="n">
        <f aca="false">BS23*(Hipótesis!$C$30*Hipótesis!$C$20+(1-Hipótesis!$C$30)*Hipótesis!$C$21)</f>
        <v>53931.8136821449</v>
      </c>
      <c r="BT35" s="100" t="n">
        <f aca="false">BT23*(Hipótesis!$C$30*Hipótesis!$C$20+(1-Hipótesis!$C$30)*Hipótesis!$C$21)</f>
        <v>53931.8136821449</v>
      </c>
      <c r="BU35" s="100" t="n">
        <f aca="false">BU23*(Hipótesis!$C$30*Hipótesis!$C$20+(1-Hipótesis!$C$30)*Hipótesis!$C$21)</f>
        <v>53931.8136821449</v>
      </c>
      <c r="BV35" s="100" t="n">
        <f aca="false">BV23*(Hipótesis!$C$30*Hipótesis!$C$20+(1-Hipótesis!$C$30)*Hipótesis!$C$21)</f>
        <v>53931.8136821449</v>
      </c>
      <c r="BW35" s="100" t="n">
        <f aca="false">BW23*(Hipótesis!$C$30*Hipótesis!$C$20+(1-Hipótesis!$C$30)*Hipótesis!$C$21)</f>
        <v>53931.8136821449</v>
      </c>
      <c r="BX35" s="100" t="n">
        <f aca="false">BX23*(Hipótesis!$C$30*Hipótesis!$C$20+(1-Hipótesis!$C$30)*Hipótesis!$C$21)</f>
        <v>53931.8136821449</v>
      </c>
      <c r="BY35" s="100" t="n">
        <f aca="false">BY23*(Hipótesis!$C$30*Hipótesis!$C$20+(1-Hipótesis!$C$30)*Hipótesis!$C$21)</f>
        <v>53931.8136821449</v>
      </c>
      <c r="BZ35" s="100" t="n">
        <f aca="false">BZ23*(Hipótesis!$C$30*Hipótesis!$C$20+(1-Hipótesis!$C$30)*Hipótesis!$C$21)</f>
        <v>53931.8136821449</v>
      </c>
      <c r="CA35" s="100" t="n">
        <f aca="false">CA23*(Hipótesis!$C$30*Hipótesis!$C$20+(1-Hipótesis!$C$30)*Hipótesis!$C$21)</f>
        <v>53931.8136821449</v>
      </c>
      <c r="CB35" s="100" t="n">
        <f aca="false">CB23*(Hipótesis!$C$30*Hipótesis!$C$20+(1-Hipótesis!$C$30)*Hipótesis!$C$21)</f>
        <v>53931.8136821449</v>
      </c>
      <c r="CC35" s="100" t="n">
        <f aca="false">CC23*(Hipótesis!$C$30*Hipótesis!$C$20+(1-Hipótesis!$C$30)*Hipótesis!$C$21)</f>
        <v>53931.8136821449</v>
      </c>
      <c r="CD35" s="100" t="n">
        <f aca="false">CD23*(Hipótesis!$C$30*Hipótesis!$C$20+(1-Hipótesis!$C$30)*Hipótesis!$C$21)</f>
        <v>53931.8136821449</v>
      </c>
      <c r="CE35" s="100" t="n">
        <f aca="false">CE23*(Hipótesis!$C$30*Hipótesis!$C$20+(1-Hipótesis!$C$30)*Hipótesis!$C$21)</f>
        <v>53931.8136821449</v>
      </c>
      <c r="CF35" s="100" t="n">
        <f aca="false">CF23*(Hipótesis!$C$30*Hipótesis!$C$20+(1-Hipótesis!$C$30)*Hipótesis!$C$21)</f>
        <v>53931.8136821449</v>
      </c>
      <c r="CG35" s="100" t="n">
        <f aca="false">CG23*(Hipótesis!$C$30*Hipótesis!$C$20+(1-Hipótesis!$C$30)*Hipótesis!$C$21)</f>
        <v>53931.8136821449</v>
      </c>
      <c r="CH35" s="100" t="n">
        <f aca="false">CH23*(Hipótesis!$C$30*Hipótesis!$C$20+(1-Hipótesis!$C$30)*Hipótesis!$C$21)</f>
        <v>53931.8136821449</v>
      </c>
    </row>
    <row r="36" customFormat="false" ht="13.5" hidden="false" customHeight="true" outlineLevel="0" collapsed="false">
      <c r="A36" s="22" t="s">
        <v>513</v>
      </c>
      <c r="C36" s="100" t="n">
        <f aca="false">C34+C35</f>
        <v>1005.575</v>
      </c>
      <c r="D36" s="100" t="n">
        <f aca="false">D34+D35</f>
        <v>2089.45</v>
      </c>
      <c r="E36" s="100" t="n">
        <f aca="false">E34+E35</f>
        <v>4351.903125</v>
      </c>
      <c r="F36" s="100" t="n">
        <f aca="false">F34+F35</f>
        <v>5608.78125</v>
      </c>
      <c r="G36" s="100" t="n">
        <f aca="false">G34+G35</f>
        <v>6787.359375</v>
      </c>
      <c r="H36" s="100" t="n">
        <f aca="false">H34+H35</f>
        <v>8683.6875</v>
      </c>
      <c r="I36" s="100" t="n">
        <f aca="false">I34+I35</f>
        <v>12078.1215606151</v>
      </c>
      <c r="J36" s="100" t="n">
        <f aca="false">J34+J35</f>
        <v>15472.5556212303</v>
      </c>
      <c r="K36" s="100" t="n">
        <f aca="false">K34+K35</f>
        <v>18866.9896818454</v>
      </c>
      <c r="L36" s="100" t="n">
        <f aca="false">L34+L35</f>
        <v>22261.4237424605</v>
      </c>
      <c r="M36" s="100" t="n">
        <f aca="false">M34+M35</f>
        <v>24477.2796780757</v>
      </c>
      <c r="N36" s="100" t="n">
        <f aca="false">N34+N35</f>
        <v>27671.8856136908</v>
      </c>
      <c r="O36" s="100" t="n">
        <f aca="false">O34+O35</f>
        <v>30866.4915493059</v>
      </c>
      <c r="P36" s="100" t="n">
        <f aca="false">P34+P35</f>
        <v>33708.7474849211</v>
      </c>
      <c r="Q36" s="100" t="n">
        <f aca="false">Q34+Q35</f>
        <v>36551.0034205362</v>
      </c>
      <c r="R36" s="100" t="n">
        <f aca="false">R34+R35</f>
        <v>39393.2593561514</v>
      </c>
      <c r="S36" s="100" t="n">
        <f aca="false">S34+S35</f>
        <v>42235.5152917665</v>
      </c>
      <c r="T36" s="100" t="n">
        <f aca="false">T34+T35</f>
        <v>45077.7712273816</v>
      </c>
      <c r="U36" s="100" t="n">
        <f aca="false">U34+U35</f>
        <v>47920.0271629968</v>
      </c>
      <c r="V36" s="100" t="n">
        <f aca="false">V34+V35</f>
        <v>50762.2830986119</v>
      </c>
      <c r="W36" s="100" t="n">
        <f aca="false">W34+W35</f>
        <v>53604.539034227</v>
      </c>
      <c r="X36" s="100" t="n">
        <f aca="false">X34+X35</f>
        <v>55468.0449698422</v>
      </c>
      <c r="Y36" s="100" t="n">
        <f aca="false">Y34+Y35</f>
        <v>57331.5509054573</v>
      </c>
      <c r="Z36" s="100" t="n">
        <f aca="false">Z34+Z35</f>
        <v>58829.6568410724</v>
      </c>
      <c r="AA36" s="100" t="n">
        <f aca="false">AA34+AA35</f>
        <v>60327.7627766876</v>
      </c>
      <c r="AB36" s="100" t="n">
        <f aca="false">AB34+AB35</f>
        <v>61825.8687123027</v>
      </c>
      <c r="AC36" s="100" t="n">
        <f aca="false">AC34+AC35</f>
        <v>63323.9746479178</v>
      </c>
      <c r="AD36" s="100" t="n">
        <f aca="false">AD34+AD35</f>
        <v>64822.080583533</v>
      </c>
      <c r="AE36" s="100" t="n">
        <f aca="false">AE34+AE35</f>
        <v>66320.1865191481</v>
      </c>
      <c r="AF36" s="100" t="n">
        <f aca="false">AF34+AF35</f>
        <v>67818.2924547632</v>
      </c>
      <c r="AG36" s="100" t="n">
        <f aca="false">AG34+AG35</f>
        <v>69316.3983903784</v>
      </c>
      <c r="AH36" s="100" t="n">
        <f aca="false">AH34+AH35</f>
        <v>70814.5043259935</v>
      </c>
      <c r="AI36" s="100" t="n">
        <f aca="false">AI34+AI35</f>
        <v>72312.6102616086</v>
      </c>
      <c r="AJ36" s="100" t="n">
        <f aca="false">AJ34+AJ35</f>
        <v>73810.7161972238</v>
      </c>
      <c r="AK36" s="100" t="n">
        <f aca="false">AK34+AK35</f>
        <v>75308.8221328389</v>
      </c>
      <c r="AL36" s="100" t="n">
        <f aca="false">AL34+AL35</f>
        <v>76806.9280684541</v>
      </c>
      <c r="AM36" s="100" t="n">
        <f aca="false">AM34+AM35</f>
        <v>78305.0340040692</v>
      </c>
      <c r="AN36" s="100" t="n">
        <f aca="false">AN34+AN35</f>
        <v>79803.1399396843</v>
      </c>
      <c r="AO36" s="100" t="n">
        <f aca="false">AO34+AO35</f>
        <v>81301.2458752995</v>
      </c>
      <c r="AP36" s="100" t="n">
        <f aca="false">AP34+AP35</f>
        <v>82799.3518109146</v>
      </c>
      <c r="AQ36" s="100" t="n">
        <f aca="false">AQ34+AQ35</f>
        <v>84297.4577465297</v>
      </c>
      <c r="AR36" s="100" t="n">
        <f aca="false">AR34+AR35</f>
        <v>85795.5636821449</v>
      </c>
      <c r="AS36" s="100" t="n">
        <f aca="false">AS34+AS35</f>
        <v>85795.5636821449</v>
      </c>
      <c r="AT36" s="100" t="n">
        <f aca="false">AT34+AT35</f>
        <v>85795.5636821449</v>
      </c>
      <c r="AU36" s="100" t="n">
        <f aca="false">AU34+AU35</f>
        <v>85795.5636821449</v>
      </c>
      <c r="AV36" s="100" t="n">
        <f aca="false">AV34+AV35</f>
        <v>85795.5636821449</v>
      </c>
      <c r="AW36" s="100" t="n">
        <f aca="false">AW34+AW35</f>
        <v>85795.5636821449</v>
      </c>
      <c r="AX36" s="100" t="n">
        <f aca="false">AX34+AX35</f>
        <v>85795.5636821449</v>
      </c>
      <c r="AY36" s="100" t="n">
        <f aca="false">AY34+AY35</f>
        <v>85795.5636821449</v>
      </c>
      <c r="AZ36" s="100" t="n">
        <f aca="false">AZ34+AZ35</f>
        <v>85795.5636821449</v>
      </c>
      <c r="BA36" s="100" t="n">
        <f aca="false">BA34+BA35</f>
        <v>85795.5636821449</v>
      </c>
      <c r="BB36" s="100" t="n">
        <f aca="false">BB34+BB35</f>
        <v>85795.5636821449</v>
      </c>
      <c r="BC36" s="100" t="n">
        <f aca="false">BC34+BC35</f>
        <v>85795.5636821449</v>
      </c>
      <c r="BD36" s="100" t="n">
        <f aca="false">BD34+BD35</f>
        <v>85795.5636821449</v>
      </c>
      <c r="BE36" s="100" t="n">
        <f aca="false">BE34+BE35</f>
        <v>85795.5636821449</v>
      </c>
      <c r="BF36" s="100" t="n">
        <f aca="false">BF34+BF35</f>
        <v>85795.5636821449</v>
      </c>
      <c r="BG36" s="100" t="n">
        <f aca="false">BG34+BG35</f>
        <v>85795.5636821449</v>
      </c>
      <c r="BH36" s="100" t="n">
        <f aca="false">BH34+BH35</f>
        <v>85795.5636821449</v>
      </c>
      <c r="BI36" s="100" t="n">
        <f aca="false">BI34+BI35</f>
        <v>85795.5636821449</v>
      </c>
      <c r="BJ36" s="100" t="n">
        <f aca="false">BJ34+BJ35</f>
        <v>85795.5636821449</v>
      </c>
      <c r="BK36" s="100" t="n">
        <f aca="false">BK34+BK35</f>
        <v>85795.5636821449</v>
      </c>
      <c r="BL36" s="100" t="n">
        <f aca="false">BL34+BL35</f>
        <v>85795.5636821449</v>
      </c>
      <c r="BM36" s="100" t="n">
        <f aca="false">BM34+BM35</f>
        <v>85795.5636821449</v>
      </c>
      <c r="BN36" s="100" t="n">
        <f aca="false">BN34+BN35</f>
        <v>85795.5636821449</v>
      </c>
      <c r="BO36" s="100" t="n">
        <f aca="false">BO34+BO35</f>
        <v>85795.5636821449</v>
      </c>
      <c r="BP36" s="100" t="n">
        <f aca="false">BP34+BP35</f>
        <v>85795.5636821449</v>
      </c>
      <c r="BQ36" s="100" t="n">
        <f aca="false">BQ34+BQ35</f>
        <v>85795.5636821449</v>
      </c>
      <c r="BR36" s="100" t="n">
        <f aca="false">BR34+BR35</f>
        <v>85795.5636821449</v>
      </c>
      <c r="BS36" s="100" t="n">
        <f aca="false">BS34+BS35</f>
        <v>85795.5636821449</v>
      </c>
      <c r="BT36" s="100" t="n">
        <f aca="false">BT34+BT35</f>
        <v>85795.5636821449</v>
      </c>
      <c r="BU36" s="100" t="n">
        <f aca="false">BU34+BU35</f>
        <v>85795.5636821449</v>
      </c>
      <c r="BV36" s="100" t="n">
        <f aca="false">BV34+BV35</f>
        <v>85795.5636821449</v>
      </c>
      <c r="BW36" s="100" t="n">
        <f aca="false">BW34+BW35</f>
        <v>85795.5636821449</v>
      </c>
      <c r="BX36" s="100" t="n">
        <f aca="false">BX34+BX35</f>
        <v>85795.5636821449</v>
      </c>
      <c r="BY36" s="100" t="n">
        <f aca="false">BY34+BY35</f>
        <v>85795.5636821449</v>
      </c>
      <c r="BZ36" s="100" t="n">
        <f aca="false">BZ34+BZ35</f>
        <v>85795.5636821449</v>
      </c>
      <c r="CA36" s="100" t="n">
        <f aca="false">CA34+CA35</f>
        <v>85795.5636821449</v>
      </c>
      <c r="CB36" s="100" t="n">
        <f aca="false">CB34+CB35</f>
        <v>85795.5636821449</v>
      </c>
      <c r="CC36" s="100" t="n">
        <f aca="false">CC34+CC35</f>
        <v>85795.5636821449</v>
      </c>
      <c r="CD36" s="100" t="n">
        <f aca="false">CD34+CD35</f>
        <v>85795.5636821449</v>
      </c>
      <c r="CE36" s="100" t="n">
        <f aca="false">CE34+CE35</f>
        <v>85795.5636821449</v>
      </c>
      <c r="CF36" s="100" t="n">
        <f aca="false">CF34+CF35</f>
        <v>85795.5636821449</v>
      </c>
      <c r="CG36" s="100" t="n">
        <f aca="false">CG34+CG35</f>
        <v>85795.5636821449</v>
      </c>
      <c r="CH36" s="100" t="n">
        <f aca="false">CH34+CH35</f>
        <v>85795.5636821449</v>
      </c>
    </row>
    <row r="37" customFormat="false" ht="13.5" hidden="false" customHeight="true" outlineLevel="0" collapsed="false">
      <c r="A37" s="6" t="s">
        <v>514</v>
      </c>
      <c r="C37" s="100" t="n">
        <f aca="false">-C36*Hipótesis!$C$34</f>
        <v>-100.5575</v>
      </c>
      <c r="D37" s="100" t="n">
        <f aca="false">-D36*Hipótesis!$C$34</f>
        <v>-208.945</v>
      </c>
      <c r="E37" s="100" t="n">
        <f aca="false">-E36*Hipótesis!$C$34</f>
        <v>-435.1903125</v>
      </c>
      <c r="F37" s="100" t="n">
        <f aca="false">-F36*Hipótesis!$C$34</f>
        <v>-560.878125</v>
      </c>
      <c r="G37" s="100" t="n">
        <f aca="false">-G36*Hipótesis!$C$34</f>
        <v>-678.7359375</v>
      </c>
      <c r="H37" s="100" t="n">
        <f aca="false">-H36*Hipótesis!$C$34</f>
        <v>-868.36875</v>
      </c>
      <c r="I37" s="100" t="n">
        <f aca="false">-I36*Hipótesis!$C$34</f>
        <v>-1207.81215606151</v>
      </c>
      <c r="J37" s="100" t="n">
        <f aca="false">-J36*Hipótesis!$C$34</f>
        <v>-1547.25556212303</v>
      </c>
      <c r="K37" s="100" t="n">
        <f aca="false">-K36*Hipótesis!$C$34</f>
        <v>-1886.69896818454</v>
      </c>
      <c r="L37" s="100" t="n">
        <f aca="false">-L36*Hipótesis!$C$34</f>
        <v>-2226.14237424605</v>
      </c>
      <c r="M37" s="100" t="n">
        <f aca="false">-M36*Hipótesis!$C$34</f>
        <v>-2447.72796780757</v>
      </c>
      <c r="N37" s="100" t="n">
        <f aca="false">-N36*Hipótesis!$C$34</f>
        <v>-2767.18856136908</v>
      </c>
      <c r="O37" s="100" t="n">
        <f aca="false">-O36*Hipótesis!$C$34</f>
        <v>-3086.64915493059</v>
      </c>
      <c r="P37" s="100" t="n">
        <f aca="false">-P36*Hipótesis!$C$34</f>
        <v>-3370.87474849211</v>
      </c>
      <c r="Q37" s="100" t="n">
        <f aca="false">-Q36*Hipótesis!$C$34</f>
        <v>-3655.10034205362</v>
      </c>
      <c r="R37" s="100" t="n">
        <f aca="false">-R36*Hipótesis!$C$34</f>
        <v>-3939.32593561514</v>
      </c>
      <c r="S37" s="100" t="n">
        <f aca="false">-S36*Hipótesis!$C$34</f>
        <v>-4223.55152917665</v>
      </c>
      <c r="T37" s="100" t="n">
        <f aca="false">-T36*Hipótesis!$C$34</f>
        <v>-4507.77712273816</v>
      </c>
      <c r="U37" s="100" t="n">
        <f aca="false">-U36*Hipótesis!$C$34</f>
        <v>-4792.00271629968</v>
      </c>
      <c r="V37" s="100" t="n">
        <f aca="false">-V36*Hipótesis!$C$34</f>
        <v>-5076.22830986119</v>
      </c>
      <c r="W37" s="100" t="n">
        <f aca="false">-W36*Hipótesis!$C$34</f>
        <v>-5360.4539034227</v>
      </c>
      <c r="X37" s="100" t="n">
        <f aca="false">-X36*Hipótesis!$C$34</f>
        <v>-5546.80449698422</v>
      </c>
      <c r="Y37" s="100" t="n">
        <f aca="false">-Y36*Hipótesis!$C$34</f>
        <v>-5733.15509054573</v>
      </c>
      <c r="Z37" s="100" t="n">
        <f aca="false">-Z36*Hipótesis!$C$34</f>
        <v>-5882.96568410724</v>
      </c>
      <c r="AA37" s="100" t="n">
        <f aca="false">-AA36*Hipótesis!$C$34</f>
        <v>-6032.77627766876</v>
      </c>
      <c r="AB37" s="100" t="n">
        <f aca="false">-AB36*Hipótesis!$C$34</f>
        <v>-6182.58687123027</v>
      </c>
      <c r="AC37" s="100" t="n">
        <f aca="false">-AC36*Hipótesis!$C$34</f>
        <v>-6332.39746479179</v>
      </c>
      <c r="AD37" s="100" t="n">
        <f aca="false">-AD36*Hipótesis!$C$34</f>
        <v>-6482.2080583533</v>
      </c>
      <c r="AE37" s="100" t="n">
        <f aca="false">-AE36*Hipótesis!$C$34</f>
        <v>-6632.01865191481</v>
      </c>
      <c r="AF37" s="100" t="n">
        <f aca="false">-AF36*Hipótesis!$C$34</f>
        <v>-6781.82924547633</v>
      </c>
      <c r="AG37" s="100" t="n">
        <f aca="false">-AG36*Hipótesis!$C$34</f>
        <v>-6931.63983903784</v>
      </c>
      <c r="AH37" s="100" t="n">
        <f aca="false">-AH36*Hipótesis!$C$34</f>
        <v>-7081.45043259935</v>
      </c>
      <c r="AI37" s="100" t="n">
        <f aca="false">-AI36*Hipótesis!$C$34</f>
        <v>-7231.26102616086</v>
      </c>
      <c r="AJ37" s="100" t="n">
        <f aca="false">-AJ36*Hipótesis!$C$34</f>
        <v>-7381.07161972238</v>
      </c>
      <c r="AK37" s="100" t="n">
        <f aca="false">-AK36*Hipótesis!$C$34</f>
        <v>-7530.88221328389</v>
      </c>
      <c r="AL37" s="100" t="n">
        <f aca="false">-AL36*Hipótesis!$C$34</f>
        <v>-7680.69280684541</v>
      </c>
      <c r="AM37" s="100" t="n">
        <f aca="false">-AM36*Hipótesis!$C$34</f>
        <v>-7830.50340040692</v>
      </c>
      <c r="AN37" s="100" t="n">
        <f aca="false">-AN36*Hipótesis!$C$34</f>
        <v>-7980.31399396843</v>
      </c>
      <c r="AO37" s="100" t="n">
        <f aca="false">-AO36*Hipótesis!$C$34</f>
        <v>-8130.12458752995</v>
      </c>
      <c r="AP37" s="100" t="n">
        <f aca="false">-AP36*Hipótesis!$C$34</f>
        <v>-8279.93518109146</v>
      </c>
      <c r="AQ37" s="100" t="n">
        <f aca="false">-AQ36*Hipótesis!$C$34</f>
        <v>-8429.74577465297</v>
      </c>
      <c r="AR37" s="100" t="n">
        <f aca="false">-AR36*Hipótesis!$C$34</f>
        <v>-8579.55636821449</v>
      </c>
      <c r="AS37" s="100" t="n">
        <f aca="false">-AS36*Hipótesis!$C$34</f>
        <v>-8579.55636821449</v>
      </c>
      <c r="AT37" s="100" t="n">
        <f aca="false">-AT36*Hipótesis!$C$34</f>
        <v>-8579.55636821449</v>
      </c>
      <c r="AU37" s="100" t="n">
        <f aca="false">-AU36*Hipótesis!$C$34</f>
        <v>-8579.55636821449</v>
      </c>
      <c r="AV37" s="100" t="n">
        <f aca="false">-AV36*Hipótesis!$C$34</f>
        <v>-8579.55636821449</v>
      </c>
      <c r="AW37" s="100" t="n">
        <f aca="false">-AW36*Hipótesis!$C$34</f>
        <v>-8579.55636821449</v>
      </c>
      <c r="AX37" s="100" t="n">
        <f aca="false">-AX36*Hipótesis!$C$34</f>
        <v>-8579.55636821449</v>
      </c>
      <c r="AY37" s="100" t="n">
        <f aca="false">-AY36*Hipótesis!$C$34</f>
        <v>-8579.55636821449</v>
      </c>
      <c r="AZ37" s="100" t="n">
        <f aca="false">-AZ36*Hipótesis!$C$34</f>
        <v>-8579.55636821449</v>
      </c>
      <c r="BA37" s="100" t="n">
        <f aca="false">-BA36*Hipótesis!$C$34</f>
        <v>-8579.55636821449</v>
      </c>
      <c r="BB37" s="100" t="n">
        <f aca="false">-BB36*Hipótesis!$C$34</f>
        <v>-8579.55636821449</v>
      </c>
      <c r="BC37" s="100" t="n">
        <f aca="false">-BC36*Hipótesis!$C$34</f>
        <v>-8579.55636821449</v>
      </c>
      <c r="BD37" s="100" t="n">
        <f aca="false">-BD36*Hipótesis!$C$34</f>
        <v>-8579.55636821449</v>
      </c>
      <c r="BE37" s="100" t="n">
        <f aca="false">-BE36*Hipótesis!$C$34</f>
        <v>-8579.55636821449</v>
      </c>
      <c r="BF37" s="100" t="n">
        <f aca="false">-BF36*Hipótesis!$C$34</f>
        <v>-8579.55636821449</v>
      </c>
      <c r="BG37" s="100" t="n">
        <f aca="false">-BG36*Hipótesis!$C$34</f>
        <v>-8579.55636821449</v>
      </c>
      <c r="BH37" s="100" t="n">
        <f aca="false">-BH36*Hipótesis!$C$34</f>
        <v>-8579.55636821449</v>
      </c>
      <c r="BI37" s="100" t="n">
        <f aca="false">-BI36*Hipótesis!$C$34</f>
        <v>-8579.55636821449</v>
      </c>
      <c r="BJ37" s="100" t="n">
        <f aca="false">-BJ36*Hipótesis!$C$34</f>
        <v>-8579.55636821449</v>
      </c>
      <c r="BK37" s="100" t="n">
        <f aca="false">-BK36*Hipótesis!$C$34</f>
        <v>-8579.55636821449</v>
      </c>
      <c r="BL37" s="100" t="n">
        <f aca="false">-BL36*Hipótesis!$C$34</f>
        <v>-8579.55636821449</v>
      </c>
      <c r="BM37" s="100" t="n">
        <f aca="false">-BM36*Hipótesis!$C$34</f>
        <v>-8579.55636821449</v>
      </c>
      <c r="BN37" s="100" t="n">
        <f aca="false">-BN36*Hipótesis!$C$34</f>
        <v>-8579.55636821449</v>
      </c>
      <c r="BO37" s="100" t="n">
        <f aca="false">-BO36*Hipótesis!$C$34</f>
        <v>-8579.55636821449</v>
      </c>
      <c r="BP37" s="100" t="n">
        <f aca="false">-BP36*Hipótesis!$C$34</f>
        <v>-8579.55636821449</v>
      </c>
      <c r="BQ37" s="100" t="n">
        <f aca="false">-BQ36*Hipótesis!$C$34</f>
        <v>-8579.55636821449</v>
      </c>
      <c r="BR37" s="100" t="n">
        <f aca="false">-BR36*Hipótesis!$C$34</f>
        <v>-8579.55636821449</v>
      </c>
      <c r="BS37" s="100" t="n">
        <f aca="false">-BS36*Hipótesis!$C$34</f>
        <v>-8579.55636821449</v>
      </c>
      <c r="BT37" s="100" t="n">
        <f aca="false">-BT36*Hipótesis!$C$34</f>
        <v>-8579.55636821449</v>
      </c>
      <c r="BU37" s="100" t="n">
        <f aca="false">-BU36*Hipótesis!$C$34</f>
        <v>-8579.55636821449</v>
      </c>
      <c r="BV37" s="100" t="n">
        <f aca="false">-BV36*Hipótesis!$C$34</f>
        <v>-8579.55636821449</v>
      </c>
      <c r="BW37" s="100" t="n">
        <f aca="false">-BW36*Hipótesis!$C$34</f>
        <v>-8579.55636821449</v>
      </c>
      <c r="BX37" s="100" t="n">
        <f aca="false">-BX36*Hipótesis!$C$34</f>
        <v>-8579.55636821449</v>
      </c>
      <c r="BY37" s="100" t="n">
        <f aca="false">-BY36*Hipótesis!$C$34</f>
        <v>-8579.55636821449</v>
      </c>
      <c r="BZ37" s="100" t="n">
        <f aca="false">-BZ36*Hipótesis!$C$34</f>
        <v>-8579.55636821449</v>
      </c>
      <c r="CA37" s="100" t="n">
        <f aca="false">-CA36*Hipótesis!$C$34</f>
        <v>-8579.55636821449</v>
      </c>
      <c r="CB37" s="100" t="n">
        <f aca="false">-CB36*Hipótesis!$C$34</f>
        <v>-8579.55636821449</v>
      </c>
      <c r="CC37" s="100" t="n">
        <f aca="false">-CC36*Hipótesis!$C$34</f>
        <v>-8579.55636821449</v>
      </c>
      <c r="CD37" s="100" t="n">
        <f aca="false">-CD36*Hipótesis!$C$34</f>
        <v>-8579.55636821449</v>
      </c>
      <c r="CE37" s="100" t="n">
        <f aca="false">-CE36*Hipótesis!$C$34</f>
        <v>-8579.55636821449</v>
      </c>
      <c r="CF37" s="100" t="n">
        <f aca="false">-CF36*Hipótesis!$C$34</f>
        <v>-8579.55636821449</v>
      </c>
      <c r="CG37" s="100" t="n">
        <f aca="false">-CG36*Hipótesis!$C$34</f>
        <v>-8579.55636821449</v>
      </c>
      <c r="CH37" s="100" t="n">
        <f aca="false">-CH36*Hipótesis!$C$34</f>
        <v>-8579.55636821449</v>
      </c>
    </row>
    <row r="38" customFormat="false" ht="13.5" hidden="false" customHeight="true" outlineLevel="0" collapsed="false">
      <c r="A38" s="22" t="s">
        <v>515</v>
      </c>
      <c r="C38" s="100" t="n">
        <f aca="false">C36+C37</f>
        <v>905.0175</v>
      </c>
      <c r="D38" s="100" t="n">
        <f aca="false">D36+D37</f>
        <v>1880.505</v>
      </c>
      <c r="E38" s="100" t="n">
        <f aca="false">E36+E37</f>
        <v>3916.7128125</v>
      </c>
      <c r="F38" s="100" t="n">
        <f aca="false">F36+F37</f>
        <v>5047.903125</v>
      </c>
      <c r="G38" s="100" t="n">
        <f aca="false">G36+G37</f>
        <v>6108.6234375</v>
      </c>
      <c r="H38" s="100" t="n">
        <f aca="false">H36+H37</f>
        <v>7815.31875</v>
      </c>
      <c r="I38" s="100" t="n">
        <f aca="false">I36+I37</f>
        <v>10870.3094045536</v>
      </c>
      <c r="J38" s="100" t="n">
        <f aca="false">J36+J37</f>
        <v>13925.3000591072</v>
      </c>
      <c r="K38" s="100" t="n">
        <f aca="false">K36+K37</f>
        <v>16980.2907136609</v>
      </c>
      <c r="L38" s="100" t="n">
        <f aca="false">L36+L37</f>
        <v>20035.2813682145</v>
      </c>
      <c r="M38" s="100" t="n">
        <f aca="false">M36+M37</f>
        <v>22029.5517102681</v>
      </c>
      <c r="N38" s="100" t="n">
        <f aca="false">N36+N37</f>
        <v>24904.6970523217</v>
      </c>
      <c r="O38" s="100" t="n">
        <f aca="false">O36+O37</f>
        <v>27779.8423943754</v>
      </c>
      <c r="P38" s="100" t="n">
        <f aca="false">P36+P37</f>
        <v>30337.872736429</v>
      </c>
      <c r="Q38" s="100" t="n">
        <f aca="false">Q36+Q37</f>
        <v>32895.9030784826</v>
      </c>
      <c r="R38" s="100" t="n">
        <f aca="false">R36+R37</f>
        <v>35453.9334205362</v>
      </c>
      <c r="S38" s="100" t="n">
        <f aca="false">S36+S37</f>
        <v>38011.9637625898</v>
      </c>
      <c r="T38" s="100" t="n">
        <f aca="false">T36+T37</f>
        <v>40569.9941046435</v>
      </c>
      <c r="U38" s="100" t="n">
        <f aca="false">U36+U37</f>
        <v>43128.0244466971</v>
      </c>
      <c r="V38" s="100" t="n">
        <f aca="false">V36+V37</f>
        <v>45686.0547887507</v>
      </c>
      <c r="W38" s="100" t="n">
        <f aca="false">W36+W37</f>
        <v>48244.0851308043</v>
      </c>
      <c r="X38" s="100" t="n">
        <f aca="false">X36+X37</f>
        <v>49921.2404728579</v>
      </c>
      <c r="Y38" s="100" t="n">
        <f aca="false">Y36+Y37</f>
        <v>51598.3958149116</v>
      </c>
      <c r="Z38" s="100" t="n">
        <f aca="false">Z36+Z37</f>
        <v>52946.6911569652</v>
      </c>
      <c r="AA38" s="100" t="n">
        <f aca="false">AA36+AA37</f>
        <v>54294.9864990188</v>
      </c>
      <c r="AB38" s="100" t="n">
        <f aca="false">AB36+AB37</f>
        <v>55643.2818410724</v>
      </c>
      <c r="AC38" s="100" t="n">
        <f aca="false">AC36+AC37</f>
        <v>56991.5771831261</v>
      </c>
      <c r="AD38" s="100" t="n">
        <f aca="false">AD36+AD37</f>
        <v>58339.8725251797</v>
      </c>
      <c r="AE38" s="100" t="n">
        <f aca="false">AE36+AE37</f>
        <v>59688.1678672333</v>
      </c>
      <c r="AF38" s="100" t="n">
        <f aca="false">AF36+AF37</f>
        <v>61036.4632092869</v>
      </c>
      <c r="AG38" s="100" t="n">
        <f aca="false">AG36+AG37</f>
        <v>62384.7585513405</v>
      </c>
      <c r="AH38" s="100" t="n">
        <f aca="false">AH36+AH37</f>
        <v>63733.0538933942</v>
      </c>
      <c r="AI38" s="100" t="n">
        <f aca="false">AI36+AI37</f>
        <v>65081.3492354478</v>
      </c>
      <c r="AJ38" s="100" t="n">
        <f aca="false">AJ36+AJ37</f>
        <v>66429.6445775014</v>
      </c>
      <c r="AK38" s="100" t="n">
        <f aca="false">AK36+AK37</f>
        <v>67777.939919555</v>
      </c>
      <c r="AL38" s="100" t="n">
        <f aca="false">AL36+AL37</f>
        <v>69126.2352616087</v>
      </c>
      <c r="AM38" s="100" t="n">
        <f aca="false">AM36+AM37</f>
        <v>70474.5306036623</v>
      </c>
      <c r="AN38" s="100" t="n">
        <f aca="false">AN36+AN37</f>
        <v>71822.8259457159</v>
      </c>
      <c r="AO38" s="100" t="n">
        <f aca="false">AO36+AO37</f>
        <v>73171.1212877695</v>
      </c>
      <c r="AP38" s="100" t="n">
        <f aca="false">AP36+AP37</f>
        <v>74519.4166298231</v>
      </c>
      <c r="AQ38" s="100" t="n">
        <f aca="false">AQ36+AQ37</f>
        <v>75867.7119718768</v>
      </c>
      <c r="AR38" s="100" t="n">
        <f aca="false">AR36+AR37</f>
        <v>77216.0073139304</v>
      </c>
      <c r="AS38" s="100" t="n">
        <f aca="false">AS36+AS37</f>
        <v>77216.0073139304</v>
      </c>
      <c r="AT38" s="100" t="n">
        <f aca="false">AT36+AT37</f>
        <v>77216.0073139304</v>
      </c>
      <c r="AU38" s="100" t="n">
        <f aca="false">AU36+AU37</f>
        <v>77216.0073139304</v>
      </c>
      <c r="AV38" s="100" t="n">
        <f aca="false">AV36+AV37</f>
        <v>77216.0073139304</v>
      </c>
      <c r="AW38" s="100" t="n">
        <f aca="false">AW36+AW37</f>
        <v>77216.0073139304</v>
      </c>
      <c r="AX38" s="100" t="n">
        <f aca="false">AX36+AX37</f>
        <v>77216.0073139304</v>
      </c>
      <c r="AY38" s="100" t="n">
        <f aca="false">AY36+AY37</f>
        <v>77216.0073139304</v>
      </c>
      <c r="AZ38" s="100" t="n">
        <f aca="false">AZ36+AZ37</f>
        <v>77216.0073139304</v>
      </c>
      <c r="BA38" s="100" t="n">
        <f aca="false">BA36+BA37</f>
        <v>77216.0073139304</v>
      </c>
      <c r="BB38" s="100" t="n">
        <f aca="false">BB36+BB37</f>
        <v>77216.0073139304</v>
      </c>
      <c r="BC38" s="100" t="n">
        <f aca="false">BC36+BC37</f>
        <v>77216.0073139304</v>
      </c>
      <c r="BD38" s="100" t="n">
        <f aca="false">BD36+BD37</f>
        <v>77216.0073139304</v>
      </c>
      <c r="BE38" s="100" t="n">
        <f aca="false">BE36+BE37</f>
        <v>77216.0073139304</v>
      </c>
      <c r="BF38" s="100" t="n">
        <f aca="false">BF36+BF37</f>
        <v>77216.0073139304</v>
      </c>
      <c r="BG38" s="100" t="n">
        <f aca="false">BG36+BG37</f>
        <v>77216.0073139304</v>
      </c>
      <c r="BH38" s="100" t="n">
        <f aca="false">BH36+BH37</f>
        <v>77216.0073139304</v>
      </c>
      <c r="BI38" s="100" t="n">
        <f aca="false">BI36+BI37</f>
        <v>77216.0073139304</v>
      </c>
      <c r="BJ38" s="100" t="n">
        <f aca="false">BJ36+BJ37</f>
        <v>77216.0073139304</v>
      </c>
      <c r="BK38" s="100" t="n">
        <f aca="false">BK36+BK37</f>
        <v>77216.0073139304</v>
      </c>
      <c r="BL38" s="100" t="n">
        <f aca="false">BL36+BL37</f>
        <v>77216.0073139304</v>
      </c>
      <c r="BM38" s="100" t="n">
        <f aca="false">BM36+BM37</f>
        <v>77216.0073139304</v>
      </c>
      <c r="BN38" s="100" t="n">
        <f aca="false">BN36+BN37</f>
        <v>77216.0073139304</v>
      </c>
      <c r="BO38" s="100" t="n">
        <f aca="false">BO36+BO37</f>
        <v>77216.0073139304</v>
      </c>
      <c r="BP38" s="100" t="n">
        <f aca="false">BP36+BP37</f>
        <v>77216.0073139304</v>
      </c>
      <c r="BQ38" s="100" t="n">
        <f aca="false">BQ36+BQ37</f>
        <v>77216.0073139304</v>
      </c>
      <c r="BR38" s="100" t="n">
        <f aca="false">BR36+BR37</f>
        <v>77216.0073139304</v>
      </c>
      <c r="BS38" s="100" t="n">
        <f aca="false">BS36+BS37</f>
        <v>77216.0073139304</v>
      </c>
      <c r="BT38" s="100" t="n">
        <f aca="false">BT36+BT37</f>
        <v>77216.0073139304</v>
      </c>
      <c r="BU38" s="100" t="n">
        <f aca="false">BU36+BU37</f>
        <v>77216.0073139304</v>
      </c>
      <c r="BV38" s="100" t="n">
        <f aca="false">BV36+BV37</f>
        <v>77216.0073139304</v>
      </c>
      <c r="BW38" s="100" t="n">
        <f aca="false">BW36+BW37</f>
        <v>77216.0073139304</v>
      </c>
      <c r="BX38" s="100" t="n">
        <f aca="false">BX36+BX37</f>
        <v>77216.0073139304</v>
      </c>
      <c r="BY38" s="100" t="n">
        <f aca="false">BY36+BY37</f>
        <v>77216.0073139304</v>
      </c>
      <c r="BZ38" s="100" t="n">
        <f aca="false">BZ36+BZ37</f>
        <v>77216.0073139304</v>
      </c>
      <c r="CA38" s="100" t="n">
        <f aca="false">CA36+CA37</f>
        <v>77216.0073139304</v>
      </c>
      <c r="CB38" s="100" t="n">
        <f aca="false">CB36+CB37</f>
        <v>77216.0073139304</v>
      </c>
      <c r="CC38" s="100" t="n">
        <f aca="false">CC36+CC37</f>
        <v>77216.0073139304</v>
      </c>
      <c r="CD38" s="100" t="n">
        <f aca="false">CD36+CD37</f>
        <v>77216.0073139304</v>
      </c>
      <c r="CE38" s="100" t="n">
        <f aca="false">CE36+CE37</f>
        <v>77216.0073139304</v>
      </c>
      <c r="CF38" s="100" t="n">
        <f aca="false">CF36+CF37</f>
        <v>77216.0073139304</v>
      </c>
      <c r="CG38" s="100" t="n">
        <f aca="false">CG36+CG37</f>
        <v>77216.0073139304</v>
      </c>
      <c r="CH38" s="100" t="n">
        <f aca="false">CH36+CH37</f>
        <v>77216.0073139304</v>
      </c>
    </row>
    <row r="39" customFormat="false" ht="13.5" hidden="false" customHeight="true" outlineLevel="0" collapsed="false">
      <c r="A39" s="6" t="s">
        <v>516</v>
      </c>
      <c r="C39" s="100" t="n">
        <f aca="false">-(C19*C21*Hipótesis!$C$18+C23*Hipótesis!$C$22)</f>
        <v>-109.098</v>
      </c>
      <c r="D39" s="100" t="n">
        <f aca="false">-(D19*D21*Hipótesis!$C$18+D23*Hipótesis!$C$22)</f>
        <v>-234.623647058823</v>
      </c>
      <c r="E39" s="100" t="n">
        <f aca="false">-(E19*E21*Hipótesis!$C$18+E23*Hipótesis!$C$22)</f>
        <v>-579.188495010504</v>
      </c>
      <c r="F39" s="100" t="n">
        <f aca="false">-(F19*F21*Hipótesis!$C$18+F23*Hipótesis!$C$22)</f>
        <v>-814.655342962185</v>
      </c>
      <c r="G39" s="100" t="n">
        <f aca="false">-(G19*G21*Hipótesis!$C$18+G23*Hipótesis!$C$22)</f>
        <v>-1033.69454385504</v>
      </c>
      <c r="H39" s="100" t="n">
        <f aca="false">-(H19*H21*Hipótesis!$C$18+H23*Hipótesis!$C$22)</f>
        <v>-1440.96720063025</v>
      </c>
      <c r="I39" s="100" t="n">
        <f aca="false">-(I19*I21*Hipótesis!$C$18+I23*Hipótesis!$C$22)</f>
        <v>-2185.86807778384</v>
      </c>
      <c r="J39" s="100" t="n">
        <f aca="false">-(J19*J21*Hipótesis!$C$18+J23*Hipótesis!$C$22)</f>
        <v>-2930.76895493743</v>
      </c>
      <c r="K39" s="100" t="n">
        <f aca="false">-(K19*K21*Hipótesis!$C$18+K23*Hipótesis!$C$22)</f>
        <v>-3675.66983209102</v>
      </c>
      <c r="L39" s="100" t="n">
        <f aca="false">-(L19*L21*Hipótesis!$C$18+L23*Hipótesis!$C$22)</f>
        <v>-4420.57070924461</v>
      </c>
      <c r="M39" s="100" t="n">
        <f aca="false">-(M19*M21*Hipótesis!$C$18+M23*Hipótesis!$C$22)</f>
        <v>-4946.43238550534</v>
      </c>
      <c r="N39" s="100" t="n">
        <f aca="false">-(N19*N21*Hipótesis!$C$18+N23*Hipótesis!$C$22)</f>
        <v>-5746.08817941313</v>
      </c>
      <c r="O39" s="100" t="n">
        <f aca="false">-(O19*O21*Hipótesis!$C$18+O23*Hipótesis!$C$22)</f>
        <v>-6545.74397332092</v>
      </c>
      <c r="P39" s="100" t="n">
        <f aca="false">-(P19*P21*Hipótesis!$C$18+P23*Hipótesis!$C$22)</f>
        <v>-7266.68395840518</v>
      </c>
      <c r="Q39" s="100" t="n">
        <f aca="false">-(Q19*Q21*Hipótesis!$C$18+Q23*Hipótesis!$C$22)</f>
        <v>-7987.62394348944</v>
      </c>
      <c r="R39" s="100" t="n">
        <f aca="false">-(R19*R21*Hipótesis!$C$18+R23*Hipótesis!$C$22)</f>
        <v>-8708.5639285737</v>
      </c>
      <c r="S39" s="100" t="n">
        <f aca="false">-(S19*S21*Hipótesis!$C$18+S23*Hipótesis!$C$22)</f>
        <v>-9429.50391365796</v>
      </c>
      <c r="T39" s="100" t="n">
        <f aca="false">-(T19*T21*Hipótesis!$C$18+T23*Hipótesis!$C$22)</f>
        <v>-10150.4438987422</v>
      </c>
      <c r="U39" s="100" t="n">
        <f aca="false">-(U19*U21*Hipótesis!$C$18+U23*Hipótesis!$C$22)</f>
        <v>-10871.3838838265</v>
      </c>
      <c r="V39" s="100" t="n">
        <f aca="false">-(V19*V21*Hipótesis!$C$18+V23*Hipótesis!$C$22)</f>
        <v>-11592.3238689107</v>
      </c>
      <c r="W39" s="100" t="n">
        <f aca="false">-(W19*W21*Hipótesis!$C$18+W23*Hipótesis!$C$22)</f>
        <v>-12313.263853995</v>
      </c>
      <c r="X39" s="100" t="n">
        <f aca="false">-(X19*X21*Hipótesis!$C$18+X23*Hipótesis!$C$22)</f>
        <v>-12760.4097214322</v>
      </c>
      <c r="Y39" s="100" t="n">
        <f aca="false">-(Y19*Y21*Hipótesis!$C$18+Y23*Hipótesis!$C$22)</f>
        <v>-13207.5555888694</v>
      </c>
      <c r="Z39" s="100" t="n">
        <f aca="false">-(Z19*Z21*Hipótesis!$C$18+Z23*Hipótesis!$C$22)</f>
        <v>-13545.1838092478</v>
      </c>
      <c r="AA39" s="100" t="n">
        <f aca="false">-(AA19*AA21*Hipótesis!$C$18+AA23*Hipótesis!$C$22)</f>
        <v>-13882.8120296262</v>
      </c>
      <c r="AB39" s="100" t="n">
        <f aca="false">-(AB19*AB21*Hipótesis!$C$18+AB23*Hipótesis!$C$22)</f>
        <v>-14220.4402500045</v>
      </c>
      <c r="AC39" s="100" t="n">
        <f aca="false">-(AC19*AC21*Hipótesis!$C$18+AC23*Hipótesis!$C$22)</f>
        <v>-14558.0684703829</v>
      </c>
      <c r="AD39" s="100" t="n">
        <f aca="false">-(AD19*AD21*Hipótesis!$C$18+AD23*Hipótesis!$C$22)</f>
        <v>-14895.6966907613</v>
      </c>
      <c r="AE39" s="100" t="n">
        <f aca="false">-(AE19*AE21*Hipótesis!$C$18+AE23*Hipótesis!$C$22)</f>
        <v>-15233.3249111397</v>
      </c>
      <c r="AF39" s="100" t="n">
        <f aca="false">-(AF19*AF21*Hipótesis!$C$18+AF23*Hipótesis!$C$22)</f>
        <v>-15570.9531315181</v>
      </c>
      <c r="AG39" s="100" t="n">
        <f aca="false">-(AG19*AG21*Hipótesis!$C$18+AG23*Hipótesis!$C$22)</f>
        <v>-15908.5813518964</v>
      </c>
      <c r="AH39" s="100" t="n">
        <f aca="false">-(AH19*AH21*Hipótesis!$C$18+AH23*Hipótesis!$C$22)</f>
        <v>-16246.2095722748</v>
      </c>
      <c r="AI39" s="100" t="n">
        <f aca="false">-(AI19*AI21*Hipótesis!$C$18+AI23*Hipótesis!$C$22)</f>
        <v>-16583.8377926532</v>
      </c>
      <c r="AJ39" s="100" t="n">
        <f aca="false">-(AJ19*AJ21*Hipótesis!$C$18+AJ23*Hipótesis!$C$22)</f>
        <v>-16921.4660130316</v>
      </c>
      <c r="AK39" s="100" t="n">
        <f aca="false">-(AK19*AK21*Hipótesis!$C$18+AK23*Hipótesis!$C$22)</f>
        <v>-17259.09423341</v>
      </c>
      <c r="AL39" s="100" t="n">
        <f aca="false">-(AL19*AL21*Hipótesis!$C$18+AL23*Hipótesis!$C$22)</f>
        <v>-17596.7224537883</v>
      </c>
      <c r="AM39" s="100" t="n">
        <f aca="false">-(AM19*AM21*Hipótesis!$C$18+AM23*Hipótesis!$C$22)</f>
        <v>-17934.3506741667</v>
      </c>
      <c r="AN39" s="100" t="n">
        <f aca="false">-(AN19*AN21*Hipótesis!$C$18+AN23*Hipótesis!$C$22)</f>
        <v>-18271.9788945451</v>
      </c>
      <c r="AO39" s="100" t="n">
        <f aca="false">-(AO19*AO21*Hipótesis!$C$18+AO23*Hipótesis!$C$22)</f>
        <v>-18609.6071149235</v>
      </c>
      <c r="AP39" s="100" t="n">
        <f aca="false">-(AP19*AP21*Hipótesis!$C$18+AP23*Hipótesis!$C$22)</f>
        <v>-18947.2353353018</v>
      </c>
      <c r="AQ39" s="100" t="n">
        <f aca="false">-(AQ19*AQ21*Hipótesis!$C$18+AQ23*Hipótesis!$C$22)</f>
        <v>-19284.8635556802</v>
      </c>
      <c r="AR39" s="100" t="n">
        <f aca="false">-(AR19*AR21*Hipótesis!$C$18+AR23*Hipótesis!$C$22)</f>
        <v>-19622.4917760586</v>
      </c>
      <c r="AS39" s="100" t="n">
        <f aca="false">-(AS19*AS21*Hipótesis!$C$18+AS23*Hipótesis!$C$22)</f>
        <v>-19622.4917760586</v>
      </c>
      <c r="AT39" s="100" t="n">
        <f aca="false">-(AT19*AT21*Hipótesis!$C$18+AT23*Hipótesis!$C$22)</f>
        <v>-19622.4917760586</v>
      </c>
      <c r="AU39" s="100" t="n">
        <f aca="false">-(AU19*AU21*Hipótesis!$C$18+AU23*Hipótesis!$C$22)</f>
        <v>-19622.4917760586</v>
      </c>
      <c r="AV39" s="100" t="n">
        <f aca="false">-(AV19*AV21*Hipótesis!$C$18+AV23*Hipótesis!$C$22)</f>
        <v>-19622.4917760586</v>
      </c>
      <c r="AW39" s="100" t="n">
        <f aca="false">-(AW19*AW21*Hipótesis!$C$18+AW23*Hipótesis!$C$22)</f>
        <v>-19622.4917760586</v>
      </c>
      <c r="AX39" s="100" t="n">
        <f aca="false">-(AX19*AX21*Hipótesis!$C$18+AX23*Hipótesis!$C$22)</f>
        <v>-19622.4917760586</v>
      </c>
      <c r="AY39" s="100" t="n">
        <f aca="false">-(AY19*AY21*Hipótesis!$C$18+AY23*Hipótesis!$C$22)</f>
        <v>-19622.4917760586</v>
      </c>
      <c r="AZ39" s="100" t="n">
        <f aca="false">-(AZ19*AZ21*Hipótesis!$C$18+AZ23*Hipótesis!$C$22)</f>
        <v>-19622.4917760586</v>
      </c>
      <c r="BA39" s="100" t="n">
        <f aca="false">-(BA19*BA21*Hipótesis!$C$18+BA23*Hipótesis!$C$22)</f>
        <v>-19622.4917760586</v>
      </c>
      <c r="BB39" s="100" t="n">
        <f aca="false">-(BB19*BB21*Hipótesis!$C$18+BB23*Hipótesis!$C$22)</f>
        <v>-19622.4917760586</v>
      </c>
      <c r="BC39" s="100" t="n">
        <f aca="false">-(BC19*BC21*Hipótesis!$C$18+BC23*Hipótesis!$C$22)</f>
        <v>-19622.4917760586</v>
      </c>
      <c r="BD39" s="100" t="n">
        <f aca="false">-(BD19*BD21*Hipótesis!$C$18+BD23*Hipótesis!$C$22)</f>
        <v>-19622.4917760586</v>
      </c>
      <c r="BE39" s="100" t="n">
        <f aca="false">-(BE19*BE21*Hipótesis!$C$18+BE23*Hipótesis!$C$22)</f>
        <v>-19622.4917760586</v>
      </c>
      <c r="BF39" s="100" t="n">
        <f aca="false">-(BF19*BF21*Hipótesis!$C$18+BF23*Hipótesis!$C$22)</f>
        <v>-19622.4917760586</v>
      </c>
      <c r="BG39" s="100" t="n">
        <f aca="false">-(BG19*BG21*Hipótesis!$C$18+BG23*Hipótesis!$C$22)</f>
        <v>-19622.4917760586</v>
      </c>
      <c r="BH39" s="100" t="n">
        <f aca="false">-(BH19*BH21*Hipótesis!$C$18+BH23*Hipótesis!$C$22)</f>
        <v>-19622.4917760586</v>
      </c>
      <c r="BI39" s="100" t="n">
        <f aca="false">-(BI19*BI21*Hipótesis!$C$18+BI23*Hipótesis!$C$22)</f>
        <v>-19622.4917760586</v>
      </c>
      <c r="BJ39" s="100" t="n">
        <f aca="false">-(BJ19*BJ21*Hipótesis!$C$18+BJ23*Hipótesis!$C$22)</f>
        <v>-19622.4917760586</v>
      </c>
      <c r="BK39" s="100" t="n">
        <f aca="false">-(BK19*BK21*Hipótesis!$C$18+BK23*Hipótesis!$C$22)</f>
        <v>-19622.4917760586</v>
      </c>
      <c r="BL39" s="100" t="n">
        <f aca="false">-(BL19*BL21*Hipótesis!$C$18+BL23*Hipótesis!$C$22)</f>
        <v>-19622.4917760586</v>
      </c>
      <c r="BM39" s="100" t="n">
        <f aca="false">-(BM19*BM21*Hipótesis!$C$18+BM23*Hipótesis!$C$22)</f>
        <v>-19622.4917760586</v>
      </c>
      <c r="BN39" s="100" t="n">
        <f aca="false">-(BN19*BN21*Hipótesis!$C$18+BN23*Hipótesis!$C$22)</f>
        <v>-19622.4917760586</v>
      </c>
      <c r="BO39" s="100" t="n">
        <f aca="false">-(BO19*BO21*Hipótesis!$C$18+BO23*Hipótesis!$C$22)</f>
        <v>-19622.4917760586</v>
      </c>
      <c r="BP39" s="100" t="n">
        <f aca="false">-(BP19*BP21*Hipótesis!$C$18+BP23*Hipótesis!$C$22)</f>
        <v>-19622.4917760586</v>
      </c>
      <c r="BQ39" s="100" t="n">
        <f aca="false">-(BQ19*BQ21*Hipótesis!$C$18+BQ23*Hipótesis!$C$22)</f>
        <v>-19622.4917760586</v>
      </c>
      <c r="BR39" s="100" t="n">
        <f aca="false">-(BR19*BR21*Hipótesis!$C$18+BR23*Hipótesis!$C$22)</f>
        <v>-19622.4917760586</v>
      </c>
      <c r="BS39" s="100" t="n">
        <f aca="false">-(BS19*BS21*Hipótesis!$C$18+BS23*Hipótesis!$C$22)</f>
        <v>-19622.4917760586</v>
      </c>
      <c r="BT39" s="100" t="n">
        <f aca="false">-(BT19*BT21*Hipótesis!$C$18+BT23*Hipótesis!$C$22)</f>
        <v>-19622.4917760586</v>
      </c>
      <c r="BU39" s="100" t="n">
        <f aca="false">-(BU19*BU21*Hipótesis!$C$18+BU23*Hipótesis!$C$22)</f>
        <v>-19622.4917760586</v>
      </c>
      <c r="BV39" s="100" t="n">
        <f aca="false">-(BV19*BV21*Hipótesis!$C$18+BV23*Hipótesis!$C$22)</f>
        <v>-19622.4917760586</v>
      </c>
      <c r="BW39" s="100" t="n">
        <f aca="false">-(BW19*BW21*Hipótesis!$C$18+BW23*Hipótesis!$C$22)</f>
        <v>-19622.4917760586</v>
      </c>
      <c r="BX39" s="100" t="n">
        <f aca="false">-(BX19*BX21*Hipótesis!$C$18+BX23*Hipótesis!$C$22)</f>
        <v>-19622.4917760586</v>
      </c>
      <c r="BY39" s="100" t="n">
        <f aca="false">-(BY19*BY21*Hipótesis!$C$18+BY23*Hipótesis!$C$22)</f>
        <v>-19622.4917760586</v>
      </c>
      <c r="BZ39" s="100" t="n">
        <f aca="false">-(BZ19*BZ21*Hipótesis!$C$18+BZ23*Hipótesis!$C$22)</f>
        <v>-19622.4917760586</v>
      </c>
      <c r="CA39" s="100" t="n">
        <f aca="false">-(CA19*CA21*Hipótesis!$C$18+CA23*Hipótesis!$C$22)</f>
        <v>-19622.4917760586</v>
      </c>
      <c r="CB39" s="100" t="n">
        <f aca="false">-(CB19*CB21*Hipótesis!$C$18+CB23*Hipótesis!$C$22)</f>
        <v>-19622.4917760586</v>
      </c>
      <c r="CC39" s="100" t="n">
        <f aca="false">-(CC19*CC21*Hipótesis!$C$18+CC23*Hipótesis!$C$22)</f>
        <v>-19622.4917760586</v>
      </c>
      <c r="CD39" s="100" t="n">
        <f aca="false">-(CD19*CD21*Hipótesis!$C$18+CD23*Hipótesis!$C$22)</f>
        <v>-19622.4917760586</v>
      </c>
      <c r="CE39" s="100" t="n">
        <f aca="false">-(CE19*CE21*Hipótesis!$C$18+CE23*Hipótesis!$C$22)</f>
        <v>-19622.4917760586</v>
      </c>
      <c r="CF39" s="100" t="n">
        <f aca="false">-(CF19*CF21*Hipótesis!$C$18+CF23*Hipótesis!$C$22)</f>
        <v>-19622.4917760586</v>
      </c>
      <c r="CG39" s="100" t="n">
        <f aca="false">-(CG19*CG21*Hipótesis!$C$18+CG23*Hipótesis!$C$22)</f>
        <v>-19622.4917760586</v>
      </c>
      <c r="CH39" s="100" t="n">
        <f aca="false">-(CH19*CH21*Hipótesis!$C$18+CH23*Hipótesis!$C$22)</f>
        <v>-19622.4917760586</v>
      </c>
    </row>
    <row r="40" customFormat="false" ht="13.5" hidden="false" customHeight="true" outlineLevel="0" collapsed="false">
      <c r="A40" s="46" t="s">
        <v>517</v>
      </c>
      <c r="C40" s="63" t="n">
        <f aca="false">C38+C39</f>
        <v>795.9195</v>
      </c>
      <c r="D40" s="63" t="n">
        <f aca="false">D38+D39</f>
        <v>1645.88135294118</v>
      </c>
      <c r="E40" s="63" t="n">
        <f aca="false">E38+E39</f>
        <v>3337.5243174895</v>
      </c>
      <c r="F40" s="63" t="n">
        <f aca="false">F38+F39</f>
        <v>4233.24778203782</v>
      </c>
      <c r="G40" s="63" t="n">
        <f aca="false">G38+G39</f>
        <v>5074.92889364496</v>
      </c>
      <c r="H40" s="63" t="n">
        <f aca="false">H38+H39</f>
        <v>6374.35154936975</v>
      </c>
      <c r="I40" s="63" t="n">
        <f aca="false">I38+I39</f>
        <v>8684.44132676978</v>
      </c>
      <c r="J40" s="63" t="n">
        <f aca="false">J38+J39</f>
        <v>10994.5311041698</v>
      </c>
      <c r="K40" s="63" t="n">
        <f aca="false">K38+K39</f>
        <v>13304.6208815698</v>
      </c>
      <c r="L40" s="63" t="n">
        <f aca="false">L38+L39</f>
        <v>15614.7106589699</v>
      </c>
      <c r="M40" s="63" t="n">
        <f aca="false">M38+M39</f>
        <v>17083.1193247628</v>
      </c>
      <c r="N40" s="63" t="n">
        <f aca="false">N38+N39</f>
        <v>19158.6088729086</v>
      </c>
      <c r="O40" s="63" t="n">
        <f aca="false">O38+O39</f>
        <v>21234.0984210544</v>
      </c>
      <c r="P40" s="63" t="n">
        <f aca="false">P38+P39</f>
        <v>23071.1887780238</v>
      </c>
      <c r="Q40" s="63" t="n">
        <f aca="false">Q38+Q39</f>
        <v>24908.2791349932</v>
      </c>
      <c r="R40" s="63" t="n">
        <f aca="false">R38+R39</f>
        <v>26745.3694919625</v>
      </c>
      <c r="S40" s="63" t="n">
        <f aca="false">S38+S39</f>
        <v>28582.4598489319</v>
      </c>
      <c r="T40" s="63" t="n">
        <f aca="false">T38+T39</f>
        <v>30419.5502059012</v>
      </c>
      <c r="U40" s="63" t="n">
        <f aca="false">U38+U39</f>
        <v>32256.6405628706</v>
      </c>
      <c r="V40" s="63" t="n">
        <f aca="false">V38+V39</f>
        <v>34093.73091984</v>
      </c>
      <c r="W40" s="63" t="n">
        <f aca="false">W38+W39</f>
        <v>35930.8212768093</v>
      </c>
      <c r="X40" s="63" t="n">
        <f aca="false">X38+X39</f>
        <v>37160.8307514257</v>
      </c>
      <c r="Y40" s="63" t="n">
        <f aca="false">Y38+Y39</f>
        <v>38390.8402260422</v>
      </c>
      <c r="Z40" s="63" t="n">
        <f aca="false">Z38+Z39</f>
        <v>39401.5073477174</v>
      </c>
      <c r="AA40" s="63" t="n">
        <f aca="false">AA38+AA39</f>
        <v>40412.1744693926</v>
      </c>
      <c r="AB40" s="63" t="n">
        <f aca="false">AB38+AB39</f>
        <v>41422.8415910679</v>
      </c>
      <c r="AC40" s="63" t="n">
        <f aca="false">AC38+AC39</f>
        <v>42433.5087127431</v>
      </c>
      <c r="AD40" s="63" t="n">
        <f aca="false">AD38+AD39</f>
        <v>43444.1758344184</v>
      </c>
      <c r="AE40" s="63" t="n">
        <f aca="false">AE38+AE39</f>
        <v>44454.8429560936</v>
      </c>
      <c r="AF40" s="63" t="n">
        <f aca="false">AF38+AF39</f>
        <v>45465.5100777689</v>
      </c>
      <c r="AG40" s="63" t="n">
        <f aca="false">AG38+AG39</f>
        <v>46476.1771994441</v>
      </c>
      <c r="AH40" s="63" t="n">
        <f aca="false">AH38+AH39</f>
        <v>47486.8443211193</v>
      </c>
      <c r="AI40" s="63" t="n">
        <f aca="false">AI38+AI39</f>
        <v>48497.5114427946</v>
      </c>
      <c r="AJ40" s="63" t="n">
        <f aca="false">AJ38+AJ39</f>
        <v>49508.1785644698</v>
      </c>
      <c r="AK40" s="63" t="n">
        <f aca="false">AK38+AK39</f>
        <v>50518.8456861451</v>
      </c>
      <c r="AL40" s="63" t="n">
        <f aca="false">AL38+AL39</f>
        <v>51529.5128078203</v>
      </c>
      <c r="AM40" s="63" t="n">
        <f aca="false">AM38+AM39</f>
        <v>52540.1799294956</v>
      </c>
      <c r="AN40" s="63" t="n">
        <f aca="false">AN38+AN39</f>
        <v>53550.8470511708</v>
      </c>
      <c r="AO40" s="63" t="n">
        <f aca="false">AO38+AO39</f>
        <v>54561.5141728461</v>
      </c>
      <c r="AP40" s="63" t="n">
        <f aca="false">AP38+AP39</f>
        <v>55572.1812945213</v>
      </c>
      <c r="AQ40" s="63" t="n">
        <f aca="false">AQ38+AQ39</f>
        <v>56582.8484161965</v>
      </c>
      <c r="AR40" s="63" t="n">
        <f aca="false">AR38+AR39</f>
        <v>57593.5155378718</v>
      </c>
      <c r="AS40" s="63" t="n">
        <f aca="false">AS38+AS39</f>
        <v>57593.5155378718</v>
      </c>
      <c r="AT40" s="63" t="n">
        <f aca="false">AT38+AT39</f>
        <v>57593.5155378718</v>
      </c>
      <c r="AU40" s="63" t="n">
        <f aca="false">AU38+AU39</f>
        <v>57593.5155378718</v>
      </c>
      <c r="AV40" s="63" t="n">
        <f aca="false">AV38+AV39</f>
        <v>57593.5155378718</v>
      </c>
      <c r="AW40" s="63" t="n">
        <f aca="false">AW38+AW39</f>
        <v>57593.5155378718</v>
      </c>
      <c r="AX40" s="63" t="n">
        <f aca="false">AX38+AX39</f>
        <v>57593.5155378718</v>
      </c>
      <c r="AY40" s="63" t="n">
        <f aca="false">AY38+AY39</f>
        <v>57593.5155378718</v>
      </c>
      <c r="AZ40" s="63" t="n">
        <f aca="false">AZ38+AZ39</f>
        <v>57593.5155378718</v>
      </c>
      <c r="BA40" s="63" t="n">
        <f aca="false">BA38+BA39</f>
        <v>57593.5155378718</v>
      </c>
      <c r="BB40" s="63" t="n">
        <f aca="false">BB38+BB39</f>
        <v>57593.5155378718</v>
      </c>
      <c r="BC40" s="63" t="n">
        <f aca="false">BC38+BC39</f>
        <v>57593.5155378718</v>
      </c>
      <c r="BD40" s="63" t="n">
        <f aca="false">BD38+BD39</f>
        <v>57593.5155378718</v>
      </c>
      <c r="BE40" s="63" t="n">
        <f aca="false">BE38+BE39</f>
        <v>57593.5155378718</v>
      </c>
      <c r="BF40" s="63" t="n">
        <f aca="false">BF38+BF39</f>
        <v>57593.5155378718</v>
      </c>
      <c r="BG40" s="63" t="n">
        <f aca="false">BG38+BG39</f>
        <v>57593.5155378718</v>
      </c>
      <c r="BH40" s="63" t="n">
        <f aca="false">BH38+BH39</f>
        <v>57593.5155378718</v>
      </c>
      <c r="BI40" s="63" t="n">
        <f aca="false">BI38+BI39</f>
        <v>57593.5155378718</v>
      </c>
      <c r="BJ40" s="63" t="n">
        <f aca="false">BJ38+BJ39</f>
        <v>57593.5155378718</v>
      </c>
      <c r="BK40" s="63" t="n">
        <f aca="false">BK38+BK39</f>
        <v>57593.5155378718</v>
      </c>
      <c r="BL40" s="63" t="n">
        <f aca="false">BL38+BL39</f>
        <v>57593.5155378718</v>
      </c>
      <c r="BM40" s="63" t="n">
        <f aca="false">BM38+BM39</f>
        <v>57593.5155378718</v>
      </c>
      <c r="BN40" s="63" t="n">
        <f aca="false">BN38+BN39</f>
        <v>57593.5155378718</v>
      </c>
      <c r="BO40" s="63" t="n">
        <f aca="false">BO38+BO39</f>
        <v>57593.5155378718</v>
      </c>
      <c r="BP40" s="63" t="n">
        <f aca="false">BP38+BP39</f>
        <v>57593.5155378718</v>
      </c>
      <c r="BQ40" s="63" t="n">
        <f aca="false">BQ38+BQ39</f>
        <v>57593.5155378718</v>
      </c>
      <c r="BR40" s="63" t="n">
        <f aca="false">BR38+BR39</f>
        <v>57593.5155378718</v>
      </c>
      <c r="BS40" s="63" t="n">
        <f aca="false">BS38+BS39</f>
        <v>57593.5155378718</v>
      </c>
      <c r="BT40" s="63" t="n">
        <f aca="false">BT38+BT39</f>
        <v>57593.5155378718</v>
      </c>
      <c r="BU40" s="63" t="n">
        <f aca="false">BU38+BU39</f>
        <v>57593.5155378718</v>
      </c>
      <c r="BV40" s="63" t="n">
        <f aca="false">BV38+BV39</f>
        <v>57593.5155378718</v>
      </c>
      <c r="BW40" s="63" t="n">
        <f aca="false">BW38+BW39</f>
        <v>57593.5155378718</v>
      </c>
      <c r="BX40" s="63" t="n">
        <f aca="false">BX38+BX39</f>
        <v>57593.5155378718</v>
      </c>
      <c r="BY40" s="63" t="n">
        <f aca="false">BY38+BY39</f>
        <v>57593.5155378718</v>
      </c>
      <c r="BZ40" s="63" t="n">
        <f aca="false">BZ38+BZ39</f>
        <v>57593.5155378718</v>
      </c>
      <c r="CA40" s="63" t="n">
        <f aca="false">CA38+CA39</f>
        <v>57593.5155378718</v>
      </c>
      <c r="CB40" s="63" t="n">
        <f aca="false">CB38+CB39</f>
        <v>57593.5155378718</v>
      </c>
      <c r="CC40" s="63" t="n">
        <f aca="false">CC38+CC39</f>
        <v>57593.5155378718</v>
      </c>
      <c r="CD40" s="63" t="n">
        <f aca="false">CD38+CD39</f>
        <v>57593.5155378718</v>
      </c>
      <c r="CE40" s="63" t="n">
        <f aca="false">CE38+CE39</f>
        <v>57593.5155378718</v>
      </c>
      <c r="CF40" s="63" t="n">
        <f aca="false">CF38+CF39</f>
        <v>57593.5155378718</v>
      </c>
      <c r="CG40" s="63" t="n">
        <f aca="false">CG38+CG39</f>
        <v>57593.5155378718</v>
      </c>
      <c r="CH40" s="63" t="n">
        <f aca="false">CH38+CH39</f>
        <v>57593.5155378718</v>
      </c>
    </row>
    <row r="41" customFormat="false" ht="13.5" hidden="false" customHeight="true" outlineLevel="0" collapsed="false">
      <c r="A41" s="6" t="s">
        <v>518</v>
      </c>
      <c r="C41" s="110" t="n">
        <f aca="false">IFERROR(C40/C38,0)</f>
        <v>0.879452054794521</v>
      </c>
      <c r="D41" s="110" t="n">
        <f aca="false">IFERROR(D40/D38,0)</f>
        <v>0.87523370208597</v>
      </c>
      <c r="E41" s="110" t="n">
        <f aca="false">IFERROR(E40/E38,0)</f>
        <v>0.852123828644763</v>
      </c>
      <c r="F41" s="110" t="n">
        <f aca="false">IFERROR(F40/F38,0)</f>
        <v>0.838615099618778</v>
      </c>
      <c r="G41" s="110" t="n">
        <f aca="false">IFERROR(G40/G38,0)</f>
        <v>0.830781099141038</v>
      </c>
      <c r="H41" s="110" t="n">
        <f aca="false">IFERROR(H40/H38,0)</f>
        <v>0.81562272164136</v>
      </c>
      <c r="I41" s="110" t="n">
        <f aca="false">IFERROR(I40/I38,0)</f>
        <v>0.798913904247457</v>
      </c>
      <c r="J41" s="110" t="n">
        <f aca="false">IFERROR(J40/J38,0)</f>
        <v>0.789536387546587</v>
      </c>
      <c r="K41" s="110" t="n">
        <f aca="false">IFERROR(K40/K38,0)</f>
        <v>0.78353316241318</v>
      </c>
      <c r="L41" s="110" t="n">
        <f aca="false">IFERROR(L40/L38,0)</f>
        <v>0.779360687379328</v>
      </c>
      <c r="M41" s="110" t="n">
        <f aca="false">IFERROR(M40/M38,0)</f>
        <v>0.775463774725848</v>
      </c>
      <c r="N41" s="110" t="n">
        <f aca="false">IFERROR(N40/N38,0)</f>
        <v>0.769276929273972</v>
      </c>
      <c r="O41" s="110" t="n">
        <f aca="false">IFERROR(O40/O38,0)</f>
        <v>0.76437073038808</v>
      </c>
      <c r="P41" s="110" t="n">
        <f aca="false">IFERROR(P40/P38,0)</f>
        <v>0.760474835479169</v>
      </c>
      <c r="Q41" s="110" t="n">
        <f aca="false">IFERROR(Q40/Q38,0)</f>
        <v>0.757184840786019</v>
      </c>
      <c r="R41" s="110" t="n">
        <f aca="false">IFERROR(R40/R38,0)</f>
        <v>0.75436959771777</v>
      </c>
      <c r="S41" s="110" t="n">
        <f aca="false">IFERROR(S40/S38,0)</f>
        <v>0.751933260471584</v>
      </c>
      <c r="T41" s="110" t="n">
        <f aca="false">IFERROR(T40/T38,0)</f>
        <v>0.74980415642751</v>
      </c>
      <c r="U41" s="110" t="n">
        <f aca="false">IFERROR(U40/U38,0)</f>
        <v>0.74792761729064</v>
      </c>
      <c r="V41" s="110" t="n">
        <f aca="false">IFERROR(V40/V38,0)</f>
        <v>0.746261218603513</v>
      </c>
      <c r="W41" s="110" t="n">
        <f aca="false">IFERROR(W40/W38,0)</f>
        <v>0.744771533741183</v>
      </c>
      <c r="X41" s="110" t="n">
        <f aca="false">IFERROR(X40/X38,0)</f>
        <v>0.744389169808991</v>
      </c>
      <c r="Y41" s="110" t="n">
        <f aca="false">IFERROR(Y40/Y38,0)</f>
        <v>0.744031662607377</v>
      </c>
      <c r="Z41" s="110" t="n">
        <f aca="false">IFERROR(Z40/Z38,0)</f>
        <v>0.744173176580726</v>
      </c>
      <c r="AA41" s="110" t="n">
        <f aca="false">IFERROR(AA40/AA38,0)</f>
        <v>0.744307662183928</v>
      </c>
      <c r="AB41" s="110" t="n">
        <f aca="false">IFERROR(AB40/AB38,0)</f>
        <v>0.744435630331425</v>
      </c>
      <c r="AC41" s="110" t="n">
        <f aca="false">IFERROR(AC40/AC38,0)</f>
        <v>0.744557543589209</v>
      </c>
      <c r="AD41" s="110" t="n">
        <f aca="false">IFERROR(AD40/AD38,0)</f>
        <v>0.744673821761742</v>
      </c>
      <c r="AE41" s="110" t="n">
        <f aca="false">IFERROR(AE40/AE38,0)</f>
        <v>0.744784846721653</v>
      </c>
      <c r="AF41" s="110" t="n">
        <f aca="false">IFERROR(AF40/AF38,0)</f>
        <v>0.744890966599308</v>
      </c>
      <c r="AG41" s="110" t="n">
        <f aca="false">IFERROR(AG40/AG38,0)</f>
        <v>0.7449924994291</v>
      </c>
      <c r="AH41" s="110" t="n">
        <f aca="false">IFERROR(AH40/AH38,0)</f>
        <v>0.745089736332897</v>
      </c>
      <c r="AI41" s="110" t="n">
        <f aca="false">IFERROR(AI40/AI38,0)</f>
        <v>0.745182944307791</v>
      </c>
      <c r="AJ41" s="110" t="n">
        <f aca="false">IFERROR(AJ40/AJ38,0)</f>
        <v>0.745272368674353</v>
      </c>
      <c r="AK41" s="110" t="n">
        <f aca="false">IFERROR(AK40/AK38,0)</f>
        <v>0.745358235232664</v>
      </c>
      <c r="AL41" s="110" t="n">
        <f aca="false">IFERROR(AL40/AL38,0)</f>
        <v>0.745440752166042</v>
      </c>
      <c r="AM41" s="110" t="n">
        <f aca="false">IFERROR(AM40/AM38,0)</f>
        <v>0.745520111726225</v>
      </c>
      <c r="AN41" s="110" t="n">
        <f aca="false">IFERROR(AN40/AN38,0)</f>
        <v>0.745596491728756</v>
      </c>
      <c r="AO41" s="110" t="n">
        <f aca="false">IFERROR(AO40/AO38,0)</f>
        <v>0.745670056883028</v>
      </c>
      <c r="AP41" s="110" t="n">
        <f aca="false">IFERROR(AP40/AP38,0)</f>
        <v>0.745740959977952</v>
      </c>
      <c r="AQ41" s="110" t="n">
        <f aca="false">IFERROR(AQ40/AQ38,0)</f>
        <v>0.745809342941186</v>
      </c>
      <c r="AR41" s="110" t="n">
        <f aca="false">IFERROR(AR40/AR38,0)</f>
        <v>0.745875337787395</v>
      </c>
      <c r="AS41" s="110" t="n">
        <f aca="false">IFERROR(AS40/AS38,0)</f>
        <v>0.745875337787395</v>
      </c>
      <c r="AT41" s="110" t="n">
        <f aca="false">IFERROR(AT40/AT38,0)</f>
        <v>0.745875337787395</v>
      </c>
      <c r="AU41" s="110" t="n">
        <f aca="false">IFERROR(AU40/AU38,0)</f>
        <v>0.745875337787395</v>
      </c>
      <c r="AV41" s="110" t="n">
        <f aca="false">IFERROR(AV40/AV38,0)</f>
        <v>0.745875337787395</v>
      </c>
      <c r="AW41" s="110" t="n">
        <f aca="false">IFERROR(AW40/AW38,0)</f>
        <v>0.745875337787395</v>
      </c>
      <c r="AX41" s="110" t="n">
        <f aca="false">IFERROR(AX40/AX38,0)</f>
        <v>0.745875337787395</v>
      </c>
      <c r="AY41" s="110" t="n">
        <f aca="false">IFERROR(AY40/AY38,0)</f>
        <v>0.745875337787395</v>
      </c>
      <c r="AZ41" s="110" t="n">
        <f aca="false">IFERROR(AZ40/AZ38,0)</f>
        <v>0.745875337787395</v>
      </c>
      <c r="BA41" s="110" t="n">
        <f aca="false">IFERROR(BA40/BA38,0)</f>
        <v>0.745875337787395</v>
      </c>
      <c r="BB41" s="110" t="n">
        <f aca="false">IFERROR(BB40/BB38,0)</f>
        <v>0.745875337787395</v>
      </c>
      <c r="BC41" s="110" t="n">
        <f aca="false">IFERROR(BC40/BC38,0)</f>
        <v>0.745875337787395</v>
      </c>
      <c r="BD41" s="110" t="n">
        <f aca="false">IFERROR(BD40/BD38,0)</f>
        <v>0.745875337787395</v>
      </c>
      <c r="BE41" s="110" t="n">
        <f aca="false">IFERROR(BE40/BE38,0)</f>
        <v>0.745875337787395</v>
      </c>
      <c r="BF41" s="110" t="n">
        <f aca="false">IFERROR(BF40/BF38,0)</f>
        <v>0.745875337787395</v>
      </c>
      <c r="BG41" s="110" t="n">
        <f aca="false">IFERROR(BG40/BG38,0)</f>
        <v>0.745875337787395</v>
      </c>
      <c r="BH41" s="110" t="n">
        <f aca="false">IFERROR(BH40/BH38,0)</f>
        <v>0.745875337787395</v>
      </c>
      <c r="BI41" s="110" t="n">
        <f aca="false">IFERROR(BI40/BI38,0)</f>
        <v>0.745875337787395</v>
      </c>
      <c r="BJ41" s="110" t="n">
        <f aca="false">IFERROR(BJ40/BJ38,0)</f>
        <v>0.745875337787395</v>
      </c>
      <c r="BK41" s="110" t="n">
        <f aca="false">IFERROR(BK40/BK38,0)</f>
        <v>0.745875337787395</v>
      </c>
      <c r="BL41" s="110" t="n">
        <f aca="false">IFERROR(BL40/BL38,0)</f>
        <v>0.745875337787395</v>
      </c>
      <c r="BM41" s="110" t="n">
        <f aca="false">IFERROR(BM40/BM38,0)</f>
        <v>0.745875337787395</v>
      </c>
      <c r="BN41" s="110" t="n">
        <f aca="false">IFERROR(BN40/BN38,0)</f>
        <v>0.745875337787395</v>
      </c>
      <c r="BO41" s="110" t="n">
        <f aca="false">IFERROR(BO40/BO38,0)</f>
        <v>0.745875337787395</v>
      </c>
      <c r="BP41" s="110" t="n">
        <f aca="false">IFERROR(BP40/BP38,0)</f>
        <v>0.745875337787395</v>
      </c>
      <c r="BQ41" s="110" t="n">
        <f aca="false">IFERROR(BQ40/BQ38,0)</f>
        <v>0.745875337787395</v>
      </c>
      <c r="BR41" s="110" t="n">
        <f aca="false">IFERROR(BR40/BR38,0)</f>
        <v>0.745875337787395</v>
      </c>
      <c r="BS41" s="110" t="n">
        <f aca="false">IFERROR(BS40/BS38,0)</f>
        <v>0.745875337787395</v>
      </c>
      <c r="BT41" s="110" t="n">
        <f aca="false">IFERROR(BT40/BT38,0)</f>
        <v>0.745875337787395</v>
      </c>
      <c r="BU41" s="110" t="n">
        <f aca="false">IFERROR(BU40/BU38,0)</f>
        <v>0.745875337787395</v>
      </c>
      <c r="BV41" s="110" t="n">
        <f aca="false">IFERROR(BV40/BV38,0)</f>
        <v>0.745875337787395</v>
      </c>
      <c r="BW41" s="110" t="n">
        <f aca="false">IFERROR(BW40/BW38,0)</f>
        <v>0.745875337787395</v>
      </c>
      <c r="BX41" s="110" t="n">
        <f aca="false">IFERROR(BX40/BX38,0)</f>
        <v>0.745875337787395</v>
      </c>
      <c r="BY41" s="110" t="n">
        <f aca="false">IFERROR(BY40/BY38,0)</f>
        <v>0.745875337787395</v>
      </c>
      <c r="BZ41" s="110" t="n">
        <f aca="false">IFERROR(BZ40/BZ38,0)</f>
        <v>0.745875337787395</v>
      </c>
      <c r="CA41" s="110" t="n">
        <f aca="false">IFERROR(CA40/CA38,0)</f>
        <v>0.745875337787395</v>
      </c>
      <c r="CB41" s="110" t="n">
        <f aca="false">IFERROR(CB40/CB38,0)</f>
        <v>0.745875337787395</v>
      </c>
      <c r="CC41" s="110" t="n">
        <f aca="false">IFERROR(CC40/CC38,0)</f>
        <v>0.745875337787395</v>
      </c>
      <c r="CD41" s="110" t="n">
        <f aca="false">IFERROR(CD40/CD38,0)</f>
        <v>0.745875337787395</v>
      </c>
      <c r="CE41" s="110" t="n">
        <f aca="false">IFERROR(CE40/CE38,0)</f>
        <v>0.745875337787395</v>
      </c>
      <c r="CF41" s="110" t="n">
        <f aca="false">IFERROR(CF40/CF38,0)</f>
        <v>0.745875337787395</v>
      </c>
      <c r="CG41" s="110" t="n">
        <f aca="false">IFERROR(CG40/CG38,0)</f>
        <v>0.745875337787395</v>
      </c>
      <c r="CH41" s="110" t="n">
        <f aca="false">IFERROR(CH40/CH38,0)</f>
        <v>0.745875337787395</v>
      </c>
    </row>
    <row r="42" customFormat="false" ht="13.5" hidden="false" customHeight="true" outlineLevel="0" collapsed="false">
      <c r="A42" s="6" t="s">
        <v>519</v>
      </c>
      <c r="C42" s="100" t="n">
        <f aca="false">-Hipótesis!$C$36</f>
        <v>-2250</v>
      </c>
      <c r="D42" s="100" t="n">
        <f aca="false">-Hipótesis!$C$36</f>
        <v>-2250</v>
      </c>
      <c r="E42" s="100" t="n">
        <f aca="false">-Hipótesis!$C$36</f>
        <v>-2250</v>
      </c>
      <c r="F42" s="100" t="n">
        <f aca="false">-Hipótesis!$C$36</f>
        <v>-2250</v>
      </c>
      <c r="G42" s="100" t="n">
        <f aca="false">-Hipótesis!$C$36</f>
        <v>-2250</v>
      </c>
      <c r="H42" s="100" t="n">
        <f aca="false">-Hipótesis!$C$36</f>
        <v>-2250</v>
      </c>
      <c r="I42" s="100" t="n">
        <f aca="false">-Hipótesis!$C$36</f>
        <v>-2250</v>
      </c>
      <c r="J42" s="100" t="n">
        <f aca="false">-Hipótesis!$C$36</f>
        <v>-2250</v>
      </c>
      <c r="K42" s="100" t="n">
        <f aca="false">-Hipótesis!$C$36</f>
        <v>-2250</v>
      </c>
      <c r="L42" s="100" t="n">
        <f aca="false">-Hipótesis!$C$36</f>
        <v>-2250</v>
      </c>
      <c r="M42" s="100" t="n">
        <f aca="false">-Hipótesis!$C$36</f>
        <v>-2250</v>
      </c>
      <c r="N42" s="100" t="n">
        <f aca="false">-Hipótesis!$C$36</f>
        <v>-2250</v>
      </c>
      <c r="O42" s="100" t="n">
        <f aca="false">-Hipótesis!$C$36</f>
        <v>-2250</v>
      </c>
      <c r="P42" s="100" t="n">
        <f aca="false">-Hipótesis!$C$36</f>
        <v>-2250</v>
      </c>
      <c r="Q42" s="100" t="n">
        <f aca="false">-Hipótesis!$C$36</f>
        <v>-2250</v>
      </c>
      <c r="R42" s="100" t="n">
        <f aca="false">-Hipótesis!$C$36</f>
        <v>-2250</v>
      </c>
      <c r="S42" s="100" t="n">
        <f aca="false">-Hipótesis!$C$36</f>
        <v>-2250</v>
      </c>
      <c r="T42" s="100" t="n">
        <f aca="false">-Hipótesis!$C$36</f>
        <v>-2250</v>
      </c>
      <c r="U42" s="100" t="n">
        <f aca="false">-Hipótesis!$C$36</f>
        <v>-2250</v>
      </c>
      <c r="V42" s="100" t="n">
        <f aca="false">-Hipótesis!$C$36</f>
        <v>-2250</v>
      </c>
      <c r="W42" s="100" t="n">
        <f aca="false">-Hipótesis!$C$36</f>
        <v>-2250</v>
      </c>
      <c r="X42" s="100" t="n">
        <f aca="false">-Hipótesis!$C$36</f>
        <v>-2250</v>
      </c>
      <c r="Y42" s="100" t="n">
        <f aca="false">-Hipótesis!$C$36</f>
        <v>-2250</v>
      </c>
      <c r="Z42" s="100" t="n">
        <f aca="false">-Hipótesis!$C$36</f>
        <v>-2250</v>
      </c>
      <c r="AA42" s="100" t="n">
        <f aca="false">-Hipótesis!$C$36</f>
        <v>-2250</v>
      </c>
      <c r="AB42" s="100" t="n">
        <f aca="false">-Hipótesis!$C$36</f>
        <v>-2250</v>
      </c>
      <c r="AC42" s="100" t="n">
        <f aca="false">-Hipótesis!$C$36</f>
        <v>-2250</v>
      </c>
      <c r="AD42" s="100" t="n">
        <f aca="false">-Hipótesis!$C$36</f>
        <v>-2250</v>
      </c>
      <c r="AE42" s="100" t="n">
        <f aca="false">-Hipótesis!$C$36</f>
        <v>-2250</v>
      </c>
      <c r="AF42" s="100" t="n">
        <f aca="false">-Hipótesis!$C$36</f>
        <v>-2250</v>
      </c>
      <c r="AG42" s="100" t="n">
        <f aca="false">-Hipótesis!$C$36</f>
        <v>-2250</v>
      </c>
      <c r="AH42" s="100" t="n">
        <f aca="false">-Hipótesis!$C$36</f>
        <v>-2250</v>
      </c>
      <c r="AI42" s="100" t="n">
        <f aca="false">-Hipótesis!$C$36</f>
        <v>-2250</v>
      </c>
      <c r="AJ42" s="100" t="n">
        <f aca="false">-Hipótesis!$C$36</f>
        <v>-2250</v>
      </c>
      <c r="AK42" s="100" t="n">
        <f aca="false">-Hipótesis!$C$36</f>
        <v>-2250</v>
      </c>
      <c r="AL42" s="100" t="n">
        <f aca="false">-Hipótesis!$C$36</f>
        <v>-2250</v>
      </c>
      <c r="AM42" s="100" t="n">
        <f aca="false">-Hipótesis!$C$36</f>
        <v>-2250</v>
      </c>
      <c r="AN42" s="100" t="n">
        <f aca="false">-Hipótesis!$C$36</f>
        <v>-2250</v>
      </c>
      <c r="AO42" s="100" t="n">
        <f aca="false">-Hipótesis!$C$36</f>
        <v>-2250</v>
      </c>
      <c r="AP42" s="100" t="n">
        <f aca="false">-Hipótesis!$C$36</f>
        <v>-2250</v>
      </c>
      <c r="AQ42" s="100" t="n">
        <f aca="false">-Hipótesis!$C$36</f>
        <v>-2250</v>
      </c>
      <c r="AR42" s="100" t="n">
        <f aca="false">-Hipótesis!$C$36</f>
        <v>-2250</v>
      </c>
      <c r="AS42" s="100" t="n">
        <f aca="false">-Hipótesis!$C$36</f>
        <v>-2250</v>
      </c>
      <c r="AT42" s="100" t="n">
        <f aca="false">-Hipótesis!$C$36</f>
        <v>-2250</v>
      </c>
      <c r="AU42" s="100" t="n">
        <f aca="false">-Hipótesis!$C$36</f>
        <v>-2250</v>
      </c>
      <c r="AV42" s="100" t="n">
        <f aca="false">-Hipótesis!$C$36</f>
        <v>-2250</v>
      </c>
      <c r="AW42" s="100" t="n">
        <f aca="false">-Hipótesis!$C$36</f>
        <v>-2250</v>
      </c>
      <c r="AX42" s="100" t="n">
        <f aca="false">-Hipótesis!$C$36</f>
        <v>-2250</v>
      </c>
      <c r="AY42" s="100" t="n">
        <f aca="false">-Hipótesis!$C$36</f>
        <v>-2250</v>
      </c>
      <c r="AZ42" s="100" t="n">
        <f aca="false">-Hipótesis!$C$36</f>
        <v>-2250</v>
      </c>
      <c r="BA42" s="100" t="n">
        <f aca="false">-Hipótesis!$C$36</f>
        <v>-2250</v>
      </c>
      <c r="BB42" s="100" t="n">
        <f aca="false">-Hipótesis!$C$36</f>
        <v>-2250</v>
      </c>
      <c r="BC42" s="100" t="n">
        <f aca="false">-Hipótesis!$C$36</f>
        <v>-2250</v>
      </c>
      <c r="BD42" s="100" t="n">
        <f aca="false">-Hipótesis!$C$36</f>
        <v>-2250</v>
      </c>
      <c r="BE42" s="100" t="n">
        <f aca="false">-Hipótesis!$C$36</f>
        <v>-2250</v>
      </c>
      <c r="BF42" s="100" t="n">
        <f aca="false">-Hipótesis!$C$36</f>
        <v>-2250</v>
      </c>
      <c r="BG42" s="100" t="n">
        <f aca="false">-Hipótesis!$C$36</f>
        <v>-2250</v>
      </c>
      <c r="BH42" s="100" t="n">
        <f aca="false">-Hipótesis!$C$36</f>
        <v>-2250</v>
      </c>
      <c r="BI42" s="100" t="n">
        <f aca="false">-Hipótesis!$C$36</f>
        <v>-2250</v>
      </c>
      <c r="BJ42" s="100" t="n">
        <f aca="false">-Hipótesis!$C$36</f>
        <v>-2250</v>
      </c>
      <c r="BK42" s="100" t="n">
        <f aca="false">-Hipótesis!$C$36</f>
        <v>-2250</v>
      </c>
      <c r="BL42" s="100" t="n">
        <f aca="false">-Hipótesis!$C$36</f>
        <v>-2250</v>
      </c>
      <c r="BM42" s="100" t="n">
        <f aca="false">-Hipótesis!$C$36</f>
        <v>-2250</v>
      </c>
      <c r="BN42" s="100" t="n">
        <f aca="false">-Hipótesis!$C$36</f>
        <v>-2250</v>
      </c>
      <c r="BO42" s="100" t="n">
        <f aca="false">-Hipótesis!$C$36</f>
        <v>-2250</v>
      </c>
      <c r="BP42" s="100" t="n">
        <f aca="false">-Hipótesis!$C$36</f>
        <v>-2250</v>
      </c>
      <c r="BQ42" s="100" t="n">
        <f aca="false">-Hipótesis!$C$36</f>
        <v>-2250</v>
      </c>
      <c r="BR42" s="100" t="n">
        <f aca="false">-Hipótesis!$C$36</f>
        <v>-2250</v>
      </c>
      <c r="BS42" s="100" t="n">
        <f aca="false">-Hipótesis!$C$36</f>
        <v>-2250</v>
      </c>
      <c r="BT42" s="100" t="n">
        <f aca="false">-Hipótesis!$C$36</f>
        <v>-2250</v>
      </c>
      <c r="BU42" s="100" t="n">
        <f aca="false">-Hipótesis!$C$36</f>
        <v>-2250</v>
      </c>
      <c r="BV42" s="100" t="n">
        <f aca="false">-Hipótesis!$C$36</f>
        <v>-2250</v>
      </c>
      <c r="BW42" s="100" t="n">
        <f aca="false">-Hipótesis!$C$36</f>
        <v>-2250</v>
      </c>
      <c r="BX42" s="100" t="n">
        <f aca="false">-Hipótesis!$C$36</f>
        <v>-2250</v>
      </c>
      <c r="BY42" s="100" t="n">
        <f aca="false">-Hipótesis!$C$36</f>
        <v>-2250</v>
      </c>
      <c r="BZ42" s="100" t="n">
        <f aca="false">-Hipótesis!$C$36</f>
        <v>-2250</v>
      </c>
      <c r="CA42" s="100" t="n">
        <f aca="false">-Hipótesis!$C$36</f>
        <v>-2250</v>
      </c>
      <c r="CB42" s="100" t="n">
        <f aca="false">-Hipótesis!$C$36</f>
        <v>-2250</v>
      </c>
      <c r="CC42" s="100" t="n">
        <f aca="false">-Hipótesis!$C$36</f>
        <v>-2250</v>
      </c>
      <c r="CD42" s="100" t="n">
        <f aca="false">-Hipótesis!$C$36</f>
        <v>-2250</v>
      </c>
      <c r="CE42" s="100" t="n">
        <f aca="false">-Hipótesis!$C$36</f>
        <v>-2250</v>
      </c>
      <c r="CF42" s="100" t="n">
        <f aca="false">-Hipótesis!$C$36</f>
        <v>-2250</v>
      </c>
      <c r="CG42" s="100" t="n">
        <f aca="false">-Hipótesis!$C$36</f>
        <v>-2250</v>
      </c>
      <c r="CH42" s="100" t="n">
        <f aca="false">-Hipótesis!$C$36</f>
        <v>-2250</v>
      </c>
    </row>
    <row r="43" customFormat="false" ht="13.5" hidden="false" customHeight="true" outlineLevel="0" collapsed="false">
      <c r="A43" s="6" t="s">
        <v>520</v>
      </c>
      <c r="C43" s="100" t="n">
        <f aca="false">-(Hipótesis!$C$37+C24*Hipótesis!$C$38)</f>
        <v>-434.700336592059</v>
      </c>
      <c r="D43" s="100" t="n">
        <f aca="false">-(Hipótesis!$C$37+D24*Hipótesis!$C$38)</f>
        <v>-470.922998733839</v>
      </c>
      <c r="E43" s="100" t="n">
        <f aca="false">-(Hipótesis!$C$37+E24*Hipótesis!$C$38)</f>
        <v>-532.831077896411</v>
      </c>
      <c r="F43" s="100" t="n">
        <f aca="false">-(Hipótesis!$C$37+F24*Hipótesis!$C$38)</f>
        <v>-560.038820466925</v>
      </c>
      <c r="G43" s="100" t="n">
        <f aca="false">-(Hipótesis!$C$37+G24*Hipótesis!$C$38)</f>
        <v>-585.724237487718</v>
      </c>
      <c r="H43" s="100" t="n">
        <f aca="false">-(Hipótesis!$C$37+H24*Hipótesis!$C$38)</f>
        <v>-628.852968099061</v>
      </c>
      <c r="I43" s="100" t="n">
        <f aca="false">-(Hipótesis!$C$37+I24*Hipótesis!$C$38)</f>
        <v>-704.981698710404</v>
      </c>
      <c r="J43" s="100" t="n">
        <f aca="false">-(Hipótesis!$C$37+J24*Hipótesis!$C$38)</f>
        <v>-781.110429321748</v>
      </c>
      <c r="K43" s="100" t="n">
        <f aca="false">-(Hipótesis!$C$37+K24*Hipótesis!$C$38)</f>
        <v>-857.239159933091</v>
      </c>
      <c r="L43" s="100" t="n">
        <f aca="false">-(Hipótesis!$C$37+L24*Hipótesis!$C$38)</f>
        <v>-933.367890544435</v>
      </c>
      <c r="M43" s="100" t="n">
        <f aca="false">-(Hipótesis!$C$37+M24*Hipótesis!$C$38)</f>
        <v>-983.811204134986</v>
      </c>
      <c r="N43" s="100" t="n">
        <f aca="false">-(Hipótesis!$C$37+N24*Hipótesis!$C$38)</f>
        <v>-1059.62661022088</v>
      </c>
      <c r="O43" s="100" t="n">
        <f aca="false">-(Hipótesis!$C$37+O24*Hipótesis!$C$38)</f>
        <v>-1135.44201630678</v>
      </c>
      <c r="P43" s="100" t="n">
        <f aca="false">-(Hipótesis!$C$37+P24*Hipótesis!$C$38)</f>
        <v>-1203.96294580026</v>
      </c>
      <c r="Q43" s="100" t="n">
        <f aca="false">-(Hipótesis!$C$37+Q24*Hipótesis!$C$38)</f>
        <v>-1272.48387529375</v>
      </c>
      <c r="R43" s="100" t="n">
        <f aca="false">-(Hipótesis!$C$37+R24*Hipótesis!$C$38)</f>
        <v>-1341.00480478724</v>
      </c>
      <c r="S43" s="100" t="n">
        <f aca="false">-(Hipótesis!$C$37+S24*Hipótesis!$C$38)</f>
        <v>-1409.52573428072</v>
      </c>
      <c r="T43" s="100" t="n">
        <f aca="false">-(Hipótesis!$C$37+T24*Hipótesis!$C$38)</f>
        <v>-1478.04666377421</v>
      </c>
      <c r="U43" s="100" t="n">
        <f aca="false">-(Hipótesis!$C$37+U24*Hipótesis!$C$38)</f>
        <v>-1546.56759326769</v>
      </c>
      <c r="V43" s="100" t="n">
        <f aca="false">-(Hipótesis!$C$37+V24*Hipótesis!$C$38)</f>
        <v>-1615.08852276118</v>
      </c>
      <c r="W43" s="100" t="n">
        <f aca="false">-(Hipótesis!$C$37+W24*Hipótesis!$C$38)</f>
        <v>-1683.60945225466</v>
      </c>
      <c r="X43" s="100" t="n">
        <f aca="false">-(Hipótesis!$C$37+X24*Hipótesis!$C$38)</f>
        <v>-1726.7582892528</v>
      </c>
      <c r="Y43" s="100" t="n">
        <f aca="false">-(Hipótesis!$C$37+Y24*Hipótesis!$C$38)</f>
        <v>-1769.90712625094</v>
      </c>
      <c r="Z43" s="100" t="n">
        <f aca="false">-(Hipótesis!$C$37+Z24*Hipótesis!$C$38)</f>
        <v>-1802.90712625094</v>
      </c>
      <c r="AA43" s="100" t="n">
        <f aca="false">-(Hipótesis!$C$37+AA24*Hipótesis!$C$38)</f>
        <v>-1835.90712625094</v>
      </c>
      <c r="AB43" s="100" t="n">
        <f aca="false">-(Hipótesis!$C$37+AB24*Hipótesis!$C$38)</f>
        <v>-1868.90712625094</v>
      </c>
      <c r="AC43" s="100" t="n">
        <f aca="false">-(Hipótesis!$C$37+AC24*Hipótesis!$C$38)</f>
        <v>-1901.90712625094</v>
      </c>
      <c r="AD43" s="100" t="n">
        <f aca="false">-(Hipótesis!$C$37+AD24*Hipótesis!$C$38)</f>
        <v>-1934.90712625094</v>
      </c>
      <c r="AE43" s="100" t="n">
        <f aca="false">-(Hipótesis!$C$37+AE24*Hipótesis!$C$38)</f>
        <v>-1967.90712625094</v>
      </c>
      <c r="AF43" s="100" t="n">
        <f aca="false">-(Hipótesis!$C$37+AF24*Hipótesis!$C$38)</f>
        <v>-2000.90712625094</v>
      </c>
      <c r="AG43" s="100" t="n">
        <f aca="false">-(Hipótesis!$C$37+AG24*Hipótesis!$C$38)</f>
        <v>-2033.90712625094</v>
      </c>
      <c r="AH43" s="100" t="n">
        <f aca="false">-(Hipótesis!$C$37+AH24*Hipótesis!$C$38)</f>
        <v>-2066.90712625094</v>
      </c>
      <c r="AI43" s="100" t="n">
        <f aca="false">-(Hipótesis!$C$37+AI24*Hipótesis!$C$38)</f>
        <v>-2099.90712625094</v>
      </c>
      <c r="AJ43" s="100" t="n">
        <f aca="false">-(Hipótesis!$C$37+AJ24*Hipótesis!$C$38)</f>
        <v>-2132.90712625094</v>
      </c>
      <c r="AK43" s="100" t="n">
        <f aca="false">-(Hipótesis!$C$37+AK24*Hipótesis!$C$38)</f>
        <v>-2165.90712625094</v>
      </c>
      <c r="AL43" s="100" t="n">
        <f aca="false">-(Hipótesis!$C$37+AL24*Hipótesis!$C$38)</f>
        <v>-2198.90712625094</v>
      </c>
      <c r="AM43" s="100" t="n">
        <f aca="false">-(Hipótesis!$C$37+AM24*Hipótesis!$C$38)</f>
        <v>-2231.90712625094</v>
      </c>
      <c r="AN43" s="100" t="n">
        <f aca="false">-(Hipótesis!$C$37+AN24*Hipótesis!$C$38)</f>
        <v>-2264.90712625094</v>
      </c>
      <c r="AO43" s="100" t="n">
        <f aca="false">-(Hipótesis!$C$37+AO24*Hipótesis!$C$38)</f>
        <v>-2297.90712625094</v>
      </c>
      <c r="AP43" s="100" t="n">
        <f aca="false">-(Hipótesis!$C$37+AP24*Hipótesis!$C$38)</f>
        <v>-2330.90712625094</v>
      </c>
      <c r="AQ43" s="100" t="n">
        <f aca="false">-(Hipótesis!$C$37+AQ24*Hipótesis!$C$38)</f>
        <v>-2363.90712625094</v>
      </c>
      <c r="AR43" s="100" t="n">
        <f aca="false">-(Hipótesis!$C$37+AR24*Hipótesis!$C$38)</f>
        <v>-2396.90712625094</v>
      </c>
      <c r="AS43" s="100" t="n">
        <f aca="false">-(Hipótesis!$C$37+AS24*Hipótesis!$C$38)</f>
        <v>-2396.90712625094</v>
      </c>
      <c r="AT43" s="100" t="n">
        <f aca="false">-(Hipótesis!$C$37+AT24*Hipótesis!$C$38)</f>
        <v>-2396.90712625094</v>
      </c>
      <c r="AU43" s="100" t="n">
        <f aca="false">-(Hipótesis!$C$37+AU24*Hipótesis!$C$38)</f>
        <v>-2396.90712625094</v>
      </c>
      <c r="AV43" s="100" t="n">
        <f aca="false">-(Hipótesis!$C$37+AV24*Hipótesis!$C$38)</f>
        <v>-2396.90712625094</v>
      </c>
      <c r="AW43" s="100" t="n">
        <f aca="false">-(Hipótesis!$C$37+AW24*Hipótesis!$C$38)</f>
        <v>-2396.90712625094</v>
      </c>
      <c r="AX43" s="100" t="n">
        <f aca="false">-(Hipótesis!$C$37+AX24*Hipótesis!$C$38)</f>
        <v>-2396.90712625094</v>
      </c>
      <c r="AY43" s="100" t="n">
        <f aca="false">-(Hipótesis!$C$37+AY24*Hipótesis!$C$38)</f>
        <v>-2396.90712625094</v>
      </c>
      <c r="AZ43" s="100" t="n">
        <f aca="false">-(Hipótesis!$C$37+AZ24*Hipótesis!$C$38)</f>
        <v>-2396.90712625094</v>
      </c>
      <c r="BA43" s="100" t="n">
        <f aca="false">-(Hipótesis!$C$37+BA24*Hipótesis!$C$38)</f>
        <v>-2396.90712625094</v>
      </c>
      <c r="BB43" s="100" t="n">
        <f aca="false">-(Hipótesis!$C$37+BB24*Hipótesis!$C$38)</f>
        <v>-2396.90712625094</v>
      </c>
      <c r="BC43" s="100" t="n">
        <f aca="false">-(Hipótesis!$C$37+BC24*Hipótesis!$C$38)</f>
        <v>-2396.90712625094</v>
      </c>
      <c r="BD43" s="100" t="n">
        <f aca="false">-(Hipótesis!$C$37+BD24*Hipótesis!$C$38)</f>
        <v>-2396.90712625094</v>
      </c>
      <c r="BE43" s="100" t="n">
        <f aca="false">-(Hipótesis!$C$37+BE24*Hipótesis!$C$38)</f>
        <v>-2396.90712625094</v>
      </c>
      <c r="BF43" s="100" t="n">
        <f aca="false">-(Hipótesis!$C$37+BF24*Hipótesis!$C$38)</f>
        <v>-2396.90712625094</v>
      </c>
      <c r="BG43" s="100" t="n">
        <f aca="false">-(Hipótesis!$C$37+BG24*Hipótesis!$C$38)</f>
        <v>-2396.90712625094</v>
      </c>
      <c r="BH43" s="100" t="n">
        <f aca="false">-(Hipótesis!$C$37+BH24*Hipótesis!$C$38)</f>
        <v>-2396.90712625094</v>
      </c>
      <c r="BI43" s="100" t="n">
        <f aca="false">-(Hipótesis!$C$37+BI24*Hipótesis!$C$38)</f>
        <v>-2396.90712625094</v>
      </c>
      <c r="BJ43" s="100" t="n">
        <f aca="false">-(Hipótesis!$C$37+BJ24*Hipótesis!$C$38)</f>
        <v>-2396.90712625094</v>
      </c>
      <c r="BK43" s="100" t="n">
        <f aca="false">-(Hipótesis!$C$37+BK24*Hipótesis!$C$38)</f>
        <v>-2396.90712625094</v>
      </c>
      <c r="BL43" s="100" t="n">
        <f aca="false">-(Hipótesis!$C$37+BL24*Hipótesis!$C$38)</f>
        <v>-2396.90712625094</v>
      </c>
      <c r="BM43" s="100" t="n">
        <f aca="false">-(Hipótesis!$C$37+BM24*Hipótesis!$C$38)</f>
        <v>-2396.90712625094</v>
      </c>
      <c r="BN43" s="100" t="n">
        <f aca="false">-(Hipótesis!$C$37+BN24*Hipótesis!$C$38)</f>
        <v>-2396.90712625094</v>
      </c>
      <c r="BO43" s="100" t="n">
        <f aca="false">-(Hipótesis!$C$37+BO24*Hipótesis!$C$38)</f>
        <v>-2396.90712625094</v>
      </c>
      <c r="BP43" s="100" t="n">
        <f aca="false">-(Hipótesis!$C$37+BP24*Hipótesis!$C$38)</f>
        <v>-2396.90712625094</v>
      </c>
      <c r="BQ43" s="100" t="n">
        <f aca="false">-(Hipótesis!$C$37+BQ24*Hipótesis!$C$38)</f>
        <v>-2396.90712625094</v>
      </c>
      <c r="BR43" s="100" t="n">
        <f aca="false">-(Hipótesis!$C$37+BR24*Hipótesis!$C$38)</f>
        <v>-2396.90712625094</v>
      </c>
      <c r="BS43" s="100" t="n">
        <f aca="false">-(Hipótesis!$C$37+BS24*Hipótesis!$C$38)</f>
        <v>-2396.90712625094</v>
      </c>
      <c r="BT43" s="100" t="n">
        <f aca="false">-(Hipótesis!$C$37+BT24*Hipótesis!$C$38)</f>
        <v>-2396.90712625094</v>
      </c>
      <c r="BU43" s="100" t="n">
        <f aca="false">-(Hipótesis!$C$37+BU24*Hipótesis!$C$38)</f>
        <v>-2396.90712625094</v>
      </c>
      <c r="BV43" s="100" t="n">
        <f aca="false">-(Hipótesis!$C$37+BV24*Hipótesis!$C$38)</f>
        <v>-2396.90712625094</v>
      </c>
      <c r="BW43" s="100" t="n">
        <f aca="false">-(Hipótesis!$C$37+BW24*Hipótesis!$C$38)</f>
        <v>-2396.90712625094</v>
      </c>
      <c r="BX43" s="100" t="n">
        <f aca="false">-(Hipótesis!$C$37+BX24*Hipótesis!$C$38)</f>
        <v>-2396.90712625094</v>
      </c>
      <c r="BY43" s="100" t="n">
        <f aca="false">-(Hipótesis!$C$37+BY24*Hipótesis!$C$38)</f>
        <v>-2396.90712625094</v>
      </c>
      <c r="BZ43" s="100" t="n">
        <f aca="false">-(Hipótesis!$C$37+BZ24*Hipótesis!$C$38)</f>
        <v>-2396.90712625094</v>
      </c>
      <c r="CA43" s="100" t="n">
        <f aca="false">-(Hipótesis!$C$37+CA24*Hipótesis!$C$38)</f>
        <v>-2396.90712625094</v>
      </c>
      <c r="CB43" s="100" t="n">
        <f aca="false">-(Hipótesis!$C$37+CB24*Hipótesis!$C$38)</f>
        <v>-2396.90712625094</v>
      </c>
      <c r="CC43" s="100" t="n">
        <f aca="false">-(Hipótesis!$C$37+CC24*Hipótesis!$C$38)</f>
        <v>-2396.90712625094</v>
      </c>
      <c r="CD43" s="100" t="n">
        <f aca="false">-(Hipótesis!$C$37+CD24*Hipótesis!$C$38)</f>
        <v>-2396.90712625094</v>
      </c>
      <c r="CE43" s="100" t="n">
        <f aca="false">-(Hipótesis!$C$37+CE24*Hipótesis!$C$38)</f>
        <v>-2396.90712625094</v>
      </c>
      <c r="CF43" s="100" t="n">
        <f aca="false">-(Hipótesis!$C$37+CF24*Hipótesis!$C$38)</f>
        <v>-2396.90712625094</v>
      </c>
      <c r="CG43" s="100" t="n">
        <f aca="false">-(Hipótesis!$C$37+CG24*Hipótesis!$C$38)</f>
        <v>-2396.90712625094</v>
      </c>
      <c r="CH43" s="100" t="n">
        <f aca="false">-(Hipótesis!$C$37+CH24*Hipótesis!$C$38)</f>
        <v>-2396.90712625094</v>
      </c>
    </row>
    <row r="44" customFormat="false" ht="13.5" hidden="false" customHeight="true" outlineLevel="0" collapsed="false">
      <c r="A44" s="6" t="s">
        <v>521</v>
      </c>
      <c r="C44" s="100" t="n">
        <f aca="false">-IF(AND(1&gt;=Hipótesis!$D$48,Hipótesis!$B$48=1),IF(Hipótesis!$G$48=1,Hipótesis!$C$44,Hipótesis!$C$48*(1+Hipótesis!$D$45)^0)*(1+Hipótesis!$D$42),0)</f>
        <v>-2904</v>
      </c>
      <c r="D44" s="100" t="n">
        <f aca="false">-IF(AND(2&gt;=Hipótesis!$D$48,Hipótesis!$B$48=1),IF(Hipótesis!$G$48=1,Hipótesis!$C$44,Hipótesis!$C$48*(1+Hipótesis!$D$45)^0)*(1+Hipótesis!$D$42),0)</f>
        <v>-2904</v>
      </c>
      <c r="E44" s="100" t="n">
        <f aca="false">-IF(AND(3&gt;=Hipótesis!$D$48,Hipótesis!$B$48=1),IF(Hipótesis!$G$48=1,Hipótesis!$C$44,Hipótesis!$C$48*(1+Hipótesis!$D$45)^0)*(1+Hipótesis!$D$42),0)</f>
        <v>-2904</v>
      </c>
      <c r="F44" s="100" t="n">
        <f aca="false">-IF(AND(4&gt;=Hipótesis!$D$48,Hipótesis!$B$48=1),IF(Hipótesis!$G$48=1,Hipótesis!$C$44,Hipótesis!$C$48*(1+Hipótesis!$D$45)^0)*(1+Hipótesis!$D$42),0)</f>
        <v>-2904</v>
      </c>
      <c r="G44" s="100" t="n">
        <f aca="false">-IF(AND(5&gt;=Hipótesis!$D$48,Hipótesis!$B$48=1),IF(Hipótesis!$G$48=1,Hipótesis!$C$44,Hipótesis!$C$48*(1+Hipótesis!$D$45)^0)*(1+Hipótesis!$D$42),0)</f>
        <v>-2904</v>
      </c>
      <c r="H44" s="100" t="n">
        <f aca="false">-IF(AND(6&gt;=Hipótesis!$D$48,Hipótesis!$B$48=1),IF(Hipótesis!$G$48=1,Hipótesis!$C$44,Hipótesis!$C$48*(1+Hipótesis!$D$45)^0)*(1+Hipótesis!$D$42),0)</f>
        <v>-2904</v>
      </c>
      <c r="I44" s="100" t="n">
        <f aca="false">-IF(AND(7&gt;=Hipótesis!$D$48,Hipótesis!$B$48=1),IF(Hipótesis!$G$48=1,Hipótesis!$C$44,Hipótesis!$C$48*(1+Hipótesis!$D$45)^0)*(1+Hipótesis!$D$42),0)</f>
        <v>-2904</v>
      </c>
      <c r="J44" s="100" t="n">
        <f aca="false">-IF(AND(8&gt;=Hipótesis!$D$48,Hipótesis!$B$48=1),IF(Hipótesis!$G$48=1,Hipótesis!$C$44,Hipótesis!$C$48*(1+Hipótesis!$D$45)^0)*(1+Hipótesis!$D$42),0)</f>
        <v>-2904</v>
      </c>
      <c r="K44" s="100" t="n">
        <f aca="false">-IF(AND(9&gt;=Hipótesis!$D$48,Hipótesis!$B$48=1),IF(Hipótesis!$G$48=1,Hipótesis!$C$44,Hipótesis!$C$48*(1+Hipótesis!$D$45)^0)*(1+Hipótesis!$D$42),0)</f>
        <v>-2904</v>
      </c>
      <c r="L44" s="100" t="n">
        <f aca="false">-IF(AND(10&gt;=Hipótesis!$D$48,Hipótesis!$B$48=1),IF(Hipótesis!$G$48=1,Hipótesis!$C$44,Hipótesis!$C$48*(1+Hipótesis!$D$45)^0)*(1+Hipótesis!$D$42),0)</f>
        <v>-2904</v>
      </c>
      <c r="M44" s="100" t="n">
        <f aca="false">-IF(AND(11&gt;=Hipótesis!$D$48,Hipótesis!$B$48=1),IF(Hipótesis!$G$48=1,Hipótesis!$C$44,Hipótesis!$C$48*(1+Hipótesis!$D$45)^0)*(1+Hipótesis!$D$42),0)</f>
        <v>-2904</v>
      </c>
      <c r="N44" s="100" t="n">
        <f aca="false">-IF(AND(12&gt;=Hipótesis!$D$48,Hipótesis!$B$48=1),IF(Hipótesis!$G$48=1,Hipótesis!$C$44,Hipótesis!$C$48*(1+Hipótesis!$D$45)^0)*(1+Hipótesis!$D$42),0)</f>
        <v>-2904</v>
      </c>
      <c r="O44" s="100" t="n">
        <f aca="false">-IF(AND(13&gt;=Hipótesis!$D$48,Hipótesis!$B$48=1),IF(Hipótesis!$G$48=1,Hipótesis!$D$44,Hipótesis!$C$48*(1+Hipótesis!$D$45)^1)*(1+Hipótesis!$D$42),0)</f>
        <v>-4620</v>
      </c>
      <c r="P44" s="100" t="n">
        <f aca="false">-IF(AND(14&gt;=Hipótesis!$D$48,Hipótesis!$B$48=1),IF(Hipótesis!$G$48=1,Hipótesis!$D$44,Hipótesis!$C$48*(1+Hipótesis!$D$45)^1)*(1+Hipótesis!$D$42),0)</f>
        <v>-4620</v>
      </c>
      <c r="Q44" s="100" t="n">
        <f aca="false">-IF(AND(15&gt;=Hipótesis!$D$48,Hipótesis!$B$48=1),IF(Hipótesis!$G$48=1,Hipótesis!$D$44,Hipótesis!$C$48*(1+Hipótesis!$D$45)^1)*(1+Hipótesis!$D$42),0)</f>
        <v>-4620</v>
      </c>
      <c r="R44" s="100" t="n">
        <f aca="false">-IF(AND(16&gt;=Hipótesis!$D$48,Hipótesis!$B$48=1),IF(Hipótesis!$G$48=1,Hipótesis!$D$44,Hipótesis!$C$48*(1+Hipótesis!$D$45)^1)*(1+Hipótesis!$D$42),0)</f>
        <v>-4620</v>
      </c>
      <c r="S44" s="100" t="n">
        <f aca="false">-IF(AND(17&gt;=Hipótesis!$D$48,Hipótesis!$B$48=1),IF(Hipótesis!$G$48=1,Hipótesis!$D$44,Hipótesis!$C$48*(1+Hipótesis!$D$45)^1)*(1+Hipótesis!$D$42),0)</f>
        <v>-4620</v>
      </c>
      <c r="T44" s="100" t="n">
        <f aca="false">-IF(AND(18&gt;=Hipótesis!$D$48,Hipótesis!$B$48=1),IF(Hipótesis!$G$48=1,Hipótesis!$D$44,Hipótesis!$C$48*(1+Hipótesis!$D$45)^1)*(1+Hipótesis!$D$42),0)</f>
        <v>-4620</v>
      </c>
      <c r="U44" s="100" t="n">
        <f aca="false">-IF(AND(19&gt;=Hipótesis!$D$48,Hipótesis!$B$48=1),IF(Hipótesis!$G$48=1,Hipótesis!$D$44,Hipótesis!$C$48*(1+Hipótesis!$D$45)^1)*(1+Hipótesis!$D$42),0)</f>
        <v>-4620</v>
      </c>
      <c r="V44" s="100" t="n">
        <f aca="false">-IF(AND(20&gt;=Hipótesis!$D$48,Hipótesis!$B$48=1),IF(Hipótesis!$G$48=1,Hipótesis!$D$44,Hipótesis!$C$48*(1+Hipótesis!$D$45)^1)*(1+Hipótesis!$D$42),0)</f>
        <v>-4620</v>
      </c>
      <c r="W44" s="100" t="n">
        <f aca="false">-IF(AND(21&gt;=Hipótesis!$D$48,Hipótesis!$B$48=1),IF(Hipótesis!$G$48=1,Hipótesis!$D$44,Hipótesis!$C$48*(1+Hipótesis!$D$45)^1)*(1+Hipótesis!$D$42),0)</f>
        <v>-4620</v>
      </c>
      <c r="X44" s="100" t="n">
        <f aca="false">-IF(AND(22&gt;=Hipótesis!$D$48,Hipótesis!$B$48=1),IF(Hipótesis!$G$48=1,Hipótesis!$D$44,Hipótesis!$C$48*(1+Hipótesis!$D$45)^1)*(1+Hipótesis!$D$42),0)</f>
        <v>-4620</v>
      </c>
      <c r="Y44" s="100" t="n">
        <f aca="false">-IF(AND(23&gt;=Hipótesis!$D$48,Hipótesis!$B$48=1),IF(Hipótesis!$G$48=1,Hipótesis!$D$44,Hipótesis!$C$48*(1+Hipótesis!$D$45)^1)*(1+Hipótesis!$D$42),0)</f>
        <v>-4620</v>
      </c>
      <c r="Z44" s="100" t="n">
        <f aca="false">-IF(AND(24&gt;=Hipótesis!$D$48,Hipótesis!$B$48=1),IF(Hipótesis!$G$48=1,Hipótesis!$D$44,Hipótesis!$C$48*(1+Hipótesis!$D$45)^1)*(1+Hipótesis!$D$42),0)</f>
        <v>-4620</v>
      </c>
      <c r="AA44" s="100" t="n">
        <f aca="false">-IF(AND(25&gt;=Hipótesis!$D$48,Hipótesis!$B$48=1),IF(Hipótesis!$G$48=1,Hipótesis!$E$44,Hipótesis!$C$48*(1+Hipótesis!$D$45)^2)*(1+Hipótesis!$D$42),0)</f>
        <v>-5280</v>
      </c>
      <c r="AB44" s="100" t="n">
        <f aca="false">-IF(AND(26&gt;=Hipótesis!$D$48,Hipótesis!$B$48=1),IF(Hipótesis!$G$48=1,Hipótesis!$E$44,Hipótesis!$C$48*(1+Hipótesis!$D$45)^2)*(1+Hipótesis!$D$42),0)</f>
        <v>-5280</v>
      </c>
      <c r="AC44" s="100" t="n">
        <f aca="false">-IF(AND(27&gt;=Hipótesis!$D$48,Hipótesis!$B$48=1),IF(Hipótesis!$G$48=1,Hipótesis!$E$44,Hipótesis!$C$48*(1+Hipótesis!$D$45)^2)*(1+Hipótesis!$D$42),0)</f>
        <v>-5280</v>
      </c>
      <c r="AD44" s="100" t="n">
        <f aca="false">-IF(AND(28&gt;=Hipótesis!$D$48,Hipótesis!$B$48=1),IF(Hipótesis!$G$48=1,Hipótesis!$E$44,Hipótesis!$C$48*(1+Hipótesis!$D$45)^2)*(1+Hipótesis!$D$42),0)</f>
        <v>-5280</v>
      </c>
      <c r="AE44" s="100" t="n">
        <f aca="false">-IF(AND(29&gt;=Hipótesis!$D$48,Hipótesis!$B$48=1),IF(Hipótesis!$G$48=1,Hipótesis!$E$44,Hipótesis!$C$48*(1+Hipótesis!$D$45)^2)*(1+Hipótesis!$D$42),0)</f>
        <v>-5280</v>
      </c>
      <c r="AF44" s="100" t="n">
        <f aca="false">-IF(AND(30&gt;=Hipótesis!$D$48,Hipótesis!$B$48=1),IF(Hipótesis!$G$48=1,Hipótesis!$E$44,Hipótesis!$C$48*(1+Hipótesis!$D$45)^2)*(1+Hipótesis!$D$42),0)</f>
        <v>-5280</v>
      </c>
      <c r="AG44" s="100" t="n">
        <f aca="false">-IF(AND(31&gt;=Hipótesis!$D$48,Hipótesis!$B$48=1),IF(Hipótesis!$G$48=1,Hipótesis!$E$44,Hipótesis!$C$48*(1+Hipótesis!$D$45)^2)*(1+Hipótesis!$D$42),0)</f>
        <v>-5280</v>
      </c>
      <c r="AH44" s="100" t="n">
        <f aca="false">-IF(AND(32&gt;=Hipótesis!$D$48,Hipótesis!$B$48=1),IF(Hipótesis!$G$48=1,Hipótesis!$E$44,Hipótesis!$C$48*(1+Hipótesis!$D$45)^2)*(1+Hipótesis!$D$42),0)</f>
        <v>-5280</v>
      </c>
      <c r="AI44" s="100" t="n">
        <f aca="false">-IF(AND(33&gt;=Hipótesis!$D$48,Hipótesis!$B$48=1),IF(Hipótesis!$G$48=1,Hipótesis!$E$44,Hipótesis!$C$48*(1+Hipótesis!$D$45)^2)*(1+Hipótesis!$D$42),0)</f>
        <v>-5280</v>
      </c>
      <c r="AJ44" s="100" t="n">
        <f aca="false">-IF(AND(34&gt;=Hipótesis!$D$48,Hipótesis!$B$48=1),IF(Hipótesis!$G$48=1,Hipótesis!$E$44,Hipótesis!$C$48*(1+Hipótesis!$D$45)^2)*(1+Hipótesis!$D$42),0)</f>
        <v>-5280</v>
      </c>
      <c r="AK44" s="100" t="n">
        <f aca="false">-IF(AND(35&gt;=Hipótesis!$D$48,Hipótesis!$B$48=1),IF(Hipótesis!$G$48=1,Hipótesis!$E$44,Hipótesis!$C$48*(1+Hipótesis!$D$45)^2)*(1+Hipótesis!$D$42),0)</f>
        <v>-5280</v>
      </c>
      <c r="AL44" s="100" t="n">
        <f aca="false">-IF(AND(36&gt;=Hipótesis!$D$48,Hipótesis!$B$48=1),IF(Hipótesis!$G$48=1,Hipótesis!$E$44,Hipótesis!$C$48*(1+Hipótesis!$D$45)^2)*(1+Hipótesis!$D$42),0)</f>
        <v>-5280</v>
      </c>
      <c r="AM44" s="100" t="n">
        <f aca="false">-IF(AND(37&gt;=Hipótesis!$D$48,Hipótesis!$B$48=1),IF(Hipótesis!$G$48=1,Hipótesis!$F$44,Hipótesis!$C$48*(1+Hipótesis!$D$45)^3)*(1+Hipótesis!$D$42),0)</f>
        <v>-5940</v>
      </c>
      <c r="AN44" s="100" t="n">
        <f aca="false">-IF(AND(38&gt;=Hipótesis!$D$48,Hipótesis!$B$48=1),IF(Hipótesis!$G$48=1,Hipótesis!$F$44,Hipótesis!$C$48*(1+Hipótesis!$D$45)^3)*(1+Hipótesis!$D$42),0)</f>
        <v>-5940</v>
      </c>
      <c r="AO44" s="100" t="n">
        <f aca="false">-IF(AND(39&gt;=Hipótesis!$D$48,Hipótesis!$B$48=1),IF(Hipótesis!$G$48=1,Hipótesis!$F$44,Hipótesis!$C$48*(1+Hipótesis!$D$45)^3)*(1+Hipótesis!$D$42),0)</f>
        <v>-5940</v>
      </c>
      <c r="AP44" s="100" t="n">
        <f aca="false">-IF(AND(40&gt;=Hipótesis!$D$48,Hipótesis!$B$48=1),IF(Hipótesis!$G$48=1,Hipótesis!$F$44,Hipótesis!$C$48*(1+Hipótesis!$D$45)^3)*(1+Hipótesis!$D$42),0)</f>
        <v>-5940</v>
      </c>
      <c r="AQ44" s="100" t="n">
        <f aca="false">-IF(AND(41&gt;=Hipótesis!$D$48,Hipótesis!$B$48=1),IF(Hipótesis!$G$48=1,Hipótesis!$F$44,Hipótesis!$C$48*(1+Hipótesis!$D$45)^3)*(1+Hipótesis!$D$42),0)</f>
        <v>-5940</v>
      </c>
      <c r="AR44" s="100" t="n">
        <f aca="false">-IF(AND(42&gt;=Hipótesis!$D$48,Hipótesis!$B$48=1),IF(Hipótesis!$G$48=1,Hipótesis!$F$44,Hipótesis!$C$48*(1+Hipótesis!$D$45)^3)*(1+Hipótesis!$D$42),0)</f>
        <v>-5940</v>
      </c>
      <c r="AS44" s="100" t="n">
        <f aca="false">-IF(AND(43&gt;=Hipótesis!$D$48,Hipótesis!$B$48=1),IF(Hipótesis!$G$48=1,Hipótesis!$F$44,Hipótesis!$C$48*(1+Hipótesis!$D$45)^3)*(1+Hipótesis!$D$42),0)</f>
        <v>-5940</v>
      </c>
      <c r="AT44" s="100" t="n">
        <f aca="false">-IF(AND(44&gt;=Hipótesis!$D$48,Hipótesis!$B$48=1),IF(Hipótesis!$G$48=1,Hipótesis!$F$44,Hipótesis!$C$48*(1+Hipótesis!$D$45)^3)*(1+Hipótesis!$D$42),0)</f>
        <v>-5940</v>
      </c>
      <c r="AU44" s="100" t="n">
        <f aca="false">-IF(AND(45&gt;=Hipótesis!$D$48,Hipótesis!$B$48=1),IF(Hipótesis!$G$48=1,Hipótesis!$F$44,Hipótesis!$C$48*(1+Hipótesis!$D$45)^3)*(1+Hipótesis!$D$42),0)</f>
        <v>-5940</v>
      </c>
      <c r="AV44" s="100" t="n">
        <f aca="false">-IF(AND(46&gt;=Hipótesis!$D$48,Hipótesis!$B$48=1),IF(Hipótesis!$G$48=1,Hipótesis!$F$44,Hipótesis!$C$48*(1+Hipótesis!$D$45)^3)*(1+Hipótesis!$D$42),0)</f>
        <v>-5940</v>
      </c>
      <c r="AW44" s="100" t="n">
        <f aca="false">-IF(AND(47&gt;=Hipótesis!$D$48,Hipótesis!$B$48=1),IF(Hipótesis!$G$48=1,Hipótesis!$F$44,Hipótesis!$C$48*(1+Hipótesis!$D$45)^3)*(1+Hipótesis!$D$42),0)</f>
        <v>-5940</v>
      </c>
      <c r="AX44" s="100" t="n">
        <f aca="false">-IF(AND(48&gt;=Hipótesis!$D$48,Hipótesis!$B$48=1),IF(Hipótesis!$G$48=1,Hipótesis!$F$44,Hipótesis!$C$48*(1+Hipótesis!$D$45)^3)*(1+Hipótesis!$D$42),0)</f>
        <v>-5940</v>
      </c>
      <c r="AY44" s="100" t="n">
        <f aca="false">-IF(AND(49&gt;=Hipótesis!$D$48,Hipótesis!$B$48=1),IF(Hipótesis!$G$48=1,Hipótesis!$G$44,Hipótesis!$C$48*(1+Hipótesis!$D$45)^4)*(1+Hipótesis!$D$42),0)</f>
        <v>-6600</v>
      </c>
      <c r="AZ44" s="100" t="n">
        <f aca="false">-IF(AND(50&gt;=Hipótesis!$D$48,Hipótesis!$B$48=1),IF(Hipótesis!$G$48=1,Hipótesis!$G$44,Hipótesis!$C$48*(1+Hipótesis!$D$45)^4)*(1+Hipótesis!$D$42),0)</f>
        <v>-6600</v>
      </c>
      <c r="BA44" s="100" t="n">
        <f aca="false">-IF(AND(51&gt;=Hipótesis!$D$48,Hipótesis!$B$48=1),IF(Hipótesis!$G$48=1,Hipótesis!$G$44,Hipótesis!$C$48*(1+Hipótesis!$D$45)^4)*(1+Hipótesis!$D$42),0)</f>
        <v>-6600</v>
      </c>
      <c r="BB44" s="100" t="n">
        <f aca="false">-IF(AND(52&gt;=Hipótesis!$D$48,Hipótesis!$B$48=1),IF(Hipótesis!$G$48=1,Hipótesis!$G$44,Hipótesis!$C$48*(1+Hipótesis!$D$45)^4)*(1+Hipótesis!$D$42),0)</f>
        <v>-6600</v>
      </c>
      <c r="BC44" s="100" t="n">
        <f aca="false">-IF(AND(53&gt;=Hipótesis!$D$48,Hipótesis!$B$48=1),IF(Hipótesis!$G$48=1,Hipótesis!$G$44,Hipótesis!$C$48*(1+Hipótesis!$D$45)^4)*(1+Hipótesis!$D$42),0)</f>
        <v>-6600</v>
      </c>
      <c r="BD44" s="100" t="n">
        <f aca="false">-IF(AND(54&gt;=Hipótesis!$D$48,Hipótesis!$B$48=1),IF(Hipótesis!$G$48=1,Hipótesis!$G$44,Hipótesis!$C$48*(1+Hipótesis!$D$45)^4)*(1+Hipótesis!$D$42),0)</f>
        <v>-6600</v>
      </c>
      <c r="BE44" s="100" t="n">
        <f aca="false">-IF(AND(55&gt;=Hipótesis!$D$48,Hipótesis!$B$48=1),IF(Hipótesis!$G$48=1,Hipótesis!$G$44,Hipótesis!$C$48*(1+Hipótesis!$D$45)^4)*(1+Hipótesis!$D$42),0)</f>
        <v>-6600</v>
      </c>
      <c r="BF44" s="100" t="n">
        <f aca="false">-IF(AND(56&gt;=Hipótesis!$D$48,Hipótesis!$B$48=1),IF(Hipótesis!$G$48=1,Hipótesis!$G$44,Hipótesis!$C$48*(1+Hipótesis!$D$45)^4)*(1+Hipótesis!$D$42),0)</f>
        <v>-6600</v>
      </c>
      <c r="BG44" s="100" t="n">
        <f aca="false">-IF(AND(57&gt;=Hipótesis!$D$48,Hipótesis!$B$48=1),IF(Hipótesis!$G$48=1,Hipótesis!$G$44,Hipótesis!$C$48*(1+Hipótesis!$D$45)^4)*(1+Hipótesis!$D$42),0)</f>
        <v>-6600</v>
      </c>
      <c r="BH44" s="100" t="n">
        <f aca="false">-IF(AND(58&gt;=Hipótesis!$D$48,Hipótesis!$B$48=1),IF(Hipótesis!$G$48=1,Hipótesis!$G$44,Hipótesis!$C$48*(1+Hipótesis!$D$45)^4)*(1+Hipótesis!$D$42),0)</f>
        <v>-6600</v>
      </c>
      <c r="BI44" s="100" t="n">
        <f aca="false">-IF(AND(59&gt;=Hipótesis!$D$48,Hipótesis!$B$48=1),IF(Hipótesis!$G$48=1,Hipótesis!$G$44,Hipótesis!$C$48*(1+Hipótesis!$D$45)^4)*(1+Hipótesis!$D$42),0)</f>
        <v>-6600</v>
      </c>
      <c r="BJ44" s="100" t="n">
        <f aca="false">-IF(AND(60&gt;=Hipótesis!$D$48,Hipótesis!$B$48=1),IF(Hipótesis!$G$48=1,Hipótesis!$G$44,Hipótesis!$C$48*(1+Hipótesis!$D$45)^4)*(1+Hipótesis!$D$42),0)</f>
        <v>-6600</v>
      </c>
      <c r="BK44" s="100" t="n">
        <f aca="false">-IF(AND(61&gt;=Hipótesis!$D$48,Hipótesis!$B$48=1),IF(Hipótesis!$G$48=1,Hipótesis!$H$44,Hipótesis!$C$48*(1+Hipótesis!$D$45)^5)*(1+Hipótesis!$D$42),0)</f>
        <v>-7260</v>
      </c>
      <c r="BL44" s="100" t="n">
        <f aca="false">-IF(AND(62&gt;=Hipótesis!$D$48,Hipótesis!$B$48=1),IF(Hipótesis!$G$48=1,Hipótesis!$H$44,Hipótesis!$C$48*(1+Hipótesis!$D$45)^5)*(1+Hipótesis!$D$42),0)</f>
        <v>-7260</v>
      </c>
      <c r="BM44" s="100" t="n">
        <f aca="false">-IF(AND(63&gt;=Hipótesis!$D$48,Hipótesis!$B$48=1),IF(Hipótesis!$G$48=1,Hipótesis!$H$44,Hipótesis!$C$48*(1+Hipótesis!$D$45)^5)*(1+Hipótesis!$D$42),0)</f>
        <v>-7260</v>
      </c>
      <c r="BN44" s="100" t="n">
        <f aca="false">-IF(AND(64&gt;=Hipótesis!$D$48,Hipótesis!$B$48=1),IF(Hipótesis!$G$48=1,Hipótesis!$H$44,Hipótesis!$C$48*(1+Hipótesis!$D$45)^5)*(1+Hipótesis!$D$42),0)</f>
        <v>-7260</v>
      </c>
      <c r="BO44" s="100" t="n">
        <f aca="false">-IF(AND(65&gt;=Hipótesis!$D$48,Hipótesis!$B$48=1),IF(Hipótesis!$G$48=1,Hipótesis!$H$44,Hipótesis!$C$48*(1+Hipótesis!$D$45)^5)*(1+Hipótesis!$D$42),0)</f>
        <v>-7260</v>
      </c>
      <c r="BP44" s="100" t="n">
        <f aca="false">-IF(AND(66&gt;=Hipótesis!$D$48,Hipótesis!$B$48=1),IF(Hipótesis!$G$48=1,Hipótesis!$H$44,Hipótesis!$C$48*(1+Hipótesis!$D$45)^5)*(1+Hipótesis!$D$42),0)</f>
        <v>-7260</v>
      </c>
      <c r="BQ44" s="100" t="n">
        <f aca="false">-IF(AND(67&gt;=Hipótesis!$D$48,Hipótesis!$B$48=1),IF(Hipótesis!$G$48=1,Hipótesis!$H$44,Hipótesis!$C$48*(1+Hipótesis!$D$45)^5)*(1+Hipótesis!$D$42),0)</f>
        <v>-7260</v>
      </c>
      <c r="BR44" s="100" t="n">
        <f aca="false">-IF(AND(68&gt;=Hipótesis!$D$48,Hipótesis!$B$48=1),IF(Hipótesis!$G$48=1,Hipótesis!$H$44,Hipótesis!$C$48*(1+Hipótesis!$D$45)^5)*(1+Hipótesis!$D$42),0)</f>
        <v>-7260</v>
      </c>
      <c r="BS44" s="100" t="n">
        <f aca="false">-IF(AND(69&gt;=Hipótesis!$D$48,Hipótesis!$B$48=1),IF(Hipótesis!$G$48=1,Hipótesis!$H$44,Hipótesis!$C$48*(1+Hipótesis!$D$45)^5)*(1+Hipótesis!$D$42),0)</f>
        <v>-7260</v>
      </c>
      <c r="BT44" s="100" t="n">
        <f aca="false">-IF(AND(70&gt;=Hipótesis!$D$48,Hipótesis!$B$48=1),IF(Hipótesis!$G$48=1,Hipótesis!$H$44,Hipótesis!$C$48*(1+Hipótesis!$D$45)^5)*(1+Hipótesis!$D$42),0)</f>
        <v>-7260</v>
      </c>
      <c r="BU44" s="100" t="n">
        <f aca="false">-IF(AND(71&gt;=Hipótesis!$D$48,Hipótesis!$B$48=1),IF(Hipótesis!$G$48=1,Hipótesis!$H$44,Hipótesis!$C$48*(1+Hipótesis!$D$45)^5)*(1+Hipótesis!$D$42),0)</f>
        <v>-7260</v>
      </c>
      <c r="BV44" s="100" t="n">
        <f aca="false">-IF(AND(72&gt;=Hipótesis!$D$48,Hipótesis!$B$48=1),IF(Hipótesis!$G$48=1,Hipótesis!$H$44,Hipótesis!$C$48*(1+Hipótesis!$D$45)^5)*(1+Hipótesis!$D$42),0)</f>
        <v>-7260</v>
      </c>
      <c r="BW44" s="100" t="n">
        <f aca="false">-IF(AND(73&gt;=Hipótesis!$D$48,Hipótesis!$B$48=1),IF(Hipótesis!$G$48=1,Hipótesis!$I$44,Hipótesis!$C$48*(1+Hipótesis!$D$45)^6)*(1+Hipótesis!$D$42),0)</f>
        <v>-7920</v>
      </c>
      <c r="BX44" s="100" t="n">
        <f aca="false">-IF(AND(74&gt;=Hipótesis!$D$48,Hipótesis!$B$48=1),IF(Hipótesis!$G$48=1,Hipótesis!$I$44,Hipótesis!$C$48*(1+Hipótesis!$D$45)^6)*(1+Hipótesis!$D$42),0)</f>
        <v>-7920</v>
      </c>
      <c r="BY44" s="100" t="n">
        <f aca="false">-IF(AND(75&gt;=Hipótesis!$D$48,Hipótesis!$B$48=1),IF(Hipótesis!$G$48=1,Hipótesis!$I$44,Hipótesis!$C$48*(1+Hipótesis!$D$45)^6)*(1+Hipótesis!$D$42),0)</f>
        <v>-7920</v>
      </c>
      <c r="BZ44" s="100" t="n">
        <f aca="false">-IF(AND(76&gt;=Hipótesis!$D$48,Hipótesis!$B$48=1),IF(Hipótesis!$G$48=1,Hipótesis!$I$44,Hipótesis!$C$48*(1+Hipótesis!$D$45)^6)*(1+Hipótesis!$D$42),0)</f>
        <v>-7920</v>
      </c>
      <c r="CA44" s="100" t="n">
        <f aca="false">-IF(AND(77&gt;=Hipótesis!$D$48,Hipótesis!$B$48=1),IF(Hipótesis!$G$48=1,Hipótesis!$I$44,Hipótesis!$C$48*(1+Hipótesis!$D$45)^6)*(1+Hipótesis!$D$42),0)</f>
        <v>-7920</v>
      </c>
      <c r="CB44" s="100" t="n">
        <f aca="false">-IF(AND(78&gt;=Hipótesis!$D$48,Hipótesis!$B$48=1),IF(Hipótesis!$G$48=1,Hipótesis!$I$44,Hipótesis!$C$48*(1+Hipótesis!$D$45)^6)*(1+Hipótesis!$D$42),0)</f>
        <v>-7920</v>
      </c>
      <c r="CC44" s="100" t="n">
        <f aca="false">-IF(AND(79&gt;=Hipótesis!$D$48,Hipótesis!$B$48=1),IF(Hipótesis!$G$48=1,Hipótesis!$I$44,Hipótesis!$C$48*(1+Hipótesis!$D$45)^6)*(1+Hipótesis!$D$42),0)</f>
        <v>-7920</v>
      </c>
      <c r="CD44" s="100" t="n">
        <f aca="false">-IF(AND(80&gt;=Hipótesis!$D$48,Hipótesis!$B$48=1),IF(Hipótesis!$G$48=1,Hipótesis!$I$44,Hipótesis!$C$48*(1+Hipótesis!$D$45)^6)*(1+Hipótesis!$D$42),0)</f>
        <v>-7920</v>
      </c>
      <c r="CE44" s="100" t="n">
        <f aca="false">-IF(AND(81&gt;=Hipótesis!$D$48,Hipótesis!$B$48=1),IF(Hipótesis!$G$48=1,Hipótesis!$I$44,Hipótesis!$C$48*(1+Hipótesis!$D$45)^6)*(1+Hipótesis!$D$42),0)</f>
        <v>-7920</v>
      </c>
      <c r="CF44" s="100" t="n">
        <f aca="false">-IF(AND(82&gt;=Hipótesis!$D$48,Hipótesis!$B$48=1),IF(Hipótesis!$G$48=1,Hipótesis!$I$44,Hipótesis!$C$48*(1+Hipótesis!$D$45)^6)*(1+Hipótesis!$D$42),0)</f>
        <v>-7920</v>
      </c>
      <c r="CG44" s="100" t="n">
        <f aca="false">-IF(AND(83&gt;=Hipótesis!$D$48,Hipótesis!$B$48=1),IF(Hipótesis!$G$48=1,Hipótesis!$I$44,Hipótesis!$C$48*(1+Hipótesis!$D$45)^6)*(1+Hipótesis!$D$42),0)</f>
        <v>-7920</v>
      </c>
      <c r="CH44" s="100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6" t="s">
        <v>522</v>
      </c>
      <c r="C45" s="100" t="n">
        <f aca="false">-IF(AND(1&gt;=Hipótesis!$D$49,Hipótesis!$B$49=1),IF(Hipótesis!$G$49=1,Hipótesis!$C$44,Hipótesis!$C$49*(1+Hipótesis!$D$45)^0)*(1+Hipótesis!$D$42),0)</f>
        <v>-2904</v>
      </c>
      <c r="D45" s="100" t="n">
        <f aca="false">-IF(AND(2&gt;=Hipótesis!$D$49,Hipótesis!$B$49=1),IF(Hipótesis!$G$49=1,Hipótesis!$C$44,Hipótesis!$C$49*(1+Hipótesis!$D$45)^0)*(1+Hipótesis!$D$42),0)</f>
        <v>-2904</v>
      </c>
      <c r="E45" s="100" t="n">
        <f aca="false">-IF(AND(3&gt;=Hipótesis!$D$49,Hipótesis!$B$49=1),IF(Hipótesis!$G$49=1,Hipótesis!$C$44,Hipótesis!$C$49*(1+Hipótesis!$D$45)^0)*(1+Hipótesis!$D$42),0)</f>
        <v>-2904</v>
      </c>
      <c r="F45" s="100" t="n">
        <f aca="false">-IF(AND(4&gt;=Hipótesis!$D$49,Hipótesis!$B$49=1),IF(Hipótesis!$G$49=1,Hipótesis!$C$44,Hipótesis!$C$49*(1+Hipótesis!$D$45)^0)*(1+Hipótesis!$D$42),0)</f>
        <v>-2904</v>
      </c>
      <c r="G45" s="100" t="n">
        <f aca="false">-IF(AND(5&gt;=Hipótesis!$D$49,Hipótesis!$B$49=1),IF(Hipótesis!$G$49=1,Hipótesis!$C$44,Hipótesis!$C$49*(1+Hipótesis!$D$45)^0)*(1+Hipótesis!$D$42),0)</f>
        <v>-2904</v>
      </c>
      <c r="H45" s="100" t="n">
        <f aca="false">-IF(AND(6&gt;=Hipótesis!$D$49,Hipótesis!$B$49=1),IF(Hipótesis!$G$49=1,Hipótesis!$C$44,Hipótesis!$C$49*(1+Hipótesis!$D$45)^0)*(1+Hipótesis!$D$42),0)</f>
        <v>-2904</v>
      </c>
      <c r="I45" s="100" t="n">
        <f aca="false">-IF(AND(7&gt;=Hipótesis!$D$49,Hipótesis!$B$49=1),IF(Hipótesis!$G$49=1,Hipótesis!$C$44,Hipótesis!$C$49*(1+Hipótesis!$D$45)^0)*(1+Hipótesis!$D$42),0)</f>
        <v>-2904</v>
      </c>
      <c r="J45" s="100" t="n">
        <f aca="false">-IF(AND(8&gt;=Hipótesis!$D$49,Hipótesis!$B$49=1),IF(Hipótesis!$G$49=1,Hipótesis!$C$44,Hipótesis!$C$49*(1+Hipótesis!$D$45)^0)*(1+Hipótesis!$D$42),0)</f>
        <v>-2904</v>
      </c>
      <c r="K45" s="100" t="n">
        <f aca="false">-IF(AND(9&gt;=Hipótesis!$D$49,Hipótesis!$B$49=1),IF(Hipótesis!$G$49=1,Hipótesis!$C$44,Hipótesis!$C$49*(1+Hipótesis!$D$45)^0)*(1+Hipótesis!$D$42),0)</f>
        <v>-2904</v>
      </c>
      <c r="L45" s="100" t="n">
        <f aca="false">-IF(AND(10&gt;=Hipótesis!$D$49,Hipótesis!$B$49=1),IF(Hipótesis!$G$49=1,Hipótesis!$C$44,Hipótesis!$C$49*(1+Hipótesis!$D$45)^0)*(1+Hipótesis!$D$42),0)</f>
        <v>-2904</v>
      </c>
      <c r="M45" s="100" t="n">
        <f aca="false">-IF(AND(11&gt;=Hipótesis!$D$49,Hipótesis!$B$49=1),IF(Hipótesis!$G$49=1,Hipótesis!$C$44,Hipótesis!$C$49*(1+Hipótesis!$D$45)^0)*(1+Hipótesis!$D$42),0)</f>
        <v>-2904</v>
      </c>
      <c r="N45" s="100" t="n">
        <f aca="false">-IF(AND(12&gt;=Hipótesis!$D$49,Hipótesis!$B$49=1),IF(Hipótesis!$G$49=1,Hipótesis!$C$44,Hipótesis!$C$49*(1+Hipótesis!$D$45)^0)*(1+Hipótesis!$D$42),0)</f>
        <v>-2904</v>
      </c>
      <c r="O45" s="100" t="n">
        <f aca="false">-IF(AND(13&gt;=Hipótesis!$D$49,Hipótesis!$B$49=1),IF(Hipótesis!$G$49=1,Hipótesis!$D$44,Hipótesis!$C$49*(1+Hipótesis!$D$45)^1)*(1+Hipótesis!$D$42),0)</f>
        <v>-4620</v>
      </c>
      <c r="P45" s="100" t="n">
        <f aca="false">-IF(AND(14&gt;=Hipótesis!$D$49,Hipótesis!$B$49=1),IF(Hipótesis!$G$49=1,Hipótesis!$D$44,Hipótesis!$C$49*(1+Hipótesis!$D$45)^1)*(1+Hipótesis!$D$42),0)</f>
        <v>-4620</v>
      </c>
      <c r="Q45" s="100" t="n">
        <f aca="false">-IF(AND(15&gt;=Hipótesis!$D$49,Hipótesis!$B$49=1),IF(Hipótesis!$G$49=1,Hipótesis!$D$44,Hipótesis!$C$49*(1+Hipótesis!$D$45)^1)*(1+Hipótesis!$D$42),0)</f>
        <v>-4620</v>
      </c>
      <c r="R45" s="100" t="n">
        <f aca="false">-IF(AND(16&gt;=Hipótesis!$D$49,Hipótesis!$B$49=1),IF(Hipótesis!$G$49=1,Hipótesis!$D$44,Hipótesis!$C$49*(1+Hipótesis!$D$45)^1)*(1+Hipótesis!$D$42),0)</f>
        <v>-4620</v>
      </c>
      <c r="S45" s="100" t="n">
        <f aca="false">-IF(AND(17&gt;=Hipótesis!$D$49,Hipótesis!$B$49=1),IF(Hipótesis!$G$49=1,Hipótesis!$D$44,Hipótesis!$C$49*(1+Hipótesis!$D$45)^1)*(1+Hipótesis!$D$42),0)</f>
        <v>-4620</v>
      </c>
      <c r="T45" s="100" t="n">
        <f aca="false">-IF(AND(18&gt;=Hipótesis!$D$49,Hipótesis!$B$49=1),IF(Hipótesis!$G$49=1,Hipótesis!$D$44,Hipótesis!$C$49*(1+Hipótesis!$D$45)^1)*(1+Hipótesis!$D$42),0)</f>
        <v>-4620</v>
      </c>
      <c r="U45" s="100" t="n">
        <f aca="false">-IF(AND(19&gt;=Hipótesis!$D$49,Hipótesis!$B$49=1),IF(Hipótesis!$G$49=1,Hipótesis!$D$44,Hipótesis!$C$49*(1+Hipótesis!$D$45)^1)*(1+Hipótesis!$D$42),0)</f>
        <v>-4620</v>
      </c>
      <c r="V45" s="100" t="n">
        <f aca="false">-IF(AND(20&gt;=Hipótesis!$D$49,Hipótesis!$B$49=1),IF(Hipótesis!$G$49=1,Hipótesis!$D$44,Hipótesis!$C$49*(1+Hipótesis!$D$45)^1)*(1+Hipótesis!$D$42),0)</f>
        <v>-4620</v>
      </c>
      <c r="W45" s="100" t="n">
        <f aca="false">-IF(AND(21&gt;=Hipótesis!$D$49,Hipótesis!$B$49=1),IF(Hipótesis!$G$49=1,Hipótesis!$D$44,Hipótesis!$C$49*(1+Hipótesis!$D$45)^1)*(1+Hipótesis!$D$42),0)</f>
        <v>-4620</v>
      </c>
      <c r="X45" s="100" t="n">
        <f aca="false">-IF(AND(22&gt;=Hipótesis!$D$49,Hipótesis!$B$49=1),IF(Hipótesis!$G$49=1,Hipótesis!$D$44,Hipótesis!$C$49*(1+Hipótesis!$D$45)^1)*(1+Hipótesis!$D$42),0)</f>
        <v>-4620</v>
      </c>
      <c r="Y45" s="100" t="n">
        <f aca="false">-IF(AND(23&gt;=Hipótesis!$D$49,Hipótesis!$B$49=1),IF(Hipótesis!$G$49=1,Hipótesis!$D$44,Hipótesis!$C$49*(1+Hipótesis!$D$45)^1)*(1+Hipótesis!$D$42),0)</f>
        <v>-4620</v>
      </c>
      <c r="Z45" s="100" t="n">
        <f aca="false">-IF(AND(24&gt;=Hipótesis!$D$49,Hipótesis!$B$49=1),IF(Hipótesis!$G$49=1,Hipótesis!$D$44,Hipótesis!$C$49*(1+Hipótesis!$D$45)^1)*(1+Hipótesis!$D$42),0)</f>
        <v>-4620</v>
      </c>
      <c r="AA45" s="100" t="n">
        <f aca="false">-IF(AND(25&gt;=Hipótesis!$D$49,Hipótesis!$B$49=1),IF(Hipótesis!$G$49=1,Hipótesis!$E$44,Hipótesis!$C$49*(1+Hipótesis!$D$45)^2)*(1+Hipótesis!$D$42),0)</f>
        <v>-5280</v>
      </c>
      <c r="AB45" s="100" t="n">
        <f aca="false">-IF(AND(26&gt;=Hipótesis!$D$49,Hipótesis!$B$49=1),IF(Hipótesis!$G$49=1,Hipótesis!$E$44,Hipótesis!$C$49*(1+Hipótesis!$D$45)^2)*(1+Hipótesis!$D$42),0)</f>
        <v>-5280</v>
      </c>
      <c r="AC45" s="100" t="n">
        <f aca="false">-IF(AND(27&gt;=Hipótesis!$D$49,Hipótesis!$B$49=1),IF(Hipótesis!$G$49=1,Hipótesis!$E$44,Hipótesis!$C$49*(1+Hipótesis!$D$45)^2)*(1+Hipótesis!$D$42),0)</f>
        <v>-5280</v>
      </c>
      <c r="AD45" s="100" t="n">
        <f aca="false">-IF(AND(28&gt;=Hipótesis!$D$49,Hipótesis!$B$49=1),IF(Hipótesis!$G$49=1,Hipótesis!$E$44,Hipótesis!$C$49*(1+Hipótesis!$D$45)^2)*(1+Hipótesis!$D$42),0)</f>
        <v>-5280</v>
      </c>
      <c r="AE45" s="100" t="n">
        <f aca="false">-IF(AND(29&gt;=Hipótesis!$D$49,Hipótesis!$B$49=1),IF(Hipótesis!$G$49=1,Hipótesis!$E$44,Hipótesis!$C$49*(1+Hipótesis!$D$45)^2)*(1+Hipótesis!$D$42),0)</f>
        <v>-5280</v>
      </c>
      <c r="AF45" s="100" t="n">
        <f aca="false">-IF(AND(30&gt;=Hipótesis!$D$49,Hipótesis!$B$49=1),IF(Hipótesis!$G$49=1,Hipótesis!$E$44,Hipótesis!$C$49*(1+Hipótesis!$D$45)^2)*(1+Hipótesis!$D$42),0)</f>
        <v>-5280</v>
      </c>
      <c r="AG45" s="100" t="n">
        <f aca="false">-IF(AND(31&gt;=Hipótesis!$D$49,Hipótesis!$B$49=1),IF(Hipótesis!$G$49=1,Hipótesis!$E$44,Hipótesis!$C$49*(1+Hipótesis!$D$45)^2)*(1+Hipótesis!$D$42),0)</f>
        <v>-5280</v>
      </c>
      <c r="AH45" s="100" t="n">
        <f aca="false">-IF(AND(32&gt;=Hipótesis!$D$49,Hipótesis!$B$49=1),IF(Hipótesis!$G$49=1,Hipótesis!$E$44,Hipótesis!$C$49*(1+Hipótesis!$D$45)^2)*(1+Hipótesis!$D$42),0)</f>
        <v>-5280</v>
      </c>
      <c r="AI45" s="100" t="n">
        <f aca="false">-IF(AND(33&gt;=Hipótesis!$D$49,Hipótesis!$B$49=1),IF(Hipótesis!$G$49=1,Hipótesis!$E$44,Hipótesis!$C$49*(1+Hipótesis!$D$45)^2)*(1+Hipótesis!$D$42),0)</f>
        <v>-5280</v>
      </c>
      <c r="AJ45" s="100" t="n">
        <f aca="false">-IF(AND(34&gt;=Hipótesis!$D$49,Hipótesis!$B$49=1),IF(Hipótesis!$G$49=1,Hipótesis!$E$44,Hipótesis!$C$49*(1+Hipótesis!$D$45)^2)*(1+Hipótesis!$D$42),0)</f>
        <v>-5280</v>
      </c>
      <c r="AK45" s="100" t="n">
        <f aca="false">-IF(AND(35&gt;=Hipótesis!$D$49,Hipótesis!$B$49=1),IF(Hipótesis!$G$49=1,Hipótesis!$E$44,Hipótesis!$C$49*(1+Hipótesis!$D$45)^2)*(1+Hipótesis!$D$42),0)</f>
        <v>-5280</v>
      </c>
      <c r="AL45" s="100" t="n">
        <f aca="false">-IF(AND(36&gt;=Hipótesis!$D$49,Hipótesis!$B$49=1),IF(Hipótesis!$G$49=1,Hipótesis!$E$44,Hipótesis!$C$49*(1+Hipótesis!$D$45)^2)*(1+Hipótesis!$D$42),0)</f>
        <v>-5280</v>
      </c>
      <c r="AM45" s="100" t="n">
        <f aca="false">-IF(AND(37&gt;=Hipótesis!$D$49,Hipótesis!$B$49=1),IF(Hipótesis!$G$49=1,Hipótesis!$F$44,Hipótesis!$C$49*(1+Hipótesis!$D$45)^3)*(1+Hipótesis!$D$42),0)</f>
        <v>-5940</v>
      </c>
      <c r="AN45" s="100" t="n">
        <f aca="false">-IF(AND(38&gt;=Hipótesis!$D$49,Hipótesis!$B$49=1),IF(Hipótesis!$G$49=1,Hipótesis!$F$44,Hipótesis!$C$49*(1+Hipótesis!$D$45)^3)*(1+Hipótesis!$D$42),0)</f>
        <v>-5940</v>
      </c>
      <c r="AO45" s="100" t="n">
        <f aca="false">-IF(AND(39&gt;=Hipótesis!$D$49,Hipótesis!$B$49=1),IF(Hipótesis!$G$49=1,Hipótesis!$F$44,Hipótesis!$C$49*(1+Hipótesis!$D$45)^3)*(1+Hipótesis!$D$42),0)</f>
        <v>-5940</v>
      </c>
      <c r="AP45" s="100" t="n">
        <f aca="false">-IF(AND(40&gt;=Hipótesis!$D$49,Hipótesis!$B$49=1),IF(Hipótesis!$G$49=1,Hipótesis!$F$44,Hipótesis!$C$49*(1+Hipótesis!$D$45)^3)*(1+Hipótesis!$D$42),0)</f>
        <v>-5940</v>
      </c>
      <c r="AQ45" s="100" t="n">
        <f aca="false">-IF(AND(41&gt;=Hipótesis!$D$49,Hipótesis!$B$49=1),IF(Hipótesis!$G$49=1,Hipótesis!$F$44,Hipótesis!$C$49*(1+Hipótesis!$D$45)^3)*(1+Hipótesis!$D$42),0)</f>
        <v>-5940</v>
      </c>
      <c r="AR45" s="100" t="n">
        <f aca="false">-IF(AND(42&gt;=Hipótesis!$D$49,Hipótesis!$B$49=1),IF(Hipótesis!$G$49=1,Hipótesis!$F$44,Hipótesis!$C$49*(1+Hipótesis!$D$45)^3)*(1+Hipótesis!$D$42),0)</f>
        <v>-5940</v>
      </c>
      <c r="AS45" s="100" t="n">
        <f aca="false">-IF(AND(43&gt;=Hipótesis!$D$49,Hipótesis!$B$49=1),IF(Hipótesis!$G$49=1,Hipótesis!$F$44,Hipótesis!$C$49*(1+Hipótesis!$D$45)^3)*(1+Hipótesis!$D$42),0)</f>
        <v>-5940</v>
      </c>
      <c r="AT45" s="100" t="n">
        <f aca="false">-IF(AND(44&gt;=Hipótesis!$D$49,Hipótesis!$B$49=1),IF(Hipótesis!$G$49=1,Hipótesis!$F$44,Hipótesis!$C$49*(1+Hipótesis!$D$45)^3)*(1+Hipótesis!$D$42),0)</f>
        <v>-5940</v>
      </c>
      <c r="AU45" s="100" t="n">
        <f aca="false">-IF(AND(45&gt;=Hipótesis!$D$49,Hipótesis!$B$49=1),IF(Hipótesis!$G$49=1,Hipótesis!$F$44,Hipótesis!$C$49*(1+Hipótesis!$D$45)^3)*(1+Hipótesis!$D$42),0)</f>
        <v>-5940</v>
      </c>
      <c r="AV45" s="100" t="n">
        <f aca="false">-IF(AND(46&gt;=Hipótesis!$D$49,Hipótesis!$B$49=1),IF(Hipótesis!$G$49=1,Hipótesis!$F$44,Hipótesis!$C$49*(1+Hipótesis!$D$45)^3)*(1+Hipótesis!$D$42),0)</f>
        <v>-5940</v>
      </c>
      <c r="AW45" s="100" t="n">
        <f aca="false">-IF(AND(47&gt;=Hipótesis!$D$49,Hipótesis!$B$49=1),IF(Hipótesis!$G$49=1,Hipótesis!$F$44,Hipótesis!$C$49*(1+Hipótesis!$D$45)^3)*(1+Hipótesis!$D$42),0)</f>
        <v>-5940</v>
      </c>
      <c r="AX45" s="100" t="n">
        <f aca="false">-IF(AND(48&gt;=Hipótesis!$D$49,Hipótesis!$B$49=1),IF(Hipótesis!$G$49=1,Hipótesis!$F$44,Hipótesis!$C$49*(1+Hipótesis!$D$45)^3)*(1+Hipótesis!$D$42),0)</f>
        <v>-5940</v>
      </c>
      <c r="AY45" s="100" t="n">
        <f aca="false">-IF(AND(49&gt;=Hipótesis!$D$49,Hipótesis!$B$49=1),IF(Hipótesis!$G$49=1,Hipótesis!$G$44,Hipótesis!$C$49*(1+Hipótesis!$D$45)^4)*(1+Hipótesis!$D$42),0)</f>
        <v>-6600</v>
      </c>
      <c r="AZ45" s="100" t="n">
        <f aca="false">-IF(AND(50&gt;=Hipótesis!$D$49,Hipótesis!$B$49=1),IF(Hipótesis!$G$49=1,Hipótesis!$G$44,Hipótesis!$C$49*(1+Hipótesis!$D$45)^4)*(1+Hipótesis!$D$42),0)</f>
        <v>-6600</v>
      </c>
      <c r="BA45" s="100" t="n">
        <f aca="false">-IF(AND(51&gt;=Hipótesis!$D$49,Hipótesis!$B$49=1),IF(Hipótesis!$G$49=1,Hipótesis!$G$44,Hipótesis!$C$49*(1+Hipótesis!$D$45)^4)*(1+Hipótesis!$D$42),0)</f>
        <v>-6600</v>
      </c>
      <c r="BB45" s="100" t="n">
        <f aca="false">-IF(AND(52&gt;=Hipótesis!$D$49,Hipótesis!$B$49=1),IF(Hipótesis!$G$49=1,Hipótesis!$G$44,Hipótesis!$C$49*(1+Hipótesis!$D$45)^4)*(1+Hipótesis!$D$42),0)</f>
        <v>-6600</v>
      </c>
      <c r="BC45" s="100" t="n">
        <f aca="false">-IF(AND(53&gt;=Hipótesis!$D$49,Hipótesis!$B$49=1),IF(Hipótesis!$G$49=1,Hipótesis!$G$44,Hipótesis!$C$49*(1+Hipótesis!$D$45)^4)*(1+Hipótesis!$D$42),0)</f>
        <v>-6600</v>
      </c>
      <c r="BD45" s="100" t="n">
        <f aca="false">-IF(AND(54&gt;=Hipótesis!$D$49,Hipótesis!$B$49=1),IF(Hipótesis!$G$49=1,Hipótesis!$G$44,Hipótesis!$C$49*(1+Hipótesis!$D$45)^4)*(1+Hipótesis!$D$42),0)</f>
        <v>-6600</v>
      </c>
      <c r="BE45" s="100" t="n">
        <f aca="false">-IF(AND(55&gt;=Hipótesis!$D$49,Hipótesis!$B$49=1),IF(Hipótesis!$G$49=1,Hipótesis!$G$44,Hipótesis!$C$49*(1+Hipótesis!$D$45)^4)*(1+Hipótesis!$D$42),0)</f>
        <v>-6600</v>
      </c>
      <c r="BF45" s="100" t="n">
        <f aca="false">-IF(AND(56&gt;=Hipótesis!$D$49,Hipótesis!$B$49=1),IF(Hipótesis!$G$49=1,Hipótesis!$G$44,Hipótesis!$C$49*(1+Hipótesis!$D$45)^4)*(1+Hipótesis!$D$42),0)</f>
        <v>-6600</v>
      </c>
      <c r="BG45" s="100" t="n">
        <f aca="false">-IF(AND(57&gt;=Hipótesis!$D$49,Hipótesis!$B$49=1),IF(Hipótesis!$G$49=1,Hipótesis!$G$44,Hipótesis!$C$49*(1+Hipótesis!$D$45)^4)*(1+Hipótesis!$D$42),0)</f>
        <v>-6600</v>
      </c>
      <c r="BH45" s="100" t="n">
        <f aca="false">-IF(AND(58&gt;=Hipótesis!$D$49,Hipótesis!$B$49=1),IF(Hipótesis!$G$49=1,Hipótesis!$G$44,Hipótesis!$C$49*(1+Hipótesis!$D$45)^4)*(1+Hipótesis!$D$42),0)</f>
        <v>-6600</v>
      </c>
      <c r="BI45" s="100" t="n">
        <f aca="false">-IF(AND(59&gt;=Hipótesis!$D$49,Hipótesis!$B$49=1),IF(Hipótesis!$G$49=1,Hipótesis!$G$44,Hipótesis!$C$49*(1+Hipótesis!$D$45)^4)*(1+Hipótesis!$D$42),0)</f>
        <v>-6600</v>
      </c>
      <c r="BJ45" s="100" t="n">
        <f aca="false">-IF(AND(60&gt;=Hipótesis!$D$49,Hipótesis!$B$49=1),IF(Hipótesis!$G$49=1,Hipótesis!$G$44,Hipótesis!$C$49*(1+Hipótesis!$D$45)^4)*(1+Hipótesis!$D$42),0)</f>
        <v>-6600</v>
      </c>
      <c r="BK45" s="100" t="n">
        <f aca="false">-IF(AND(61&gt;=Hipótesis!$D$49,Hipótesis!$B$49=1),IF(Hipótesis!$G$49=1,Hipótesis!$H$44,Hipótesis!$C$49*(1+Hipótesis!$D$45)^5)*(1+Hipótesis!$D$42),0)</f>
        <v>-7260</v>
      </c>
      <c r="BL45" s="100" t="n">
        <f aca="false">-IF(AND(62&gt;=Hipótesis!$D$49,Hipótesis!$B$49=1),IF(Hipótesis!$G$49=1,Hipótesis!$H$44,Hipótesis!$C$49*(1+Hipótesis!$D$45)^5)*(1+Hipótesis!$D$42),0)</f>
        <v>-7260</v>
      </c>
      <c r="BM45" s="100" t="n">
        <f aca="false">-IF(AND(63&gt;=Hipótesis!$D$49,Hipótesis!$B$49=1),IF(Hipótesis!$G$49=1,Hipótesis!$H$44,Hipótesis!$C$49*(1+Hipótesis!$D$45)^5)*(1+Hipótesis!$D$42),0)</f>
        <v>-7260</v>
      </c>
      <c r="BN45" s="100" t="n">
        <f aca="false">-IF(AND(64&gt;=Hipótesis!$D$49,Hipótesis!$B$49=1),IF(Hipótesis!$G$49=1,Hipótesis!$H$44,Hipótesis!$C$49*(1+Hipótesis!$D$45)^5)*(1+Hipótesis!$D$42),0)</f>
        <v>-7260</v>
      </c>
      <c r="BO45" s="100" t="n">
        <f aca="false">-IF(AND(65&gt;=Hipótesis!$D$49,Hipótesis!$B$49=1),IF(Hipótesis!$G$49=1,Hipótesis!$H$44,Hipótesis!$C$49*(1+Hipótesis!$D$45)^5)*(1+Hipótesis!$D$42),0)</f>
        <v>-7260</v>
      </c>
      <c r="BP45" s="100" t="n">
        <f aca="false">-IF(AND(66&gt;=Hipótesis!$D$49,Hipótesis!$B$49=1),IF(Hipótesis!$G$49=1,Hipótesis!$H$44,Hipótesis!$C$49*(1+Hipótesis!$D$45)^5)*(1+Hipótesis!$D$42),0)</f>
        <v>-7260</v>
      </c>
      <c r="BQ45" s="100" t="n">
        <f aca="false">-IF(AND(67&gt;=Hipótesis!$D$49,Hipótesis!$B$49=1),IF(Hipótesis!$G$49=1,Hipótesis!$H$44,Hipótesis!$C$49*(1+Hipótesis!$D$45)^5)*(1+Hipótesis!$D$42),0)</f>
        <v>-7260</v>
      </c>
      <c r="BR45" s="100" t="n">
        <f aca="false">-IF(AND(68&gt;=Hipótesis!$D$49,Hipótesis!$B$49=1),IF(Hipótesis!$G$49=1,Hipótesis!$H$44,Hipótesis!$C$49*(1+Hipótesis!$D$45)^5)*(1+Hipótesis!$D$42),0)</f>
        <v>-7260</v>
      </c>
      <c r="BS45" s="100" t="n">
        <f aca="false">-IF(AND(69&gt;=Hipótesis!$D$49,Hipótesis!$B$49=1),IF(Hipótesis!$G$49=1,Hipótesis!$H$44,Hipótesis!$C$49*(1+Hipótesis!$D$45)^5)*(1+Hipótesis!$D$42),0)</f>
        <v>-7260</v>
      </c>
      <c r="BT45" s="100" t="n">
        <f aca="false">-IF(AND(70&gt;=Hipótesis!$D$49,Hipótesis!$B$49=1),IF(Hipótesis!$G$49=1,Hipótesis!$H$44,Hipótesis!$C$49*(1+Hipótesis!$D$45)^5)*(1+Hipótesis!$D$42),0)</f>
        <v>-7260</v>
      </c>
      <c r="BU45" s="100" t="n">
        <f aca="false">-IF(AND(71&gt;=Hipótesis!$D$49,Hipótesis!$B$49=1),IF(Hipótesis!$G$49=1,Hipótesis!$H$44,Hipótesis!$C$49*(1+Hipótesis!$D$45)^5)*(1+Hipótesis!$D$42),0)</f>
        <v>-7260</v>
      </c>
      <c r="BV45" s="100" t="n">
        <f aca="false">-IF(AND(72&gt;=Hipótesis!$D$49,Hipótesis!$B$49=1),IF(Hipótesis!$G$49=1,Hipótesis!$H$44,Hipótesis!$C$49*(1+Hipótesis!$D$45)^5)*(1+Hipótesis!$D$42),0)</f>
        <v>-7260</v>
      </c>
      <c r="BW45" s="100" t="n">
        <f aca="false">-IF(AND(73&gt;=Hipótesis!$D$49,Hipótesis!$B$49=1),IF(Hipótesis!$G$49=1,Hipótesis!$I$44,Hipótesis!$C$49*(1+Hipótesis!$D$45)^6)*(1+Hipótesis!$D$42),0)</f>
        <v>-7920</v>
      </c>
      <c r="BX45" s="100" t="n">
        <f aca="false">-IF(AND(74&gt;=Hipótesis!$D$49,Hipótesis!$B$49=1),IF(Hipótesis!$G$49=1,Hipótesis!$I$44,Hipótesis!$C$49*(1+Hipótesis!$D$45)^6)*(1+Hipótesis!$D$42),0)</f>
        <v>-7920</v>
      </c>
      <c r="BY45" s="100" t="n">
        <f aca="false">-IF(AND(75&gt;=Hipótesis!$D$49,Hipótesis!$B$49=1),IF(Hipótesis!$G$49=1,Hipótesis!$I$44,Hipótesis!$C$49*(1+Hipótesis!$D$45)^6)*(1+Hipótesis!$D$42),0)</f>
        <v>-7920</v>
      </c>
      <c r="BZ45" s="100" t="n">
        <f aca="false">-IF(AND(76&gt;=Hipótesis!$D$49,Hipótesis!$B$49=1),IF(Hipótesis!$G$49=1,Hipótesis!$I$44,Hipótesis!$C$49*(1+Hipótesis!$D$45)^6)*(1+Hipótesis!$D$42),0)</f>
        <v>-7920</v>
      </c>
      <c r="CA45" s="100" t="n">
        <f aca="false">-IF(AND(77&gt;=Hipótesis!$D$49,Hipótesis!$B$49=1),IF(Hipótesis!$G$49=1,Hipótesis!$I$44,Hipótesis!$C$49*(1+Hipótesis!$D$45)^6)*(1+Hipótesis!$D$42),0)</f>
        <v>-7920</v>
      </c>
      <c r="CB45" s="100" t="n">
        <f aca="false">-IF(AND(78&gt;=Hipótesis!$D$49,Hipótesis!$B$49=1),IF(Hipótesis!$G$49=1,Hipótesis!$I$44,Hipótesis!$C$49*(1+Hipótesis!$D$45)^6)*(1+Hipótesis!$D$42),0)</f>
        <v>-7920</v>
      </c>
      <c r="CC45" s="100" t="n">
        <f aca="false">-IF(AND(79&gt;=Hipótesis!$D$49,Hipótesis!$B$49=1),IF(Hipótesis!$G$49=1,Hipótesis!$I$44,Hipótesis!$C$49*(1+Hipótesis!$D$45)^6)*(1+Hipótesis!$D$42),0)</f>
        <v>-7920</v>
      </c>
      <c r="CD45" s="100" t="n">
        <f aca="false">-IF(AND(80&gt;=Hipótesis!$D$49,Hipótesis!$B$49=1),IF(Hipótesis!$G$49=1,Hipótesis!$I$44,Hipótesis!$C$49*(1+Hipótesis!$D$45)^6)*(1+Hipótesis!$D$42),0)</f>
        <v>-7920</v>
      </c>
      <c r="CE45" s="100" t="n">
        <f aca="false">-IF(AND(81&gt;=Hipótesis!$D$49,Hipótesis!$B$49=1),IF(Hipótesis!$G$49=1,Hipótesis!$I$44,Hipótesis!$C$49*(1+Hipótesis!$D$45)^6)*(1+Hipótesis!$D$42),0)</f>
        <v>-7920</v>
      </c>
      <c r="CF45" s="100" t="n">
        <f aca="false">-IF(AND(82&gt;=Hipótesis!$D$49,Hipótesis!$B$49=1),IF(Hipótesis!$G$49=1,Hipótesis!$I$44,Hipótesis!$C$49*(1+Hipótesis!$D$45)^6)*(1+Hipótesis!$D$42),0)</f>
        <v>-7920</v>
      </c>
      <c r="CG45" s="100" t="n">
        <f aca="false">-IF(AND(83&gt;=Hipótesis!$D$49,Hipótesis!$B$49=1),IF(Hipótesis!$G$49=1,Hipótesis!$I$44,Hipótesis!$C$49*(1+Hipótesis!$D$45)^6)*(1+Hipótesis!$D$42),0)</f>
        <v>-7920</v>
      </c>
      <c r="CH45" s="100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6" t="s">
        <v>523</v>
      </c>
      <c r="C46" s="100" t="n">
        <f aca="false">-IF(AND(1&gt;=Hipótesis!$D$50,Hipótesis!$B$50=1),IF(Hipótesis!$G$50=1,Hipótesis!$C$44,Hipótesis!$C$50*(1+Hipótesis!$D$45)^0)*(1+Hipótesis!$D$42),0)</f>
        <v>-2904</v>
      </c>
      <c r="D46" s="100" t="n">
        <f aca="false">-IF(AND(2&gt;=Hipótesis!$D$50,Hipótesis!$B$50=1),IF(Hipótesis!$G$50=1,Hipótesis!$C$44,Hipótesis!$C$50*(1+Hipótesis!$D$45)^0)*(1+Hipótesis!$D$42),0)</f>
        <v>-2904</v>
      </c>
      <c r="E46" s="100" t="n">
        <f aca="false">-IF(AND(3&gt;=Hipótesis!$D$50,Hipótesis!$B$50=1),IF(Hipótesis!$G$50=1,Hipótesis!$C$44,Hipótesis!$C$50*(1+Hipótesis!$D$45)^0)*(1+Hipótesis!$D$42),0)</f>
        <v>-2904</v>
      </c>
      <c r="F46" s="100" t="n">
        <f aca="false">-IF(AND(4&gt;=Hipótesis!$D$50,Hipótesis!$B$50=1),IF(Hipótesis!$G$50=1,Hipótesis!$C$44,Hipótesis!$C$50*(1+Hipótesis!$D$45)^0)*(1+Hipótesis!$D$42),0)</f>
        <v>-2904</v>
      </c>
      <c r="G46" s="100" t="n">
        <f aca="false">-IF(AND(5&gt;=Hipótesis!$D$50,Hipótesis!$B$50=1),IF(Hipótesis!$G$50=1,Hipótesis!$C$44,Hipótesis!$C$50*(1+Hipótesis!$D$45)^0)*(1+Hipótesis!$D$42),0)</f>
        <v>-2904</v>
      </c>
      <c r="H46" s="100" t="n">
        <f aca="false">-IF(AND(6&gt;=Hipótesis!$D$50,Hipótesis!$B$50=1),IF(Hipótesis!$G$50=1,Hipótesis!$C$44,Hipótesis!$C$50*(1+Hipótesis!$D$45)^0)*(1+Hipótesis!$D$42),0)</f>
        <v>-2904</v>
      </c>
      <c r="I46" s="100" t="n">
        <f aca="false">-IF(AND(7&gt;=Hipótesis!$D$50,Hipótesis!$B$50=1),IF(Hipótesis!$G$50=1,Hipótesis!$C$44,Hipótesis!$C$50*(1+Hipótesis!$D$45)^0)*(1+Hipótesis!$D$42),0)</f>
        <v>-2904</v>
      </c>
      <c r="J46" s="100" t="n">
        <f aca="false">-IF(AND(8&gt;=Hipótesis!$D$50,Hipótesis!$B$50=1),IF(Hipótesis!$G$50=1,Hipótesis!$C$44,Hipótesis!$C$50*(1+Hipótesis!$D$45)^0)*(1+Hipótesis!$D$42),0)</f>
        <v>-2904</v>
      </c>
      <c r="K46" s="100" t="n">
        <f aca="false">-IF(AND(9&gt;=Hipótesis!$D$50,Hipótesis!$B$50=1),IF(Hipótesis!$G$50=1,Hipótesis!$C$44,Hipótesis!$C$50*(1+Hipótesis!$D$45)^0)*(1+Hipótesis!$D$42),0)</f>
        <v>-2904</v>
      </c>
      <c r="L46" s="100" t="n">
        <f aca="false">-IF(AND(10&gt;=Hipótesis!$D$50,Hipótesis!$B$50=1),IF(Hipótesis!$G$50=1,Hipótesis!$C$44,Hipótesis!$C$50*(1+Hipótesis!$D$45)^0)*(1+Hipótesis!$D$42),0)</f>
        <v>-2904</v>
      </c>
      <c r="M46" s="100" t="n">
        <f aca="false">-IF(AND(11&gt;=Hipótesis!$D$50,Hipótesis!$B$50=1),IF(Hipótesis!$G$50=1,Hipótesis!$C$44,Hipótesis!$C$50*(1+Hipótesis!$D$45)^0)*(1+Hipótesis!$D$42),0)</f>
        <v>-2904</v>
      </c>
      <c r="N46" s="100" t="n">
        <f aca="false">-IF(AND(12&gt;=Hipótesis!$D$50,Hipótesis!$B$50=1),IF(Hipótesis!$G$50=1,Hipótesis!$C$44,Hipótesis!$C$50*(1+Hipótesis!$D$45)^0)*(1+Hipótesis!$D$42),0)</f>
        <v>-2904</v>
      </c>
      <c r="O46" s="100" t="n">
        <f aca="false">-IF(AND(13&gt;=Hipótesis!$D$50,Hipótesis!$B$50=1),IF(Hipótesis!$G$50=1,Hipótesis!$D$44,Hipótesis!$C$50*(1+Hipótesis!$D$45)^1)*(1+Hipótesis!$D$42),0)</f>
        <v>-4620</v>
      </c>
      <c r="P46" s="100" t="n">
        <f aca="false">-IF(AND(14&gt;=Hipótesis!$D$50,Hipótesis!$B$50=1),IF(Hipótesis!$G$50=1,Hipótesis!$D$44,Hipótesis!$C$50*(1+Hipótesis!$D$45)^1)*(1+Hipótesis!$D$42),0)</f>
        <v>-4620</v>
      </c>
      <c r="Q46" s="100" t="n">
        <f aca="false">-IF(AND(15&gt;=Hipótesis!$D$50,Hipótesis!$B$50=1),IF(Hipótesis!$G$50=1,Hipótesis!$D$44,Hipótesis!$C$50*(1+Hipótesis!$D$45)^1)*(1+Hipótesis!$D$42),0)</f>
        <v>-4620</v>
      </c>
      <c r="R46" s="100" t="n">
        <f aca="false">-IF(AND(16&gt;=Hipótesis!$D$50,Hipótesis!$B$50=1),IF(Hipótesis!$G$50=1,Hipótesis!$D$44,Hipótesis!$C$50*(1+Hipótesis!$D$45)^1)*(1+Hipótesis!$D$42),0)</f>
        <v>-4620</v>
      </c>
      <c r="S46" s="100" t="n">
        <f aca="false">-IF(AND(17&gt;=Hipótesis!$D$50,Hipótesis!$B$50=1),IF(Hipótesis!$G$50=1,Hipótesis!$D$44,Hipótesis!$C$50*(1+Hipótesis!$D$45)^1)*(1+Hipótesis!$D$42),0)</f>
        <v>-4620</v>
      </c>
      <c r="T46" s="100" t="n">
        <f aca="false">-IF(AND(18&gt;=Hipótesis!$D$50,Hipótesis!$B$50=1),IF(Hipótesis!$G$50=1,Hipótesis!$D$44,Hipótesis!$C$50*(1+Hipótesis!$D$45)^1)*(1+Hipótesis!$D$42),0)</f>
        <v>-4620</v>
      </c>
      <c r="U46" s="100" t="n">
        <f aca="false">-IF(AND(19&gt;=Hipótesis!$D$50,Hipótesis!$B$50=1),IF(Hipótesis!$G$50=1,Hipótesis!$D$44,Hipótesis!$C$50*(1+Hipótesis!$D$45)^1)*(1+Hipótesis!$D$42),0)</f>
        <v>-4620</v>
      </c>
      <c r="V46" s="100" t="n">
        <f aca="false">-IF(AND(20&gt;=Hipótesis!$D$50,Hipótesis!$B$50=1),IF(Hipótesis!$G$50=1,Hipótesis!$D$44,Hipótesis!$C$50*(1+Hipótesis!$D$45)^1)*(1+Hipótesis!$D$42),0)</f>
        <v>-4620</v>
      </c>
      <c r="W46" s="100" t="n">
        <f aca="false">-IF(AND(21&gt;=Hipótesis!$D$50,Hipótesis!$B$50=1),IF(Hipótesis!$G$50=1,Hipótesis!$D$44,Hipótesis!$C$50*(1+Hipótesis!$D$45)^1)*(1+Hipótesis!$D$42),0)</f>
        <v>-4620</v>
      </c>
      <c r="X46" s="100" t="n">
        <f aca="false">-IF(AND(22&gt;=Hipótesis!$D$50,Hipótesis!$B$50=1),IF(Hipótesis!$G$50=1,Hipótesis!$D$44,Hipótesis!$C$50*(1+Hipótesis!$D$45)^1)*(1+Hipótesis!$D$42),0)</f>
        <v>-4620</v>
      </c>
      <c r="Y46" s="100" t="n">
        <f aca="false">-IF(AND(23&gt;=Hipótesis!$D$50,Hipótesis!$B$50=1),IF(Hipótesis!$G$50=1,Hipótesis!$D$44,Hipótesis!$C$50*(1+Hipótesis!$D$45)^1)*(1+Hipótesis!$D$42),0)</f>
        <v>-4620</v>
      </c>
      <c r="Z46" s="100" t="n">
        <f aca="false">-IF(AND(24&gt;=Hipótesis!$D$50,Hipótesis!$B$50=1),IF(Hipótesis!$G$50=1,Hipótesis!$D$44,Hipótesis!$C$50*(1+Hipótesis!$D$45)^1)*(1+Hipótesis!$D$42),0)</f>
        <v>-4620</v>
      </c>
      <c r="AA46" s="100" t="n">
        <f aca="false">-IF(AND(25&gt;=Hipótesis!$D$50,Hipótesis!$B$50=1),IF(Hipótesis!$G$50=1,Hipótesis!$E$44,Hipótesis!$C$50*(1+Hipótesis!$D$45)^2)*(1+Hipótesis!$D$42),0)</f>
        <v>-5280</v>
      </c>
      <c r="AB46" s="100" t="n">
        <f aca="false">-IF(AND(26&gt;=Hipótesis!$D$50,Hipótesis!$B$50=1),IF(Hipótesis!$G$50=1,Hipótesis!$E$44,Hipótesis!$C$50*(1+Hipótesis!$D$45)^2)*(1+Hipótesis!$D$42),0)</f>
        <v>-5280</v>
      </c>
      <c r="AC46" s="100" t="n">
        <f aca="false">-IF(AND(27&gt;=Hipótesis!$D$50,Hipótesis!$B$50=1),IF(Hipótesis!$G$50=1,Hipótesis!$E$44,Hipótesis!$C$50*(1+Hipótesis!$D$45)^2)*(1+Hipótesis!$D$42),0)</f>
        <v>-5280</v>
      </c>
      <c r="AD46" s="100" t="n">
        <f aca="false">-IF(AND(28&gt;=Hipótesis!$D$50,Hipótesis!$B$50=1),IF(Hipótesis!$G$50=1,Hipótesis!$E$44,Hipótesis!$C$50*(1+Hipótesis!$D$45)^2)*(1+Hipótesis!$D$42),0)</f>
        <v>-5280</v>
      </c>
      <c r="AE46" s="100" t="n">
        <f aca="false">-IF(AND(29&gt;=Hipótesis!$D$50,Hipótesis!$B$50=1),IF(Hipótesis!$G$50=1,Hipótesis!$E$44,Hipótesis!$C$50*(1+Hipótesis!$D$45)^2)*(1+Hipótesis!$D$42),0)</f>
        <v>-5280</v>
      </c>
      <c r="AF46" s="100" t="n">
        <f aca="false">-IF(AND(30&gt;=Hipótesis!$D$50,Hipótesis!$B$50=1),IF(Hipótesis!$G$50=1,Hipótesis!$E$44,Hipótesis!$C$50*(1+Hipótesis!$D$45)^2)*(1+Hipótesis!$D$42),0)</f>
        <v>-5280</v>
      </c>
      <c r="AG46" s="100" t="n">
        <f aca="false">-IF(AND(31&gt;=Hipótesis!$D$50,Hipótesis!$B$50=1),IF(Hipótesis!$G$50=1,Hipótesis!$E$44,Hipótesis!$C$50*(1+Hipótesis!$D$45)^2)*(1+Hipótesis!$D$42),0)</f>
        <v>-5280</v>
      </c>
      <c r="AH46" s="100" t="n">
        <f aca="false">-IF(AND(32&gt;=Hipótesis!$D$50,Hipótesis!$B$50=1),IF(Hipótesis!$G$50=1,Hipótesis!$E$44,Hipótesis!$C$50*(1+Hipótesis!$D$45)^2)*(1+Hipótesis!$D$42),0)</f>
        <v>-5280</v>
      </c>
      <c r="AI46" s="100" t="n">
        <f aca="false">-IF(AND(33&gt;=Hipótesis!$D$50,Hipótesis!$B$50=1),IF(Hipótesis!$G$50=1,Hipótesis!$E$44,Hipótesis!$C$50*(1+Hipótesis!$D$45)^2)*(1+Hipótesis!$D$42),0)</f>
        <v>-5280</v>
      </c>
      <c r="AJ46" s="100" t="n">
        <f aca="false">-IF(AND(34&gt;=Hipótesis!$D$50,Hipótesis!$B$50=1),IF(Hipótesis!$G$50=1,Hipótesis!$E$44,Hipótesis!$C$50*(1+Hipótesis!$D$45)^2)*(1+Hipótesis!$D$42),0)</f>
        <v>-5280</v>
      </c>
      <c r="AK46" s="100" t="n">
        <f aca="false">-IF(AND(35&gt;=Hipótesis!$D$50,Hipótesis!$B$50=1),IF(Hipótesis!$G$50=1,Hipótesis!$E$44,Hipótesis!$C$50*(1+Hipótesis!$D$45)^2)*(1+Hipótesis!$D$42),0)</f>
        <v>-5280</v>
      </c>
      <c r="AL46" s="100" t="n">
        <f aca="false">-IF(AND(36&gt;=Hipótesis!$D$50,Hipótesis!$B$50=1),IF(Hipótesis!$G$50=1,Hipótesis!$E$44,Hipótesis!$C$50*(1+Hipótesis!$D$45)^2)*(1+Hipótesis!$D$42),0)</f>
        <v>-5280</v>
      </c>
      <c r="AM46" s="100" t="n">
        <f aca="false">-IF(AND(37&gt;=Hipótesis!$D$50,Hipótesis!$B$50=1),IF(Hipótesis!$G$50=1,Hipótesis!$F$44,Hipótesis!$C$50*(1+Hipótesis!$D$45)^3)*(1+Hipótesis!$D$42),0)</f>
        <v>-5940</v>
      </c>
      <c r="AN46" s="100" t="n">
        <f aca="false">-IF(AND(38&gt;=Hipótesis!$D$50,Hipótesis!$B$50=1),IF(Hipótesis!$G$50=1,Hipótesis!$F$44,Hipótesis!$C$50*(1+Hipótesis!$D$45)^3)*(1+Hipótesis!$D$42),0)</f>
        <v>-5940</v>
      </c>
      <c r="AO46" s="100" t="n">
        <f aca="false">-IF(AND(39&gt;=Hipótesis!$D$50,Hipótesis!$B$50=1),IF(Hipótesis!$G$50=1,Hipótesis!$F$44,Hipótesis!$C$50*(1+Hipótesis!$D$45)^3)*(1+Hipótesis!$D$42),0)</f>
        <v>-5940</v>
      </c>
      <c r="AP46" s="100" t="n">
        <f aca="false">-IF(AND(40&gt;=Hipótesis!$D$50,Hipótesis!$B$50=1),IF(Hipótesis!$G$50=1,Hipótesis!$F$44,Hipótesis!$C$50*(1+Hipótesis!$D$45)^3)*(1+Hipótesis!$D$42),0)</f>
        <v>-5940</v>
      </c>
      <c r="AQ46" s="100" t="n">
        <f aca="false">-IF(AND(41&gt;=Hipótesis!$D$50,Hipótesis!$B$50=1),IF(Hipótesis!$G$50=1,Hipótesis!$F$44,Hipótesis!$C$50*(1+Hipótesis!$D$45)^3)*(1+Hipótesis!$D$42),0)</f>
        <v>-5940</v>
      </c>
      <c r="AR46" s="100" t="n">
        <f aca="false">-IF(AND(42&gt;=Hipótesis!$D$50,Hipótesis!$B$50=1),IF(Hipótesis!$G$50=1,Hipótesis!$F$44,Hipótesis!$C$50*(1+Hipótesis!$D$45)^3)*(1+Hipótesis!$D$42),0)</f>
        <v>-5940</v>
      </c>
      <c r="AS46" s="100" t="n">
        <f aca="false">-IF(AND(43&gt;=Hipótesis!$D$50,Hipótesis!$B$50=1),IF(Hipótesis!$G$50=1,Hipótesis!$F$44,Hipótesis!$C$50*(1+Hipótesis!$D$45)^3)*(1+Hipótesis!$D$42),0)</f>
        <v>-5940</v>
      </c>
      <c r="AT46" s="100" t="n">
        <f aca="false">-IF(AND(44&gt;=Hipótesis!$D$50,Hipótesis!$B$50=1),IF(Hipótesis!$G$50=1,Hipótesis!$F$44,Hipótesis!$C$50*(1+Hipótesis!$D$45)^3)*(1+Hipótesis!$D$42),0)</f>
        <v>-5940</v>
      </c>
      <c r="AU46" s="100" t="n">
        <f aca="false">-IF(AND(45&gt;=Hipótesis!$D$50,Hipótesis!$B$50=1),IF(Hipótesis!$G$50=1,Hipótesis!$F$44,Hipótesis!$C$50*(1+Hipótesis!$D$45)^3)*(1+Hipótesis!$D$42),0)</f>
        <v>-5940</v>
      </c>
      <c r="AV46" s="100" t="n">
        <f aca="false">-IF(AND(46&gt;=Hipótesis!$D$50,Hipótesis!$B$50=1),IF(Hipótesis!$G$50=1,Hipótesis!$F$44,Hipótesis!$C$50*(1+Hipótesis!$D$45)^3)*(1+Hipótesis!$D$42),0)</f>
        <v>-5940</v>
      </c>
      <c r="AW46" s="100" t="n">
        <f aca="false">-IF(AND(47&gt;=Hipótesis!$D$50,Hipótesis!$B$50=1),IF(Hipótesis!$G$50=1,Hipótesis!$F$44,Hipótesis!$C$50*(1+Hipótesis!$D$45)^3)*(1+Hipótesis!$D$42),0)</f>
        <v>-5940</v>
      </c>
      <c r="AX46" s="100" t="n">
        <f aca="false">-IF(AND(48&gt;=Hipótesis!$D$50,Hipótesis!$B$50=1),IF(Hipótesis!$G$50=1,Hipótesis!$F$44,Hipótesis!$C$50*(1+Hipótesis!$D$45)^3)*(1+Hipótesis!$D$42),0)</f>
        <v>-5940</v>
      </c>
      <c r="AY46" s="100" t="n">
        <f aca="false">-IF(AND(49&gt;=Hipótesis!$D$50,Hipótesis!$B$50=1),IF(Hipótesis!$G$50=1,Hipótesis!$G$44,Hipótesis!$C$50*(1+Hipótesis!$D$45)^4)*(1+Hipótesis!$D$42),0)</f>
        <v>-6600</v>
      </c>
      <c r="AZ46" s="100" t="n">
        <f aca="false">-IF(AND(50&gt;=Hipótesis!$D$50,Hipótesis!$B$50=1),IF(Hipótesis!$G$50=1,Hipótesis!$G$44,Hipótesis!$C$50*(1+Hipótesis!$D$45)^4)*(1+Hipótesis!$D$42),0)</f>
        <v>-6600</v>
      </c>
      <c r="BA46" s="100" t="n">
        <f aca="false">-IF(AND(51&gt;=Hipótesis!$D$50,Hipótesis!$B$50=1),IF(Hipótesis!$G$50=1,Hipótesis!$G$44,Hipótesis!$C$50*(1+Hipótesis!$D$45)^4)*(1+Hipótesis!$D$42),0)</f>
        <v>-6600</v>
      </c>
      <c r="BB46" s="100" t="n">
        <f aca="false">-IF(AND(52&gt;=Hipótesis!$D$50,Hipótesis!$B$50=1),IF(Hipótesis!$G$50=1,Hipótesis!$G$44,Hipótesis!$C$50*(1+Hipótesis!$D$45)^4)*(1+Hipótesis!$D$42),0)</f>
        <v>-6600</v>
      </c>
      <c r="BC46" s="100" t="n">
        <f aca="false">-IF(AND(53&gt;=Hipótesis!$D$50,Hipótesis!$B$50=1),IF(Hipótesis!$G$50=1,Hipótesis!$G$44,Hipótesis!$C$50*(1+Hipótesis!$D$45)^4)*(1+Hipótesis!$D$42),0)</f>
        <v>-6600</v>
      </c>
      <c r="BD46" s="100" t="n">
        <f aca="false">-IF(AND(54&gt;=Hipótesis!$D$50,Hipótesis!$B$50=1),IF(Hipótesis!$G$50=1,Hipótesis!$G$44,Hipótesis!$C$50*(1+Hipótesis!$D$45)^4)*(1+Hipótesis!$D$42),0)</f>
        <v>-6600</v>
      </c>
      <c r="BE46" s="100" t="n">
        <f aca="false">-IF(AND(55&gt;=Hipótesis!$D$50,Hipótesis!$B$50=1),IF(Hipótesis!$G$50=1,Hipótesis!$G$44,Hipótesis!$C$50*(1+Hipótesis!$D$45)^4)*(1+Hipótesis!$D$42),0)</f>
        <v>-6600</v>
      </c>
      <c r="BF46" s="100" t="n">
        <f aca="false">-IF(AND(56&gt;=Hipótesis!$D$50,Hipótesis!$B$50=1),IF(Hipótesis!$G$50=1,Hipótesis!$G$44,Hipótesis!$C$50*(1+Hipótesis!$D$45)^4)*(1+Hipótesis!$D$42),0)</f>
        <v>-6600</v>
      </c>
      <c r="BG46" s="100" t="n">
        <f aca="false">-IF(AND(57&gt;=Hipótesis!$D$50,Hipótesis!$B$50=1),IF(Hipótesis!$G$50=1,Hipótesis!$G$44,Hipótesis!$C$50*(1+Hipótesis!$D$45)^4)*(1+Hipótesis!$D$42),0)</f>
        <v>-6600</v>
      </c>
      <c r="BH46" s="100" t="n">
        <f aca="false">-IF(AND(58&gt;=Hipótesis!$D$50,Hipótesis!$B$50=1),IF(Hipótesis!$G$50=1,Hipótesis!$G$44,Hipótesis!$C$50*(1+Hipótesis!$D$45)^4)*(1+Hipótesis!$D$42),0)</f>
        <v>-6600</v>
      </c>
      <c r="BI46" s="100" t="n">
        <f aca="false">-IF(AND(59&gt;=Hipótesis!$D$50,Hipótesis!$B$50=1),IF(Hipótesis!$G$50=1,Hipótesis!$G$44,Hipótesis!$C$50*(1+Hipótesis!$D$45)^4)*(1+Hipótesis!$D$42),0)</f>
        <v>-6600</v>
      </c>
      <c r="BJ46" s="100" t="n">
        <f aca="false">-IF(AND(60&gt;=Hipótesis!$D$50,Hipótesis!$B$50=1),IF(Hipótesis!$G$50=1,Hipótesis!$G$44,Hipótesis!$C$50*(1+Hipótesis!$D$45)^4)*(1+Hipótesis!$D$42),0)</f>
        <v>-6600</v>
      </c>
      <c r="BK46" s="100" t="n">
        <f aca="false">-IF(AND(61&gt;=Hipótesis!$D$50,Hipótesis!$B$50=1),IF(Hipótesis!$G$50=1,Hipótesis!$H$44,Hipótesis!$C$50*(1+Hipótesis!$D$45)^5)*(1+Hipótesis!$D$42),0)</f>
        <v>-7260</v>
      </c>
      <c r="BL46" s="100" t="n">
        <f aca="false">-IF(AND(62&gt;=Hipótesis!$D$50,Hipótesis!$B$50=1),IF(Hipótesis!$G$50=1,Hipótesis!$H$44,Hipótesis!$C$50*(1+Hipótesis!$D$45)^5)*(1+Hipótesis!$D$42),0)</f>
        <v>-7260</v>
      </c>
      <c r="BM46" s="100" t="n">
        <f aca="false">-IF(AND(63&gt;=Hipótesis!$D$50,Hipótesis!$B$50=1),IF(Hipótesis!$G$50=1,Hipótesis!$H$44,Hipótesis!$C$50*(1+Hipótesis!$D$45)^5)*(1+Hipótesis!$D$42),0)</f>
        <v>-7260</v>
      </c>
      <c r="BN46" s="100" t="n">
        <f aca="false">-IF(AND(64&gt;=Hipótesis!$D$50,Hipótesis!$B$50=1),IF(Hipótesis!$G$50=1,Hipótesis!$H$44,Hipótesis!$C$50*(1+Hipótesis!$D$45)^5)*(1+Hipótesis!$D$42),0)</f>
        <v>-7260</v>
      </c>
      <c r="BO46" s="100" t="n">
        <f aca="false">-IF(AND(65&gt;=Hipótesis!$D$50,Hipótesis!$B$50=1),IF(Hipótesis!$G$50=1,Hipótesis!$H$44,Hipótesis!$C$50*(1+Hipótesis!$D$45)^5)*(1+Hipótesis!$D$42),0)</f>
        <v>-7260</v>
      </c>
      <c r="BP46" s="100" t="n">
        <f aca="false">-IF(AND(66&gt;=Hipótesis!$D$50,Hipótesis!$B$50=1),IF(Hipótesis!$G$50=1,Hipótesis!$H$44,Hipótesis!$C$50*(1+Hipótesis!$D$45)^5)*(1+Hipótesis!$D$42),0)</f>
        <v>-7260</v>
      </c>
      <c r="BQ46" s="100" t="n">
        <f aca="false">-IF(AND(67&gt;=Hipótesis!$D$50,Hipótesis!$B$50=1),IF(Hipótesis!$G$50=1,Hipótesis!$H$44,Hipótesis!$C$50*(1+Hipótesis!$D$45)^5)*(1+Hipótesis!$D$42),0)</f>
        <v>-7260</v>
      </c>
      <c r="BR46" s="100" t="n">
        <f aca="false">-IF(AND(68&gt;=Hipótesis!$D$50,Hipótesis!$B$50=1),IF(Hipótesis!$G$50=1,Hipótesis!$H$44,Hipótesis!$C$50*(1+Hipótesis!$D$45)^5)*(1+Hipótesis!$D$42),0)</f>
        <v>-7260</v>
      </c>
      <c r="BS46" s="100" t="n">
        <f aca="false">-IF(AND(69&gt;=Hipótesis!$D$50,Hipótesis!$B$50=1),IF(Hipótesis!$G$50=1,Hipótesis!$H$44,Hipótesis!$C$50*(1+Hipótesis!$D$45)^5)*(1+Hipótesis!$D$42),0)</f>
        <v>-7260</v>
      </c>
      <c r="BT46" s="100" t="n">
        <f aca="false">-IF(AND(70&gt;=Hipótesis!$D$50,Hipótesis!$B$50=1),IF(Hipótesis!$G$50=1,Hipótesis!$H$44,Hipótesis!$C$50*(1+Hipótesis!$D$45)^5)*(1+Hipótesis!$D$42),0)</f>
        <v>-7260</v>
      </c>
      <c r="BU46" s="100" t="n">
        <f aca="false">-IF(AND(71&gt;=Hipótesis!$D$50,Hipótesis!$B$50=1),IF(Hipótesis!$G$50=1,Hipótesis!$H$44,Hipótesis!$C$50*(1+Hipótesis!$D$45)^5)*(1+Hipótesis!$D$42),0)</f>
        <v>-7260</v>
      </c>
      <c r="BV46" s="100" t="n">
        <f aca="false">-IF(AND(72&gt;=Hipótesis!$D$50,Hipótesis!$B$50=1),IF(Hipótesis!$G$50=1,Hipótesis!$H$44,Hipótesis!$C$50*(1+Hipótesis!$D$45)^5)*(1+Hipótesis!$D$42),0)</f>
        <v>-7260</v>
      </c>
      <c r="BW46" s="100" t="n">
        <f aca="false">-IF(AND(73&gt;=Hipótesis!$D$50,Hipótesis!$B$50=1),IF(Hipótesis!$G$50=1,Hipótesis!$I$44,Hipótesis!$C$50*(1+Hipótesis!$D$45)^6)*(1+Hipótesis!$D$42),0)</f>
        <v>-7920</v>
      </c>
      <c r="BX46" s="100" t="n">
        <f aca="false">-IF(AND(74&gt;=Hipótesis!$D$50,Hipótesis!$B$50=1),IF(Hipótesis!$G$50=1,Hipótesis!$I$44,Hipótesis!$C$50*(1+Hipótesis!$D$45)^6)*(1+Hipótesis!$D$42),0)</f>
        <v>-7920</v>
      </c>
      <c r="BY46" s="100" t="n">
        <f aca="false">-IF(AND(75&gt;=Hipótesis!$D$50,Hipótesis!$B$50=1),IF(Hipótesis!$G$50=1,Hipótesis!$I$44,Hipótesis!$C$50*(1+Hipótesis!$D$45)^6)*(1+Hipótesis!$D$42),0)</f>
        <v>-7920</v>
      </c>
      <c r="BZ46" s="100" t="n">
        <f aca="false">-IF(AND(76&gt;=Hipótesis!$D$50,Hipótesis!$B$50=1),IF(Hipótesis!$G$50=1,Hipótesis!$I$44,Hipótesis!$C$50*(1+Hipótesis!$D$45)^6)*(1+Hipótesis!$D$42),0)</f>
        <v>-7920</v>
      </c>
      <c r="CA46" s="100" t="n">
        <f aca="false">-IF(AND(77&gt;=Hipótesis!$D$50,Hipótesis!$B$50=1),IF(Hipótesis!$G$50=1,Hipótesis!$I$44,Hipótesis!$C$50*(1+Hipótesis!$D$45)^6)*(1+Hipótesis!$D$42),0)</f>
        <v>-7920</v>
      </c>
      <c r="CB46" s="100" t="n">
        <f aca="false">-IF(AND(78&gt;=Hipótesis!$D$50,Hipótesis!$B$50=1),IF(Hipótesis!$G$50=1,Hipótesis!$I$44,Hipótesis!$C$50*(1+Hipótesis!$D$45)^6)*(1+Hipótesis!$D$42),0)</f>
        <v>-7920</v>
      </c>
      <c r="CC46" s="100" t="n">
        <f aca="false">-IF(AND(79&gt;=Hipótesis!$D$50,Hipótesis!$B$50=1),IF(Hipótesis!$G$50=1,Hipótesis!$I$44,Hipótesis!$C$50*(1+Hipótesis!$D$45)^6)*(1+Hipótesis!$D$42),0)</f>
        <v>-7920</v>
      </c>
      <c r="CD46" s="100" t="n">
        <f aca="false">-IF(AND(80&gt;=Hipótesis!$D$50,Hipótesis!$B$50=1),IF(Hipótesis!$G$50=1,Hipótesis!$I$44,Hipótesis!$C$50*(1+Hipótesis!$D$45)^6)*(1+Hipótesis!$D$42),0)</f>
        <v>-7920</v>
      </c>
      <c r="CE46" s="100" t="n">
        <f aca="false">-IF(AND(81&gt;=Hipótesis!$D$50,Hipótesis!$B$50=1),IF(Hipótesis!$G$50=1,Hipótesis!$I$44,Hipótesis!$C$50*(1+Hipótesis!$D$45)^6)*(1+Hipótesis!$D$42),0)</f>
        <v>-7920</v>
      </c>
      <c r="CF46" s="100" t="n">
        <f aca="false">-IF(AND(82&gt;=Hipótesis!$D$50,Hipótesis!$B$50=1),IF(Hipótesis!$G$50=1,Hipótesis!$I$44,Hipótesis!$C$50*(1+Hipótesis!$D$45)^6)*(1+Hipótesis!$D$42),0)</f>
        <v>-7920</v>
      </c>
      <c r="CG46" s="100" t="n">
        <f aca="false">-IF(AND(83&gt;=Hipótesis!$D$50,Hipótesis!$B$50=1),IF(Hipótesis!$G$50=1,Hipótesis!$I$44,Hipótesis!$C$50*(1+Hipótesis!$D$45)^6)*(1+Hipótesis!$D$42),0)</f>
        <v>-7920</v>
      </c>
      <c r="CH46" s="100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6" t="s">
        <v>524</v>
      </c>
      <c r="C47" s="100" t="n">
        <f aca="false">-IF(AND(1&gt;=Hipótesis!$D$51,Hipótesis!$B$51=1),IF(Hipótesis!$G$51=1,Hipótesis!$C$44,Hipótesis!$C$51*(1+Hipótesis!$D$45)^0)*(1+Hipótesis!$D$42),0)</f>
        <v>-2640</v>
      </c>
      <c r="D47" s="100" t="n">
        <f aca="false">-IF(AND(2&gt;=Hipótesis!$D$51,Hipótesis!$B$51=1),IF(Hipótesis!$G$51=1,Hipótesis!$C$44,Hipótesis!$C$51*(1+Hipótesis!$D$45)^0)*(1+Hipótesis!$D$42),0)</f>
        <v>-2640</v>
      </c>
      <c r="E47" s="100" t="n">
        <f aca="false">-IF(AND(3&gt;=Hipótesis!$D$51,Hipótesis!$B$51=1),IF(Hipótesis!$G$51=1,Hipótesis!$C$44,Hipótesis!$C$51*(1+Hipótesis!$D$45)^0)*(1+Hipótesis!$D$42),0)</f>
        <v>-2640</v>
      </c>
      <c r="F47" s="100" t="n">
        <f aca="false">-IF(AND(4&gt;=Hipótesis!$D$51,Hipótesis!$B$51=1),IF(Hipótesis!$G$51=1,Hipótesis!$C$44,Hipótesis!$C$51*(1+Hipótesis!$D$45)^0)*(1+Hipótesis!$D$42),0)</f>
        <v>-2640</v>
      </c>
      <c r="G47" s="100" t="n">
        <f aca="false">-IF(AND(5&gt;=Hipótesis!$D$51,Hipótesis!$B$51=1),IF(Hipótesis!$G$51=1,Hipótesis!$C$44,Hipótesis!$C$51*(1+Hipótesis!$D$45)^0)*(1+Hipótesis!$D$42),0)</f>
        <v>-2640</v>
      </c>
      <c r="H47" s="100" t="n">
        <f aca="false">-IF(AND(6&gt;=Hipótesis!$D$51,Hipótesis!$B$51=1),IF(Hipótesis!$G$51=1,Hipótesis!$C$44,Hipótesis!$C$51*(1+Hipótesis!$D$45)^0)*(1+Hipótesis!$D$42),0)</f>
        <v>-2640</v>
      </c>
      <c r="I47" s="100" t="n">
        <f aca="false">-IF(AND(7&gt;=Hipótesis!$D$51,Hipótesis!$B$51=1),IF(Hipótesis!$G$51=1,Hipótesis!$C$44,Hipótesis!$C$51*(1+Hipótesis!$D$45)^0)*(1+Hipótesis!$D$42),0)</f>
        <v>-2640</v>
      </c>
      <c r="J47" s="100" t="n">
        <f aca="false">-IF(AND(8&gt;=Hipótesis!$D$51,Hipótesis!$B$51=1),IF(Hipótesis!$G$51=1,Hipótesis!$C$44,Hipótesis!$C$51*(1+Hipótesis!$D$45)^0)*(1+Hipótesis!$D$42),0)</f>
        <v>-2640</v>
      </c>
      <c r="K47" s="100" t="n">
        <f aca="false">-IF(AND(9&gt;=Hipótesis!$D$51,Hipótesis!$B$51=1),IF(Hipótesis!$G$51=1,Hipótesis!$C$44,Hipótesis!$C$51*(1+Hipótesis!$D$45)^0)*(1+Hipótesis!$D$42),0)</f>
        <v>-2640</v>
      </c>
      <c r="L47" s="100" t="n">
        <f aca="false">-IF(AND(10&gt;=Hipótesis!$D$51,Hipótesis!$B$51=1),IF(Hipótesis!$G$51=1,Hipótesis!$C$44,Hipótesis!$C$51*(1+Hipótesis!$D$45)^0)*(1+Hipótesis!$D$42),0)</f>
        <v>-2640</v>
      </c>
      <c r="M47" s="100" t="n">
        <f aca="false">-IF(AND(11&gt;=Hipótesis!$D$51,Hipótesis!$B$51=1),IF(Hipótesis!$G$51=1,Hipótesis!$C$44,Hipótesis!$C$51*(1+Hipótesis!$D$45)^0)*(1+Hipótesis!$D$42),0)</f>
        <v>-2640</v>
      </c>
      <c r="N47" s="100" t="n">
        <f aca="false">-IF(AND(12&gt;=Hipótesis!$D$51,Hipótesis!$B$51=1),IF(Hipótesis!$G$51=1,Hipótesis!$C$44,Hipótesis!$C$51*(1+Hipótesis!$D$45)^0)*(1+Hipótesis!$D$42),0)</f>
        <v>-2640</v>
      </c>
      <c r="O47" s="100" t="n">
        <f aca="false">-IF(AND(13&gt;=Hipótesis!$D$51,Hipótesis!$B$51=1),IF(Hipótesis!$G$51=1,Hipótesis!$D$44,Hipótesis!$C$51*(1+Hipótesis!$D$45)^1)*(1+Hipótesis!$D$42),0)</f>
        <v>-2719.2</v>
      </c>
      <c r="P47" s="100" t="n">
        <f aca="false">-IF(AND(14&gt;=Hipótesis!$D$51,Hipótesis!$B$51=1),IF(Hipótesis!$G$51=1,Hipótesis!$D$44,Hipótesis!$C$51*(1+Hipótesis!$D$45)^1)*(1+Hipótesis!$D$42),0)</f>
        <v>-2719.2</v>
      </c>
      <c r="Q47" s="100" t="n">
        <f aca="false">-IF(AND(15&gt;=Hipótesis!$D$51,Hipótesis!$B$51=1),IF(Hipótesis!$G$51=1,Hipótesis!$D$44,Hipótesis!$C$51*(1+Hipótesis!$D$45)^1)*(1+Hipótesis!$D$42),0)</f>
        <v>-2719.2</v>
      </c>
      <c r="R47" s="100" t="n">
        <f aca="false">-IF(AND(16&gt;=Hipótesis!$D$51,Hipótesis!$B$51=1),IF(Hipótesis!$G$51=1,Hipótesis!$D$44,Hipótesis!$C$51*(1+Hipótesis!$D$45)^1)*(1+Hipótesis!$D$42),0)</f>
        <v>-2719.2</v>
      </c>
      <c r="S47" s="100" t="n">
        <f aca="false">-IF(AND(17&gt;=Hipótesis!$D$51,Hipótesis!$B$51=1),IF(Hipótesis!$G$51=1,Hipótesis!$D$44,Hipótesis!$C$51*(1+Hipótesis!$D$45)^1)*(1+Hipótesis!$D$42),0)</f>
        <v>-2719.2</v>
      </c>
      <c r="T47" s="100" t="n">
        <f aca="false">-IF(AND(18&gt;=Hipótesis!$D$51,Hipótesis!$B$51=1),IF(Hipótesis!$G$51=1,Hipótesis!$D$44,Hipótesis!$C$51*(1+Hipótesis!$D$45)^1)*(1+Hipótesis!$D$42),0)</f>
        <v>-2719.2</v>
      </c>
      <c r="U47" s="100" t="n">
        <f aca="false">-IF(AND(19&gt;=Hipótesis!$D$51,Hipótesis!$B$51=1),IF(Hipótesis!$G$51=1,Hipótesis!$D$44,Hipótesis!$C$51*(1+Hipótesis!$D$45)^1)*(1+Hipótesis!$D$42),0)</f>
        <v>-2719.2</v>
      </c>
      <c r="V47" s="100" t="n">
        <f aca="false">-IF(AND(20&gt;=Hipótesis!$D$51,Hipótesis!$B$51=1),IF(Hipótesis!$G$51=1,Hipótesis!$D$44,Hipótesis!$C$51*(1+Hipótesis!$D$45)^1)*(1+Hipótesis!$D$42),0)</f>
        <v>-2719.2</v>
      </c>
      <c r="W47" s="100" t="n">
        <f aca="false">-IF(AND(21&gt;=Hipótesis!$D$51,Hipótesis!$B$51=1),IF(Hipótesis!$G$51=1,Hipótesis!$D$44,Hipótesis!$C$51*(1+Hipótesis!$D$45)^1)*(1+Hipótesis!$D$42),0)</f>
        <v>-2719.2</v>
      </c>
      <c r="X47" s="100" t="n">
        <f aca="false">-IF(AND(22&gt;=Hipótesis!$D$51,Hipótesis!$B$51=1),IF(Hipótesis!$G$51=1,Hipótesis!$D$44,Hipótesis!$C$51*(1+Hipótesis!$D$45)^1)*(1+Hipótesis!$D$42),0)</f>
        <v>-2719.2</v>
      </c>
      <c r="Y47" s="100" t="n">
        <f aca="false">-IF(AND(23&gt;=Hipótesis!$D$51,Hipótesis!$B$51=1),IF(Hipótesis!$G$51=1,Hipótesis!$D$44,Hipótesis!$C$51*(1+Hipótesis!$D$45)^1)*(1+Hipótesis!$D$42),0)</f>
        <v>-2719.2</v>
      </c>
      <c r="Z47" s="100" t="n">
        <f aca="false">-IF(AND(24&gt;=Hipótesis!$D$51,Hipótesis!$B$51=1),IF(Hipótesis!$G$51=1,Hipótesis!$D$44,Hipótesis!$C$51*(1+Hipótesis!$D$45)^1)*(1+Hipótesis!$D$42),0)</f>
        <v>-2719.2</v>
      </c>
      <c r="AA47" s="100" t="n">
        <f aca="false">-IF(AND(25&gt;=Hipótesis!$D$51,Hipótesis!$B$51=1),IF(Hipótesis!$G$51=1,Hipótesis!$E$44,Hipótesis!$C$51*(1+Hipótesis!$D$45)^2)*(1+Hipótesis!$D$42),0)</f>
        <v>-2800.776</v>
      </c>
      <c r="AB47" s="100" t="n">
        <f aca="false">-IF(AND(26&gt;=Hipótesis!$D$51,Hipótesis!$B$51=1),IF(Hipótesis!$G$51=1,Hipótesis!$E$44,Hipótesis!$C$51*(1+Hipótesis!$D$45)^2)*(1+Hipótesis!$D$42),0)</f>
        <v>-2800.776</v>
      </c>
      <c r="AC47" s="100" t="n">
        <f aca="false">-IF(AND(27&gt;=Hipótesis!$D$51,Hipótesis!$B$51=1),IF(Hipótesis!$G$51=1,Hipótesis!$E$44,Hipótesis!$C$51*(1+Hipótesis!$D$45)^2)*(1+Hipótesis!$D$42),0)</f>
        <v>-2800.776</v>
      </c>
      <c r="AD47" s="100" t="n">
        <f aca="false">-IF(AND(28&gt;=Hipótesis!$D$51,Hipótesis!$B$51=1),IF(Hipótesis!$G$51=1,Hipótesis!$E$44,Hipótesis!$C$51*(1+Hipótesis!$D$45)^2)*(1+Hipótesis!$D$42),0)</f>
        <v>-2800.776</v>
      </c>
      <c r="AE47" s="100" t="n">
        <f aca="false">-IF(AND(29&gt;=Hipótesis!$D$51,Hipótesis!$B$51=1),IF(Hipótesis!$G$51=1,Hipótesis!$E$44,Hipótesis!$C$51*(1+Hipótesis!$D$45)^2)*(1+Hipótesis!$D$42),0)</f>
        <v>-2800.776</v>
      </c>
      <c r="AF47" s="100" t="n">
        <f aca="false">-IF(AND(30&gt;=Hipótesis!$D$51,Hipótesis!$B$51=1),IF(Hipótesis!$G$51=1,Hipótesis!$E$44,Hipótesis!$C$51*(1+Hipótesis!$D$45)^2)*(1+Hipótesis!$D$42),0)</f>
        <v>-2800.776</v>
      </c>
      <c r="AG47" s="100" t="n">
        <f aca="false">-IF(AND(31&gt;=Hipótesis!$D$51,Hipótesis!$B$51=1),IF(Hipótesis!$G$51=1,Hipótesis!$E$44,Hipótesis!$C$51*(1+Hipótesis!$D$45)^2)*(1+Hipótesis!$D$42),0)</f>
        <v>-2800.776</v>
      </c>
      <c r="AH47" s="100" t="n">
        <f aca="false">-IF(AND(32&gt;=Hipótesis!$D$51,Hipótesis!$B$51=1),IF(Hipótesis!$G$51=1,Hipótesis!$E$44,Hipótesis!$C$51*(1+Hipótesis!$D$45)^2)*(1+Hipótesis!$D$42),0)</f>
        <v>-2800.776</v>
      </c>
      <c r="AI47" s="100" t="n">
        <f aca="false">-IF(AND(33&gt;=Hipótesis!$D$51,Hipótesis!$B$51=1),IF(Hipótesis!$G$51=1,Hipótesis!$E$44,Hipótesis!$C$51*(1+Hipótesis!$D$45)^2)*(1+Hipótesis!$D$42),0)</f>
        <v>-2800.776</v>
      </c>
      <c r="AJ47" s="100" t="n">
        <f aca="false">-IF(AND(34&gt;=Hipótesis!$D$51,Hipótesis!$B$51=1),IF(Hipótesis!$G$51=1,Hipótesis!$E$44,Hipótesis!$C$51*(1+Hipótesis!$D$45)^2)*(1+Hipótesis!$D$42),0)</f>
        <v>-2800.776</v>
      </c>
      <c r="AK47" s="100" t="n">
        <f aca="false">-IF(AND(35&gt;=Hipótesis!$D$51,Hipótesis!$B$51=1),IF(Hipótesis!$G$51=1,Hipótesis!$E$44,Hipótesis!$C$51*(1+Hipótesis!$D$45)^2)*(1+Hipótesis!$D$42),0)</f>
        <v>-2800.776</v>
      </c>
      <c r="AL47" s="100" t="n">
        <f aca="false">-IF(AND(36&gt;=Hipótesis!$D$51,Hipótesis!$B$51=1),IF(Hipótesis!$G$51=1,Hipótesis!$E$44,Hipótesis!$C$51*(1+Hipótesis!$D$45)^2)*(1+Hipótesis!$D$42),0)</f>
        <v>-2800.776</v>
      </c>
      <c r="AM47" s="100" t="n">
        <f aca="false">-IF(AND(37&gt;=Hipótesis!$D$51,Hipótesis!$B$51=1),IF(Hipótesis!$G$51=1,Hipótesis!$F$44,Hipótesis!$C$51*(1+Hipótesis!$D$45)^3)*(1+Hipótesis!$D$42),0)</f>
        <v>-2884.79928</v>
      </c>
      <c r="AN47" s="100" t="n">
        <f aca="false">-IF(AND(38&gt;=Hipótesis!$D$51,Hipótesis!$B$51=1),IF(Hipótesis!$G$51=1,Hipótesis!$F$44,Hipótesis!$C$51*(1+Hipótesis!$D$45)^3)*(1+Hipótesis!$D$42),0)</f>
        <v>-2884.79928</v>
      </c>
      <c r="AO47" s="100" t="n">
        <f aca="false">-IF(AND(39&gt;=Hipótesis!$D$51,Hipótesis!$B$51=1),IF(Hipótesis!$G$51=1,Hipótesis!$F$44,Hipótesis!$C$51*(1+Hipótesis!$D$45)^3)*(1+Hipótesis!$D$42),0)</f>
        <v>-2884.79928</v>
      </c>
      <c r="AP47" s="100" t="n">
        <f aca="false">-IF(AND(40&gt;=Hipótesis!$D$51,Hipótesis!$B$51=1),IF(Hipótesis!$G$51=1,Hipótesis!$F$44,Hipótesis!$C$51*(1+Hipótesis!$D$45)^3)*(1+Hipótesis!$D$42),0)</f>
        <v>-2884.79928</v>
      </c>
      <c r="AQ47" s="100" t="n">
        <f aca="false">-IF(AND(41&gt;=Hipótesis!$D$51,Hipótesis!$B$51=1),IF(Hipótesis!$G$51=1,Hipótesis!$F$44,Hipótesis!$C$51*(1+Hipótesis!$D$45)^3)*(1+Hipótesis!$D$42),0)</f>
        <v>-2884.79928</v>
      </c>
      <c r="AR47" s="100" t="n">
        <f aca="false">-IF(AND(42&gt;=Hipótesis!$D$51,Hipótesis!$B$51=1),IF(Hipótesis!$G$51=1,Hipótesis!$F$44,Hipótesis!$C$51*(1+Hipótesis!$D$45)^3)*(1+Hipótesis!$D$42),0)</f>
        <v>-2884.79928</v>
      </c>
      <c r="AS47" s="100" t="n">
        <f aca="false">-IF(AND(43&gt;=Hipótesis!$D$51,Hipótesis!$B$51=1),IF(Hipótesis!$G$51=1,Hipótesis!$F$44,Hipótesis!$C$51*(1+Hipótesis!$D$45)^3)*(1+Hipótesis!$D$42),0)</f>
        <v>-2884.79928</v>
      </c>
      <c r="AT47" s="100" t="n">
        <f aca="false">-IF(AND(44&gt;=Hipótesis!$D$51,Hipótesis!$B$51=1),IF(Hipótesis!$G$51=1,Hipótesis!$F$44,Hipótesis!$C$51*(1+Hipótesis!$D$45)^3)*(1+Hipótesis!$D$42),0)</f>
        <v>-2884.79928</v>
      </c>
      <c r="AU47" s="100" t="n">
        <f aca="false">-IF(AND(45&gt;=Hipótesis!$D$51,Hipótesis!$B$51=1),IF(Hipótesis!$G$51=1,Hipótesis!$F$44,Hipótesis!$C$51*(1+Hipótesis!$D$45)^3)*(1+Hipótesis!$D$42),0)</f>
        <v>-2884.79928</v>
      </c>
      <c r="AV47" s="100" t="n">
        <f aca="false">-IF(AND(46&gt;=Hipótesis!$D$51,Hipótesis!$B$51=1),IF(Hipótesis!$G$51=1,Hipótesis!$F$44,Hipótesis!$C$51*(1+Hipótesis!$D$45)^3)*(1+Hipótesis!$D$42),0)</f>
        <v>-2884.79928</v>
      </c>
      <c r="AW47" s="100" t="n">
        <f aca="false">-IF(AND(47&gt;=Hipótesis!$D$51,Hipótesis!$B$51=1),IF(Hipótesis!$G$51=1,Hipótesis!$F$44,Hipótesis!$C$51*(1+Hipótesis!$D$45)^3)*(1+Hipótesis!$D$42),0)</f>
        <v>-2884.79928</v>
      </c>
      <c r="AX47" s="100" t="n">
        <f aca="false">-IF(AND(48&gt;=Hipótesis!$D$51,Hipótesis!$B$51=1),IF(Hipótesis!$G$51=1,Hipótesis!$F$44,Hipótesis!$C$51*(1+Hipótesis!$D$45)^3)*(1+Hipótesis!$D$42),0)</f>
        <v>-2884.79928</v>
      </c>
      <c r="AY47" s="100" t="n">
        <f aca="false">-IF(AND(49&gt;=Hipótesis!$D$51,Hipótesis!$B$51=1),IF(Hipótesis!$G$51=1,Hipótesis!$G$44,Hipótesis!$C$51*(1+Hipótesis!$D$45)^4)*(1+Hipótesis!$D$42),0)</f>
        <v>-2971.3432584</v>
      </c>
      <c r="AZ47" s="100" t="n">
        <f aca="false">-IF(AND(50&gt;=Hipótesis!$D$51,Hipótesis!$B$51=1),IF(Hipótesis!$G$51=1,Hipótesis!$G$44,Hipótesis!$C$51*(1+Hipótesis!$D$45)^4)*(1+Hipótesis!$D$42),0)</f>
        <v>-2971.3432584</v>
      </c>
      <c r="BA47" s="100" t="n">
        <f aca="false">-IF(AND(51&gt;=Hipótesis!$D$51,Hipótesis!$B$51=1),IF(Hipótesis!$G$51=1,Hipótesis!$G$44,Hipótesis!$C$51*(1+Hipótesis!$D$45)^4)*(1+Hipótesis!$D$42),0)</f>
        <v>-2971.3432584</v>
      </c>
      <c r="BB47" s="100" t="n">
        <f aca="false">-IF(AND(52&gt;=Hipótesis!$D$51,Hipótesis!$B$51=1),IF(Hipótesis!$G$51=1,Hipótesis!$G$44,Hipótesis!$C$51*(1+Hipótesis!$D$45)^4)*(1+Hipótesis!$D$42),0)</f>
        <v>-2971.3432584</v>
      </c>
      <c r="BC47" s="100" t="n">
        <f aca="false">-IF(AND(53&gt;=Hipótesis!$D$51,Hipótesis!$B$51=1),IF(Hipótesis!$G$51=1,Hipótesis!$G$44,Hipótesis!$C$51*(1+Hipótesis!$D$45)^4)*(1+Hipótesis!$D$42),0)</f>
        <v>-2971.3432584</v>
      </c>
      <c r="BD47" s="100" t="n">
        <f aca="false">-IF(AND(54&gt;=Hipótesis!$D$51,Hipótesis!$B$51=1),IF(Hipótesis!$G$51=1,Hipótesis!$G$44,Hipótesis!$C$51*(1+Hipótesis!$D$45)^4)*(1+Hipótesis!$D$42),0)</f>
        <v>-2971.3432584</v>
      </c>
      <c r="BE47" s="100" t="n">
        <f aca="false">-IF(AND(55&gt;=Hipótesis!$D$51,Hipótesis!$B$51=1),IF(Hipótesis!$G$51=1,Hipótesis!$G$44,Hipótesis!$C$51*(1+Hipótesis!$D$45)^4)*(1+Hipótesis!$D$42),0)</f>
        <v>-2971.3432584</v>
      </c>
      <c r="BF47" s="100" t="n">
        <f aca="false">-IF(AND(56&gt;=Hipótesis!$D$51,Hipótesis!$B$51=1),IF(Hipótesis!$G$51=1,Hipótesis!$G$44,Hipótesis!$C$51*(1+Hipótesis!$D$45)^4)*(1+Hipótesis!$D$42),0)</f>
        <v>-2971.3432584</v>
      </c>
      <c r="BG47" s="100" t="n">
        <f aca="false">-IF(AND(57&gt;=Hipótesis!$D$51,Hipótesis!$B$51=1),IF(Hipótesis!$G$51=1,Hipótesis!$G$44,Hipótesis!$C$51*(1+Hipótesis!$D$45)^4)*(1+Hipótesis!$D$42),0)</f>
        <v>-2971.3432584</v>
      </c>
      <c r="BH47" s="100" t="n">
        <f aca="false">-IF(AND(58&gt;=Hipótesis!$D$51,Hipótesis!$B$51=1),IF(Hipótesis!$G$51=1,Hipótesis!$G$44,Hipótesis!$C$51*(1+Hipótesis!$D$45)^4)*(1+Hipótesis!$D$42),0)</f>
        <v>-2971.3432584</v>
      </c>
      <c r="BI47" s="100" t="n">
        <f aca="false">-IF(AND(59&gt;=Hipótesis!$D$51,Hipótesis!$B$51=1),IF(Hipótesis!$G$51=1,Hipótesis!$G$44,Hipótesis!$C$51*(1+Hipótesis!$D$45)^4)*(1+Hipótesis!$D$42),0)</f>
        <v>-2971.3432584</v>
      </c>
      <c r="BJ47" s="100" t="n">
        <f aca="false">-IF(AND(60&gt;=Hipótesis!$D$51,Hipótesis!$B$51=1),IF(Hipótesis!$G$51=1,Hipótesis!$G$44,Hipótesis!$C$51*(1+Hipótesis!$D$45)^4)*(1+Hipótesis!$D$42),0)</f>
        <v>-2971.3432584</v>
      </c>
      <c r="BK47" s="100" t="n">
        <f aca="false">-IF(AND(61&gt;=Hipótesis!$D$51,Hipótesis!$B$51=1),IF(Hipótesis!$G$51=1,Hipótesis!$H$44,Hipótesis!$C$51*(1+Hipótesis!$D$45)^5)*(1+Hipótesis!$D$42),0)</f>
        <v>-3060.483556152</v>
      </c>
      <c r="BL47" s="100" t="n">
        <f aca="false">-IF(AND(62&gt;=Hipótesis!$D$51,Hipótesis!$B$51=1),IF(Hipótesis!$G$51=1,Hipótesis!$H$44,Hipótesis!$C$51*(1+Hipótesis!$D$45)^5)*(1+Hipótesis!$D$42),0)</f>
        <v>-3060.483556152</v>
      </c>
      <c r="BM47" s="100" t="n">
        <f aca="false">-IF(AND(63&gt;=Hipótesis!$D$51,Hipótesis!$B$51=1),IF(Hipótesis!$G$51=1,Hipótesis!$H$44,Hipótesis!$C$51*(1+Hipótesis!$D$45)^5)*(1+Hipótesis!$D$42),0)</f>
        <v>-3060.483556152</v>
      </c>
      <c r="BN47" s="100" t="n">
        <f aca="false">-IF(AND(64&gt;=Hipótesis!$D$51,Hipótesis!$B$51=1),IF(Hipótesis!$G$51=1,Hipótesis!$H$44,Hipótesis!$C$51*(1+Hipótesis!$D$45)^5)*(1+Hipótesis!$D$42),0)</f>
        <v>-3060.483556152</v>
      </c>
      <c r="BO47" s="100" t="n">
        <f aca="false">-IF(AND(65&gt;=Hipótesis!$D$51,Hipótesis!$B$51=1),IF(Hipótesis!$G$51=1,Hipótesis!$H$44,Hipótesis!$C$51*(1+Hipótesis!$D$45)^5)*(1+Hipótesis!$D$42),0)</f>
        <v>-3060.483556152</v>
      </c>
      <c r="BP47" s="100" t="n">
        <f aca="false">-IF(AND(66&gt;=Hipótesis!$D$51,Hipótesis!$B$51=1),IF(Hipótesis!$G$51=1,Hipótesis!$H$44,Hipótesis!$C$51*(1+Hipótesis!$D$45)^5)*(1+Hipótesis!$D$42),0)</f>
        <v>-3060.483556152</v>
      </c>
      <c r="BQ47" s="100" t="n">
        <f aca="false">-IF(AND(67&gt;=Hipótesis!$D$51,Hipótesis!$B$51=1),IF(Hipótesis!$G$51=1,Hipótesis!$H$44,Hipótesis!$C$51*(1+Hipótesis!$D$45)^5)*(1+Hipótesis!$D$42),0)</f>
        <v>-3060.483556152</v>
      </c>
      <c r="BR47" s="100" t="n">
        <f aca="false">-IF(AND(68&gt;=Hipótesis!$D$51,Hipótesis!$B$51=1),IF(Hipótesis!$G$51=1,Hipótesis!$H$44,Hipótesis!$C$51*(1+Hipótesis!$D$45)^5)*(1+Hipótesis!$D$42),0)</f>
        <v>-3060.483556152</v>
      </c>
      <c r="BS47" s="100" t="n">
        <f aca="false">-IF(AND(69&gt;=Hipótesis!$D$51,Hipótesis!$B$51=1),IF(Hipótesis!$G$51=1,Hipótesis!$H$44,Hipótesis!$C$51*(1+Hipótesis!$D$45)^5)*(1+Hipótesis!$D$42),0)</f>
        <v>-3060.483556152</v>
      </c>
      <c r="BT47" s="100" t="n">
        <f aca="false">-IF(AND(70&gt;=Hipótesis!$D$51,Hipótesis!$B$51=1),IF(Hipótesis!$G$51=1,Hipótesis!$H$44,Hipótesis!$C$51*(1+Hipótesis!$D$45)^5)*(1+Hipótesis!$D$42),0)</f>
        <v>-3060.483556152</v>
      </c>
      <c r="BU47" s="100" t="n">
        <f aca="false">-IF(AND(71&gt;=Hipótesis!$D$51,Hipótesis!$B$51=1),IF(Hipótesis!$G$51=1,Hipótesis!$H$44,Hipótesis!$C$51*(1+Hipótesis!$D$45)^5)*(1+Hipótesis!$D$42),0)</f>
        <v>-3060.483556152</v>
      </c>
      <c r="BV47" s="100" t="n">
        <f aca="false">-IF(AND(72&gt;=Hipótesis!$D$51,Hipótesis!$B$51=1),IF(Hipótesis!$G$51=1,Hipótesis!$H$44,Hipótesis!$C$51*(1+Hipótesis!$D$45)^5)*(1+Hipótesis!$D$42),0)</f>
        <v>-3060.483556152</v>
      </c>
      <c r="BW47" s="100" t="n">
        <f aca="false">-IF(AND(73&gt;=Hipótesis!$D$51,Hipótesis!$B$51=1),IF(Hipótesis!$G$51=1,Hipótesis!$I$44,Hipótesis!$C$51*(1+Hipótesis!$D$45)^6)*(1+Hipótesis!$D$42),0)</f>
        <v>-3152.29806283656</v>
      </c>
      <c r="BX47" s="100" t="n">
        <f aca="false">-IF(AND(74&gt;=Hipótesis!$D$51,Hipótesis!$B$51=1),IF(Hipótesis!$G$51=1,Hipótesis!$I$44,Hipótesis!$C$51*(1+Hipótesis!$D$45)^6)*(1+Hipótesis!$D$42),0)</f>
        <v>-3152.29806283656</v>
      </c>
      <c r="BY47" s="100" t="n">
        <f aca="false">-IF(AND(75&gt;=Hipótesis!$D$51,Hipótesis!$B$51=1),IF(Hipótesis!$G$51=1,Hipótesis!$I$44,Hipótesis!$C$51*(1+Hipótesis!$D$45)^6)*(1+Hipótesis!$D$42),0)</f>
        <v>-3152.29806283656</v>
      </c>
      <c r="BZ47" s="100" t="n">
        <f aca="false">-IF(AND(76&gt;=Hipótesis!$D$51,Hipótesis!$B$51=1),IF(Hipótesis!$G$51=1,Hipótesis!$I$44,Hipótesis!$C$51*(1+Hipótesis!$D$45)^6)*(1+Hipótesis!$D$42),0)</f>
        <v>-3152.29806283656</v>
      </c>
      <c r="CA47" s="100" t="n">
        <f aca="false">-IF(AND(77&gt;=Hipótesis!$D$51,Hipótesis!$B$51=1),IF(Hipótesis!$G$51=1,Hipótesis!$I$44,Hipótesis!$C$51*(1+Hipótesis!$D$45)^6)*(1+Hipótesis!$D$42),0)</f>
        <v>-3152.29806283656</v>
      </c>
      <c r="CB47" s="100" t="n">
        <f aca="false">-IF(AND(78&gt;=Hipótesis!$D$51,Hipótesis!$B$51=1),IF(Hipótesis!$G$51=1,Hipótesis!$I$44,Hipótesis!$C$51*(1+Hipótesis!$D$45)^6)*(1+Hipótesis!$D$42),0)</f>
        <v>-3152.29806283656</v>
      </c>
      <c r="CC47" s="100" t="n">
        <f aca="false">-IF(AND(79&gt;=Hipótesis!$D$51,Hipótesis!$B$51=1),IF(Hipótesis!$G$51=1,Hipótesis!$I$44,Hipótesis!$C$51*(1+Hipótesis!$D$45)^6)*(1+Hipótesis!$D$42),0)</f>
        <v>-3152.29806283656</v>
      </c>
      <c r="CD47" s="100" t="n">
        <f aca="false">-IF(AND(80&gt;=Hipótesis!$D$51,Hipótesis!$B$51=1),IF(Hipótesis!$G$51=1,Hipótesis!$I$44,Hipótesis!$C$51*(1+Hipótesis!$D$45)^6)*(1+Hipótesis!$D$42),0)</f>
        <v>-3152.29806283656</v>
      </c>
      <c r="CE47" s="100" t="n">
        <f aca="false">-IF(AND(81&gt;=Hipótesis!$D$51,Hipótesis!$B$51=1),IF(Hipótesis!$G$51=1,Hipótesis!$I$44,Hipótesis!$C$51*(1+Hipótesis!$D$45)^6)*(1+Hipótesis!$D$42),0)</f>
        <v>-3152.29806283656</v>
      </c>
      <c r="CF47" s="100" t="n">
        <f aca="false">-IF(AND(82&gt;=Hipótesis!$D$51,Hipótesis!$B$51=1),IF(Hipótesis!$G$51=1,Hipótesis!$I$44,Hipótesis!$C$51*(1+Hipótesis!$D$45)^6)*(1+Hipótesis!$D$42),0)</f>
        <v>-3152.29806283656</v>
      </c>
      <c r="CG47" s="100" t="n">
        <f aca="false">-IF(AND(83&gt;=Hipótesis!$D$51,Hipótesis!$B$51=1),IF(Hipótesis!$G$51=1,Hipótesis!$I$44,Hipótesis!$C$51*(1+Hipótesis!$D$45)^6)*(1+Hipótesis!$D$42),0)</f>
        <v>-3152.29806283656</v>
      </c>
      <c r="CH47" s="100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6" t="s">
        <v>525</v>
      </c>
      <c r="C48" s="100" t="n">
        <f aca="false">-IF(AND(1&gt;=Hipótesis!$D$52,Hipótesis!$B$52=1),IF(Hipótesis!$G$52=1,Hipótesis!$C$44,Hipótesis!$C$52*(1+Hipótesis!$D$45)^0)*(1+Hipótesis!$D$42),0)</f>
        <v>-0</v>
      </c>
      <c r="D48" s="100" t="n">
        <f aca="false">-IF(AND(2&gt;=Hipótesis!$D$52,Hipótesis!$B$52=1),IF(Hipótesis!$G$52=1,Hipótesis!$C$44,Hipótesis!$C$52*(1+Hipótesis!$D$45)^0)*(1+Hipótesis!$D$42),0)</f>
        <v>-0</v>
      </c>
      <c r="E48" s="100" t="n">
        <f aca="false">-IF(AND(3&gt;=Hipótesis!$D$52,Hipótesis!$B$52=1),IF(Hipótesis!$G$52=1,Hipótesis!$C$44,Hipótesis!$C$52*(1+Hipótesis!$D$45)^0)*(1+Hipótesis!$D$42),0)</f>
        <v>-0</v>
      </c>
      <c r="F48" s="100" t="n">
        <f aca="false">-IF(AND(4&gt;=Hipótesis!$D$52,Hipótesis!$B$52=1),IF(Hipótesis!$G$52=1,Hipótesis!$C$44,Hipótesis!$C$52*(1+Hipótesis!$D$45)^0)*(1+Hipótesis!$D$42),0)</f>
        <v>-0</v>
      </c>
      <c r="G48" s="100" t="n">
        <f aca="false">-IF(AND(5&gt;=Hipótesis!$D$52,Hipótesis!$B$52=1),IF(Hipótesis!$G$52=1,Hipótesis!$C$44,Hipótesis!$C$52*(1+Hipótesis!$D$45)^0)*(1+Hipótesis!$D$42),0)</f>
        <v>-0</v>
      </c>
      <c r="H48" s="100" t="n">
        <f aca="false">-IF(AND(6&gt;=Hipótesis!$D$52,Hipótesis!$B$52=1),IF(Hipótesis!$G$52=1,Hipótesis!$C$44,Hipótesis!$C$52*(1+Hipótesis!$D$45)^0)*(1+Hipótesis!$D$42),0)</f>
        <v>-0</v>
      </c>
      <c r="I48" s="100" t="n">
        <f aca="false">-IF(AND(7&gt;=Hipótesis!$D$52,Hipótesis!$B$52=1),IF(Hipótesis!$G$52=1,Hipótesis!$C$44,Hipótesis!$C$52*(1+Hipótesis!$D$45)^0)*(1+Hipótesis!$D$42),0)</f>
        <v>-0</v>
      </c>
      <c r="J48" s="100" t="n">
        <f aca="false">-IF(AND(8&gt;=Hipótesis!$D$52,Hipótesis!$B$52=1),IF(Hipótesis!$G$52=1,Hipótesis!$C$44,Hipótesis!$C$52*(1+Hipótesis!$D$45)^0)*(1+Hipótesis!$D$42),0)</f>
        <v>-0</v>
      </c>
      <c r="K48" s="100" t="n">
        <f aca="false">-IF(AND(9&gt;=Hipótesis!$D$52,Hipótesis!$B$52=1),IF(Hipótesis!$G$52=1,Hipótesis!$C$44,Hipótesis!$C$52*(1+Hipótesis!$D$45)^0)*(1+Hipótesis!$D$42),0)</f>
        <v>-0</v>
      </c>
      <c r="L48" s="100" t="n">
        <f aca="false">-IF(AND(10&gt;=Hipótesis!$D$52,Hipótesis!$B$52=1),IF(Hipótesis!$G$52=1,Hipótesis!$C$44,Hipótesis!$C$52*(1+Hipótesis!$D$45)^0)*(1+Hipótesis!$D$42),0)</f>
        <v>-0</v>
      </c>
      <c r="M48" s="100" t="n">
        <f aca="false">-IF(AND(11&gt;=Hipótesis!$D$52,Hipótesis!$B$52=1),IF(Hipótesis!$G$52=1,Hipótesis!$C$44,Hipótesis!$C$52*(1+Hipótesis!$D$45)^0)*(1+Hipótesis!$D$42),0)</f>
        <v>-0</v>
      </c>
      <c r="N48" s="100" t="n">
        <f aca="false">-IF(AND(12&gt;=Hipótesis!$D$52,Hipótesis!$B$52=1),IF(Hipótesis!$G$52=1,Hipótesis!$C$44,Hipótesis!$C$52*(1+Hipótesis!$D$45)^0)*(1+Hipótesis!$D$42),0)</f>
        <v>-0</v>
      </c>
      <c r="O48" s="100" t="n">
        <f aca="false">-IF(AND(13&gt;=Hipótesis!$D$52,Hipótesis!$B$52=1),IF(Hipótesis!$G$52=1,Hipótesis!$D$44,Hipótesis!$C$52*(1+Hipótesis!$D$45)^1)*(1+Hipótesis!$D$42),0)</f>
        <v>-0</v>
      </c>
      <c r="P48" s="100" t="n">
        <f aca="false">-IF(AND(14&gt;=Hipótesis!$D$52,Hipótesis!$B$52=1),IF(Hipótesis!$G$52=1,Hipótesis!$D$44,Hipótesis!$C$52*(1+Hipótesis!$D$45)^1)*(1+Hipótesis!$D$42),0)</f>
        <v>-0</v>
      </c>
      <c r="Q48" s="100" t="n">
        <f aca="false">-IF(AND(15&gt;=Hipótesis!$D$52,Hipótesis!$B$52=1),IF(Hipótesis!$G$52=1,Hipótesis!$D$44,Hipótesis!$C$52*(1+Hipótesis!$D$45)^1)*(1+Hipótesis!$D$42),0)</f>
        <v>-0</v>
      </c>
      <c r="R48" s="100" t="n">
        <f aca="false">-IF(AND(16&gt;=Hipótesis!$D$52,Hipótesis!$B$52=1),IF(Hipótesis!$G$52=1,Hipótesis!$D$44,Hipótesis!$C$52*(1+Hipótesis!$D$45)^1)*(1+Hipótesis!$D$42),0)</f>
        <v>-0</v>
      </c>
      <c r="S48" s="100" t="n">
        <f aca="false">-IF(AND(17&gt;=Hipótesis!$D$52,Hipótesis!$B$52=1),IF(Hipótesis!$G$52=1,Hipótesis!$D$44,Hipótesis!$C$52*(1+Hipótesis!$D$45)^1)*(1+Hipótesis!$D$42),0)</f>
        <v>-0</v>
      </c>
      <c r="T48" s="100" t="n">
        <f aca="false">-IF(AND(18&gt;=Hipótesis!$D$52,Hipótesis!$B$52=1),IF(Hipótesis!$G$52=1,Hipótesis!$D$44,Hipótesis!$C$52*(1+Hipótesis!$D$45)^1)*(1+Hipótesis!$D$42),0)</f>
        <v>-0</v>
      </c>
      <c r="U48" s="100" t="n">
        <f aca="false">-IF(AND(19&gt;=Hipótesis!$D$52,Hipótesis!$B$52=1),IF(Hipótesis!$G$52=1,Hipótesis!$D$44,Hipótesis!$C$52*(1+Hipótesis!$D$45)^1)*(1+Hipótesis!$D$42),0)</f>
        <v>-0</v>
      </c>
      <c r="V48" s="100" t="n">
        <f aca="false">-IF(AND(20&gt;=Hipótesis!$D$52,Hipótesis!$B$52=1),IF(Hipótesis!$G$52=1,Hipótesis!$D$44,Hipótesis!$C$52*(1+Hipótesis!$D$45)^1)*(1+Hipótesis!$D$42),0)</f>
        <v>-2719.2</v>
      </c>
      <c r="W48" s="100" t="n">
        <f aca="false">-IF(AND(21&gt;=Hipótesis!$D$52,Hipótesis!$B$52=1),IF(Hipótesis!$G$52=1,Hipótesis!$D$44,Hipótesis!$C$52*(1+Hipótesis!$D$45)^1)*(1+Hipótesis!$D$42),0)</f>
        <v>-2719.2</v>
      </c>
      <c r="X48" s="100" t="n">
        <f aca="false">-IF(AND(22&gt;=Hipótesis!$D$52,Hipótesis!$B$52=1),IF(Hipótesis!$G$52=1,Hipótesis!$D$44,Hipótesis!$C$52*(1+Hipótesis!$D$45)^1)*(1+Hipótesis!$D$42),0)</f>
        <v>-2719.2</v>
      </c>
      <c r="Y48" s="100" t="n">
        <f aca="false">-IF(AND(23&gt;=Hipótesis!$D$52,Hipótesis!$B$52=1),IF(Hipótesis!$G$52=1,Hipótesis!$D$44,Hipótesis!$C$52*(1+Hipótesis!$D$45)^1)*(1+Hipótesis!$D$42),0)</f>
        <v>-2719.2</v>
      </c>
      <c r="Z48" s="100" t="n">
        <f aca="false">-IF(AND(24&gt;=Hipótesis!$D$52,Hipótesis!$B$52=1),IF(Hipótesis!$G$52=1,Hipótesis!$D$44,Hipótesis!$C$52*(1+Hipótesis!$D$45)^1)*(1+Hipótesis!$D$42),0)</f>
        <v>-2719.2</v>
      </c>
      <c r="AA48" s="100" t="n">
        <f aca="false">-IF(AND(25&gt;=Hipótesis!$D$52,Hipótesis!$B$52=1),IF(Hipótesis!$G$52=1,Hipótesis!$E$44,Hipótesis!$C$52*(1+Hipótesis!$D$45)^2)*(1+Hipótesis!$D$42),0)</f>
        <v>-2800.776</v>
      </c>
      <c r="AB48" s="100" t="n">
        <f aca="false">-IF(AND(26&gt;=Hipótesis!$D$52,Hipótesis!$B$52=1),IF(Hipótesis!$G$52=1,Hipótesis!$E$44,Hipótesis!$C$52*(1+Hipótesis!$D$45)^2)*(1+Hipótesis!$D$42),0)</f>
        <v>-2800.776</v>
      </c>
      <c r="AC48" s="100" t="n">
        <f aca="false">-IF(AND(27&gt;=Hipótesis!$D$52,Hipótesis!$B$52=1),IF(Hipótesis!$G$52=1,Hipótesis!$E$44,Hipótesis!$C$52*(1+Hipótesis!$D$45)^2)*(1+Hipótesis!$D$42),0)</f>
        <v>-2800.776</v>
      </c>
      <c r="AD48" s="100" t="n">
        <f aca="false">-IF(AND(28&gt;=Hipótesis!$D$52,Hipótesis!$B$52=1),IF(Hipótesis!$G$52=1,Hipótesis!$E$44,Hipótesis!$C$52*(1+Hipótesis!$D$45)^2)*(1+Hipótesis!$D$42),0)</f>
        <v>-2800.776</v>
      </c>
      <c r="AE48" s="100" t="n">
        <f aca="false">-IF(AND(29&gt;=Hipótesis!$D$52,Hipótesis!$B$52=1),IF(Hipótesis!$G$52=1,Hipótesis!$E$44,Hipótesis!$C$52*(1+Hipótesis!$D$45)^2)*(1+Hipótesis!$D$42),0)</f>
        <v>-2800.776</v>
      </c>
      <c r="AF48" s="100" t="n">
        <f aca="false">-IF(AND(30&gt;=Hipótesis!$D$52,Hipótesis!$B$52=1),IF(Hipótesis!$G$52=1,Hipótesis!$E$44,Hipótesis!$C$52*(1+Hipótesis!$D$45)^2)*(1+Hipótesis!$D$42),0)</f>
        <v>-2800.776</v>
      </c>
      <c r="AG48" s="100" t="n">
        <f aca="false">-IF(AND(31&gt;=Hipótesis!$D$52,Hipótesis!$B$52=1),IF(Hipótesis!$G$52=1,Hipótesis!$E$44,Hipótesis!$C$52*(1+Hipótesis!$D$45)^2)*(1+Hipótesis!$D$42),0)</f>
        <v>-2800.776</v>
      </c>
      <c r="AH48" s="100" t="n">
        <f aca="false">-IF(AND(32&gt;=Hipótesis!$D$52,Hipótesis!$B$52=1),IF(Hipótesis!$G$52=1,Hipótesis!$E$44,Hipótesis!$C$52*(1+Hipótesis!$D$45)^2)*(1+Hipótesis!$D$42),0)</f>
        <v>-2800.776</v>
      </c>
      <c r="AI48" s="100" t="n">
        <f aca="false">-IF(AND(33&gt;=Hipótesis!$D$52,Hipótesis!$B$52=1),IF(Hipótesis!$G$52=1,Hipótesis!$E$44,Hipótesis!$C$52*(1+Hipótesis!$D$45)^2)*(1+Hipótesis!$D$42),0)</f>
        <v>-2800.776</v>
      </c>
      <c r="AJ48" s="100" t="n">
        <f aca="false">-IF(AND(34&gt;=Hipótesis!$D$52,Hipótesis!$B$52=1),IF(Hipótesis!$G$52=1,Hipótesis!$E$44,Hipótesis!$C$52*(1+Hipótesis!$D$45)^2)*(1+Hipótesis!$D$42),0)</f>
        <v>-2800.776</v>
      </c>
      <c r="AK48" s="100" t="n">
        <f aca="false">-IF(AND(35&gt;=Hipótesis!$D$52,Hipótesis!$B$52=1),IF(Hipótesis!$G$52=1,Hipótesis!$E$44,Hipótesis!$C$52*(1+Hipótesis!$D$45)^2)*(1+Hipótesis!$D$42),0)</f>
        <v>-2800.776</v>
      </c>
      <c r="AL48" s="100" t="n">
        <f aca="false">-IF(AND(36&gt;=Hipótesis!$D$52,Hipótesis!$B$52=1),IF(Hipótesis!$G$52=1,Hipótesis!$E$44,Hipótesis!$C$52*(1+Hipótesis!$D$45)^2)*(1+Hipótesis!$D$42),0)</f>
        <v>-2800.776</v>
      </c>
      <c r="AM48" s="100" t="n">
        <f aca="false">-IF(AND(37&gt;=Hipótesis!$D$52,Hipótesis!$B$52=1),IF(Hipótesis!$G$52=1,Hipótesis!$F$44,Hipótesis!$C$52*(1+Hipótesis!$D$45)^3)*(1+Hipótesis!$D$42),0)</f>
        <v>-2884.79928</v>
      </c>
      <c r="AN48" s="100" t="n">
        <f aca="false">-IF(AND(38&gt;=Hipótesis!$D$52,Hipótesis!$B$52=1),IF(Hipótesis!$G$52=1,Hipótesis!$F$44,Hipótesis!$C$52*(1+Hipótesis!$D$45)^3)*(1+Hipótesis!$D$42),0)</f>
        <v>-2884.79928</v>
      </c>
      <c r="AO48" s="100" t="n">
        <f aca="false">-IF(AND(39&gt;=Hipótesis!$D$52,Hipótesis!$B$52=1),IF(Hipótesis!$G$52=1,Hipótesis!$F$44,Hipótesis!$C$52*(1+Hipótesis!$D$45)^3)*(1+Hipótesis!$D$42),0)</f>
        <v>-2884.79928</v>
      </c>
      <c r="AP48" s="100" t="n">
        <f aca="false">-IF(AND(40&gt;=Hipótesis!$D$52,Hipótesis!$B$52=1),IF(Hipótesis!$G$52=1,Hipótesis!$F$44,Hipótesis!$C$52*(1+Hipótesis!$D$45)^3)*(1+Hipótesis!$D$42),0)</f>
        <v>-2884.79928</v>
      </c>
      <c r="AQ48" s="100" t="n">
        <f aca="false">-IF(AND(41&gt;=Hipótesis!$D$52,Hipótesis!$B$52=1),IF(Hipótesis!$G$52=1,Hipótesis!$F$44,Hipótesis!$C$52*(1+Hipótesis!$D$45)^3)*(1+Hipótesis!$D$42),0)</f>
        <v>-2884.79928</v>
      </c>
      <c r="AR48" s="100" t="n">
        <f aca="false">-IF(AND(42&gt;=Hipótesis!$D$52,Hipótesis!$B$52=1),IF(Hipótesis!$G$52=1,Hipótesis!$F$44,Hipótesis!$C$52*(1+Hipótesis!$D$45)^3)*(1+Hipótesis!$D$42),0)</f>
        <v>-2884.79928</v>
      </c>
      <c r="AS48" s="100" t="n">
        <f aca="false">-IF(AND(43&gt;=Hipótesis!$D$52,Hipótesis!$B$52=1),IF(Hipótesis!$G$52=1,Hipótesis!$F$44,Hipótesis!$C$52*(1+Hipótesis!$D$45)^3)*(1+Hipótesis!$D$42),0)</f>
        <v>-2884.79928</v>
      </c>
      <c r="AT48" s="100" t="n">
        <f aca="false">-IF(AND(44&gt;=Hipótesis!$D$52,Hipótesis!$B$52=1),IF(Hipótesis!$G$52=1,Hipótesis!$F$44,Hipótesis!$C$52*(1+Hipótesis!$D$45)^3)*(1+Hipótesis!$D$42),0)</f>
        <v>-2884.79928</v>
      </c>
      <c r="AU48" s="100" t="n">
        <f aca="false">-IF(AND(45&gt;=Hipótesis!$D$52,Hipótesis!$B$52=1),IF(Hipótesis!$G$52=1,Hipótesis!$F$44,Hipótesis!$C$52*(1+Hipótesis!$D$45)^3)*(1+Hipótesis!$D$42),0)</f>
        <v>-2884.79928</v>
      </c>
      <c r="AV48" s="100" t="n">
        <f aca="false">-IF(AND(46&gt;=Hipótesis!$D$52,Hipótesis!$B$52=1),IF(Hipótesis!$G$52=1,Hipótesis!$F$44,Hipótesis!$C$52*(1+Hipótesis!$D$45)^3)*(1+Hipótesis!$D$42),0)</f>
        <v>-2884.79928</v>
      </c>
      <c r="AW48" s="100" t="n">
        <f aca="false">-IF(AND(47&gt;=Hipótesis!$D$52,Hipótesis!$B$52=1),IF(Hipótesis!$G$52=1,Hipótesis!$F$44,Hipótesis!$C$52*(1+Hipótesis!$D$45)^3)*(1+Hipótesis!$D$42),0)</f>
        <v>-2884.79928</v>
      </c>
      <c r="AX48" s="100" t="n">
        <f aca="false">-IF(AND(48&gt;=Hipótesis!$D$52,Hipótesis!$B$52=1),IF(Hipótesis!$G$52=1,Hipótesis!$F$44,Hipótesis!$C$52*(1+Hipótesis!$D$45)^3)*(1+Hipótesis!$D$42),0)</f>
        <v>-2884.79928</v>
      </c>
      <c r="AY48" s="100" t="n">
        <f aca="false">-IF(AND(49&gt;=Hipótesis!$D$52,Hipótesis!$B$52=1),IF(Hipótesis!$G$52=1,Hipótesis!$G$44,Hipótesis!$C$52*(1+Hipótesis!$D$45)^4)*(1+Hipótesis!$D$42),0)</f>
        <v>-2971.3432584</v>
      </c>
      <c r="AZ48" s="100" t="n">
        <f aca="false">-IF(AND(50&gt;=Hipótesis!$D$52,Hipótesis!$B$52=1),IF(Hipótesis!$G$52=1,Hipótesis!$G$44,Hipótesis!$C$52*(1+Hipótesis!$D$45)^4)*(1+Hipótesis!$D$42),0)</f>
        <v>-2971.3432584</v>
      </c>
      <c r="BA48" s="100" t="n">
        <f aca="false">-IF(AND(51&gt;=Hipótesis!$D$52,Hipótesis!$B$52=1),IF(Hipótesis!$G$52=1,Hipótesis!$G$44,Hipótesis!$C$52*(1+Hipótesis!$D$45)^4)*(1+Hipótesis!$D$42),0)</f>
        <v>-2971.3432584</v>
      </c>
      <c r="BB48" s="100" t="n">
        <f aca="false">-IF(AND(52&gt;=Hipótesis!$D$52,Hipótesis!$B$52=1),IF(Hipótesis!$G$52=1,Hipótesis!$G$44,Hipótesis!$C$52*(1+Hipótesis!$D$45)^4)*(1+Hipótesis!$D$42),0)</f>
        <v>-2971.3432584</v>
      </c>
      <c r="BC48" s="100" t="n">
        <f aca="false">-IF(AND(53&gt;=Hipótesis!$D$52,Hipótesis!$B$52=1),IF(Hipótesis!$G$52=1,Hipótesis!$G$44,Hipótesis!$C$52*(1+Hipótesis!$D$45)^4)*(1+Hipótesis!$D$42),0)</f>
        <v>-2971.3432584</v>
      </c>
      <c r="BD48" s="100" t="n">
        <f aca="false">-IF(AND(54&gt;=Hipótesis!$D$52,Hipótesis!$B$52=1),IF(Hipótesis!$G$52=1,Hipótesis!$G$44,Hipótesis!$C$52*(1+Hipótesis!$D$45)^4)*(1+Hipótesis!$D$42),0)</f>
        <v>-2971.3432584</v>
      </c>
      <c r="BE48" s="100" t="n">
        <f aca="false">-IF(AND(55&gt;=Hipótesis!$D$52,Hipótesis!$B$52=1),IF(Hipótesis!$G$52=1,Hipótesis!$G$44,Hipótesis!$C$52*(1+Hipótesis!$D$45)^4)*(1+Hipótesis!$D$42),0)</f>
        <v>-2971.3432584</v>
      </c>
      <c r="BF48" s="100" t="n">
        <f aca="false">-IF(AND(56&gt;=Hipótesis!$D$52,Hipótesis!$B$52=1),IF(Hipótesis!$G$52=1,Hipótesis!$G$44,Hipótesis!$C$52*(1+Hipótesis!$D$45)^4)*(1+Hipótesis!$D$42),0)</f>
        <v>-2971.3432584</v>
      </c>
      <c r="BG48" s="100" t="n">
        <f aca="false">-IF(AND(57&gt;=Hipótesis!$D$52,Hipótesis!$B$52=1),IF(Hipótesis!$G$52=1,Hipótesis!$G$44,Hipótesis!$C$52*(1+Hipótesis!$D$45)^4)*(1+Hipótesis!$D$42),0)</f>
        <v>-2971.3432584</v>
      </c>
      <c r="BH48" s="100" t="n">
        <f aca="false">-IF(AND(58&gt;=Hipótesis!$D$52,Hipótesis!$B$52=1),IF(Hipótesis!$G$52=1,Hipótesis!$G$44,Hipótesis!$C$52*(1+Hipótesis!$D$45)^4)*(1+Hipótesis!$D$42),0)</f>
        <v>-2971.3432584</v>
      </c>
      <c r="BI48" s="100" t="n">
        <f aca="false">-IF(AND(59&gt;=Hipótesis!$D$52,Hipótesis!$B$52=1),IF(Hipótesis!$G$52=1,Hipótesis!$G$44,Hipótesis!$C$52*(1+Hipótesis!$D$45)^4)*(1+Hipótesis!$D$42),0)</f>
        <v>-2971.3432584</v>
      </c>
      <c r="BJ48" s="100" t="n">
        <f aca="false">-IF(AND(60&gt;=Hipótesis!$D$52,Hipótesis!$B$52=1),IF(Hipótesis!$G$52=1,Hipótesis!$G$44,Hipótesis!$C$52*(1+Hipótesis!$D$45)^4)*(1+Hipótesis!$D$42),0)</f>
        <v>-2971.3432584</v>
      </c>
      <c r="BK48" s="100" t="n">
        <f aca="false">-IF(AND(61&gt;=Hipótesis!$D$52,Hipótesis!$B$52=1),IF(Hipótesis!$G$52=1,Hipótesis!$H$44,Hipótesis!$C$52*(1+Hipótesis!$D$45)^5)*(1+Hipótesis!$D$42),0)</f>
        <v>-3060.483556152</v>
      </c>
      <c r="BL48" s="100" t="n">
        <f aca="false">-IF(AND(62&gt;=Hipótesis!$D$52,Hipótesis!$B$52=1),IF(Hipótesis!$G$52=1,Hipótesis!$H$44,Hipótesis!$C$52*(1+Hipótesis!$D$45)^5)*(1+Hipótesis!$D$42),0)</f>
        <v>-3060.483556152</v>
      </c>
      <c r="BM48" s="100" t="n">
        <f aca="false">-IF(AND(63&gt;=Hipótesis!$D$52,Hipótesis!$B$52=1),IF(Hipótesis!$G$52=1,Hipótesis!$H$44,Hipótesis!$C$52*(1+Hipótesis!$D$45)^5)*(1+Hipótesis!$D$42),0)</f>
        <v>-3060.483556152</v>
      </c>
      <c r="BN48" s="100" t="n">
        <f aca="false">-IF(AND(64&gt;=Hipótesis!$D$52,Hipótesis!$B$52=1),IF(Hipótesis!$G$52=1,Hipótesis!$H$44,Hipótesis!$C$52*(1+Hipótesis!$D$45)^5)*(1+Hipótesis!$D$42),0)</f>
        <v>-3060.483556152</v>
      </c>
      <c r="BO48" s="100" t="n">
        <f aca="false">-IF(AND(65&gt;=Hipótesis!$D$52,Hipótesis!$B$52=1),IF(Hipótesis!$G$52=1,Hipótesis!$H$44,Hipótesis!$C$52*(1+Hipótesis!$D$45)^5)*(1+Hipótesis!$D$42),0)</f>
        <v>-3060.483556152</v>
      </c>
      <c r="BP48" s="100" t="n">
        <f aca="false">-IF(AND(66&gt;=Hipótesis!$D$52,Hipótesis!$B$52=1),IF(Hipótesis!$G$52=1,Hipótesis!$H$44,Hipótesis!$C$52*(1+Hipótesis!$D$45)^5)*(1+Hipótesis!$D$42),0)</f>
        <v>-3060.483556152</v>
      </c>
      <c r="BQ48" s="100" t="n">
        <f aca="false">-IF(AND(67&gt;=Hipótesis!$D$52,Hipótesis!$B$52=1),IF(Hipótesis!$G$52=1,Hipótesis!$H$44,Hipótesis!$C$52*(1+Hipótesis!$D$45)^5)*(1+Hipótesis!$D$42),0)</f>
        <v>-3060.483556152</v>
      </c>
      <c r="BR48" s="100" t="n">
        <f aca="false">-IF(AND(68&gt;=Hipótesis!$D$52,Hipótesis!$B$52=1),IF(Hipótesis!$G$52=1,Hipótesis!$H$44,Hipótesis!$C$52*(1+Hipótesis!$D$45)^5)*(1+Hipótesis!$D$42),0)</f>
        <v>-3060.483556152</v>
      </c>
      <c r="BS48" s="100" t="n">
        <f aca="false">-IF(AND(69&gt;=Hipótesis!$D$52,Hipótesis!$B$52=1),IF(Hipótesis!$G$52=1,Hipótesis!$H$44,Hipótesis!$C$52*(1+Hipótesis!$D$45)^5)*(1+Hipótesis!$D$42),0)</f>
        <v>-3060.483556152</v>
      </c>
      <c r="BT48" s="100" t="n">
        <f aca="false">-IF(AND(70&gt;=Hipótesis!$D$52,Hipótesis!$B$52=1),IF(Hipótesis!$G$52=1,Hipótesis!$H$44,Hipótesis!$C$52*(1+Hipótesis!$D$45)^5)*(1+Hipótesis!$D$42),0)</f>
        <v>-3060.483556152</v>
      </c>
      <c r="BU48" s="100" t="n">
        <f aca="false">-IF(AND(71&gt;=Hipótesis!$D$52,Hipótesis!$B$52=1),IF(Hipótesis!$G$52=1,Hipótesis!$H$44,Hipótesis!$C$52*(1+Hipótesis!$D$45)^5)*(1+Hipótesis!$D$42),0)</f>
        <v>-3060.483556152</v>
      </c>
      <c r="BV48" s="100" t="n">
        <f aca="false">-IF(AND(72&gt;=Hipótesis!$D$52,Hipótesis!$B$52=1),IF(Hipótesis!$G$52=1,Hipótesis!$H$44,Hipótesis!$C$52*(1+Hipótesis!$D$45)^5)*(1+Hipótesis!$D$42),0)</f>
        <v>-3060.483556152</v>
      </c>
      <c r="BW48" s="100" t="n">
        <f aca="false">-IF(AND(73&gt;=Hipótesis!$D$52,Hipótesis!$B$52=1),IF(Hipótesis!$G$52=1,Hipótesis!$I$44,Hipótesis!$C$52*(1+Hipótesis!$D$45)^6)*(1+Hipótesis!$D$42),0)</f>
        <v>-3152.29806283656</v>
      </c>
      <c r="BX48" s="100" t="n">
        <f aca="false">-IF(AND(74&gt;=Hipótesis!$D$52,Hipótesis!$B$52=1),IF(Hipótesis!$G$52=1,Hipótesis!$I$44,Hipótesis!$C$52*(1+Hipótesis!$D$45)^6)*(1+Hipótesis!$D$42),0)</f>
        <v>-3152.29806283656</v>
      </c>
      <c r="BY48" s="100" t="n">
        <f aca="false">-IF(AND(75&gt;=Hipótesis!$D$52,Hipótesis!$B$52=1),IF(Hipótesis!$G$52=1,Hipótesis!$I$44,Hipótesis!$C$52*(1+Hipótesis!$D$45)^6)*(1+Hipótesis!$D$42),0)</f>
        <v>-3152.29806283656</v>
      </c>
      <c r="BZ48" s="100" t="n">
        <f aca="false">-IF(AND(76&gt;=Hipótesis!$D$52,Hipótesis!$B$52=1),IF(Hipótesis!$G$52=1,Hipótesis!$I$44,Hipótesis!$C$52*(1+Hipótesis!$D$45)^6)*(1+Hipótesis!$D$42),0)</f>
        <v>-3152.29806283656</v>
      </c>
      <c r="CA48" s="100" t="n">
        <f aca="false">-IF(AND(77&gt;=Hipótesis!$D$52,Hipótesis!$B$52=1),IF(Hipótesis!$G$52=1,Hipótesis!$I$44,Hipótesis!$C$52*(1+Hipótesis!$D$45)^6)*(1+Hipótesis!$D$42),0)</f>
        <v>-3152.29806283656</v>
      </c>
      <c r="CB48" s="100" t="n">
        <f aca="false">-IF(AND(78&gt;=Hipótesis!$D$52,Hipótesis!$B$52=1),IF(Hipótesis!$G$52=1,Hipótesis!$I$44,Hipótesis!$C$52*(1+Hipótesis!$D$45)^6)*(1+Hipótesis!$D$42),0)</f>
        <v>-3152.29806283656</v>
      </c>
      <c r="CC48" s="100" t="n">
        <f aca="false">-IF(AND(79&gt;=Hipótesis!$D$52,Hipótesis!$B$52=1),IF(Hipótesis!$G$52=1,Hipótesis!$I$44,Hipótesis!$C$52*(1+Hipótesis!$D$45)^6)*(1+Hipótesis!$D$42),0)</f>
        <v>-3152.29806283656</v>
      </c>
      <c r="CD48" s="100" t="n">
        <f aca="false">-IF(AND(80&gt;=Hipótesis!$D$52,Hipótesis!$B$52=1),IF(Hipótesis!$G$52=1,Hipótesis!$I$44,Hipótesis!$C$52*(1+Hipótesis!$D$45)^6)*(1+Hipótesis!$D$42),0)</f>
        <v>-3152.29806283656</v>
      </c>
      <c r="CE48" s="100" t="n">
        <f aca="false">-IF(AND(81&gt;=Hipótesis!$D$52,Hipótesis!$B$52=1),IF(Hipótesis!$G$52=1,Hipótesis!$I$44,Hipótesis!$C$52*(1+Hipótesis!$D$45)^6)*(1+Hipótesis!$D$42),0)</f>
        <v>-3152.29806283656</v>
      </c>
      <c r="CF48" s="100" t="n">
        <f aca="false">-IF(AND(82&gt;=Hipótesis!$D$52,Hipótesis!$B$52=1),IF(Hipótesis!$G$52=1,Hipótesis!$I$44,Hipótesis!$C$52*(1+Hipótesis!$D$45)^6)*(1+Hipótesis!$D$42),0)</f>
        <v>-3152.29806283656</v>
      </c>
      <c r="CG48" s="100" t="n">
        <f aca="false">-IF(AND(83&gt;=Hipótesis!$D$52,Hipótesis!$B$52=1),IF(Hipótesis!$G$52=1,Hipótesis!$I$44,Hipótesis!$C$52*(1+Hipótesis!$D$45)^6)*(1+Hipótesis!$D$42),0)</f>
        <v>-3152.29806283656</v>
      </c>
      <c r="CH48" s="100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6" t="s">
        <v>526</v>
      </c>
      <c r="C49" s="100" t="n">
        <f aca="false">-IF(AND(1&gt;=Hipótesis!$D$53,Hipótesis!$B$53=1),IF(Hipótesis!$G$53=1,Hipótesis!$C$44,Hipótesis!$C$53*(1+Hipótesis!$D$45)^0)*(1+Hipótesis!$D$42),0)</f>
        <v>-0</v>
      </c>
      <c r="D49" s="100" t="n">
        <f aca="false">-IF(AND(2&gt;=Hipótesis!$D$53,Hipótesis!$B$53=1),IF(Hipótesis!$G$53=1,Hipótesis!$C$44,Hipótesis!$C$53*(1+Hipótesis!$D$45)^0)*(1+Hipótesis!$D$42),0)</f>
        <v>-0</v>
      </c>
      <c r="E49" s="100" t="n">
        <f aca="false">-IF(AND(3&gt;=Hipótesis!$D$53,Hipótesis!$B$53=1),IF(Hipótesis!$G$53=1,Hipótesis!$C$44,Hipótesis!$C$53*(1+Hipótesis!$D$45)^0)*(1+Hipótesis!$D$42),0)</f>
        <v>-0</v>
      </c>
      <c r="F49" s="100" t="n">
        <f aca="false">-IF(AND(4&gt;=Hipótesis!$D$53,Hipótesis!$B$53=1),IF(Hipótesis!$G$53=1,Hipótesis!$C$44,Hipótesis!$C$53*(1+Hipótesis!$D$45)^0)*(1+Hipótesis!$D$42),0)</f>
        <v>-0</v>
      </c>
      <c r="G49" s="100" t="n">
        <f aca="false">-IF(AND(5&gt;=Hipótesis!$D$53,Hipótesis!$B$53=1),IF(Hipótesis!$G$53=1,Hipótesis!$C$44,Hipótesis!$C$53*(1+Hipótesis!$D$45)^0)*(1+Hipótesis!$D$42),0)</f>
        <v>-0</v>
      </c>
      <c r="H49" s="100" t="n">
        <f aca="false">-IF(AND(6&gt;=Hipótesis!$D$53,Hipótesis!$B$53=1),IF(Hipótesis!$G$53=1,Hipótesis!$C$44,Hipótesis!$C$53*(1+Hipótesis!$D$45)^0)*(1+Hipótesis!$D$42),0)</f>
        <v>-0</v>
      </c>
      <c r="I49" s="100" t="n">
        <f aca="false">-IF(AND(7&gt;=Hipótesis!$D$53,Hipótesis!$B$53=1),IF(Hipótesis!$G$53=1,Hipótesis!$C$44,Hipótesis!$C$53*(1+Hipótesis!$D$45)^0)*(1+Hipótesis!$D$42),0)</f>
        <v>-0</v>
      </c>
      <c r="J49" s="100" t="n">
        <f aca="false">-IF(AND(8&gt;=Hipótesis!$D$53,Hipótesis!$B$53=1),IF(Hipótesis!$G$53=1,Hipótesis!$C$44,Hipótesis!$C$53*(1+Hipótesis!$D$45)^0)*(1+Hipótesis!$D$42),0)</f>
        <v>-0</v>
      </c>
      <c r="K49" s="100" t="n">
        <f aca="false">-IF(AND(9&gt;=Hipótesis!$D$53,Hipótesis!$B$53=1),IF(Hipótesis!$G$53=1,Hipótesis!$C$44,Hipótesis!$C$53*(1+Hipótesis!$D$45)^0)*(1+Hipótesis!$D$42),0)</f>
        <v>-0</v>
      </c>
      <c r="L49" s="100" t="n">
        <f aca="false">-IF(AND(10&gt;=Hipótesis!$D$53,Hipótesis!$B$53=1),IF(Hipótesis!$G$53=1,Hipótesis!$C$44,Hipótesis!$C$53*(1+Hipótesis!$D$45)^0)*(1+Hipótesis!$D$42),0)</f>
        <v>-0</v>
      </c>
      <c r="M49" s="100" t="n">
        <f aca="false">-IF(AND(11&gt;=Hipótesis!$D$53,Hipótesis!$B$53=1),IF(Hipótesis!$G$53=1,Hipótesis!$C$44,Hipótesis!$C$53*(1+Hipótesis!$D$45)^0)*(1+Hipótesis!$D$42),0)</f>
        <v>-0</v>
      </c>
      <c r="N49" s="100" t="n">
        <f aca="false">-IF(AND(12&gt;=Hipótesis!$D$53,Hipótesis!$B$53=1),IF(Hipótesis!$G$53=1,Hipótesis!$C$44,Hipótesis!$C$53*(1+Hipótesis!$D$45)^0)*(1+Hipótesis!$D$42),0)</f>
        <v>-0</v>
      </c>
      <c r="O49" s="100" t="n">
        <f aca="false">-IF(AND(13&gt;=Hipótesis!$D$53,Hipótesis!$B$53=1),IF(Hipótesis!$G$53=1,Hipótesis!$D$44,Hipótesis!$C$53*(1+Hipótesis!$D$45)^1)*(1+Hipótesis!$D$42),0)</f>
        <v>-0</v>
      </c>
      <c r="P49" s="100" t="n">
        <f aca="false">-IF(AND(14&gt;=Hipótesis!$D$53,Hipótesis!$B$53=1),IF(Hipótesis!$G$53=1,Hipótesis!$D$44,Hipótesis!$C$53*(1+Hipótesis!$D$45)^1)*(1+Hipótesis!$D$42),0)</f>
        <v>-0</v>
      </c>
      <c r="Q49" s="100" t="n">
        <f aca="false">-IF(AND(15&gt;=Hipótesis!$D$53,Hipótesis!$B$53=1),IF(Hipótesis!$G$53=1,Hipótesis!$D$44,Hipótesis!$C$53*(1+Hipótesis!$D$45)^1)*(1+Hipótesis!$D$42),0)</f>
        <v>-0</v>
      </c>
      <c r="R49" s="100" t="n">
        <f aca="false">-IF(AND(16&gt;=Hipótesis!$D$53,Hipótesis!$B$53=1),IF(Hipótesis!$G$53=1,Hipótesis!$D$44,Hipótesis!$C$53*(1+Hipótesis!$D$45)^1)*(1+Hipótesis!$D$42),0)</f>
        <v>-0</v>
      </c>
      <c r="S49" s="100" t="n">
        <f aca="false">-IF(AND(17&gt;=Hipótesis!$D$53,Hipótesis!$B$53=1),IF(Hipótesis!$G$53=1,Hipótesis!$D$44,Hipótesis!$C$53*(1+Hipótesis!$D$45)^1)*(1+Hipótesis!$D$42),0)</f>
        <v>-0</v>
      </c>
      <c r="T49" s="100" t="n">
        <f aca="false">-IF(AND(18&gt;=Hipótesis!$D$53,Hipótesis!$B$53=1),IF(Hipótesis!$G$53=1,Hipótesis!$D$44,Hipótesis!$C$53*(1+Hipótesis!$D$45)^1)*(1+Hipótesis!$D$42),0)</f>
        <v>-0</v>
      </c>
      <c r="U49" s="100" t="n">
        <f aca="false">-IF(AND(19&gt;=Hipótesis!$D$53,Hipótesis!$B$53=1),IF(Hipótesis!$G$53=1,Hipótesis!$D$44,Hipótesis!$C$53*(1+Hipótesis!$D$45)^1)*(1+Hipótesis!$D$42),0)</f>
        <v>-0</v>
      </c>
      <c r="V49" s="100" t="n">
        <f aca="false">-IF(AND(20&gt;=Hipótesis!$D$53,Hipótesis!$B$53=1),IF(Hipótesis!$G$53=1,Hipótesis!$D$44,Hipótesis!$C$53*(1+Hipótesis!$D$45)^1)*(1+Hipótesis!$D$42),0)</f>
        <v>-0</v>
      </c>
      <c r="W49" s="100" t="n">
        <f aca="false">-IF(AND(21&gt;=Hipótesis!$D$53,Hipótesis!$B$53=1),IF(Hipótesis!$G$53=1,Hipótesis!$D$44,Hipótesis!$C$53*(1+Hipótesis!$D$45)^1)*(1+Hipótesis!$D$42),0)</f>
        <v>-0</v>
      </c>
      <c r="X49" s="100" t="n">
        <f aca="false">-IF(AND(22&gt;=Hipótesis!$D$53,Hipótesis!$B$53=1),IF(Hipótesis!$G$53=1,Hipótesis!$D$44,Hipótesis!$C$53*(1+Hipótesis!$D$45)^1)*(1+Hipótesis!$D$42),0)</f>
        <v>-0</v>
      </c>
      <c r="Y49" s="100" t="n">
        <f aca="false">-IF(AND(23&gt;=Hipótesis!$D$53,Hipótesis!$B$53=1),IF(Hipótesis!$G$53=1,Hipótesis!$D$44,Hipótesis!$C$53*(1+Hipótesis!$D$45)^1)*(1+Hipótesis!$D$42),0)</f>
        <v>-0</v>
      </c>
      <c r="Z49" s="100" t="n">
        <f aca="false">-IF(AND(24&gt;=Hipótesis!$D$53,Hipótesis!$B$53=1),IF(Hipótesis!$G$53=1,Hipótesis!$D$44,Hipótesis!$C$53*(1+Hipótesis!$D$45)^1)*(1+Hipótesis!$D$42),0)</f>
        <v>-0</v>
      </c>
      <c r="AA49" s="100" t="n">
        <f aca="false">-IF(AND(25&gt;=Hipótesis!$D$53,Hipótesis!$B$53=1),IF(Hipótesis!$G$53=1,Hipótesis!$E$44,Hipótesis!$C$53*(1+Hipótesis!$D$45)^2)*(1+Hipótesis!$D$42),0)</f>
        <v>-0</v>
      </c>
      <c r="AB49" s="100" t="n">
        <f aca="false">-IF(AND(26&gt;=Hipótesis!$D$53,Hipótesis!$B$53=1),IF(Hipótesis!$G$53=1,Hipótesis!$E$44,Hipótesis!$C$53*(1+Hipótesis!$D$45)^2)*(1+Hipótesis!$D$42),0)</f>
        <v>-0</v>
      </c>
      <c r="AC49" s="100" t="n">
        <f aca="false">-IF(AND(27&gt;=Hipótesis!$D$53,Hipótesis!$B$53=1),IF(Hipótesis!$G$53=1,Hipótesis!$E$44,Hipótesis!$C$53*(1+Hipótesis!$D$45)^2)*(1+Hipótesis!$D$42),0)</f>
        <v>-0</v>
      </c>
      <c r="AD49" s="100" t="n">
        <f aca="false">-IF(AND(28&gt;=Hipótesis!$D$53,Hipótesis!$B$53=1),IF(Hipótesis!$G$53=1,Hipótesis!$E$44,Hipótesis!$C$53*(1+Hipótesis!$D$45)^2)*(1+Hipótesis!$D$42),0)</f>
        <v>-0</v>
      </c>
      <c r="AE49" s="100" t="n">
        <f aca="false">-IF(AND(29&gt;=Hipótesis!$D$53,Hipótesis!$B$53=1),IF(Hipótesis!$G$53=1,Hipótesis!$E$44,Hipótesis!$C$53*(1+Hipótesis!$D$45)^2)*(1+Hipótesis!$D$42),0)</f>
        <v>-0</v>
      </c>
      <c r="AF49" s="100" t="n">
        <f aca="false">-IF(AND(30&gt;=Hipótesis!$D$53,Hipótesis!$B$53=1),IF(Hipótesis!$G$53=1,Hipótesis!$E$44,Hipótesis!$C$53*(1+Hipótesis!$D$45)^2)*(1+Hipótesis!$D$42),0)</f>
        <v>-0</v>
      </c>
      <c r="AG49" s="100" t="n">
        <f aca="false">-IF(AND(31&gt;=Hipótesis!$D$53,Hipótesis!$B$53=1),IF(Hipótesis!$G$53=1,Hipótesis!$E$44,Hipótesis!$C$53*(1+Hipótesis!$D$45)^2)*(1+Hipótesis!$D$42),0)</f>
        <v>-0</v>
      </c>
      <c r="AH49" s="100" t="n">
        <f aca="false">-IF(AND(32&gt;=Hipótesis!$D$53,Hipótesis!$B$53=1),IF(Hipótesis!$G$53=1,Hipótesis!$E$44,Hipótesis!$C$53*(1+Hipótesis!$D$45)^2)*(1+Hipótesis!$D$42),0)</f>
        <v>-0</v>
      </c>
      <c r="AI49" s="100" t="n">
        <f aca="false">-IF(AND(33&gt;=Hipótesis!$D$53,Hipótesis!$B$53=1),IF(Hipótesis!$G$53=1,Hipótesis!$E$44,Hipótesis!$C$53*(1+Hipótesis!$D$45)^2)*(1+Hipótesis!$D$42),0)</f>
        <v>-0</v>
      </c>
      <c r="AJ49" s="100" t="n">
        <f aca="false">-IF(AND(34&gt;=Hipótesis!$D$53,Hipótesis!$B$53=1),IF(Hipótesis!$G$53=1,Hipótesis!$E$44,Hipótesis!$C$53*(1+Hipótesis!$D$45)^2)*(1+Hipótesis!$D$42),0)</f>
        <v>-0</v>
      </c>
      <c r="AK49" s="100" t="n">
        <f aca="false">-IF(AND(35&gt;=Hipótesis!$D$53,Hipótesis!$B$53=1),IF(Hipótesis!$G$53=1,Hipótesis!$E$44,Hipótesis!$C$53*(1+Hipótesis!$D$45)^2)*(1+Hipótesis!$D$42),0)</f>
        <v>-0</v>
      </c>
      <c r="AL49" s="100" t="n">
        <f aca="false">-IF(AND(36&gt;=Hipótesis!$D$53,Hipótesis!$B$53=1),IF(Hipótesis!$G$53=1,Hipótesis!$E$44,Hipótesis!$C$53*(1+Hipótesis!$D$45)^2)*(1+Hipótesis!$D$42),0)</f>
        <v>-0</v>
      </c>
      <c r="AM49" s="100" t="n">
        <f aca="false">-IF(AND(37&gt;=Hipótesis!$D$53,Hipótesis!$B$53=1),IF(Hipótesis!$G$53=1,Hipótesis!$F$44,Hipótesis!$C$53*(1+Hipótesis!$D$45)^3)*(1+Hipótesis!$D$42),0)</f>
        <v>-0</v>
      </c>
      <c r="AN49" s="100" t="n">
        <f aca="false">-IF(AND(38&gt;=Hipótesis!$D$53,Hipótesis!$B$53=1),IF(Hipótesis!$G$53=1,Hipótesis!$F$44,Hipótesis!$C$53*(1+Hipótesis!$D$45)^3)*(1+Hipótesis!$D$42),0)</f>
        <v>-0</v>
      </c>
      <c r="AO49" s="100" t="n">
        <f aca="false">-IF(AND(39&gt;=Hipótesis!$D$53,Hipótesis!$B$53=1),IF(Hipótesis!$G$53=1,Hipótesis!$F$44,Hipótesis!$C$53*(1+Hipótesis!$D$45)^3)*(1+Hipótesis!$D$42),0)</f>
        <v>-0</v>
      </c>
      <c r="AP49" s="100" t="n">
        <f aca="false">-IF(AND(40&gt;=Hipótesis!$D$53,Hipótesis!$B$53=1),IF(Hipótesis!$G$53=1,Hipótesis!$F$44,Hipótesis!$C$53*(1+Hipótesis!$D$45)^3)*(1+Hipótesis!$D$42),0)</f>
        <v>-0</v>
      </c>
      <c r="AQ49" s="100" t="n">
        <f aca="false">-IF(AND(41&gt;=Hipótesis!$D$53,Hipótesis!$B$53=1),IF(Hipótesis!$G$53=1,Hipótesis!$F$44,Hipótesis!$C$53*(1+Hipótesis!$D$45)^3)*(1+Hipótesis!$D$42),0)</f>
        <v>-0</v>
      </c>
      <c r="AR49" s="100" t="n">
        <f aca="false">-IF(AND(42&gt;=Hipótesis!$D$53,Hipótesis!$B$53=1),IF(Hipótesis!$G$53=1,Hipótesis!$F$44,Hipótesis!$C$53*(1+Hipótesis!$D$45)^3)*(1+Hipótesis!$D$42),0)</f>
        <v>-0</v>
      </c>
      <c r="AS49" s="100" t="n">
        <f aca="false">-IF(AND(43&gt;=Hipótesis!$D$53,Hipótesis!$B$53=1),IF(Hipótesis!$G$53=1,Hipótesis!$F$44,Hipótesis!$C$53*(1+Hipótesis!$D$45)^3)*(1+Hipótesis!$D$42),0)</f>
        <v>-0</v>
      </c>
      <c r="AT49" s="100" t="n">
        <f aca="false">-IF(AND(44&gt;=Hipótesis!$D$53,Hipótesis!$B$53=1),IF(Hipótesis!$G$53=1,Hipótesis!$F$44,Hipótesis!$C$53*(1+Hipótesis!$D$45)^3)*(1+Hipótesis!$D$42),0)</f>
        <v>-0</v>
      </c>
      <c r="AU49" s="100" t="n">
        <f aca="false">-IF(AND(45&gt;=Hipótesis!$D$53,Hipótesis!$B$53=1),IF(Hipótesis!$G$53=1,Hipótesis!$F$44,Hipótesis!$C$53*(1+Hipótesis!$D$45)^3)*(1+Hipótesis!$D$42),0)</f>
        <v>-0</v>
      </c>
      <c r="AV49" s="100" t="n">
        <f aca="false">-IF(AND(46&gt;=Hipótesis!$D$53,Hipótesis!$B$53=1),IF(Hipótesis!$G$53=1,Hipótesis!$F$44,Hipótesis!$C$53*(1+Hipótesis!$D$45)^3)*(1+Hipótesis!$D$42),0)</f>
        <v>-0</v>
      </c>
      <c r="AW49" s="100" t="n">
        <f aca="false">-IF(AND(47&gt;=Hipótesis!$D$53,Hipótesis!$B$53=1),IF(Hipótesis!$G$53=1,Hipótesis!$F$44,Hipótesis!$C$53*(1+Hipótesis!$D$45)^3)*(1+Hipótesis!$D$42),0)</f>
        <v>-0</v>
      </c>
      <c r="AX49" s="100" t="n">
        <f aca="false">-IF(AND(48&gt;=Hipótesis!$D$53,Hipótesis!$B$53=1),IF(Hipótesis!$G$53=1,Hipótesis!$F$44,Hipótesis!$C$53*(1+Hipótesis!$D$45)^3)*(1+Hipótesis!$D$42),0)</f>
        <v>-0</v>
      </c>
      <c r="AY49" s="100" t="n">
        <f aca="false">-IF(AND(49&gt;=Hipótesis!$D$53,Hipótesis!$B$53=1),IF(Hipótesis!$G$53=1,Hipótesis!$G$44,Hipótesis!$C$53*(1+Hipótesis!$D$45)^4)*(1+Hipótesis!$D$42),0)</f>
        <v>-0</v>
      </c>
      <c r="AZ49" s="100" t="n">
        <f aca="false">-IF(AND(50&gt;=Hipótesis!$D$53,Hipótesis!$B$53=1),IF(Hipótesis!$G$53=1,Hipótesis!$G$44,Hipótesis!$C$53*(1+Hipótesis!$D$45)^4)*(1+Hipótesis!$D$42),0)</f>
        <v>-0</v>
      </c>
      <c r="BA49" s="100" t="n">
        <f aca="false">-IF(AND(51&gt;=Hipótesis!$D$53,Hipótesis!$B$53=1),IF(Hipótesis!$G$53=1,Hipótesis!$G$44,Hipótesis!$C$53*(1+Hipótesis!$D$45)^4)*(1+Hipótesis!$D$42),0)</f>
        <v>-0</v>
      </c>
      <c r="BB49" s="100" t="n">
        <f aca="false">-IF(AND(52&gt;=Hipótesis!$D$53,Hipótesis!$B$53=1),IF(Hipótesis!$G$53=1,Hipótesis!$G$44,Hipótesis!$C$53*(1+Hipótesis!$D$45)^4)*(1+Hipótesis!$D$42),0)</f>
        <v>-0</v>
      </c>
      <c r="BC49" s="100" t="n">
        <f aca="false">-IF(AND(53&gt;=Hipótesis!$D$53,Hipótesis!$B$53=1),IF(Hipótesis!$G$53=1,Hipótesis!$G$44,Hipótesis!$C$53*(1+Hipótesis!$D$45)^4)*(1+Hipótesis!$D$42),0)</f>
        <v>-0</v>
      </c>
      <c r="BD49" s="100" t="n">
        <f aca="false">-IF(AND(54&gt;=Hipótesis!$D$53,Hipótesis!$B$53=1),IF(Hipótesis!$G$53=1,Hipótesis!$G$44,Hipótesis!$C$53*(1+Hipótesis!$D$45)^4)*(1+Hipótesis!$D$42),0)</f>
        <v>-0</v>
      </c>
      <c r="BE49" s="100" t="n">
        <f aca="false">-IF(AND(55&gt;=Hipótesis!$D$53,Hipótesis!$B$53=1),IF(Hipótesis!$G$53=1,Hipótesis!$G$44,Hipótesis!$C$53*(1+Hipótesis!$D$45)^4)*(1+Hipótesis!$D$42),0)</f>
        <v>-0</v>
      </c>
      <c r="BF49" s="100" t="n">
        <f aca="false">-IF(AND(56&gt;=Hipótesis!$D$53,Hipótesis!$B$53=1),IF(Hipótesis!$G$53=1,Hipótesis!$G$44,Hipótesis!$C$53*(1+Hipótesis!$D$45)^4)*(1+Hipótesis!$D$42),0)</f>
        <v>-0</v>
      </c>
      <c r="BG49" s="100" t="n">
        <f aca="false">-IF(AND(57&gt;=Hipótesis!$D$53,Hipótesis!$B$53=1),IF(Hipótesis!$G$53=1,Hipótesis!$G$44,Hipótesis!$C$53*(1+Hipótesis!$D$45)^4)*(1+Hipótesis!$D$42),0)</f>
        <v>-0</v>
      </c>
      <c r="BH49" s="100" t="n">
        <f aca="false">-IF(AND(58&gt;=Hipótesis!$D$53,Hipótesis!$B$53=1),IF(Hipótesis!$G$53=1,Hipótesis!$G$44,Hipótesis!$C$53*(1+Hipótesis!$D$45)^4)*(1+Hipótesis!$D$42),0)</f>
        <v>-0</v>
      </c>
      <c r="BI49" s="100" t="n">
        <f aca="false">-IF(AND(59&gt;=Hipótesis!$D$53,Hipótesis!$B$53=1),IF(Hipótesis!$G$53=1,Hipótesis!$G$44,Hipótesis!$C$53*(1+Hipótesis!$D$45)^4)*(1+Hipótesis!$D$42),0)</f>
        <v>-0</v>
      </c>
      <c r="BJ49" s="100" t="n">
        <f aca="false">-IF(AND(60&gt;=Hipótesis!$D$53,Hipótesis!$B$53=1),IF(Hipótesis!$G$53=1,Hipótesis!$G$44,Hipótesis!$C$53*(1+Hipótesis!$D$45)^4)*(1+Hipótesis!$D$42),0)</f>
        <v>-0</v>
      </c>
      <c r="BK49" s="100" t="n">
        <f aca="false">-IF(AND(61&gt;=Hipótesis!$D$53,Hipótesis!$B$53=1),IF(Hipótesis!$G$53=1,Hipótesis!$H$44,Hipótesis!$C$53*(1+Hipótesis!$D$45)^5)*(1+Hipótesis!$D$42),0)</f>
        <v>-0</v>
      </c>
      <c r="BL49" s="100" t="n">
        <f aca="false">-IF(AND(62&gt;=Hipótesis!$D$53,Hipótesis!$B$53=1),IF(Hipótesis!$G$53=1,Hipótesis!$H$44,Hipótesis!$C$53*(1+Hipótesis!$D$45)^5)*(1+Hipótesis!$D$42),0)</f>
        <v>-0</v>
      </c>
      <c r="BM49" s="100" t="n">
        <f aca="false">-IF(AND(63&gt;=Hipótesis!$D$53,Hipótesis!$B$53=1),IF(Hipótesis!$G$53=1,Hipótesis!$H$44,Hipótesis!$C$53*(1+Hipótesis!$D$45)^5)*(1+Hipótesis!$D$42),0)</f>
        <v>-0</v>
      </c>
      <c r="BN49" s="100" t="n">
        <f aca="false">-IF(AND(64&gt;=Hipótesis!$D$53,Hipótesis!$B$53=1),IF(Hipótesis!$G$53=1,Hipótesis!$H$44,Hipótesis!$C$53*(1+Hipótesis!$D$45)^5)*(1+Hipótesis!$D$42),0)</f>
        <v>-0</v>
      </c>
      <c r="BO49" s="100" t="n">
        <f aca="false">-IF(AND(65&gt;=Hipótesis!$D$53,Hipótesis!$B$53=1),IF(Hipótesis!$G$53=1,Hipótesis!$H$44,Hipótesis!$C$53*(1+Hipótesis!$D$45)^5)*(1+Hipótesis!$D$42),0)</f>
        <v>-0</v>
      </c>
      <c r="BP49" s="100" t="n">
        <f aca="false">-IF(AND(66&gt;=Hipótesis!$D$53,Hipótesis!$B$53=1),IF(Hipótesis!$G$53=1,Hipótesis!$H$44,Hipótesis!$C$53*(1+Hipótesis!$D$45)^5)*(1+Hipótesis!$D$42),0)</f>
        <v>-0</v>
      </c>
      <c r="BQ49" s="100" t="n">
        <f aca="false">-IF(AND(67&gt;=Hipótesis!$D$53,Hipótesis!$B$53=1),IF(Hipótesis!$G$53=1,Hipótesis!$H$44,Hipótesis!$C$53*(1+Hipótesis!$D$45)^5)*(1+Hipótesis!$D$42),0)</f>
        <v>-0</v>
      </c>
      <c r="BR49" s="100" t="n">
        <f aca="false">-IF(AND(68&gt;=Hipótesis!$D$53,Hipótesis!$B$53=1),IF(Hipótesis!$G$53=1,Hipótesis!$H$44,Hipótesis!$C$53*(1+Hipótesis!$D$45)^5)*(1+Hipótesis!$D$42),0)</f>
        <v>-0</v>
      </c>
      <c r="BS49" s="100" t="n">
        <f aca="false">-IF(AND(69&gt;=Hipótesis!$D$53,Hipótesis!$B$53=1),IF(Hipótesis!$G$53=1,Hipótesis!$H$44,Hipótesis!$C$53*(1+Hipótesis!$D$45)^5)*(1+Hipótesis!$D$42),0)</f>
        <v>-0</v>
      </c>
      <c r="BT49" s="100" t="n">
        <f aca="false">-IF(AND(70&gt;=Hipótesis!$D$53,Hipótesis!$B$53=1),IF(Hipótesis!$G$53=1,Hipótesis!$H$44,Hipótesis!$C$53*(1+Hipótesis!$D$45)^5)*(1+Hipótesis!$D$42),0)</f>
        <v>-0</v>
      </c>
      <c r="BU49" s="100" t="n">
        <f aca="false">-IF(AND(71&gt;=Hipótesis!$D$53,Hipótesis!$B$53=1),IF(Hipótesis!$G$53=1,Hipótesis!$H$44,Hipótesis!$C$53*(1+Hipótesis!$D$45)^5)*(1+Hipótesis!$D$42),0)</f>
        <v>-0</v>
      </c>
      <c r="BV49" s="100" t="n">
        <f aca="false">-IF(AND(72&gt;=Hipótesis!$D$53,Hipótesis!$B$53=1),IF(Hipótesis!$G$53=1,Hipótesis!$H$44,Hipótesis!$C$53*(1+Hipótesis!$D$45)^5)*(1+Hipótesis!$D$42),0)</f>
        <v>-0</v>
      </c>
      <c r="BW49" s="100" t="n">
        <f aca="false">-IF(AND(73&gt;=Hipótesis!$D$53,Hipótesis!$B$53=1),IF(Hipótesis!$G$53=1,Hipótesis!$I$44,Hipótesis!$C$53*(1+Hipótesis!$D$45)^6)*(1+Hipótesis!$D$42),0)</f>
        <v>-0</v>
      </c>
      <c r="BX49" s="100" t="n">
        <f aca="false">-IF(AND(74&gt;=Hipótesis!$D$53,Hipótesis!$B$53=1),IF(Hipótesis!$G$53=1,Hipótesis!$I$44,Hipótesis!$C$53*(1+Hipótesis!$D$45)^6)*(1+Hipótesis!$D$42),0)</f>
        <v>-0</v>
      </c>
      <c r="BY49" s="100" t="n">
        <f aca="false">-IF(AND(75&gt;=Hipótesis!$D$53,Hipótesis!$B$53=1),IF(Hipótesis!$G$53=1,Hipótesis!$I$44,Hipótesis!$C$53*(1+Hipótesis!$D$45)^6)*(1+Hipótesis!$D$42),0)</f>
        <v>-0</v>
      </c>
      <c r="BZ49" s="100" t="n">
        <f aca="false">-IF(AND(76&gt;=Hipótesis!$D$53,Hipótesis!$B$53=1),IF(Hipótesis!$G$53=1,Hipótesis!$I$44,Hipótesis!$C$53*(1+Hipótesis!$D$45)^6)*(1+Hipótesis!$D$42),0)</f>
        <v>-0</v>
      </c>
      <c r="CA49" s="100" t="n">
        <f aca="false">-IF(AND(77&gt;=Hipótesis!$D$53,Hipótesis!$B$53=1),IF(Hipótesis!$G$53=1,Hipótesis!$I$44,Hipótesis!$C$53*(1+Hipótesis!$D$45)^6)*(1+Hipótesis!$D$42),0)</f>
        <v>-0</v>
      </c>
      <c r="CB49" s="100" t="n">
        <f aca="false">-IF(AND(78&gt;=Hipótesis!$D$53,Hipótesis!$B$53=1),IF(Hipótesis!$G$53=1,Hipótesis!$I$44,Hipótesis!$C$53*(1+Hipótesis!$D$45)^6)*(1+Hipótesis!$D$42),0)</f>
        <v>-0</v>
      </c>
      <c r="CC49" s="100" t="n">
        <f aca="false">-IF(AND(79&gt;=Hipótesis!$D$53,Hipótesis!$B$53=1),IF(Hipótesis!$G$53=1,Hipótesis!$I$44,Hipótesis!$C$53*(1+Hipótesis!$D$45)^6)*(1+Hipótesis!$D$42),0)</f>
        <v>-0</v>
      </c>
      <c r="CD49" s="100" t="n">
        <f aca="false">-IF(AND(80&gt;=Hipótesis!$D$53,Hipótesis!$B$53=1),IF(Hipótesis!$G$53=1,Hipótesis!$I$44,Hipótesis!$C$53*(1+Hipótesis!$D$45)^6)*(1+Hipótesis!$D$42),0)</f>
        <v>-0</v>
      </c>
      <c r="CE49" s="100" t="n">
        <f aca="false">-IF(AND(81&gt;=Hipótesis!$D$53,Hipótesis!$B$53=1),IF(Hipótesis!$G$53=1,Hipótesis!$I$44,Hipótesis!$C$53*(1+Hipótesis!$D$45)^6)*(1+Hipótesis!$D$42),0)</f>
        <v>-0</v>
      </c>
      <c r="CF49" s="100" t="n">
        <f aca="false">-IF(AND(82&gt;=Hipótesis!$D$53,Hipótesis!$B$53=1),IF(Hipótesis!$G$53=1,Hipótesis!$I$44,Hipótesis!$C$53*(1+Hipótesis!$D$45)^6)*(1+Hipótesis!$D$42),0)</f>
        <v>-0</v>
      </c>
      <c r="CG49" s="100" t="n">
        <f aca="false">-IF(AND(83&gt;=Hipótesis!$D$53,Hipótesis!$B$53=1),IF(Hipótesis!$G$53=1,Hipótesis!$I$44,Hipótesis!$C$53*(1+Hipótesis!$D$45)^6)*(1+Hipótesis!$D$42),0)</f>
        <v>-0</v>
      </c>
      <c r="CH49" s="100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22" t="s">
        <v>527</v>
      </c>
      <c r="C50" s="100" t="n">
        <f aca="false">-C30*Hipótesis!$D$61*(1+Hipótesis!$D$45)^0*(1+Hipótesis!$D$42)</f>
        <v>-0</v>
      </c>
      <c r="D50" s="100" t="n">
        <f aca="false">-D30*Hipótesis!$D$61*(1+Hipótesis!$D$45)^0*(1+Hipótesis!$D$42)</f>
        <v>-0</v>
      </c>
      <c r="E50" s="100" t="n">
        <f aca="false">-E30*Hipótesis!$D$61*(1+Hipótesis!$D$45)^0*(1+Hipótesis!$D$42)</f>
        <v>-0</v>
      </c>
      <c r="F50" s="100" t="n">
        <f aca="false">-F30*Hipótesis!$D$61*(1+Hipótesis!$D$45)^0*(1+Hipótesis!$D$42)</f>
        <v>-0</v>
      </c>
      <c r="G50" s="100" t="n">
        <f aca="false">-G30*Hipótesis!$D$61*(1+Hipótesis!$D$45)^0*(1+Hipótesis!$D$42)</f>
        <v>-0</v>
      </c>
      <c r="H50" s="100" t="n">
        <f aca="false">-H30*Hipótesis!$D$61*(1+Hipótesis!$D$45)^0*(1+Hipótesis!$D$42)</f>
        <v>-0</v>
      </c>
      <c r="I50" s="100" t="n">
        <f aca="false">-I30*Hipótesis!$D$61*(1+Hipótesis!$D$45)^0*(1+Hipótesis!$D$42)</f>
        <v>-0</v>
      </c>
      <c r="J50" s="100" t="n">
        <f aca="false">-J30*Hipótesis!$D$61*(1+Hipótesis!$D$45)^0*(1+Hipótesis!$D$42)</f>
        <v>-0</v>
      </c>
      <c r="K50" s="100" t="n">
        <f aca="false">-K30*Hipótesis!$D$61*(1+Hipótesis!$D$45)^0*(1+Hipótesis!$D$42)</f>
        <v>-0</v>
      </c>
      <c r="L50" s="100" t="n">
        <f aca="false">-L30*Hipótesis!$D$61*(1+Hipótesis!$D$45)^0*(1+Hipótesis!$D$42)</f>
        <v>-0</v>
      </c>
      <c r="M50" s="100" t="n">
        <f aca="false">-M30*Hipótesis!$D$61*(1+Hipótesis!$D$45)^0*(1+Hipótesis!$D$42)</f>
        <v>-2244</v>
      </c>
      <c r="N50" s="100" t="n">
        <f aca="false">-N30*Hipótesis!$D$61*(1+Hipótesis!$D$45)^0*(1+Hipótesis!$D$42)</f>
        <v>-2244</v>
      </c>
      <c r="O50" s="100" t="n">
        <f aca="false">-O30*Hipótesis!$D$61*(1+Hipótesis!$D$45)^1*(1+Hipótesis!$D$42)</f>
        <v>-2311.32</v>
      </c>
      <c r="P50" s="100" t="n">
        <f aca="false">-P30*Hipótesis!$D$61*(1+Hipótesis!$D$45)^1*(1+Hipótesis!$D$42)</f>
        <v>-2311.32</v>
      </c>
      <c r="Q50" s="100" t="n">
        <f aca="false">-Q30*Hipótesis!$D$61*(1+Hipótesis!$D$45)^1*(1+Hipótesis!$D$42)</f>
        <v>-4622.64</v>
      </c>
      <c r="R50" s="100" t="n">
        <f aca="false">-R30*Hipótesis!$D$61*(1+Hipótesis!$D$45)^1*(1+Hipótesis!$D$42)</f>
        <v>-4622.64</v>
      </c>
      <c r="S50" s="100" t="n">
        <f aca="false">-S30*Hipótesis!$D$61*(1+Hipótesis!$D$45)^1*(1+Hipótesis!$D$42)</f>
        <v>-4622.64</v>
      </c>
      <c r="T50" s="100" t="n">
        <f aca="false">-T30*Hipótesis!$D$61*(1+Hipótesis!$D$45)^1*(1+Hipótesis!$D$42)</f>
        <v>-6933.96</v>
      </c>
      <c r="U50" s="100" t="n">
        <f aca="false">-U30*Hipótesis!$D$61*(1+Hipótesis!$D$45)^1*(1+Hipótesis!$D$42)</f>
        <v>-6933.96</v>
      </c>
      <c r="V50" s="100" t="n">
        <f aca="false">-V30*Hipótesis!$D$61*(1+Hipótesis!$D$45)^1*(1+Hipótesis!$D$42)</f>
        <v>-6933.96</v>
      </c>
      <c r="W50" s="100" t="n">
        <f aca="false">-W30*Hipótesis!$D$61*(1+Hipótesis!$D$45)^1*(1+Hipótesis!$D$42)</f>
        <v>-6933.96</v>
      </c>
      <c r="X50" s="100" t="n">
        <f aca="false">-X30*Hipótesis!$D$61*(1+Hipótesis!$D$45)^1*(1+Hipótesis!$D$42)</f>
        <v>-9245.28</v>
      </c>
      <c r="Y50" s="100" t="n">
        <f aca="false">-Y30*Hipótesis!$D$61*(1+Hipótesis!$D$45)^1*(1+Hipótesis!$D$42)</f>
        <v>-9245.28</v>
      </c>
      <c r="Z50" s="100" t="n">
        <f aca="false">-Z30*Hipótesis!$D$61*(1+Hipótesis!$D$45)^1*(1+Hipótesis!$D$42)</f>
        <v>-9245.28</v>
      </c>
      <c r="AA50" s="100" t="n">
        <f aca="false">-AA30*Hipótesis!$D$61*(1+Hipótesis!$D$45)^2*(1+Hipótesis!$D$42)</f>
        <v>-9522.6384</v>
      </c>
      <c r="AB50" s="100" t="n">
        <f aca="false">-AB30*Hipótesis!$D$61*(1+Hipótesis!$D$45)^2*(1+Hipótesis!$D$42)</f>
        <v>-9522.6384</v>
      </c>
      <c r="AC50" s="100" t="n">
        <f aca="false">-AC30*Hipótesis!$D$61*(1+Hipótesis!$D$45)^2*(1+Hipótesis!$D$42)</f>
        <v>-9522.6384</v>
      </c>
      <c r="AD50" s="100" t="n">
        <f aca="false">-AD30*Hipótesis!$D$61*(1+Hipótesis!$D$45)^2*(1+Hipótesis!$D$42)</f>
        <v>-9522.6384</v>
      </c>
      <c r="AE50" s="100" t="n">
        <f aca="false">-AE30*Hipótesis!$D$61*(1+Hipótesis!$D$45)^2*(1+Hipótesis!$D$42)</f>
        <v>-11903.298</v>
      </c>
      <c r="AF50" s="100" t="n">
        <f aca="false">-AF30*Hipótesis!$D$61*(1+Hipótesis!$D$45)^2*(1+Hipótesis!$D$42)</f>
        <v>-11903.298</v>
      </c>
      <c r="AG50" s="100" t="n">
        <f aca="false">-AG30*Hipótesis!$D$61*(1+Hipótesis!$D$45)^2*(1+Hipótesis!$D$42)</f>
        <v>-11903.298</v>
      </c>
      <c r="AH50" s="100" t="n">
        <f aca="false">-AH30*Hipótesis!$D$61*(1+Hipótesis!$D$45)^2*(1+Hipótesis!$D$42)</f>
        <v>-11903.298</v>
      </c>
      <c r="AI50" s="100" t="n">
        <f aca="false">-AI30*Hipótesis!$D$61*(1+Hipótesis!$D$45)^2*(1+Hipótesis!$D$42)</f>
        <v>-11903.298</v>
      </c>
      <c r="AJ50" s="100" t="n">
        <f aca="false">-AJ30*Hipótesis!$D$61*(1+Hipótesis!$D$45)^2*(1+Hipótesis!$D$42)</f>
        <v>-11903.298</v>
      </c>
      <c r="AK50" s="100" t="n">
        <f aca="false">-AK30*Hipótesis!$D$61*(1+Hipótesis!$D$45)^2*(1+Hipótesis!$D$42)</f>
        <v>-11903.298</v>
      </c>
      <c r="AL50" s="100" t="n">
        <f aca="false">-AL30*Hipótesis!$D$61*(1+Hipótesis!$D$45)^2*(1+Hipótesis!$D$42)</f>
        <v>-11903.298</v>
      </c>
      <c r="AM50" s="100" t="n">
        <f aca="false">-AM30*Hipótesis!$D$61*(1+Hipótesis!$D$45)^3*(1+Hipótesis!$D$42)</f>
        <v>-14712.476328</v>
      </c>
      <c r="AN50" s="100" t="n">
        <f aca="false">-AN30*Hipótesis!$D$61*(1+Hipótesis!$D$45)^3*(1+Hipótesis!$D$42)</f>
        <v>-14712.476328</v>
      </c>
      <c r="AO50" s="100" t="n">
        <f aca="false">-AO30*Hipótesis!$D$61*(1+Hipótesis!$D$45)^3*(1+Hipótesis!$D$42)</f>
        <v>-14712.476328</v>
      </c>
      <c r="AP50" s="100" t="n">
        <f aca="false">-AP30*Hipótesis!$D$61*(1+Hipótesis!$D$45)^3*(1+Hipótesis!$D$42)</f>
        <v>-14712.476328</v>
      </c>
      <c r="AQ50" s="100" t="n">
        <f aca="false">-AQ30*Hipótesis!$D$61*(1+Hipótesis!$D$45)^3*(1+Hipótesis!$D$42)</f>
        <v>-14712.476328</v>
      </c>
      <c r="AR50" s="100" t="n">
        <f aca="false">-AR30*Hipótesis!$D$61*(1+Hipótesis!$D$45)^3*(1+Hipótesis!$D$42)</f>
        <v>-14712.476328</v>
      </c>
      <c r="AS50" s="100" t="n">
        <f aca="false">-AS30*Hipótesis!$D$61*(1+Hipótesis!$D$45)^3*(1+Hipótesis!$D$42)</f>
        <v>-14712.476328</v>
      </c>
      <c r="AT50" s="100" t="n">
        <f aca="false">-AT30*Hipótesis!$D$61*(1+Hipótesis!$D$45)^3*(1+Hipótesis!$D$42)</f>
        <v>-14712.476328</v>
      </c>
      <c r="AU50" s="100" t="n">
        <f aca="false">-AU30*Hipótesis!$D$61*(1+Hipótesis!$D$45)^3*(1+Hipótesis!$D$42)</f>
        <v>-14712.476328</v>
      </c>
      <c r="AV50" s="100" t="n">
        <f aca="false">-AV30*Hipótesis!$D$61*(1+Hipótesis!$D$45)^3*(1+Hipótesis!$D$42)</f>
        <v>-14712.476328</v>
      </c>
      <c r="AW50" s="100" t="n">
        <f aca="false">-AW30*Hipótesis!$D$61*(1+Hipótesis!$D$45)^3*(1+Hipótesis!$D$42)</f>
        <v>-14712.476328</v>
      </c>
      <c r="AX50" s="100" t="n">
        <f aca="false">-AX30*Hipótesis!$D$61*(1+Hipótesis!$D$45)^3*(1+Hipótesis!$D$42)</f>
        <v>-14712.476328</v>
      </c>
      <c r="AY50" s="100" t="n">
        <f aca="false">-AY30*Hipótesis!$D$61*(1+Hipótesis!$D$45)^4*(1+Hipótesis!$D$42)</f>
        <v>-15153.85061784</v>
      </c>
      <c r="AZ50" s="100" t="n">
        <f aca="false">-AZ30*Hipótesis!$D$61*(1+Hipótesis!$D$45)^4*(1+Hipótesis!$D$42)</f>
        <v>-15153.85061784</v>
      </c>
      <c r="BA50" s="100" t="n">
        <f aca="false">-BA30*Hipótesis!$D$61*(1+Hipótesis!$D$45)^4*(1+Hipótesis!$D$42)</f>
        <v>-15153.85061784</v>
      </c>
      <c r="BB50" s="100" t="n">
        <f aca="false">-BB30*Hipótesis!$D$61*(1+Hipótesis!$D$45)^4*(1+Hipótesis!$D$42)</f>
        <v>-15153.85061784</v>
      </c>
      <c r="BC50" s="100" t="n">
        <f aca="false">-BC30*Hipótesis!$D$61*(1+Hipótesis!$D$45)^4*(1+Hipótesis!$D$42)</f>
        <v>-15153.85061784</v>
      </c>
      <c r="BD50" s="100" t="n">
        <f aca="false">-BD30*Hipótesis!$D$61*(1+Hipótesis!$D$45)^4*(1+Hipótesis!$D$42)</f>
        <v>-15153.85061784</v>
      </c>
      <c r="BE50" s="100" t="n">
        <f aca="false">-BE30*Hipótesis!$D$61*(1+Hipótesis!$D$45)^4*(1+Hipótesis!$D$42)</f>
        <v>-15153.85061784</v>
      </c>
      <c r="BF50" s="100" t="n">
        <f aca="false">-BF30*Hipótesis!$D$61*(1+Hipótesis!$D$45)^4*(1+Hipótesis!$D$42)</f>
        <v>-15153.85061784</v>
      </c>
      <c r="BG50" s="100" t="n">
        <f aca="false">-BG30*Hipótesis!$D$61*(1+Hipótesis!$D$45)^4*(1+Hipótesis!$D$42)</f>
        <v>-15153.85061784</v>
      </c>
      <c r="BH50" s="100" t="n">
        <f aca="false">-BH30*Hipótesis!$D$61*(1+Hipótesis!$D$45)^4*(1+Hipótesis!$D$42)</f>
        <v>-15153.85061784</v>
      </c>
      <c r="BI50" s="100" t="n">
        <f aca="false">-BI30*Hipótesis!$D$61*(1+Hipótesis!$D$45)^4*(1+Hipótesis!$D$42)</f>
        <v>-15153.85061784</v>
      </c>
      <c r="BJ50" s="100" t="n">
        <f aca="false">-BJ30*Hipótesis!$D$61*(1+Hipótesis!$D$45)^4*(1+Hipótesis!$D$42)</f>
        <v>-15153.85061784</v>
      </c>
      <c r="BK50" s="100" t="n">
        <f aca="false">-BK30*Hipótesis!$D$61*(1+Hipótesis!$D$45)^5*(1+Hipótesis!$D$42)</f>
        <v>-15608.4661363752</v>
      </c>
      <c r="BL50" s="100" t="n">
        <f aca="false">-BL30*Hipótesis!$D$61*(1+Hipótesis!$D$45)^5*(1+Hipótesis!$D$42)</f>
        <v>-15608.4661363752</v>
      </c>
      <c r="BM50" s="100" t="n">
        <f aca="false">-BM30*Hipótesis!$D$61*(1+Hipótesis!$D$45)^5*(1+Hipótesis!$D$42)</f>
        <v>-15608.4661363752</v>
      </c>
      <c r="BN50" s="100" t="n">
        <f aca="false">-BN30*Hipótesis!$D$61*(1+Hipótesis!$D$45)^5*(1+Hipótesis!$D$42)</f>
        <v>-15608.4661363752</v>
      </c>
      <c r="BO50" s="100" t="n">
        <f aca="false">-BO30*Hipótesis!$D$61*(1+Hipótesis!$D$45)^5*(1+Hipótesis!$D$42)</f>
        <v>-15608.4661363752</v>
      </c>
      <c r="BP50" s="100" t="n">
        <f aca="false">-BP30*Hipótesis!$D$61*(1+Hipótesis!$D$45)^5*(1+Hipótesis!$D$42)</f>
        <v>-15608.4661363752</v>
      </c>
      <c r="BQ50" s="100" t="n">
        <f aca="false">-BQ30*Hipótesis!$D$61*(1+Hipótesis!$D$45)^5*(1+Hipótesis!$D$42)</f>
        <v>-15608.4661363752</v>
      </c>
      <c r="BR50" s="100" t="n">
        <f aca="false">-BR30*Hipótesis!$D$61*(1+Hipótesis!$D$45)^5*(1+Hipótesis!$D$42)</f>
        <v>-15608.4661363752</v>
      </c>
      <c r="BS50" s="100" t="n">
        <f aca="false">-BS30*Hipótesis!$D$61*(1+Hipótesis!$D$45)^5*(1+Hipótesis!$D$42)</f>
        <v>-15608.4661363752</v>
      </c>
      <c r="BT50" s="100" t="n">
        <f aca="false">-BT30*Hipótesis!$D$61*(1+Hipótesis!$D$45)^5*(1+Hipótesis!$D$42)</f>
        <v>-15608.4661363752</v>
      </c>
      <c r="BU50" s="100" t="n">
        <f aca="false">-BU30*Hipótesis!$D$61*(1+Hipótesis!$D$45)^5*(1+Hipótesis!$D$42)</f>
        <v>-15608.4661363752</v>
      </c>
      <c r="BV50" s="100" t="n">
        <f aca="false">-BV30*Hipótesis!$D$61*(1+Hipótesis!$D$45)^5*(1+Hipótesis!$D$42)</f>
        <v>-15608.4661363752</v>
      </c>
      <c r="BW50" s="100" t="n">
        <f aca="false">-BW30*Hipótesis!$D$61*(1+Hipótesis!$D$45)^6*(1+Hipótesis!$D$42)</f>
        <v>-16076.7201204665</v>
      </c>
      <c r="BX50" s="100" t="n">
        <f aca="false">-BX30*Hipótesis!$D$61*(1+Hipótesis!$D$45)^6*(1+Hipótesis!$D$42)</f>
        <v>-16076.7201204665</v>
      </c>
      <c r="BY50" s="100" t="n">
        <f aca="false">-BY30*Hipótesis!$D$61*(1+Hipótesis!$D$45)^6*(1+Hipótesis!$D$42)</f>
        <v>-16076.7201204665</v>
      </c>
      <c r="BZ50" s="100" t="n">
        <f aca="false">-BZ30*Hipótesis!$D$61*(1+Hipótesis!$D$45)^6*(1+Hipótesis!$D$42)</f>
        <v>-16076.7201204665</v>
      </c>
      <c r="CA50" s="100" t="n">
        <f aca="false">-CA30*Hipótesis!$D$61*(1+Hipótesis!$D$45)^6*(1+Hipótesis!$D$42)</f>
        <v>-16076.7201204665</v>
      </c>
      <c r="CB50" s="100" t="n">
        <f aca="false">-CB30*Hipótesis!$D$61*(1+Hipótesis!$D$45)^6*(1+Hipótesis!$D$42)</f>
        <v>-16076.7201204665</v>
      </c>
      <c r="CC50" s="100" t="n">
        <f aca="false">-CC30*Hipótesis!$D$61*(1+Hipótesis!$D$45)^6*(1+Hipótesis!$D$42)</f>
        <v>-16076.7201204665</v>
      </c>
      <c r="CD50" s="100" t="n">
        <f aca="false">-CD30*Hipótesis!$D$61*(1+Hipótesis!$D$45)^6*(1+Hipótesis!$D$42)</f>
        <v>-16076.7201204665</v>
      </c>
      <c r="CE50" s="100" t="n">
        <f aca="false">-CE30*Hipótesis!$D$61*(1+Hipótesis!$D$45)^6*(1+Hipótesis!$D$42)</f>
        <v>-16076.7201204665</v>
      </c>
      <c r="CF50" s="100" t="n">
        <f aca="false">-CF30*Hipótesis!$D$61*(1+Hipótesis!$D$45)^6*(1+Hipótesis!$D$42)</f>
        <v>-16076.7201204665</v>
      </c>
      <c r="CG50" s="100" t="n">
        <f aca="false">-CG30*Hipótesis!$D$61*(1+Hipótesis!$D$45)^6*(1+Hipótesis!$D$42)</f>
        <v>-16076.7201204665</v>
      </c>
      <c r="CH50" s="100" t="n">
        <f aca="false">-CH30*Hipótesis!$D$61*(1+Hipótesis!$D$45)^6*(1+Hipótesis!$D$42)</f>
        <v>-16076.7201204665</v>
      </c>
    </row>
    <row r="51" customFormat="false" ht="13.5" hidden="false" customHeight="true" outlineLevel="0" collapsed="false">
      <c r="A51" s="22" t="s">
        <v>528</v>
      </c>
      <c r="C51" s="100" t="n">
        <f aca="false">SUM(C44:C49)+C50</f>
        <v>-11352</v>
      </c>
      <c r="D51" s="100" t="n">
        <f aca="false">SUM(D44:D49)+D50</f>
        <v>-11352</v>
      </c>
      <c r="E51" s="100" t="n">
        <f aca="false">SUM(E44:E49)+E50</f>
        <v>-11352</v>
      </c>
      <c r="F51" s="100" t="n">
        <f aca="false">SUM(F44:F49)+F50</f>
        <v>-11352</v>
      </c>
      <c r="G51" s="100" t="n">
        <f aca="false">SUM(G44:G49)+G50</f>
        <v>-11352</v>
      </c>
      <c r="H51" s="100" t="n">
        <f aca="false">SUM(H44:H49)+H50</f>
        <v>-11352</v>
      </c>
      <c r="I51" s="100" t="n">
        <f aca="false">SUM(I44:I49)+I50</f>
        <v>-11352</v>
      </c>
      <c r="J51" s="100" t="n">
        <f aca="false">SUM(J44:J49)+J50</f>
        <v>-11352</v>
      </c>
      <c r="K51" s="100" t="n">
        <f aca="false">SUM(K44:K49)+K50</f>
        <v>-11352</v>
      </c>
      <c r="L51" s="100" t="n">
        <f aca="false">SUM(L44:L49)+L50</f>
        <v>-11352</v>
      </c>
      <c r="M51" s="100" t="n">
        <f aca="false">SUM(M44:M49)+M50</f>
        <v>-13596</v>
      </c>
      <c r="N51" s="100" t="n">
        <f aca="false">SUM(N44:N49)+N50</f>
        <v>-13596</v>
      </c>
      <c r="O51" s="100" t="n">
        <f aca="false">SUM(O44:O49)+O50</f>
        <v>-18890.52</v>
      </c>
      <c r="P51" s="100" t="n">
        <f aca="false">SUM(P44:P49)+P50</f>
        <v>-18890.52</v>
      </c>
      <c r="Q51" s="100" t="n">
        <f aca="false">SUM(Q44:Q49)+Q50</f>
        <v>-21201.84</v>
      </c>
      <c r="R51" s="100" t="n">
        <f aca="false">SUM(R44:R49)+R50</f>
        <v>-21201.84</v>
      </c>
      <c r="S51" s="100" t="n">
        <f aca="false">SUM(S44:S49)+S50</f>
        <v>-21201.84</v>
      </c>
      <c r="T51" s="100" t="n">
        <f aca="false">SUM(T44:T49)+T50</f>
        <v>-23513.16</v>
      </c>
      <c r="U51" s="100" t="n">
        <f aca="false">SUM(U44:U49)+U50</f>
        <v>-23513.16</v>
      </c>
      <c r="V51" s="100" t="n">
        <f aca="false">SUM(V44:V49)+V50</f>
        <v>-26232.36</v>
      </c>
      <c r="W51" s="100" t="n">
        <f aca="false">SUM(W44:W49)+W50</f>
        <v>-26232.36</v>
      </c>
      <c r="X51" s="100" t="n">
        <f aca="false">SUM(X44:X49)+X50</f>
        <v>-28543.68</v>
      </c>
      <c r="Y51" s="100" t="n">
        <f aca="false">SUM(Y44:Y49)+Y50</f>
        <v>-28543.68</v>
      </c>
      <c r="Z51" s="100" t="n">
        <f aca="false">SUM(Z44:Z49)+Z50</f>
        <v>-28543.68</v>
      </c>
      <c r="AA51" s="100" t="n">
        <f aca="false">SUM(AA44:AA49)+AA50</f>
        <v>-30964.1904</v>
      </c>
      <c r="AB51" s="100" t="n">
        <f aca="false">SUM(AB44:AB49)+AB50</f>
        <v>-30964.1904</v>
      </c>
      <c r="AC51" s="100" t="n">
        <f aca="false">SUM(AC44:AC49)+AC50</f>
        <v>-30964.1904</v>
      </c>
      <c r="AD51" s="100" t="n">
        <f aca="false">SUM(AD44:AD49)+AD50</f>
        <v>-30964.1904</v>
      </c>
      <c r="AE51" s="100" t="n">
        <f aca="false">SUM(AE44:AE49)+AE50</f>
        <v>-33344.85</v>
      </c>
      <c r="AF51" s="100" t="n">
        <f aca="false">SUM(AF44:AF49)+AF50</f>
        <v>-33344.85</v>
      </c>
      <c r="AG51" s="100" t="n">
        <f aca="false">SUM(AG44:AG49)+AG50</f>
        <v>-33344.85</v>
      </c>
      <c r="AH51" s="100" t="n">
        <f aca="false">SUM(AH44:AH49)+AH50</f>
        <v>-33344.85</v>
      </c>
      <c r="AI51" s="100" t="n">
        <f aca="false">SUM(AI44:AI49)+AI50</f>
        <v>-33344.85</v>
      </c>
      <c r="AJ51" s="100" t="n">
        <f aca="false">SUM(AJ44:AJ49)+AJ50</f>
        <v>-33344.85</v>
      </c>
      <c r="AK51" s="100" t="n">
        <f aca="false">SUM(AK44:AK49)+AK50</f>
        <v>-33344.85</v>
      </c>
      <c r="AL51" s="100" t="n">
        <f aca="false">SUM(AL44:AL49)+AL50</f>
        <v>-33344.85</v>
      </c>
      <c r="AM51" s="100" t="n">
        <f aca="false">SUM(AM44:AM49)+AM50</f>
        <v>-38302.074888</v>
      </c>
      <c r="AN51" s="100" t="n">
        <f aca="false">SUM(AN44:AN49)+AN50</f>
        <v>-38302.074888</v>
      </c>
      <c r="AO51" s="100" t="n">
        <f aca="false">SUM(AO44:AO49)+AO50</f>
        <v>-38302.074888</v>
      </c>
      <c r="AP51" s="100" t="n">
        <f aca="false">SUM(AP44:AP49)+AP50</f>
        <v>-38302.074888</v>
      </c>
      <c r="AQ51" s="100" t="n">
        <f aca="false">SUM(AQ44:AQ49)+AQ50</f>
        <v>-38302.074888</v>
      </c>
      <c r="AR51" s="100" t="n">
        <f aca="false">SUM(AR44:AR49)+AR50</f>
        <v>-38302.074888</v>
      </c>
      <c r="AS51" s="100" t="n">
        <f aca="false">SUM(AS44:AS49)+AS50</f>
        <v>-38302.074888</v>
      </c>
      <c r="AT51" s="100" t="n">
        <f aca="false">SUM(AT44:AT49)+AT50</f>
        <v>-38302.074888</v>
      </c>
      <c r="AU51" s="100" t="n">
        <f aca="false">SUM(AU44:AU49)+AU50</f>
        <v>-38302.074888</v>
      </c>
      <c r="AV51" s="100" t="n">
        <f aca="false">SUM(AV44:AV49)+AV50</f>
        <v>-38302.074888</v>
      </c>
      <c r="AW51" s="100" t="n">
        <f aca="false">SUM(AW44:AW49)+AW50</f>
        <v>-38302.074888</v>
      </c>
      <c r="AX51" s="100" t="n">
        <f aca="false">SUM(AX44:AX49)+AX50</f>
        <v>-38302.074888</v>
      </c>
      <c r="AY51" s="100" t="n">
        <f aca="false">SUM(AY44:AY49)+AY50</f>
        <v>-40896.53713464</v>
      </c>
      <c r="AZ51" s="100" t="n">
        <f aca="false">SUM(AZ44:AZ49)+AZ50</f>
        <v>-40896.53713464</v>
      </c>
      <c r="BA51" s="100" t="n">
        <f aca="false">SUM(BA44:BA49)+BA50</f>
        <v>-40896.53713464</v>
      </c>
      <c r="BB51" s="100" t="n">
        <f aca="false">SUM(BB44:BB49)+BB50</f>
        <v>-40896.53713464</v>
      </c>
      <c r="BC51" s="100" t="n">
        <f aca="false">SUM(BC44:BC49)+BC50</f>
        <v>-40896.53713464</v>
      </c>
      <c r="BD51" s="100" t="n">
        <f aca="false">SUM(BD44:BD49)+BD50</f>
        <v>-40896.53713464</v>
      </c>
      <c r="BE51" s="100" t="n">
        <f aca="false">SUM(BE44:BE49)+BE50</f>
        <v>-40896.53713464</v>
      </c>
      <c r="BF51" s="100" t="n">
        <f aca="false">SUM(BF44:BF49)+BF50</f>
        <v>-40896.53713464</v>
      </c>
      <c r="BG51" s="100" t="n">
        <f aca="false">SUM(BG44:BG49)+BG50</f>
        <v>-40896.53713464</v>
      </c>
      <c r="BH51" s="100" t="n">
        <f aca="false">SUM(BH44:BH49)+BH50</f>
        <v>-40896.53713464</v>
      </c>
      <c r="BI51" s="100" t="n">
        <f aca="false">SUM(BI44:BI49)+BI50</f>
        <v>-40896.53713464</v>
      </c>
      <c r="BJ51" s="100" t="n">
        <f aca="false">SUM(BJ44:BJ49)+BJ50</f>
        <v>-40896.53713464</v>
      </c>
      <c r="BK51" s="100" t="n">
        <f aca="false">SUM(BK44:BK49)+BK50</f>
        <v>-43509.4332486792</v>
      </c>
      <c r="BL51" s="100" t="n">
        <f aca="false">SUM(BL44:BL49)+BL50</f>
        <v>-43509.4332486792</v>
      </c>
      <c r="BM51" s="100" t="n">
        <f aca="false">SUM(BM44:BM49)+BM50</f>
        <v>-43509.4332486792</v>
      </c>
      <c r="BN51" s="100" t="n">
        <f aca="false">SUM(BN44:BN49)+BN50</f>
        <v>-43509.4332486792</v>
      </c>
      <c r="BO51" s="100" t="n">
        <f aca="false">SUM(BO44:BO49)+BO50</f>
        <v>-43509.4332486792</v>
      </c>
      <c r="BP51" s="100" t="n">
        <f aca="false">SUM(BP44:BP49)+BP50</f>
        <v>-43509.4332486792</v>
      </c>
      <c r="BQ51" s="100" t="n">
        <f aca="false">SUM(BQ44:BQ49)+BQ50</f>
        <v>-43509.4332486792</v>
      </c>
      <c r="BR51" s="100" t="n">
        <f aca="false">SUM(BR44:BR49)+BR50</f>
        <v>-43509.4332486792</v>
      </c>
      <c r="BS51" s="100" t="n">
        <f aca="false">SUM(BS44:BS49)+BS50</f>
        <v>-43509.4332486792</v>
      </c>
      <c r="BT51" s="100" t="n">
        <f aca="false">SUM(BT44:BT49)+BT50</f>
        <v>-43509.4332486792</v>
      </c>
      <c r="BU51" s="100" t="n">
        <f aca="false">SUM(BU44:BU49)+BU50</f>
        <v>-43509.4332486792</v>
      </c>
      <c r="BV51" s="100" t="n">
        <f aca="false">SUM(BV44:BV49)+BV50</f>
        <v>-43509.4332486792</v>
      </c>
      <c r="BW51" s="100" t="n">
        <f aca="false">SUM(BW44:BW49)+BW50</f>
        <v>-46141.3162461396</v>
      </c>
      <c r="BX51" s="100" t="n">
        <f aca="false">SUM(BX44:BX49)+BX50</f>
        <v>-46141.3162461396</v>
      </c>
      <c r="BY51" s="100" t="n">
        <f aca="false">SUM(BY44:BY49)+BY50</f>
        <v>-46141.3162461396</v>
      </c>
      <c r="BZ51" s="100" t="n">
        <f aca="false">SUM(BZ44:BZ49)+BZ50</f>
        <v>-46141.3162461396</v>
      </c>
      <c r="CA51" s="100" t="n">
        <f aca="false">SUM(CA44:CA49)+CA50</f>
        <v>-46141.3162461396</v>
      </c>
      <c r="CB51" s="100" t="n">
        <f aca="false">SUM(CB44:CB49)+CB50</f>
        <v>-46141.3162461396</v>
      </c>
      <c r="CC51" s="100" t="n">
        <f aca="false">SUM(CC44:CC49)+CC50</f>
        <v>-46141.3162461396</v>
      </c>
      <c r="CD51" s="100" t="n">
        <f aca="false">SUM(CD44:CD49)+CD50</f>
        <v>-46141.3162461396</v>
      </c>
      <c r="CE51" s="100" t="n">
        <f aca="false">SUM(CE44:CE49)+CE50</f>
        <v>-46141.3162461396</v>
      </c>
      <c r="CF51" s="100" t="n">
        <f aca="false">SUM(CF44:CF49)+CF50</f>
        <v>-46141.3162461396</v>
      </c>
      <c r="CG51" s="100" t="n">
        <f aca="false">SUM(CG44:CG49)+CG50</f>
        <v>-46141.3162461396</v>
      </c>
      <c r="CH51" s="100" t="n">
        <f aca="false">SUM(CH44:CH49)+CH50</f>
        <v>-46141.3162461396</v>
      </c>
    </row>
    <row r="52" customFormat="false" ht="13.5" hidden="false" customHeight="true" outlineLevel="0" collapsed="false">
      <c r="A52" s="6" t="s">
        <v>529</v>
      </c>
      <c r="C52" s="100" t="n">
        <f aca="false">-(C26*(1-Logistica!$B$5)*Logistica!$B$7+C26*Logistica!$B$5*Logistica!$B$39)</f>
        <v>-4.78047324930469</v>
      </c>
      <c r="D52" s="100" t="n">
        <f aca="false">-(D26*(1-Logistica!$B$5)*Logistica!$B$7+D26*Logistica!$B$5*Logistica!$B$39)</f>
        <v>-10.5673619195156</v>
      </c>
      <c r="E52" s="100" t="n">
        <f aca="false">-(E26*(1-Logistica!$B$5)*Logistica!$B$7+E26*Logistica!$B$5*Logistica!$B$39)</f>
        <v>-29.1860472062813</v>
      </c>
      <c r="F52" s="100" t="n">
        <f aca="false">-(F26*(1-Logistica!$B$5)*Logistica!$B$7+F26*Logistica!$B$5*Logistica!$B$39)</f>
        <v>-43.0242592437422</v>
      </c>
      <c r="G52" s="100" t="n">
        <f aca="false">-(G26*(1-Logistica!$B$5)*Logistica!$B$7+G26*Logistica!$B$5*Logistica!$B$39)</f>
        <v>-55.8560558602969</v>
      </c>
      <c r="H52" s="100" t="n">
        <f aca="false">-(H26*(1-Logistica!$B$5)*Logistica!$B$7+H26*Logistica!$B$5*Logistica!$B$39)</f>
        <v>-80.2196958414023</v>
      </c>
      <c r="I52" s="100" t="n">
        <f aca="false">-(I26*(1-Logistica!$B$5)*Logistica!$B$7+I26*Logistica!$B$5*Logistica!$B$39)</f>
        <v>-122.104799431802</v>
      </c>
      <c r="J52" s="100" t="n">
        <f aca="false">-(J26*(1-Logistica!$B$5)*Logistica!$B$7+J26*Logistica!$B$5*Logistica!$B$39)</f>
        <v>-163.989903022201</v>
      </c>
      <c r="K52" s="100" t="n">
        <f aca="false">-(K26*(1-Logistica!$B$5)*Logistica!$B$7+K26*Logistica!$B$5*Logistica!$B$39)</f>
        <v>-205.875006612601</v>
      </c>
      <c r="L52" s="100" t="n">
        <f aca="false">-(L26*(1-Logistica!$B$5)*Logistica!$B$7+L26*Logistica!$B$5*Logistica!$B$39)</f>
        <v>-247.760110203</v>
      </c>
      <c r="M52" s="100" t="n">
        <f aca="false">-(M26*(1-Logistica!$B$5)*Logistica!$B$7+M26*Logistica!$B$5*Logistica!$B$39)</f>
        <v>-276.813417176845</v>
      </c>
      <c r="N52" s="100" t="n">
        <f aca="false">-(N26*(1-Logistica!$B$5)*Logistica!$B$7+N26*Logistica!$B$5*Logistica!$B$39)</f>
        <v>-322.640314499127</v>
      </c>
      <c r="O52" s="100" t="n">
        <f aca="false">-(O26*(1-Logistica!$B$5)*Logistica!$B$7+O26*Logistica!$B$5*Logistica!$B$39)</f>
        <v>-368.467211821409</v>
      </c>
      <c r="P52" s="100" t="n">
        <f aca="false">-(P26*(1-Logistica!$B$5)*Logistica!$B$7+P26*Logistica!$B$5*Logistica!$B$39)</f>
        <v>-409.471701918516</v>
      </c>
      <c r="Q52" s="100" t="n">
        <f aca="false">-(Q26*(1-Logistica!$B$5)*Logistica!$B$7+Q26*Logistica!$B$5*Logistica!$B$39)</f>
        <v>-450.476192015622</v>
      </c>
      <c r="R52" s="100" t="n">
        <f aca="false">-(R26*(1-Logistica!$B$5)*Logistica!$B$7+R26*Logistica!$B$5*Logistica!$B$39)</f>
        <v>-491.480682112729</v>
      </c>
      <c r="S52" s="100" t="n">
        <f aca="false">-(S26*(1-Logistica!$B$5)*Logistica!$B$7+S26*Logistica!$B$5*Logistica!$B$39)</f>
        <v>-532.485172209835</v>
      </c>
      <c r="T52" s="100" t="n">
        <f aca="false">-(T26*(1-Logistica!$B$5)*Logistica!$B$7+T26*Logistica!$B$5*Logistica!$B$39)</f>
        <v>-573.489662306941</v>
      </c>
      <c r="U52" s="100" t="n">
        <f aca="false">-(U26*(1-Logistica!$B$5)*Logistica!$B$7+U26*Logistica!$B$5*Logistica!$B$39)</f>
        <v>-614.494152404048</v>
      </c>
      <c r="V52" s="100" t="n">
        <f aca="false">-(V26*(1-Logistica!$B$5)*Logistica!$B$7+V26*Logistica!$B$5*Logistica!$B$39)</f>
        <v>-655.498642501154</v>
      </c>
      <c r="W52" s="100" t="n">
        <f aca="false">-(W26*(1-Logistica!$B$5)*Logistica!$B$7+W26*Logistica!$B$5*Logistica!$B$39)</f>
        <v>-696.503132598261</v>
      </c>
      <c r="X52" s="100" t="n">
        <f aca="false">-(X26*(1-Logistica!$B$5)*Logistica!$B$7+X26*Logistica!$B$5*Logistica!$B$39)</f>
        <v>-720.734032346929</v>
      </c>
      <c r="Y52" s="100" t="n">
        <f aca="false">-(Y26*(1-Logistica!$B$5)*Logistica!$B$7+Y26*Logistica!$B$5*Logistica!$B$39)</f>
        <v>-744.964932095598</v>
      </c>
      <c r="Z52" s="100" t="n">
        <f aca="false">-(Z26*(1-Logistica!$B$5)*Logistica!$B$7+Z26*Logistica!$B$5*Logistica!$B$39)</f>
        <v>-762.486395704892</v>
      </c>
      <c r="AA52" s="100" t="n">
        <f aca="false">-(AA26*(1-Logistica!$B$5)*Logistica!$B$7+AA26*Logistica!$B$5*Logistica!$B$39)</f>
        <v>-780.007859314187</v>
      </c>
      <c r="AB52" s="100" t="n">
        <f aca="false">-(AB26*(1-Logistica!$B$5)*Logistica!$B$7+AB26*Logistica!$B$5*Logistica!$B$39)</f>
        <v>-797.52932292348</v>
      </c>
      <c r="AC52" s="100" t="n">
        <f aca="false">-(AC26*(1-Logistica!$B$5)*Logistica!$B$7+AC26*Logistica!$B$5*Logistica!$B$39)</f>
        <v>-815.050786532774</v>
      </c>
      <c r="AD52" s="100" t="n">
        <f aca="false">-(AD26*(1-Logistica!$B$5)*Logistica!$B$7+AD26*Logistica!$B$5*Logistica!$B$39)</f>
        <v>-832.572250142068</v>
      </c>
      <c r="AE52" s="100" t="n">
        <f aca="false">-(AE26*(1-Logistica!$B$5)*Logistica!$B$7+AE26*Logistica!$B$5*Logistica!$B$39)</f>
        <v>-850.093713751362</v>
      </c>
      <c r="AF52" s="100" t="n">
        <f aca="false">-(AF26*(1-Logistica!$B$5)*Logistica!$B$7+AF26*Logistica!$B$5*Logistica!$B$39)</f>
        <v>-867.615177360656</v>
      </c>
      <c r="AG52" s="100" t="n">
        <f aca="false">-(AG26*(1-Logistica!$B$5)*Logistica!$B$7+AG26*Logistica!$B$5*Logistica!$B$39)</f>
        <v>-885.13664096995</v>
      </c>
      <c r="AH52" s="100" t="n">
        <f aca="false">-(AH26*(1-Logistica!$B$5)*Logistica!$B$7+AH26*Logistica!$B$5*Logistica!$B$39)</f>
        <v>-902.658104579244</v>
      </c>
      <c r="AI52" s="100" t="n">
        <f aca="false">-(AI26*(1-Logistica!$B$5)*Logistica!$B$7+AI26*Logistica!$B$5*Logistica!$B$39)</f>
        <v>-920.179568188538</v>
      </c>
      <c r="AJ52" s="100" t="n">
        <f aca="false">-(AJ26*(1-Logistica!$B$5)*Logistica!$B$7+AJ26*Logistica!$B$5*Logistica!$B$39)</f>
        <v>-937.701031797832</v>
      </c>
      <c r="AK52" s="100" t="n">
        <f aca="false">-(AK26*(1-Logistica!$B$5)*Logistica!$B$7+AK26*Logistica!$B$5*Logistica!$B$39)</f>
        <v>-955.222495407126</v>
      </c>
      <c r="AL52" s="100" t="n">
        <f aca="false">-(AL26*(1-Logistica!$B$5)*Logistica!$B$7+AL26*Logistica!$B$5*Logistica!$B$39)</f>
        <v>-972.74395901642</v>
      </c>
      <c r="AM52" s="100" t="n">
        <f aca="false">-(AM26*(1-Logistica!$B$5)*Logistica!$B$7+AM26*Logistica!$B$5*Logistica!$B$39)</f>
        <v>-990.265422625714</v>
      </c>
      <c r="AN52" s="100" t="n">
        <f aca="false">-(AN26*(1-Logistica!$B$5)*Logistica!$B$7+AN26*Logistica!$B$5*Logistica!$B$39)</f>
        <v>-1007.78688623501</v>
      </c>
      <c r="AO52" s="100" t="n">
        <f aca="false">-(AO26*(1-Logistica!$B$5)*Logistica!$B$7+AO26*Logistica!$B$5*Logistica!$B$39)</f>
        <v>-1025.3083498443</v>
      </c>
      <c r="AP52" s="100" t="n">
        <f aca="false">-(AP26*(1-Logistica!$B$5)*Logistica!$B$7+AP26*Logistica!$B$5*Logistica!$B$39)</f>
        <v>-1042.8298134536</v>
      </c>
      <c r="AQ52" s="100" t="n">
        <f aca="false">-(AQ26*(1-Logistica!$B$5)*Logistica!$B$7+AQ26*Logistica!$B$5*Logistica!$B$39)</f>
        <v>-1060.35127706289</v>
      </c>
      <c r="AR52" s="100" t="n">
        <f aca="false">-(AR26*(1-Logistica!$B$5)*Logistica!$B$7+AR26*Logistica!$B$5*Logistica!$B$39)</f>
        <v>-1077.87274067218</v>
      </c>
      <c r="AS52" s="100" t="n">
        <f aca="false">-(AS26*(1-Logistica!$B$5)*Logistica!$B$7+AS26*Logistica!$B$5*Logistica!$B$39)</f>
        <v>-1077.87274067218</v>
      </c>
      <c r="AT52" s="100" t="n">
        <f aca="false">-(AT26*(1-Logistica!$B$5)*Logistica!$B$7+AT26*Logistica!$B$5*Logistica!$B$39)</f>
        <v>-1077.87274067218</v>
      </c>
      <c r="AU52" s="100" t="n">
        <f aca="false">-(AU26*(1-Logistica!$B$5)*Logistica!$B$7+AU26*Logistica!$B$5*Logistica!$B$39)</f>
        <v>-1077.87274067218</v>
      </c>
      <c r="AV52" s="100" t="n">
        <f aca="false">-(AV26*(1-Logistica!$B$5)*Logistica!$B$7+AV26*Logistica!$B$5*Logistica!$B$39)</f>
        <v>-1077.87274067218</v>
      </c>
      <c r="AW52" s="100" t="n">
        <f aca="false">-(AW26*(1-Logistica!$B$5)*Logistica!$B$7+AW26*Logistica!$B$5*Logistica!$B$39)</f>
        <v>-1077.87274067218</v>
      </c>
      <c r="AX52" s="100" t="n">
        <f aca="false">-(AX26*(1-Logistica!$B$5)*Logistica!$B$7+AX26*Logistica!$B$5*Logistica!$B$39)</f>
        <v>-1077.87274067218</v>
      </c>
      <c r="AY52" s="100" t="n">
        <f aca="false">-(AY26*(1-Logistica!$B$5)*Logistica!$B$7+AY26*Logistica!$B$5*Logistica!$B$39)</f>
        <v>-1077.87274067218</v>
      </c>
      <c r="AZ52" s="100" t="n">
        <f aca="false">-(AZ26*(1-Logistica!$B$5)*Logistica!$B$7+AZ26*Logistica!$B$5*Logistica!$B$39)</f>
        <v>-1077.87274067218</v>
      </c>
      <c r="BA52" s="100" t="n">
        <f aca="false">-(BA26*(1-Logistica!$B$5)*Logistica!$B$7+BA26*Logistica!$B$5*Logistica!$B$39)</f>
        <v>-1077.87274067218</v>
      </c>
      <c r="BB52" s="100" t="n">
        <f aca="false">-(BB26*(1-Logistica!$B$5)*Logistica!$B$7+BB26*Logistica!$B$5*Logistica!$B$39)</f>
        <v>-1077.87274067218</v>
      </c>
      <c r="BC52" s="100" t="n">
        <f aca="false">-(BC26*(1-Logistica!$B$5)*Logistica!$B$7+BC26*Logistica!$B$5*Logistica!$B$39)</f>
        <v>-1077.87274067218</v>
      </c>
      <c r="BD52" s="100" t="n">
        <f aca="false">-(BD26*(1-Logistica!$B$5)*Logistica!$B$7+BD26*Logistica!$B$5*Logistica!$B$39)</f>
        <v>-1077.87274067218</v>
      </c>
      <c r="BE52" s="100" t="n">
        <f aca="false">-(BE26*(1-Logistica!$B$5)*Logistica!$B$7+BE26*Logistica!$B$5*Logistica!$B$39)</f>
        <v>-1077.87274067218</v>
      </c>
      <c r="BF52" s="100" t="n">
        <f aca="false">-(BF26*(1-Logistica!$B$5)*Logistica!$B$7+BF26*Logistica!$B$5*Logistica!$B$39)</f>
        <v>-1077.87274067218</v>
      </c>
      <c r="BG52" s="100" t="n">
        <f aca="false">-(BG26*(1-Logistica!$B$5)*Logistica!$B$7+BG26*Logistica!$B$5*Logistica!$B$39)</f>
        <v>-1077.87274067218</v>
      </c>
      <c r="BH52" s="100" t="n">
        <f aca="false">-(BH26*(1-Logistica!$B$5)*Logistica!$B$7+BH26*Logistica!$B$5*Logistica!$B$39)</f>
        <v>-1077.87274067218</v>
      </c>
      <c r="BI52" s="100" t="n">
        <f aca="false">-(BI26*(1-Logistica!$B$5)*Logistica!$B$7+BI26*Logistica!$B$5*Logistica!$B$39)</f>
        <v>-1077.87274067218</v>
      </c>
      <c r="BJ52" s="100" t="n">
        <f aca="false">-(BJ26*(1-Logistica!$B$5)*Logistica!$B$7+BJ26*Logistica!$B$5*Logistica!$B$39)</f>
        <v>-1077.87274067218</v>
      </c>
      <c r="BK52" s="100" t="n">
        <f aca="false">-(BK26*(1-Logistica!$B$5)*Logistica!$B$7+BK26*Logistica!$B$5*Logistica!$B$39)</f>
        <v>-1077.87274067218</v>
      </c>
      <c r="BL52" s="100" t="n">
        <f aca="false">-(BL26*(1-Logistica!$B$5)*Logistica!$B$7+BL26*Logistica!$B$5*Logistica!$B$39)</f>
        <v>-1077.87274067218</v>
      </c>
      <c r="BM52" s="100" t="n">
        <f aca="false">-(BM26*(1-Logistica!$B$5)*Logistica!$B$7+BM26*Logistica!$B$5*Logistica!$B$39)</f>
        <v>-1077.87274067218</v>
      </c>
      <c r="BN52" s="100" t="n">
        <f aca="false">-(BN26*(1-Logistica!$B$5)*Logistica!$B$7+BN26*Logistica!$B$5*Logistica!$B$39)</f>
        <v>-1077.87274067218</v>
      </c>
      <c r="BO52" s="100" t="n">
        <f aca="false">-(BO26*(1-Logistica!$B$5)*Logistica!$B$7+BO26*Logistica!$B$5*Logistica!$B$39)</f>
        <v>-1077.87274067218</v>
      </c>
      <c r="BP52" s="100" t="n">
        <f aca="false">-(BP26*(1-Logistica!$B$5)*Logistica!$B$7+BP26*Logistica!$B$5*Logistica!$B$39)</f>
        <v>-1077.87274067218</v>
      </c>
      <c r="BQ52" s="100" t="n">
        <f aca="false">-(BQ26*(1-Logistica!$B$5)*Logistica!$B$7+BQ26*Logistica!$B$5*Logistica!$B$39)</f>
        <v>-1077.87274067218</v>
      </c>
      <c r="BR52" s="100" t="n">
        <f aca="false">-(BR26*(1-Logistica!$B$5)*Logistica!$B$7+BR26*Logistica!$B$5*Logistica!$B$39)</f>
        <v>-1077.87274067218</v>
      </c>
      <c r="BS52" s="100" t="n">
        <f aca="false">-(BS26*(1-Logistica!$B$5)*Logistica!$B$7+BS26*Logistica!$B$5*Logistica!$B$39)</f>
        <v>-1077.87274067218</v>
      </c>
      <c r="BT52" s="100" t="n">
        <f aca="false">-(BT26*(1-Logistica!$B$5)*Logistica!$B$7+BT26*Logistica!$B$5*Logistica!$B$39)</f>
        <v>-1077.87274067218</v>
      </c>
      <c r="BU52" s="100" t="n">
        <f aca="false">-(BU26*(1-Logistica!$B$5)*Logistica!$B$7+BU26*Logistica!$B$5*Logistica!$B$39)</f>
        <v>-1077.87274067218</v>
      </c>
      <c r="BV52" s="100" t="n">
        <f aca="false">-(BV26*(1-Logistica!$B$5)*Logistica!$B$7+BV26*Logistica!$B$5*Logistica!$B$39)</f>
        <v>-1077.87274067218</v>
      </c>
      <c r="BW52" s="100" t="n">
        <f aca="false">-(BW26*(1-Logistica!$B$5)*Logistica!$B$7+BW26*Logistica!$B$5*Logistica!$B$39)</f>
        <v>-1077.87274067218</v>
      </c>
      <c r="BX52" s="100" t="n">
        <f aca="false">-(BX26*(1-Logistica!$B$5)*Logistica!$B$7+BX26*Logistica!$B$5*Logistica!$B$39)</f>
        <v>-1077.87274067218</v>
      </c>
      <c r="BY52" s="100" t="n">
        <f aca="false">-(BY26*(1-Logistica!$B$5)*Logistica!$B$7+BY26*Logistica!$B$5*Logistica!$B$39)</f>
        <v>-1077.87274067218</v>
      </c>
      <c r="BZ52" s="100" t="n">
        <f aca="false">-(BZ26*(1-Logistica!$B$5)*Logistica!$B$7+BZ26*Logistica!$B$5*Logistica!$B$39)</f>
        <v>-1077.87274067218</v>
      </c>
      <c r="CA52" s="100" t="n">
        <f aca="false">-(CA26*(1-Logistica!$B$5)*Logistica!$B$7+CA26*Logistica!$B$5*Logistica!$B$39)</f>
        <v>-1077.87274067218</v>
      </c>
      <c r="CB52" s="100" t="n">
        <f aca="false">-(CB26*(1-Logistica!$B$5)*Logistica!$B$7+CB26*Logistica!$B$5*Logistica!$B$39)</f>
        <v>-1077.87274067218</v>
      </c>
      <c r="CC52" s="100" t="n">
        <f aca="false">-(CC26*(1-Logistica!$B$5)*Logistica!$B$7+CC26*Logistica!$B$5*Logistica!$B$39)</f>
        <v>-1077.87274067218</v>
      </c>
      <c r="CD52" s="100" t="n">
        <f aca="false">-(CD26*(1-Logistica!$B$5)*Logistica!$B$7+CD26*Logistica!$B$5*Logistica!$B$39)</f>
        <v>-1077.87274067218</v>
      </c>
      <c r="CE52" s="100" t="n">
        <f aca="false">-(CE26*(1-Logistica!$B$5)*Logistica!$B$7+CE26*Logistica!$B$5*Logistica!$B$39)</f>
        <v>-1077.87274067218</v>
      </c>
      <c r="CF52" s="100" t="n">
        <f aca="false">-(CF26*(1-Logistica!$B$5)*Logistica!$B$7+CF26*Logistica!$B$5*Logistica!$B$39)</f>
        <v>-1077.87274067218</v>
      </c>
      <c r="CG52" s="100" t="n">
        <f aca="false">-(CG26*(1-Logistica!$B$5)*Logistica!$B$7+CG26*Logistica!$B$5*Logistica!$B$39)</f>
        <v>-1077.87274067218</v>
      </c>
      <c r="CH52" s="100" t="n">
        <f aca="false">-(CH26*(1-Logistica!$B$5)*Logistica!$B$7+CH26*Logistica!$B$5*Logistica!$B$39)</f>
        <v>-1077.87274067218</v>
      </c>
    </row>
    <row r="53" customFormat="false" ht="13.5" hidden="false" customHeight="true" outlineLevel="0" collapsed="false">
      <c r="A53" s="6" t="s">
        <v>530</v>
      </c>
      <c r="C53" s="100" t="n">
        <f aca="false">-Hipótesis!$C$39</f>
        <v>-700</v>
      </c>
      <c r="D53" s="100" t="n">
        <f aca="false">-Hipótesis!$C$39</f>
        <v>-700</v>
      </c>
      <c r="E53" s="100" t="n">
        <f aca="false">-Hipótesis!$C$39</f>
        <v>-700</v>
      </c>
      <c r="F53" s="100" t="n">
        <f aca="false">-Hipótesis!$C$39</f>
        <v>-700</v>
      </c>
      <c r="G53" s="100" t="n">
        <f aca="false">-Hipótesis!$C$39</f>
        <v>-700</v>
      </c>
      <c r="H53" s="100" t="n">
        <f aca="false">-Hipótesis!$C$39</f>
        <v>-700</v>
      </c>
      <c r="I53" s="100" t="n">
        <f aca="false">-Hipótesis!$C$39</f>
        <v>-700</v>
      </c>
      <c r="J53" s="100" t="n">
        <f aca="false">-Hipótesis!$C$39</f>
        <v>-700</v>
      </c>
      <c r="K53" s="100" t="n">
        <f aca="false">-Hipótesis!$C$39</f>
        <v>-700</v>
      </c>
      <c r="L53" s="100" t="n">
        <f aca="false">-Hipótesis!$C$39</f>
        <v>-700</v>
      </c>
      <c r="M53" s="100" t="n">
        <f aca="false">-Hipótesis!$C$39</f>
        <v>-700</v>
      </c>
      <c r="N53" s="100" t="n">
        <f aca="false">-Hipótesis!$C$39</f>
        <v>-700</v>
      </c>
      <c r="O53" s="100" t="n">
        <f aca="false">-Hipótesis!$C$39</f>
        <v>-700</v>
      </c>
      <c r="P53" s="100" t="n">
        <f aca="false">-Hipótesis!$C$39</f>
        <v>-700</v>
      </c>
      <c r="Q53" s="100" t="n">
        <f aca="false">-Hipótesis!$C$39</f>
        <v>-700</v>
      </c>
      <c r="R53" s="100" t="n">
        <f aca="false">-Hipótesis!$C$39</f>
        <v>-700</v>
      </c>
      <c r="S53" s="100" t="n">
        <f aca="false">-Hipótesis!$C$39</f>
        <v>-700</v>
      </c>
      <c r="T53" s="100" t="n">
        <f aca="false">-Hipótesis!$C$39</f>
        <v>-700</v>
      </c>
      <c r="U53" s="100" t="n">
        <f aca="false">-Hipótesis!$C$39</f>
        <v>-700</v>
      </c>
      <c r="V53" s="100" t="n">
        <f aca="false">-Hipótesis!$C$39</f>
        <v>-700</v>
      </c>
      <c r="W53" s="100" t="n">
        <f aca="false">-Hipótesis!$C$39</f>
        <v>-700</v>
      </c>
      <c r="X53" s="100" t="n">
        <f aca="false">-Hipótesis!$C$39</f>
        <v>-700</v>
      </c>
      <c r="Y53" s="100" t="n">
        <f aca="false">-Hipótesis!$C$39</f>
        <v>-700</v>
      </c>
      <c r="Z53" s="100" t="n">
        <f aca="false">-Hipótesis!$C$39</f>
        <v>-700</v>
      </c>
      <c r="AA53" s="100" t="n">
        <f aca="false">-Hipótesis!$C$39</f>
        <v>-700</v>
      </c>
      <c r="AB53" s="100" t="n">
        <f aca="false">-Hipótesis!$C$39</f>
        <v>-700</v>
      </c>
      <c r="AC53" s="100" t="n">
        <f aca="false">-Hipótesis!$C$39</f>
        <v>-700</v>
      </c>
      <c r="AD53" s="100" t="n">
        <f aca="false">-Hipótesis!$C$39</f>
        <v>-700</v>
      </c>
      <c r="AE53" s="100" t="n">
        <f aca="false">-Hipótesis!$C$39</f>
        <v>-700</v>
      </c>
      <c r="AF53" s="100" t="n">
        <f aca="false">-Hipótesis!$C$39</f>
        <v>-700</v>
      </c>
      <c r="AG53" s="100" t="n">
        <f aca="false">-Hipótesis!$C$39</f>
        <v>-700</v>
      </c>
      <c r="AH53" s="100" t="n">
        <f aca="false">-Hipótesis!$C$39</f>
        <v>-700</v>
      </c>
      <c r="AI53" s="100" t="n">
        <f aca="false">-Hipótesis!$C$39</f>
        <v>-700</v>
      </c>
      <c r="AJ53" s="100" t="n">
        <f aca="false">-Hipótesis!$C$39</f>
        <v>-700</v>
      </c>
      <c r="AK53" s="100" t="n">
        <f aca="false">-Hipótesis!$C$39</f>
        <v>-700</v>
      </c>
      <c r="AL53" s="100" t="n">
        <f aca="false">-Hipótesis!$C$39</f>
        <v>-700</v>
      </c>
      <c r="AM53" s="100" t="n">
        <f aca="false">-Hipótesis!$C$39</f>
        <v>-700</v>
      </c>
      <c r="AN53" s="100" t="n">
        <f aca="false">-Hipótesis!$C$39</f>
        <v>-700</v>
      </c>
      <c r="AO53" s="100" t="n">
        <f aca="false">-Hipótesis!$C$39</f>
        <v>-700</v>
      </c>
      <c r="AP53" s="100" t="n">
        <f aca="false">-Hipótesis!$C$39</f>
        <v>-700</v>
      </c>
      <c r="AQ53" s="100" t="n">
        <f aca="false">-Hipótesis!$C$39</f>
        <v>-700</v>
      </c>
      <c r="AR53" s="100" t="n">
        <f aca="false">-Hipótesis!$C$39</f>
        <v>-700</v>
      </c>
      <c r="AS53" s="100" t="n">
        <f aca="false">-Hipótesis!$C$39</f>
        <v>-700</v>
      </c>
      <c r="AT53" s="100" t="n">
        <f aca="false">-Hipótesis!$C$39</f>
        <v>-700</v>
      </c>
      <c r="AU53" s="100" t="n">
        <f aca="false">-Hipótesis!$C$39</f>
        <v>-700</v>
      </c>
      <c r="AV53" s="100" t="n">
        <f aca="false">-Hipótesis!$C$39</f>
        <v>-700</v>
      </c>
      <c r="AW53" s="100" t="n">
        <f aca="false">-Hipótesis!$C$39</f>
        <v>-700</v>
      </c>
      <c r="AX53" s="100" t="n">
        <f aca="false">-Hipótesis!$C$39</f>
        <v>-700</v>
      </c>
      <c r="AY53" s="100" t="n">
        <f aca="false">-Hipótesis!$C$39</f>
        <v>-700</v>
      </c>
      <c r="AZ53" s="100" t="n">
        <f aca="false">-Hipótesis!$C$39</f>
        <v>-700</v>
      </c>
      <c r="BA53" s="100" t="n">
        <f aca="false">-Hipótesis!$C$39</f>
        <v>-700</v>
      </c>
      <c r="BB53" s="100" t="n">
        <f aca="false">-Hipótesis!$C$39</f>
        <v>-700</v>
      </c>
      <c r="BC53" s="100" t="n">
        <f aca="false">-Hipótesis!$C$39</f>
        <v>-700</v>
      </c>
      <c r="BD53" s="100" t="n">
        <f aca="false">-Hipótesis!$C$39</f>
        <v>-700</v>
      </c>
      <c r="BE53" s="100" t="n">
        <f aca="false">-Hipótesis!$C$39</f>
        <v>-700</v>
      </c>
      <c r="BF53" s="100" t="n">
        <f aca="false">-Hipótesis!$C$39</f>
        <v>-700</v>
      </c>
      <c r="BG53" s="100" t="n">
        <f aca="false">-Hipótesis!$C$39</f>
        <v>-700</v>
      </c>
      <c r="BH53" s="100" t="n">
        <f aca="false">-Hipótesis!$C$39</f>
        <v>-700</v>
      </c>
      <c r="BI53" s="100" t="n">
        <f aca="false">-Hipótesis!$C$39</f>
        <v>-700</v>
      </c>
      <c r="BJ53" s="100" t="n">
        <f aca="false">-Hipótesis!$C$39</f>
        <v>-700</v>
      </c>
      <c r="BK53" s="100" t="n">
        <f aca="false">-Hipótesis!$C$39</f>
        <v>-700</v>
      </c>
      <c r="BL53" s="100" t="n">
        <f aca="false">-Hipótesis!$C$39</f>
        <v>-700</v>
      </c>
      <c r="BM53" s="100" t="n">
        <f aca="false">-Hipótesis!$C$39</f>
        <v>-700</v>
      </c>
      <c r="BN53" s="100" t="n">
        <f aca="false">-Hipótesis!$C$39</f>
        <v>-700</v>
      </c>
      <c r="BO53" s="100" t="n">
        <f aca="false">-Hipótesis!$C$39</f>
        <v>-700</v>
      </c>
      <c r="BP53" s="100" t="n">
        <f aca="false">-Hipótesis!$C$39</f>
        <v>-700</v>
      </c>
      <c r="BQ53" s="100" t="n">
        <f aca="false">-Hipótesis!$C$39</f>
        <v>-700</v>
      </c>
      <c r="BR53" s="100" t="n">
        <f aca="false">-Hipótesis!$C$39</f>
        <v>-700</v>
      </c>
      <c r="BS53" s="100" t="n">
        <f aca="false">-Hipótesis!$C$39</f>
        <v>-700</v>
      </c>
      <c r="BT53" s="100" t="n">
        <f aca="false">-Hipótesis!$C$39</f>
        <v>-700</v>
      </c>
      <c r="BU53" s="100" t="n">
        <f aca="false">-Hipótesis!$C$39</f>
        <v>-700</v>
      </c>
      <c r="BV53" s="100" t="n">
        <f aca="false">-Hipótesis!$C$39</f>
        <v>-700</v>
      </c>
      <c r="BW53" s="100" t="n">
        <f aca="false">-Hipótesis!$C$39</f>
        <v>-700</v>
      </c>
      <c r="BX53" s="100" t="n">
        <f aca="false">-Hipótesis!$C$39</f>
        <v>-700</v>
      </c>
      <c r="BY53" s="100" t="n">
        <f aca="false">-Hipótesis!$C$39</f>
        <v>-700</v>
      </c>
      <c r="BZ53" s="100" t="n">
        <f aca="false">-Hipótesis!$C$39</f>
        <v>-700</v>
      </c>
      <c r="CA53" s="100" t="n">
        <f aca="false">-Hipótesis!$C$39</f>
        <v>-700</v>
      </c>
      <c r="CB53" s="100" t="n">
        <f aca="false">-Hipótesis!$C$39</f>
        <v>-700</v>
      </c>
      <c r="CC53" s="100" t="n">
        <f aca="false">-Hipótesis!$C$39</f>
        <v>-700</v>
      </c>
      <c r="CD53" s="100" t="n">
        <f aca="false">-Hipótesis!$C$39</f>
        <v>-700</v>
      </c>
      <c r="CE53" s="100" t="n">
        <f aca="false">-Hipótesis!$C$39</f>
        <v>-700</v>
      </c>
      <c r="CF53" s="100" t="n">
        <f aca="false">-Hipótesis!$C$39</f>
        <v>-700</v>
      </c>
      <c r="CG53" s="100" t="n">
        <f aca="false">-Hipótesis!$C$39</f>
        <v>-700</v>
      </c>
      <c r="CH53" s="100" t="n">
        <f aca="false">-Hipótesis!$C$39</f>
        <v>-700</v>
      </c>
    </row>
    <row r="54" customFormat="false" ht="13.5" hidden="false" customHeight="true" outlineLevel="0" collapsed="false">
      <c r="A54" s="6" t="s">
        <v>531</v>
      </c>
      <c r="C54" s="100" t="n">
        <f aca="false">-Hipótesis!$C$40</f>
        <v>-700</v>
      </c>
      <c r="D54" s="100" t="n">
        <f aca="false">-Hipótesis!$C$40</f>
        <v>-700</v>
      </c>
      <c r="E54" s="100" t="n">
        <f aca="false">-Hipótesis!$C$40</f>
        <v>-700</v>
      </c>
      <c r="F54" s="100" t="n">
        <f aca="false">-Hipótesis!$C$40</f>
        <v>-700</v>
      </c>
      <c r="G54" s="100" t="n">
        <f aca="false">-Hipótesis!$C$40</f>
        <v>-700</v>
      </c>
      <c r="H54" s="100" t="n">
        <f aca="false">-Hipótesis!$C$40</f>
        <v>-700</v>
      </c>
      <c r="I54" s="100" t="n">
        <f aca="false">-Hipótesis!$C$40</f>
        <v>-700</v>
      </c>
      <c r="J54" s="100" t="n">
        <f aca="false">-Hipótesis!$C$40</f>
        <v>-700</v>
      </c>
      <c r="K54" s="100" t="n">
        <f aca="false">-Hipótesis!$C$40</f>
        <v>-700</v>
      </c>
      <c r="L54" s="100" t="n">
        <f aca="false">-Hipótesis!$C$40</f>
        <v>-700</v>
      </c>
      <c r="M54" s="100" t="n">
        <f aca="false">-Hipótesis!$C$40</f>
        <v>-700</v>
      </c>
      <c r="N54" s="100" t="n">
        <f aca="false">-Hipótesis!$C$40</f>
        <v>-700</v>
      </c>
      <c r="O54" s="100" t="n">
        <f aca="false">-Hipótesis!$C$40</f>
        <v>-700</v>
      </c>
      <c r="P54" s="100" t="n">
        <f aca="false">-Hipótesis!$C$40</f>
        <v>-700</v>
      </c>
      <c r="Q54" s="100" t="n">
        <f aca="false">-Hipótesis!$C$40</f>
        <v>-700</v>
      </c>
      <c r="R54" s="100" t="n">
        <f aca="false">-Hipótesis!$C$40</f>
        <v>-700</v>
      </c>
      <c r="S54" s="100" t="n">
        <f aca="false">-Hipótesis!$C$40</f>
        <v>-700</v>
      </c>
      <c r="T54" s="100" t="n">
        <f aca="false">-Hipótesis!$C$40</f>
        <v>-700</v>
      </c>
      <c r="U54" s="100" t="n">
        <f aca="false">-Hipótesis!$C$40</f>
        <v>-700</v>
      </c>
      <c r="V54" s="100" t="n">
        <f aca="false">-Hipótesis!$C$40</f>
        <v>-700</v>
      </c>
      <c r="W54" s="100" t="n">
        <f aca="false">-Hipótesis!$C$40</f>
        <v>-700</v>
      </c>
      <c r="X54" s="100" t="n">
        <f aca="false">-Hipótesis!$C$40</f>
        <v>-700</v>
      </c>
      <c r="Y54" s="100" t="n">
        <f aca="false">-Hipótesis!$C$40</f>
        <v>-700</v>
      </c>
      <c r="Z54" s="100" t="n">
        <f aca="false">-Hipótesis!$C$40</f>
        <v>-700</v>
      </c>
      <c r="AA54" s="100" t="n">
        <f aca="false">-Hipótesis!$C$40</f>
        <v>-700</v>
      </c>
      <c r="AB54" s="100" t="n">
        <f aca="false">-Hipótesis!$C$40</f>
        <v>-700</v>
      </c>
      <c r="AC54" s="100" t="n">
        <f aca="false">-Hipótesis!$C$40</f>
        <v>-700</v>
      </c>
      <c r="AD54" s="100" t="n">
        <f aca="false">-Hipótesis!$C$40</f>
        <v>-700</v>
      </c>
      <c r="AE54" s="100" t="n">
        <f aca="false">-Hipótesis!$C$40</f>
        <v>-700</v>
      </c>
      <c r="AF54" s="100" t="n">
        <f aca="false">-Hipótesis!$C$40</f>
        <v>-700</v>
      </c>
      <c r="AG54" s="100" t="n">
        <f aca="false">-Hipótesis!$C$40</f>
        <v>-700</v>
      </c>
      <c r="AH54" s="100" t="n">
        <f aca="false">-Hipótesis!$C$40</f>
        <v>-700</v>
      </c>
      <c r="AI54" s="100" t="n">
        <f aca="false">-Hipótesis!$C$40</f>
        <v>-700</v>
      </c>
      <c r="AJ54" s="100" t="n">
        <f aca="false">-Hipótesis!$C$40</f>
        <v>-700</v>
      </c>
      <c r="AK54" s="100" t="n">
        <f aca="false">-Hipótesis!$C$40</f>
        <v>-700</v>
      </c>
      <c r="AL54" s="100" t="n">
        <f aca="false">-Hipótesis!$C$40</f>
        <v>-700</v>
      </c>
      <c r="AM54" s="100" t="n">
        <f aca="false">-Hipótesis!$C$40</f>
        <v>-700</v>
      </c>
      <c r="AN54" s="100" t="n">
        <f aca="false">-Hipótesis!$C$40</f>
        <v>-700</v>
      </c>
      <c r="AO54" s="100" t="n">
        <f aca="false">-Hipótesis!$C$40</f>
        <v>-700</v>
      </c>
      <c r="AP54" s="100" t="n">
        <f aca="false">-Hipótesis!$C$40</f>
        <v>-700</v>
      </c>
      <c r="AQ54" s="100" t="n">
        <f aca="false">-Hipótesis!$C$40</f>
        <v>-700</v>
      </c>
      <c r="AR54" s="100" t="n">
        <f aca="false">-Hipótesis!$C$40</f>
        <v>-700</v>
      </c>
      <c r="AS54" s="100" t="n">
        <f aca="false">-Hipótesis!$C$40</f>
        <v>-700</v>
      </c>
      <c r="AT54" s="100" t="n">
        <f aca="false">-Hipótesis!$C$40</f>
        <v>-700</v>
      </c>
      <c r="AU54" s="100" t="n">
        <f aca="false">-Hipótesis!$C$40</f>
        <v>-700</v>
      </c>
      <c r="AV54" s="100" t="n">
        <f aca="false">-Hipótesis!$C$40</f>
        <v>-700</v>
      </c>
      <c r="AW54" s="100" t="n">
        <f aca="false">-Hipótesis!$C$40</f>
        <v>-700</v>
      </c>
      <c r="AX54" s="100" t="n">
        <f aca="false">-Hipótesis!$C$40</f>
        <v>-700</v>
      </c>
      <c r="AY54" s="100" t="n">
        <f aca="false">-Hipótesis!$C$40</f>
        <v>-700</v>
      </c>
      <c r="AZ54" s="100" t="n">
        <f aca="false">-Hipótesis!$C$40</f>
        <v>-700</v>
      </c>
      <c r="BA54" s="100" t="n">
        <f aca="false">-Hipótesis!$C$40</f>
        <v>-700</v>
      </c>
      <c r="BB54" s="100" t="n">
        <f aca="false">-Hipótesis!$C$40</f>
        <v>-700</v>
      </c>
      <c r="BC54" s="100" t="n">
        <f aca="false">-Hipótesis!$C$40</f>
        <v>-700</v>
      </c>
      <c r="BD54" s="100" t="n">
        <f aca="false">-Hipótesis!$C$40</f>
        <v>-700</v>
      </c>
      <c r="BE54" s="100" t="n">
        <f aca="false">-Hipótesis!$C$40</f>
        <v>-700</v>
      </c>
      <c r="BF54" s="100" t="n">
        <f aca="false">-Hipótesis!$C$40</f>
        <v>-700</v>
      </c>
      <c r="BG54" s="100" t="n">
        <f aca="false">-Hipótesis!$C$40</f>
        <v>-700</v>
      </c>
      <c r="BH54" s="100" t="n">
        <f aca="false">-Hipótesis!$C$40</f>
        <v>-700</v>
      </c>
      <c r="BI54" s="100" t="n">
        <f aca="false">-Hipótesis!$C$40</f>
        <v>-700</v>
      </c>
      <c r="BJ54" s="100" t="n">
        <f aca="false">-Hipótesis!$C$40</f>
        <v>-700</v>
      </c>
      <c r="BK54" s="100" t="n">
        <f aca="false">-Hipótesis!$C$40</f>
        <v>-700</v>
      </c>
      <c r="BL54" s="100" t="n">
        <f aca="false">-Hipótesis!$C$40</f>
        <v>-700</v>
      </c>
      <c r="BM54" s="100" t="n">
        <f aca="false">-Hipótesis!$C$40</f>
        <v>-700</v>
      </c>
      <c r="BN54" s="100" t="n">
        <f aca="false">-Hipótesis!$C$40</f>
        <v>-700</v>
      </c>
      <c r="BO54" s="100" t="n">
        <f aca="false">-Hipótesis!$C$40</f>
        <v>-700</v>
      </c>
      <c r="BP54" s="100" t="n">
        <f aca="false">-Hipótesis!$C$40</f>
        <v>-700</v>
      </c>
      <c r="BQ54" s="100" t="n">
        <f aca="false">-Hipótesis!$C$40</f>
        <v>-700</v>
      </c>
      <c r="BR54" s="100" t="n">
        <f aca="false">-Hipótesis!$C$40</f>
        <v>-700</v>
      </c>
      <c r="BS54" s="100" t="n">
        <f aca="false">-Hipótesis!$C$40</f>
        <v>-700</v>
      </c>
      <c r="BT54" s="100" t="n">
        <f aca="false">-Hipótesis!$C$40</f>
        <v>-700</v>
      </c>
      <c r="BU54" s="100" t="n">
        <f aca="false">-Hipótesis!$C$40</f>
        <v>-700</v>
      </c>
      <c r="BV54" s="100" t="n">
        <f aca="false">-Hipótesis!$C$40</f>
        <v>-700</v>
      </c>
      <c r="BW54" s="100" t="n">
        <f aca="false">-Hipótesis!$C$40</f>
        <v>-700</v>
      </c>
      <c r="BX54" s="100" t="n">
        <f aca="false">-Hipótesis!$C$40</f>
        <v>-700</v>
      </c>
      <c r="BY54" s="100" t="n">
        <f aca="false">-Hipótesis!$C$40</f>
        <v>-700</v>
      </c>
      <c r="BZ54" s="100" t="n">
        <f aca="false">-Hipótesis!$C$40</f>
        <v>-700</v>
      </c>
      <c r="CA54" s="100" t="n">
        <f aca="false">-Hipótesis!$C$40</f>
        <v>-700</v>
      </c>
      <c r="CB54" s="100" t="n">
        <f aca="false">-Hipótesis!$C$40</f>
        <v>-700</v>
      </c>
      <c r="CC54" s="100" t="n">
        <f aca="false">-Hipótesis!$C$40</f>
        <v>-700</v>
      </c>
      <c r="CD54" s="100" t="n">
        <f aca="false">-Hipótesis!$C$40</f>
        <v>-700</v>
      </c>
      <c r="CE54" s="100" t="n">
        <f aca="false">-Hipótesis!$C$40</f>
        <v>-700</v>
      </c>
      <c r="CF54" s="100" t="n">
        <f aca="false">-Hipótesis!$C$40</f>
        <v>-700</v>
      </c>
      <c r="CG54" s="100" t="n">
        <f aca="false">-Hipótesis!$C$40</f>
        <v>-700</v>
      </c>
      <c r="CH54" s="100" t="n">
        <f aca="false">-Hipótesis!$C$40</f>
        <v>-700</v>
      </c>
    </row>
    <row r="55" customFormat="false" ht="13.5" hidden="false" customHeight="true" outlineLevel="0" collapsed="false">
      <c r="A55" s="22" t="s">
        <v>532</v>
      </c>
      <c r="C55" s="100" t="n">
        <f aca="false">C42+C43+C51+C52+C53+C54</f>
        <v>-15441.4808098414</v>
      </c>
      <c r="D55" s="100" t="n">
        <f aca="false">D42+D43+D51+D52+D53+D54</f>
        <v>-15483.4903606534</v>
      </c>
      <c r="E55" s="100" t="n">
        <f aca="false">E42+E43+E51+E52+E53+E54</f>
        <v>-15564.0171251027</v>
      </c>
      <c r="F55" s="100" t="n">
        <f aca="false">F42+F43+F51+F52+F53+F54</f>
        <v>-15605.0630797107</v>
      </c>
      <c r="G55" s="100" t="n">
        <f aca="false">G42+G43+G51+G52+G53+G54</f>
        <v>-15643.580293348</v>
      </c>
      <c r="H55" s="100" t="n">
        <f aca="false">H42+H43+H51+H52+H53+H54</f>
        <v>-15711.0726639405</v>
      </c>
      <c r="I55" s="100" t="n">
        <f aca="false">I42+I43+I51+I52+I53+I54</f>
        <v>-15829.0864981422</v>
      </c>
      <c r="J55" s="100" t="n">
        <f aca="false">J42+J43+J51+J52+J53+J54</f>
        <v>-15947.1003323439</v>
      </c>
      <c r="K55" s="100" t="n">
        <f aca="false">K42+K43+K51+K52+K53+K54</f>
        <v>-16065.1141665457</v>
      </c>
      <c r="L55" s="100" t="n">
        <f aca="false">L42+L43+L51+L52+L53+L54</f>
        <v>-16183.1280007474</v>
      </c>
      <c r="M55" s="100" t="n">
        <f aca="false">M42+M43+M51+M52+M53+M54</f>
        <v>-18506.6246213118</v>
      </c>
      <c r="N55" s="100" t="n">
        <f aca="false">N42+N43+N51+N52+N53+N54</f>
        <v>-18628.26692472</v>
      </c>
      <c r="O55" s="100" t="n">
        <f aca="false">O42+O43+O51+O52+O53+O54</f>
        <v>-24044.4292281282</v>
      </c>
      <c r="P55" s="100" t="n">
        <f aca="false">P42+P43+P51+P52+P53+P54</f>
        <v>-24153.9546477188</v>
      </c>
      <c r="Q55" s="100" t="n">
        <f aca="false">Q42+Q43+Q51+Q52+Q53+Q54</f>
        <v>-26574.8000673094</v>
      </c>
      <c r="R55" s="100" t="n">
        <f aca="false">R42+R43+R51+R52+R53+R54</f>
        <v>-26684.3254869</v>
      </c>
      <c r="S55" s="100" t="n">
        <f aca="false">S42+S43+S51+S52+S53+S54</f>
        <v>-26793.8509064906</v>
      </c>
      <c r="T55" s="100" t="n">
        <f aca="false">T42+T43+T51+T52+T53+T54</f>
        <v>-29214.6963260811</v>
      </c>
      <c r="U55" s="100" t="n">
        <f aca="false">U42+U43+U51+U52+U53+U54</f>
        <v>-29324.2217456717</v>
      </c>
      <c r="V55" s="100" t="n">
        <f aca="false">V42+V43+V51+V52+V53+V54</f>
        <v>-32152.9471652623</v>
      </c>
      <c r="W55" s="100" t="n">
        <f aca="false">W42+W43+W51+W52+W53+W54</f>
        <v>-32262.4725848529</v>
      </c>
      <c r="X55" s="100" t="n">
        <f aca="false">X42+X43+X51+X52+X53+X54</f>
        <v>-34641.1723215997</v>
      </c>
      <c r="Y55" s="100" t="n">
        <f aca="false">Y42+Y43+Y51+Y52+Y53+Y54</f>
        <v>-34708.5520583465</v>
      </c>
      <c r="Z55" s="100" t="n">
        <f aca="false">Z42+Z43+Z51+Z52+Z53+Z54</f>
        <v>-34759.0735219558</v>
      </c>
      <c r="AA55" s="100" t="n">
        <f aca="false">AA42+AA43+AA51+AA52+AA53+AA54</f>
        <v>-37230.1053855651</v>
      </c>
      <c r="AB55" s="100" t="n">
        <f aca="false">AB42+AB43+AB51+AB52+AB53+AB54</f>
        <v>-37280.6268491744</v>
      </c>
      <c r="AC55" s="100" t="n">
        <f aca="false">AC42+AC43+AC51+AC52+AC53+AC54</f>
        <v>-37331.1483127837</v>
      </c>
      <c r="AD55" s="100" t="n">
        <f aca="false">AD42+AD43+AD51+AD52+AD53+AD54</f>
        <v>-37381.669776393</v>
      </c>
      <c r="AE55" s="100" t="n">
        <f aca="false">AE42+AE43+AE51+AE52+AE53+AE54</f>
        <v>-39812.8508400023</v>
      </c>
      <c r="AF55" s="100" t="n">
        <f aca="false">AF42+AF43+AF51+AF52+AF53+AF54</f>
        <v>-39863.3723036116</v>
      </c>
      <c r="AG55" s="100" t="n">
        <f aca="false">AG42+AG43+AG51+AG52+AG53+AG54</f>
        <v>-39913.8937672209</v>
      </c>
      <c r="AH55" s="100" t="n">
        <f aca="false">AH42+AH43+AH51+AH52+AH53+AH54</f>
        <v>-39964.4152308302</v>
      </c>
      <c r="AI55" s="100" t="n">
        <f aca="false">AI42+AI43+AI51+AI52+AI53+AI54</f>
        <v>-40014.9366944395</v>
      </c>
      <c r="AJ55" s="100" t="n">
        <f aca="false">AJ42+AJ43+AJ51+AJ52+AJ53+AJ54</f>
        <v>-40065.4581580488</v>
      </c>
      <c r="AK55" s="100" t="n">
        <f aca="false">AK42+AK43+AK51+AK52+AK53+AK54</f>
        <v>-40115.9796216581</v>
      </c>
      <c r="AL55" s="100" t="n">
        <f aca="false">AL42+AL43+AL51+AL52+AL53+AL54</f>
        <v>-40166.5010852674</v>
      </c>
      <c r="AM55" s="100" t="n">
        <f aca="false">AM42+AM43+AM51+AM52+AM53+AM54</f>
        <v>-45174.2474368767</v>
      </c>
      <c r="AN55" s="100" t="n">
        <f aca="false">AN42+AN43+AN51+AN52+AN53+AN54</f>
        <v>-45224.768900486</v>
      </c>
      <c r="AO55" s="100" t="n">
        <f aca="false">AO42+AO43+AO51+AO52+AO53+AO54</f>
        <v>-45275.2903640952</v>
      </c>
      <c r="AP55" s="100" t="n">
        <f aca="false">AP42+AP43+AP51+AP52+AP53+AP54</f>
        <v>-45325.8118277045</v>
      </c>
      <c r="AQ55" s="100" t="n">
        <f aca="false">AQ42+AQ43+AQ51+AQ52+AQ53+AQ54</f>
        <v>-45376.3332913138</v>
      </c>
      <c r="AR55" s="100" t="n">
        <f aca="false">AR42+AR43+AR51+AR52+AR53+AR54</f>
        <v>-45426.8547549231</v>
      </c>
      <c r="AS55" s="100" t="n">
        <f aca="false">AS42+AS43+AS51+AS52+AS53+AS54</f>
        <v>-45426.8547549231</v>
      </c>
      <c r="AT55" s="100" t="n">
        <f aca="false">AT42+AT43+AT51+AT52+AT53+AT54</f>
        <v>-45426.8547549231</v>
      </c>
      <c r="AU55" s="100" t="n">
        <f aca="false">AU42+AU43+AU51+AU52+AU53+AU54</f>
        <v>-45426.8547549231</v>
      </c>
      <c r="AV55" s="100" t="n">
        <f aca="false">AV42+AV43+AV51+AV52+AV53+AV54</f>
        <v>-45426.8547549231</v>
      </c>
      <c r="AW55" s="100" t="n">
        <f aca="false">AW42+AW43+AW51+AW52+AW53+AW54</f>
        <v>-45426.8547549231</v>
      </c>
      <c r="AX55" s="100" t="n">
        <f aca="false">AX42+AX43+AX51+AX52+AX53+AX54</f>
        <v>-45426.8547549231</v>
      </c>
      <c r="AY55" s="100" t="n">
        <f aca="false">AY42+AY43+AY51+AY52+AY53+AY54</f>
        <v>-48021.3170015631</v>
      </c>
      <c r="AZ55" s="100" t="n">
        <f aca="false">AZ42+AZ43+AZ51+AZ52+AZ53+AZ54</f>
        <v>-48021.3170015631</v>
      </c>
      <c r="BA55" s="100" t="n">
        <f aca="false">BA42+BA43+BA51+BA52+BA53+BA54</f>
        <v>-48021.3170015631</v>
      </c>
      <c r="BB55" s="100" t="n">
        <f aca="false">BB42+BB43+BB51+BB52+BB53+BB54</f>
        <v>-48021.3170015631</v>
      </c>
      <c r="BC55" s="100" t="n">
        <f aca="false">BC42+BC43+BC51+BC52+BC53+BC54</f>
        <v>-48021.3170015631</v>
      </c>
      <c r="BD55" s="100" t="n">
        <f aca="false">BD42+BD43+BD51+BD52+BD53+BD54</f>
        <v>-48021.3170015631</v>
      </c>
      <c r="BE55" s="100" t="n">
        <f aca="false">BE42+BE43+BE51+BE52+BE53+BE54</f>
        <v>-48021.3170015631</v>
      </c>
      <c r="BF55" s="100" t="n">
        <f aca="false">BF42+BF43+BF51+BF52+BF53+BF54</f>
        <v>-48021.3170015631</v>
      </c>
      <c r="BG55" s="100" t="n">
        <f aca="false">BG42+BG43+BG51+BG52+BG53+BG54</f>
        <v>-48021.3170015631</v>
      </c>
      <c r="BH55" s="100" t="n">
        <f aca="false">BH42+BH43+BH51+BH52+BH53+BH54</f>
        <v>-48021.3170015631</v>
      </c>
      <c r="BI55" s="100" t="n">
        <f aca="false">BI42+BI43+BI51+BI52+BI53+BI54</f>
        <v>-48021.3170015631</v>
      </c>
      <c r="BJ55" s="100" t="n">
        <f aca="false">BJ42+BJ43+BJ51+BJ52+BJ53+BJ54</f>
        <v>-48021.3170015631</v>
      </c>
      <c r="BK55" s="100" t="n">
        <f aca="false">BK42+BK43+BK51+BK52+BK53+BK54</f>
        <v>-50634.2131156023</v>
      </c>
      <c r="BL55" s="100" t="n">
        <f aca="false">BL42+BL43+BL51+BL52+BL53+BL54</f>
        <v>-50634.2131156023</v>
      </c>
      <c r="BM55" s="100" t="n">
        <f aca="false">BM42+BM43+BM51+BM52+BM53+BM54</f>
        <v>-50634.2131156023</v>
      </c>
      <c r="BN55" s="100" t="n">
        <f aca="false">BN42+BN43+BN51+BN52+BN53+BN54</f>
        <v>-50634.2131156023</v>
      </c>
      <c r="BO55" s="100" t="n">
        <f aca="false">BO42+BO43+BO51+BO52+BO53+BO54</f>
        <v>-50634.2131156023</v>
      </c>
      <c r="BP55" s="100" t="n">
        <f aca="false">BP42+BP43+BP51+BP52+BP53+BP54</f>
        <v>-50634.2131156023</v>
      </c>
      <c r="BQ55" s="100" t="n">
        <f aca="false">BQ42+BQ43+BQ51+BQ52+BQ53+BQ54</f>
        <v>-50634.2131156023</v>
      </c>
      <c r="BR55" s="100" t="n">
        <f aca="false">BR42+BR43+BR51+BR52+BR53+BR54</f>
        <v>-50634.2131156023</v>
      </c>
      <c r="BS55" s="100" t="n">
        <f aca="false">BS42+BS43+BS51+BS52+BS53+BS54</f>
        <v>-50634.2131156023</v>
      </c>
      <c r="BT55" s="100" t="n">
        <f aca="false">BT42+BT43+BT51+BT52+BT53+BT54</f>
        <v>-50634.2131156023</v>
      </c>
      <c r="BU55" s="100" t="n">
        <f aca="false">BU42+BU43+BU51+BU52+BU53+BU54</f>
        <v>-50634.2131156023</v>
      </c>
      <c r="BV55" s="100" t="n">
        <f aca="false">BV42+BV43+BV51+BV52+BV53+BV54</f>
        <v>-50634.2131156023</v>
      </c>
      <c r="BW55" s="100" t="n">
        <f aca="false">BW42+BW43+BW51+BW52+BW53+BW54</f>
        <v>-53266.0961130627</v>
      </c>
      <c r="BX55" s="100" t="n">
        <f aca="false">BX42+BX43+BX51+BX52+BX53+BX54</f>
        <v>-53266.0961130627</v>
      </c>
      <c r="BY55" s="100" t="n">
        <f aca="false">BY42+BY43+BY51+BY52+BY53+BY54</f>
        <v>-53266.0961130627</v>
      </c>
      <c r="BZ55" s="100" t="n">
        <f aca="false">BZ42+BZ43+BZ51+BZ52+BZ53+BZ54</f>
        <v>-53266.0961130627</v>
      </c>
      <c r="CA55" s="100" t="n">
        <f aca="false">CA42+CA43+CA51+CA52+CA53+CA54</f>
        <v>-53266.0961130627</v>
      </c>
      <c r="CB55" s="100" t="n">
        <f aca="false">CB42+CB43+CB51+CB52+CB53+CB54</f>
        <v>-53266.0961130627</v>
      </c>
      <c r="CC55" s="100" t="n">
        <f aca="false">CC42+CC43+CC51+CC52+CC53+CC54</f>
        <v>-53266.0961130627</v>
      </c>
      <c r="CD55" s="100" t="n">
        <f aca="false">CD42+CD43+CD51+CD52+CD53+CD54</f>
        <v>-53266.0961130627</v>
      </c>
      <c r="CE55" s="100" t="n">
        <f aca="false">CE42+CE43+CE51+CE52+CE53+CE54</f>
        <v>-53266.0961130627</v>
      </c>
      <c r="CF55" s="100" t="n">
        <f aca="false">CF42+CF43+CF51+CF52+CF53+CF54</f>
        <v>-53266.0961130627</v>
      </c>
      <c r="CG55" s="100" t="n">
        <f aca="false">CG42+CG43+CG51+CG52+CG53+CG54</f>
        <v>-53266.0961130627</v>
      </c>
      <c r="CH55" s="100" t="n">
        <f aca="false">CH42+CH43+CH51+CH52+CH53+CH54</f>
        <v>-53266.0961130627</v>
      </c>
    </row>
    <row r="56" customFormat="false" ht="13.5" hidden="false" customHeight="true" outlineLevel="0" collapsed="false">
      <c r="A56" s="46" t="s">
        <v>533</v>
      </c>
      <c r="C56" s="63" t="n">
        <f aca="false">C40+C55</f>
        <v>-14645.5613098414</v>
      </c>
      <c r="D56" s="63" t="n">
        <f aca="false">D40+D55</f>
        <v>-13837.6090077122</v>
      </c>
      <c r="E56" s="63" t="n">
        <f aca="false">E40+E55</f>
        <v>-12226.4928076132</v>
      </c>
      <c r="F56" s="63" t="n">
        <f aca="false">F40+F55</f>
        <v>-11371.8152976729</v>
      </c>
      <c r="G56" s="63" t="n">
        <f aca="false">G40+G55</f>
        <v>-10568.6513997031</v>
      </c>
      <c r="H56" s="63" t="n">
        <f aca="false">H40+H55</f>
        <v>-9336.72111457072</v>
      </c>
      <c r="I56" s="63" t="n">
        <f aca="false">I40+I55</f>
        <v>-7144.64517137242</v>
      </c>
      <c r="J56" s="63" t="n">
        <f aca="false">J40+J55</f>
        <v>-4952.56922817414</v>
      </c>
      <c r="K56" s="63" t="n">
        <f aca="false">K40+K55</f>
        <v>-2760.49328497584</v>
      </c>
      <c r="L56" s="63" t="n">
        <f aca="false">L40+L55</f>
        <v>-568.417341777558</v>
      </c>
      <c r="M56" s="63" t="n">
        <f aca="false">M40+M55</f>
        <v>-1423.50529654906</v>
      </c>
      <c r="N56" s="63" t="n">
        <f aca="false">N40+N55</f>
        <v>530.341948188594</v>
      </c>
      <c r="O56" s="63" t="n">
        <f aca="false">O40+O55</f>
        <v>-2810.33080707376</v>
      </c>
      <c r="P56" s="63" t="n">
        <f aca="false">P40+P55</f>
        <v>-1082.76586969498</v>
      </c>
      <c r="Q56" s="63" t="n">
        <f aca="false">Q40+Q55</f>
        <v>-1666.52093231622</v>
      </c>
      <c r="R56" s="63" t="n">
        <f aca="false">R40+R55</f>
        <v>61.0440050625512</v>
      </c>
      <c r="S56" s="63" t="n">
        <f aca="false">S40+S55</f>
        <v>1788.60894244131</v>
      </c>
      <c r="T56" s="63" t="n">
        <f aca="false">T40+T55</f>
        <v>1204.85387982009</v>
      </c>
      <c r="U56" s="63" t="n">
        <f aca="false">U40+U55</f>
        <v>2932.41881719886</v>
      </c>
      <c r="V56" s="63" t="n">
        <f aca="false">V40+V55</f>
        <v>1940.78375457763</v>
      </c>
      <c r="W56" s="63" t="n">
        <f aca="false">W40+W55</f>
        <v>3668.34869195639</v>
      </c>
      <c r="X56" s="63" t="n">
        <f aca="false">X40+X55</f>
        <v>2519.658429826</v>
      </c>
      <c r="Y56" s="63" t="n">
        <f aca="false">Y40+Y55</f>
        <v>3682.28816769562</v>
      </c>
      <c r="Z56" s="63" t="n">
        <f aca="false">Z40+Z55</f>
        <v>4642.43382576158</v>
      </c>
      <c r="AA56" s="63" t="n">
        <f aca="false">AA40+AA55</f>
        <v>3182.06908382753</v>
      </c>
      <c r="AB56" s="63" t="n">
        <f aca="false">AB40+AB55</f>
        <v>4142.21474189348</v>
      </c>
      <c r="AC56" s="63" t="n">
        <f aca="false">AC40+AC55</f>
        <v>5102.36039995943</v>
      </c>
      <c r="AD56" s="63" t="n">
        <f aca="false">AD40+AD55</f>
        <v>6062.50605802538</v>
      </c>
      <c r="AE56" s="63" t="n">
        <f aca="false">AE40+AE55</f>
        <v>4641.99211609133</v>
      </c>
      <c r="AF56" s="63" t="n">
        <f aca="false">AF40+AF55</f>
        <v>5602.13777415727</v>
      </c>
      <c r="AG56" s="63" t="n">
        <f aca="false">AG40+AG55</f>
        <v>6562.28343222321</v>
      </c>
      <c r="AH56" s="63" t="n">
        <f aca="false">AH40+AH55</f>
        <v>7522.42909028917</v>
      </c>
      <c r="AI56" s="63" t="n">
        <f aca="false">AI40+AI55</f>
        <v>8482.57474835511</v>
      </c>
      <c r="AJ56" s="63" t="n">
        <f aca="false">AJ40+AJ55</f>
        <v>9442.72040642105</v>
      </c>
      <c r="AK56" s="63" t="n">
        <f aca="false">AK40+AK55</f>
        <v>10402.866064487</v>
      </c>
      <c r="AL56" s="63" t="n">
        <f aca="false">AL40+AL55</f>
        <v>11363.011722553</v>
      </c>
      <c r="AM56" s="63" t="n">
        <f aca="false">AM40+AM55</f>
        <v>7365.93249261892</v>
      </c>
      <c r="AN56" s="63" t="n">
        <f aca="false">AN40+AN55</f>
        <v>8326.07815068485</v>
      </c>
      <c r="AO56" s="63" t="n">
        <f aca="false">AO40+AO55</f>
        <v>9286.22380875082</v>
      </c>
      <c r="AP56" s="63" t="n">
        <f aca="false">AP40+AP55</f>
        <v>10246.3694668168</v>
      </c>
      <c r="AQ56" s="63" t="n">
        <f aca="false">AQ40+AQ55</f>
        <v>11206.5151248827</v>
      </c>
      <c r="AR56" s="63" t="n">
        <f aca="false">AR40+AR55</f>
        <v>12166.6607829487</v>
      </c>
      <c r="AS56" s="63" t="n">
        <f aca="false">AS40+AS55</f>
        <v>12166.6607829487</v>
      </c>
      <c r="AT56" s="63" t="n">
        <f aca="false">AT40+AT55</f>
        <v>12166.6607829487</v>
      </c>
      <c r="AU56" s="63" t="n">
        <f aca="false">AU40+AU55</f>
        <v>12166.6607829487</v>
      </c>
      <c r="AV56" s="63" t="n">
        <f aca="false">AV40+AV55</f>
        <v>12166.6607829487</v>
      </c>
      <c r="AW56" s="63" t="n">
        <f aca="false">AW40+AW55</f>
        <v>12166.6607829487</v>
      </c>
      <c r="AX56" s="63" t="n">
        <f aca="false">AX40+AX55</f>
        <v>12166.6607829487</v>
      </c>
      <c r="AY56" s="63" t="n">
        <f aca="false">AY40+AY55</f>
        <v>9572.19853630866</v>
      </c>
      <c r="AZ56" s="63" t="n">
        <f aca="false">AZ40+AZ55</f>
        <v>9572.19853630866</v>
      </c>
      <c r="BA56" s="63" t="n">
        <f aca="false">BA40+BA55</f>
        <v>9572.19853630866</v>
      </c>
      <c r="BB56" s="63" t="n">
        <f aca="false">BB40+BB55</f>
        <v>9572.19853630866</v>
      </c>
      <c r="BC56" s="63" t="n">
        <f aca="false">BC40+BC55</f>
        <v>9572.19853630866</v>
      </c>
      <c r="BD56" s="63" t="n">
        <f aca="false">BD40+BD55</f>
        <v>9572.19853630866</v>
      </c>
      <c r="BE56" s="63" t="n">
        <f aca="false">BE40+BE55</f>
        <v>9572.19853630866</v>
      </c>
      <c r="BF56" s="63" t="n">
        <f aca="false">BF40+BF55</f>
        <v>9572.19853630866</v>
      </c>
      <c r="BG56" s="63" t="n">
        <f aca="false">BG40+BG55</f>
        <v>9572.19853630866</v>
      </c>
      <c r="BH56" s="63" t="n">
        <f aca="false">BH40+BH55</f>
        <v>9572.19853630866</v>
      </c>
      <c r="BI56" s="63" t="n">
        <f aca="false">BI40+BI55</f>
        <v>9572.19853630866</v>
      </c>
      <c r="BJ56" s="63" t="n">
        <f aca="false">BJ40+BJ55</f>
        <v>9572.19853630866</v>
      </c>
      <c r="BK56" s="63" t="n">
        <f aca="false">BK40+BK55</f>
        <v>6959.30242226947</v>
      </c>
      <c r="BL56" s="63" t="n">
        <f aca="false">BL40+BL55</f>
        <v>6959.30242226947</v>
      </c>
      <c r="BM56" s="63" t="n">
        <f aca="false">BM40+BM55</f>
        <v>6959.30242226947</v>
      </c>
      <c r="BN56" s="63" t="n">
        <f aca="false">BN40+BN55</f>
        <v>6959.30242226947</v>
      </c>
      <c r="BO56" s="63" t="n">
        <f aca="false">BO40+BO55</f>
        <v>6959.30242226947</v>
      </c>
      <c r="BP56" s="63" t="n">
        <f aca="false">BP40+BP55</f>
        <v>6959.30242226947</v>
      </c>
      <c r="BQ56" s="63" t="n">
        <f aca="false">BQ40+BQ55</f>
        <v>6959.30242226947</v>
      </c>
      <c r="BR56" s="63" t="n">
        <f aca="false">BR40+BR55</f>
        <v>6959.30242226947</v>
      </c>
      <c r="BS56" s="63" t="n">
        <f aca="false">BS40+BS55</f>
        <v>6959.30242226947</v>
      </c>
      <c r="BT56" s="63" t="n">
        <f aca="false">BT40+BT55</f>
        <v>6959.30242226947</v>
      </c>
      <c r="BU56" s="63" t="n">
        <f aca="false">BU40+BU55</f>
        <v>6959.30242226947</v>
      </c>
      <c r="BV56" s="63" t="n">
        <f aca="false">BV40+BV55</f>
        <v>6959.30242226947</v>
      </c>
      <c r="BW56" s="63" t="n">
        <f aca="false">BW40+BW55</f>
        <v>4327.41942480909</v>
      </c>
      <c r="BX56" s="63" t="n">
        <f aca="false">BX40+BX55</f>
        <v>4327.41942480909</v>
      </c>
      <c r="BY56" s="63" t="n">
        <f aca="false">BY40+BY55</f>
        <v>4327.41942480909</v>
      </c>
      <c r="BZ56" s="63" t="n">
        <f aca="false">BZ40+BZ55</f>
        <v>4327.41942480909</v>
      </c>
      <c r="CA56" s="63" t="n">
        <f aca="false">CA40+CA55</f>
        <v>4327.41942480909</v>
      </c>
      <c r="CB56" s="63" t="n">
        <f aca="false">CB40+CB55</f>
        <v>4327.41942480909</v>
      </c>
      <c r="CC56" s="63" t="n">
        <f aca="false">CC40+CC55</f>
        <v>4327.41942480909</v>
      </c>
      <c r="CD56" s="63" t="n">
        <f aca="false">CD40+CD55</f>
        <v>4327.41942480909</v>
      </c>
      <c r="CE56" s="63" t="n">
        <f aca="false">CE40+CE55</f>
        <v>4327.41942480909</v>
      </c>
      <c r="CF56" s="63" t="n">
        <f aca="false">CF40+CF55</f>
        <v>4327.41942480909</v>
      </c>
      <c r="CG56" s="63" t="n">
        <f aca="false">CG40+CG55</f>
        <v>4327.41942480909</v>
      </c>
      <c r="CH56" s="63" t="n">
        <f aca="false">CH40+CH55</f>
        <v>4327.41942480909</v>
      </c>
    </row>
    <row r="57" customFormat="false" ht="13.5" hidden="false" customHeight="true" outlineLevel="0" collapsed="false">
      <c r="A57" s="6" t="s">
        <v>49</v>
      </c>
      <c r="C57" s="110" t="n">
        <f aca="false">IFERROR(C56/C38,0)</f>
        <v>-16.1826277501168</v>
      </c>
      <c r="D57" s="110" t="n">
        <f aca="false">IFERROR(D56/D38,0)</f>
        <v>-7.35845371733241</v>
      </c>
      <c r="E57" s="110" t="n">
        <f aca="false">IFERROR(E56/E38,0)</f>
        <v>-3.12162095944153</v>
      </c>
      <c r="F57" s="110" t="n">
        <f aca="false">IFERROR(F56/F38,0)</f>
        <v>-2.25278001896537</v>
      </c>
      <c r="G57" s="110" t="n">
        <f aca="false">IFERROR(G56/G38,0)</f>
        <v>-1.7301199702086</v>
      </c>
      <c r="H57" s="110" t="n">
        <f aca="false">IFERROR(H56/H38,0)</f>
        <v>-1.19466926599388</v>
      </c>
      <c r="I57" s="110" t="n">
        <f aca="false">IFERROR(I56/I38,0)</f>
        <v>-0.657262356155152</v>
      </c>
      <c r="J57" s="110" t="n">
        <f aca="false">IFERROR(J56/J38,0)</f>
        <v>-0.355652604048207</v>
      </c>
      <c r="K57" s="110" t="n">
        <f aca="false">IFERROR(K56/K38,0)</f>
        <v>-0.162570437192515</v>
      </c>
      <c r="L57" s="110" t="n">
        <f aca="false">IFERROR(L56/L38,0)</f>
        <v>-0.0283708190232526</v>
      </c>
      <c r="M57" s="110" t="n">
        <f aca="false">IFERROR(M56/M38,0)</f>
        <v>-0.0646179874775007</v>
      </c>
      <c r="N57" s="110" t="n">
        <f aca="false">IFERROR(N56/N38,0)</f>
        <v>0.0212948564310744</v>
      </c>
      <c r="O57" s="110" t="n">
        <f aca="false">IFERROR(O56/O38,0)</f>
        <v>-0.101164389890231</v>
      </c>
      <c r="P57" s="110" t="n">
        <f aca="false">IFERROR(P56/P38,0)</f>
        <v>-0.0356902370545851</v>
      </c>
      <c r="Q57" s="110" t="n">
        <f aca="false">IFERROR(Q56/Q38,0)</f>
        <v>-0.0506604402481444</v>
      </c>
      <c r="R57" s="110" t="n">
        <f aca="false">IFERROR(R56/R38,0)</f>
        <v>0.0017217837112311</v>
      </c>
      <c r="S57" s="110" t="n">
        <f aca="false">IFERROR(S56/S38,0)</f>
        <v>0.0470538421432888</v>
      </c>
      <c r="T57" s="110" t="n">
        <f aca="false">IFERROR(T56/T38,0)</f>
        <v>0.0296981526966057</v>
      </c>
      <c r="U57" s="110" t="n">
        <f aca="false">IFERROR(U56/U38,0)</f>
        <v>0.0679933489840952</v>
      </c>
      <c r="V57" s="110" t="n">
        <f aca="false">IFERROR(V56/V38,0)</f>
        <v>0.0424808787616196</v>
      </c>
      <c r="W57" s="110" t="n">
        <f aca="false">IFERROR(W56/W38,0)</f>
        <v>0.0760372734193299</v>
      </c>
      <c r="X57" s="110" t="n">
        <f aca="false">IFERROR(X56/X38,0)</f>
        <v>0.0504726726731867</v>
      </c>
      <c r="Y57" s="110" t="n">
        <f aca="false">IFERROR(Y56/Y38,0)</f>
        <v>0.071364392430035</v>
      </c>
      <c r="Z57" s="110" t="n">
        <f aca="false">IFERROR(Z56/Z38,0)</f>
        <v>0.0876812832741269</v>
      </c>
      <c r="AA57" s="110" t="n">
        <f aca="false">IFERROR(AA56/AA38,0)</f>
        <v>0.0586070517557828</v>
      </c>
      <c r="AB57" s="110" t="n">
        <f aca="false">IFERROR(AB56/AB38,0)</f>
        <v>0.0744423154932596</v>
      </c>
      <c r="AC57" s="110" t="n">
        <f aca="false">IFERROR(AC56/AC38,0)</f>
        <v>0.0895283242217435</v>
      </c>
      <c r="AD57" s="110" t="n">
        <f aca="false">IFERROR(AD56/AD38,0)</f>
        <v>0.103917026136949</v>
      </c>
      <c r="AE57" s="110" t="n">
        <f aca="false">IFERROR(AE56/AE38,0)</f>
        <v>0.0777707254546109</v>
      </c>
      <c r="AF57" s="110" t="n">
        <f aca="false">IFERROR(AF56/AF38,0)</f>
        <v>0.0917834599122854</v>
      </c>
      <c r="AG57" s="110" t="n">
        <f aca="false">IFERROR(AG56/AG38,0)</f>
        <v>0.105190491790117</v>
      </c>
      <c r="AH57" s="110" t="n">
        <f aca="false">IFERROR(AH56/AH38,0)</f>
        <v>0.118030262646317</v>
      </c>
      <c r="AI57" s="110" t="n">
        <f aca="false">IFERROR(AI56/AI38,0)</f>
        <v>0.130338028452165</v>
      </c>
      <c r="AJ57" s="110" t="n">
        <f aca="false">IFERROR(AJ56/AJ38,0)</f>
        <v>0.142146182874794</v>
      </c>
      <c r="AK57" s="110" t="n">
        <f aca="false">IFERROR(AK56/AK38,0)</f>
        <v>0.153484541973894</v>
      </c>
      <c r="AL57" s="110" t="n">
        <f aca="false">IFERROR(AL56/AL38,0)</f>
        <v>0.164380595580673</v>
      </c>
      <c r="AM57" s="110" t="n">
        <f aca="false">IFERROR(AM56/AM38,0)</f>
        <v>0.104519071351376</v>
      </c>
      <c r="AN57" s="110" t="n">
        <f aca="false">IFERROR(AN56/AN38,0)</f>
        <v>0.115925237430476</v>
      </c>
      <c r="AO57" s="110" t="n">
        <f aca="false">IFERROR(AO56/AO38,0)</f>
        <v>0.126911049678051</v>
      </c>
      <c r="AP57" s="110" t="n">
        <f aca="false">IFERROR(AP56/AP38,0)</f>
        <v>0.137499324742648</v>
      </c>
      <c r="AQ57" s="110" t="n">
        <f aca="false">IFERROR(AQ56/AQ38,0)</f>
        <v>0.147711257313741</v>
      </c>
      <c r="AR57" s="110" t="n">
        <f aca="false">IFERROR(AR56/AR38,0)</f>
        <v>0.157566561729665</v>
      </c>
      <c r="AS57" s="110" t="n">
        <f aca="false">IFERROR(AS56/AS38,0)</f>
        <v>0.157566561729665</v>
      </c>
      <c r="AT57" s="110" t="n">
        <f aca="false">IFERROR(AT56/AT38,0)</f>
        <v>0.157566561729665</v>
      </c>
      <c r="AU57" s="110" t="n">
        <f aca="false">IFERROR(AU56/AU38,0)</f>
        <v>0.157566561729665</v>
      </c>
      <c r="AV57" s="110" t="n">
        <f aca="false">IFERROR(AV56/AV38,0)</f>
        <v>0.157566561729665</v>
      </c>
      <c r="AW57" s="110" t="n">
        <f aca="false">IFERROR(AW56/AW38,0)</f>
        <v>0.157566561729665</v>
      </c>
      <c r="AX57" s="110" t="n">
        <f aca="false">IFERROR(AX56/AX38,0)</f>
        <v>0.157566561729665</v>
      </c>
      <c r="AY57" s="110" t="n">
        <f aca="false">IFERROR(AY56/AY38,0)</f>
        <v>0.12396650473511</v>
      </c>
      <c r="AZ57" s="110" t="n">
        <f aca="false">IFERROR(AZ56/AZ38,0)</f>
        <v>0.12396650473511</v>
      </c>
      <c r="BA57" s="110" t="n">
        <f aca="false">IFERROR(BA56/BA38,0)</f>
        <v>0.12396650473511</v>
      </c>
      <c r="BB57" s="110" t="n">
        <f aca="false">IFERROR(BB56/BB38,0)</f>
        <v>0.12396650473511</v>
      </c>
      <c r="BC57" s="110" t="n">
        <f aca="false">IFERROR(BC56/BC38,0)</f>
        <v>0.12396650473511</v>
      </c>
      <c r="BD57" s="110" t="n">
        <f aca="false">IFERROR(BD56/BD38,0)</f>
        <v>0.12396650473511</v>
      </c>
      <c r="BE57" s="110" t="n">
        <f aca="false">IFERROR(BE56/BE38,0)</f>
        <v>0.12396650473511</v>
      </c>
      <c r="BF57" s="110" t="n">
        <f aca="false">IFERROR(BF56/BF38,0)</f>
        <v>0.12396650473511</v>
      </c>
      <c r="BG57" s="110" t="n">
        <f aca="false">IFERROR(BG56/BG38,0)</f>
        <v>0.12396650473511</v>
      </c>
      <c r="BH57" s="110" t="n">
        <f aca="false">IFERROR(BH56/BH38,0)</f>
        <v>0.12396650473511</v>
      </c>
      <c r="BI57" s="110" t="n">
        <f aca="false">IFERROR(BI56/BI38,0)</f>
        <v>0.12396650473511</v>
      </c>
      <c r="BJ57" s="110" t="n">
        <f aca="false">IFERROR(BJ56/BJ38,0)</f>
        <v>0.12396650473511</v>
      </c>
      <c r="BK57" s="110" t="n">
        <f aca="false">IFERROR(BK56/BK38,0)</f>
        <v>0.0901277165753422</v>
      </c>
      <c r="BL57" s="110" t="n">
        <f aca="false">IFERROR(BL56/BL38,0)</f>
        <v>0.0901277165753422</v>
      </c>
      <c r="BM57" s="110" t="n">
        <f aca="false">IFERROR(BM56/BM38,0)</f>
        <v>0.0901277165753422</v>
      </c>
      <c r="BN57" s="110" t="n">
        <f aca="false">IFERROR(BN56/BN38,0)</f>
        <v>0.0901277165753422</v>
      </c>
      <c r="BO57" s="110" t="n">
        <f aca="false">IFERROR(BO56/BO38,0)</f>
        <v>0.0901277165753422</v>
      </c>
      <c r="BP57" s="110" t="n">
        <f aca="false">IFERROR(BP56/BP38,0)</f>
        <v>0.0901277165753422</v>
      </c>
      <c r="BQ57" s="110" t="n">
        <f aca="false">IFERROR(BQ56/BQ38,0)</f>
        <v>0.0901277165753422</v>
      </c>
      <c r="BR57" s="110" t="n">
        <f aca="false">IFERROR(BR56/BR38,0)</f>
        <v>0.0901277165753422</v>
      </c>
      <c r="BS57" s="110" t="n">
        <f aca="false">IFERROR(BS56/BS38,0)</f>
        <v>0.0901277165753422</v>
      </c>
      <c r="BT57" s="110" t="n">
        <f aca="false">IFERROR(BT56/BT38,0)</f>
        <v>0.0901277165753422</v>
      </c>
      <c r="BU57" s="110" t="n">
        <f aca="false">IFERROR(BU56/BU38,0)</f>
        <v>0.0901277165753422</v>
      </c>
      <c r="BV57" s="110" t="n">
        <f aca="false">IFERROR(BV56/BV38,0)</f>
        <v>0.0901277165753422</v>
      </c>
      <c r="BW57" s="110" t="n">
        <f aca="false">IFERROR(BW56/BW38,0)</f>
        <v>0.0560430353154039</v>
      </c>
      <c r="BX57" s="110" t="n">
        <f aca="false">IFERROR(BX56/BX38,0)</f>
        <v>0.0560430353154039</v>
      </c>
      <c r="BY57" s="110" t="n">
        <f aca="false">IFERROR(BY56/BY38,0)</f>
        <v>0.0560430353154039</v>
      </c>
      <c r="BZ57" s="110" t="n">
        <f aca="false">IFERROR(BZ56/BZ38,0)</f>
        <v>0.0560430353154039</v>
      </c>
      <c r="CA57" s="110" t="n">
        <f aca="false">IFERROR(CA56/CA38,0)</f>
        <v>0.0560430353154039</v>
      </c>
      <c r="CB57" s="110" t="n">
        <f aca="false">IFERROR(CB56/CB38,0)</f>
        <v>0.0560430353154039</v>
      </c>
      <c r="CC57" s="110" t="n">
        <f aca="false">IFERROR(CC56/CC38,0)</f>
        <v>0.0560430353154039</v>
      </c>
      <c r="CD57" s="110" t="n">
        <f aca="false">IFERROR(CD56/CD38,0)</f>
        <v>0.0560430353154039</v>
      </c>
      <c r="CE57" s="110" t="n">
        <f aca="false">IFERROR(CE56/CE38,0)</f>
        <v>0.0560430353154039</v>
      </c>
      <c r="CF57" s="110" t="n">
        <f aca="false">IFERROR(CF56/CF38,0)</f>
        <v>0.0560430353154039</v>
      </c>
      <c r="CG57" s="110" t="n">
        <f aca="false">IFERROR(CG56/CG38,0)</f>
        <v>0.0560430353154039</v>
      </c>
      <c r="CH57" s="110" t="n">
        <f aca="false">IFERROR(CH56/CH38,0)</f>
        <v>0.0560430353154039</v>
      </c>
    </row>
    <row r="58" customFormat="false" ht="13.5" hidden="false" customHeight="true" outlineLevel="0" collapsed="false">
      <c r="A58" s="6" t="s">
        <v>534</v>
      </c>
      <c r="C58" s="100" t="n">
        <f aca="false">-(CAPEX!$E$22)/(Hipótesis!$C$86*12)</f>
        <v>-1037.7380952381</v>
      </c>
      <c r="D58" s="100" t="n">
        <f aca="false">-(CAPEX!$E$22)/(Hipótesis!$C$86*12)</f>
        <v>-1037.7380952381</v>
      </c>
      <c r="E58" s="100" t="n">
        <f aca="false">-(CAPEX!$E$22)/(Hipótesis!$C$86*12)</f>
        <v>-1037.7380952381</v>
      </c>
      <c r="F58" s="100" t="n">
        <f aca="false">-(CAPEX!$E$22)/(Hipótesis!$C$86*12)</f>
        <v>-1037.7380952381</v>
      </c>
      <c r="G58" s="100" t="n">
        <f aca="false">-(CAPEX!$E$22)/(Hipótesis!$C$86*12)</f>
        <v>-1037.7380952381</v>
      </c>
      <c r="H58" s="100" t="n">
        <f aca="false">-(CAPEX!$E$22)/(Hipótesis!$C$86*12)</f>
        <v>-1037.7380952381</v>
      </c>
      <c r="I58" s="100" t="n">
        <f aca="false">-(CAPEX!$E$22)/(Hipótesis!$C$86*12)</f>
        <v>-1037.7380952381</v>
      </c>
      <c r="J58" s="100" t="n">
        <f aca="false">-(CAPEX!$E$22)/(Hipótesis!$C$86*12)</f>
        <v>-1037.7380952381</v>
      </c>
      <c r="K58" s="100" t="n">
        <f aca="false">-(CAPEX!$E$22)/(Hipótesis!$C$86*12)</f>
        <v>-1037.7380952381</v>
      </c>
      <c r="L58" s="100" t="n">
        <f aca="false">-(CAPEX!$E$22)/(Hipótesis!$C$86*12)</f>
        <v>-1037.7380952381</v>
      </c>
      <c r="M58" s="100" t="n">
        <f aca="false">-(CAPEX!$E$22)/(Hipótesis!$C$86*12)</f>
        <v>-1037.7380952381</v>
      </c>
      <c r="N58" s="100" t="n">
        <f aca="false">-(CAPEX!$E$22)/(Hipótesis!$C$86*12)</f>
        <v>-1037.7380952381</v>
      </c>
      <c r="O58" s="100" t="n">
        <f aca="false">-(CAPEX!$E$22)/(Hipótesis!$C$86*12)</f>
        <v>-1037.7380952381</v>
      </c>
      <c r="P58" s="100" t="n">
        <f aca="false">-(CAPEX!$E$22)/(Hipótesis!$C$86*12)</f>
        <v>-1037.7380952381</v>
      </c>
      <c r="Q58" s="100" t="n">
        <f aca="false">-(CAPEX!$E$22)/(Hipótesis!$C$86*12)</f>
        <v>-1037.7380952381</v>
      </c>
      <c r="R58" s="100" t="n">
        <f aca="false">-(CAPEX!$E$22)/(Hipótesis!$C$86*12)</f>
        <v>-1037.7380952381</v>
      </c>
      <c r="S58" s="100" t="n">
        <f aca="false">-(CAPEX!$E$22)/(Hipótesis!$C$86*12)</f>
        <v>-1037.7380952381</v>
      </c>
      <c r="T58" s="100" t="n">
        <f aca="false">-(CAPEX!$E$22)/(Hipótesis!$C$86*12)</f>
        <v>-1037.7380952381</v>
      </c>
      <c r="U58" s="100" t="n">
        <f aca="false">-(CAPEX!$E$22)/(Hipótesis!$C$86*12)</f>
        <v>-1037.7380952381</v>
      </c>
      <c r="V58" s="100" t="n">
        <f aca="false">-(CAPEX!$E$22)/(Hipótesis!$C$86*12)</f>
        <v>-1037.7380952381</v>
      </c>
      <c r="W58" s="100" t="n">
        <f aca="false">-(CAPEX!$E$22)/(Hipótesis!$C$86*12)</f>
        <v>-1037.7380952381</v>
      </c>
      <c r="X58" s="100" t="n">
        <f aca="false">-(CAPEX!$E$22)/(Hipótesis!$C$86*12)</f>
        <v>-1037.7380952381</v>
      </c>
      <c r="Y58" s="100" t="n">
        <f aca="false">-(CAPEX!$E$22)/(Hipótesis!$C$86*12)</f>
        <v>-1037.7380952381</v>
      </c>
      <c r="Z58" s="100" t="n">
        <f aca="false">-(CAPEX!$E$22)/(Hipótesis!$C$86*12)</f>
        <v>-1037.7380952381</v>
      </c>
      <c r="AA58" s="100" t="n">
        <f aca="false">-(CAPEX!$E$22)/(Hipótesis!$C$86*12)</f>
        <v>-1037.7380952381</v>
      </c>
      <c r="AB58" s="100" t="n">
        <f aca="false">-(CAPEX!$E$22)/(Hipótesis!$C$86*12)</f>
        <v>-1037.7380952381</v>
      </c>
      <c r="AC58" s="100" t="n">
        <f aca="false">-(CAPEX!$E$22)/(Hipótesis!$C$86*12)</f>
        <v>-1037.7380952381</v>
      </c>
      <c r="AD58" s="100" t="n">
        <f aca="false">-(CAPEX!$E$22)/(Hipótesis!$C$86*12)</f>
        <v>-1037.7380952381</v>
      </c>
      <c r="AE58" s="100" t="n">
        <f aca="false">-(CAPEX!$E$22)/(Hipótesis!$C$86*12)</f>
        <v>-1037.7380952381</v>
      </c>
      <c r="AF58" s="100" t="n">
        <f aca="false">-(CAPEX!$E$22)/(Hipótesis!$C$86*12)</f>
        <v>-1037.7380952381</v>
      </c>
      <c r="AG58" s="100" t="n">
        <f aca="false">-(CAPEX!$E$22)/(Hipótesis!$C$86*12)</f>
        <v>-1037.7380952381</v>
      </c>
      <c r="AH58" s="100" t="n">
        <f aca="false">-(CAPEX!$E$22)/(Hipótesis!$C$86*12)</f>
        <v>-1037.7380952381</v>
      </c>
      <c r="AI58" s="100" t="n">
        <f aca="false">-(CAPEX!$E$22)/(Hipótesis!$C$86*12)</f>
        <v>-1037.7380952381</v>
      </c>
      <c r="AJ58" s="100" t="n">
        <f aca="false">-(CAPEX!$E$22)/(Hipótesis!$C$86*12)</f>
        <v>-1037.7380952381</v>
      </c>
      <c r="AK58" s="100" t="n">
        <f aca="false">-(CAPEX!$E$22)/(Hipótesis!$C$86*12)</f>
        <v>-1037.7380952381</v>
      </c>
      <c r="AL58" s="100" t="n">
        <f aca="false">-(CAPEX!$E$22)/(Hipótesis!$C$86*12)</f>
        <v>-1037.7380952381</v>
      </c>
      <c r="AM58" s="100" t="n">
        <f aca="false">-(CAPEX!$E$22)/(Hipótesis!$C$86*12)</f>
        <v>-1037.7380952381</v>
      </c>
      <c r="AN58" s="100" t="n">
        <f aca="false">-(CAPEX!$E$22)/(Hipótesis!$C$86*12)</f>
        <v>-1037.7380952381</v>
      </c>
      <c r="AO58" s="100" t="n">
        <f aca="false">-(CAPEX!$E$22)/(Hipótesis!$C$86*12)</f>
        <v>-1037.7380952381</v>
      </c>
      <c r="AP58" s="100" t="n">
        <f aca="false">-(CAPEX!$E$22)/(Hipótesis!$C$86*12)</f>
        <v>-1037.7380952381</v>
      </c>
      <c r="AQ58" s="100" t="n">
        <f aca="false">-(CAPEX!$E$22)/(Hipótesis!$C$86*12)</f>
        <v>-1037.7380952381</v>
      </c>
      <c r="AR58" s="100" t="n">
        <f aca="false">-(CAPEX!$E$22)/(Hipótesis!$C$86*12)</f>
        <v>-1037.7380952381</v>
      </c>
      <c r="AS58" s="100" t="n">
        <f aca="false">-(CAPEX!$E$22)/(Hipótesis!$C$86*12)</f>
        <v>-1037.7380952381</v>
      </c>
      <c r="AT58" s="100" t="n">
        <f aca="false">-(CAPEX!$E$22)/(Hipótesis!$C$86*12)</f>
        <v>-1037.7380952381</v>
      </c>
      <c r="AU58" s="100" t="n">
        <f aca="false">-(CAPEX!$E$22)/(Hipótesis!$C$86*12)</f>
        <v>-1037.7380952381</v>
      </c>
      <c r="AV58" s="100" t="n">
        <f aca="false">-(CAPEX!$E$22)/(Hipótesis!$C$86*12)</f>
        <v>-1037.7380952381</v>
      </c>
      <c r="AW58" s="100" t="n">
        <f aca="false">-(CAPEX!$E$22)/(Hipótesis!$C$86*12)</f>
        <v>-1037.7380952381</v>
      </c>
      <c r="AX58" s="100" t="n">
        <f aca="false">-(CAPEX!$E$22)/(Hipótesis!$C$86*12)</f>
        <v>-1037.7380952381</v>
      </c>
      <c r="AY58" s="100" t="n">
        <f aca="false">-(CAPEX!$E$22)/(Hipótesis!$C$86*12)</f>
        <v>-1037.7380952381</v>
      </c>
      <c r="AZ58" s="100" t="n">
        <f aca="false">-(CAPEX!$E$22)/(Hipótesis!$C$86*12)</f>
        <v>-1037.7380952381</v>
      </c>
      <c r="BA58" s="100" t="n">
        <f aca="false">-(CAPEX!$E$22)/(Hipótesis!$C$86*12)</f>
        <v>-1037.7380952381</v>
      </c>
      <c r="BB58" s="100" t="n">
        <f aca="false">-(CAPEX!$E$22)/(Hipótesis!$C$86*12)</f>
        <v>-1037.7380952381</v>
      </c>
      <c r="BC58" s="100" t="n">
        <f aca="false">-(CAPEX!$E$22)/(Hipótesis!$C$86*12)</f>
        <v>-1037.7380952381</v>
      </c>
      <c r="BD58" s="100" t="n">
        <f aca="false">-(CAPEX!$E$22)/(Hipótesis!$C$86*12)</f>
        <v>-1037.7380952381</v>
      </c>
      <c r="BE58" s="100" t="n">
        <f aca="false">-(CAPEX!$E$22)/(Hipótesis!$C$86*12)</f>
        <v>-1037.7380952381</v>
      </c>
      <c r="BF58" s="100" t="n">
        <f aca="false">-(CAPEX!$E$22)/(Hipótesis!$C$86*12)</f>
        <v>-1037.7380952381</v>
      </c>
      <c r="BG58" s="100" t="n">
        <f aca="false">-(CAPEX!$E$22)/(Hipótesis!$C$86*12)</f>
        <v>-1037.7380952381</v>
      </c>
      <c r="BH58" s="100" t="n">
        <f aca="false">-(CAPEX!$E$22)/(Hipótesis!$C$86*12)</f>
        <v>-1037.7380952381</v>
      </c>
      <c r="BI58" s="100" t="n">
        <f aca="false">-(CAPEX!$E$22)/(Hipótesis!$C$86*12)</f>
        <v>-1037.7380952381</v>
      </c>
      <c r="BJ58" s="100" t="n">
        <f aca="false">-(CAPEX!$E$22)/(Hipótesis!$C$86*12)</f>
        <v>-1037.7380952381</v>
      </c>
      <c r="BK58" s="100" t="n">
        <f aca="false">-(CAPEX!$E$22)/(Hipótesis!$C$86*12)</f>
        <v>-1037.7380952381</v>
      </c>
      <c r="BL58" s="100" t="n">
        <f aca="false">-(CAPEX!$E$22)/(Hipótesis!$C$86*12)</f>
        <v>-1037.7380952381</v>
      </c>
      <c r="BM58" s="100" t="n">
        <f aca="false">-(CAPEX!$E$22)/(Hipótesis!$C$86*12)</f>
        <v>-1037.7380952381</v>
      </c>
      <c r="BN58" s="100" t="n">
        <f aca="false">-(CAPEX!$E$22)/(Hipótesis!$C$86*12)</f>
        <v>-1037.7380952381</v>
      </c>
      <c r="BO58" s="100" t="n">
        <f aca="false">-(CAPEX!$E$22)/(Hipótesis!$C$86*12)</f>
        <v>-1037.7380952381</v>
      </c>
      <c r="BP58" s="100" t="n">
        <f aca="false">-(CAPEX!$E$22)/(Hipótesis!$C$86*12)</f>
        <v>-1037.7380952381</v>
      </c>
      <c r="BQ58" s="100" t="n">
        <f aca="false">-(CAPEX!$E$22)/(Hipótesis!$C$86*12)</f>
        <v>-1037.7380952381</v>
      </c>
      <c r="BR58" s="100" t="n">
        <f aca="false">-(CAPEX!$E$22)/(Hipótesis!$C$86*12)</f>
        <v>-1037.7380952381</v>
      </c>
      <c r="BS58" s="100" t="n">
        <f aca="false">-(CAPEX!$E$22)/(Hipótesis!$C$86*12)</f>
        <v>-1037.7380952381</v>
      </c>
      <c r="BT58" s="100" t="n">
        <f aca="false">-(CAPEX!$E$22)/(Hipótesis!$C$86*12)</f>
        <v>-1037.7380952381</v>
      </c>
      <c r="BU58" s="100" t="n">
        <f aca="false">-(CAPEX!$E$22)/(Hipótesis!$C$86*12)</f>
        <v>-1037.7380952381</v>
      </c>
      <c r="BV58" s="100" t="n">
        <f aca="false">-(CAPEX!$E$22)/(Hipótesis!$C$86*12)</f>
        <v>-1037.7380952381</v>
      </c>
      <c r="BW58" s="100" t="n">
        <f aca="false">-(CAPEX!$E$22)/(Hipótesis!$C$86*12)</f>
        <v>-1037.7380952381</v>
      </c>
      <c r="BX58" s="100" t="n">
        <f aca="false">-(CAPEX!$E$22)/(Hipótesis!$C$86*12)</f>
        <v>-1037.7380952381</v>
      </c>
      <c r="BY58" s="100" t="n">
        <f aca="false">-(CAPEX!$E$22)/(Hipótesis!$C$86*12)</f>
        <v>-1037.7380952381</v>
      </c>
      <c r="BZ58" s="100" t="n">
        <f aca="false">-(CAPEX!$E$22)/(Hipótesis!$C$86*12)</f>
        <v>-1037.7380952381</v>
      </c>
      <c r="CA58" s="100" t="n">
        <f aca="false">-(CAPEX!$E$22)/(Hipótesis!$C$86*12)</f>
        <v>-1037.7380952381</v>
      </c>
      <c r="CB58" s="100" t="n">
        <f aca="false">-(CAPEX!$E$22)/(Hipótesis!$C$86*12)</f>
        <v>-1037.7380952381</v>
      </c>
      <c r="CC58" s="100" t="n">
        <f aca="false">-(CAPEX!$E$22)/(Hipótesis!$C$86*12)</f>
        <v>-1037.7380952381</v>
      </c>
      <c r="CD58" s="100" t="n">
        <f aca="false">-(CAPEX!$E$22)/(Hipótesis!$C$86*12)</f>
        <v>-1037.7380952381</v>
      </c>
      <c r="CE58" s="100" t="n">
        <f aca="false">-(CAPEX!$E$22)/(Hipótesis!$C$86*12)</f>
        <v>-1037.7380952381</v>
      </c>
      <c r="CF58" s="100" t="n">
        <f aca="false">-(CAPEX!$E$22)/(Hipótesis!$C$86*12)</f>
        <v>-1037.7380952381</v>
      </c>
      <c r="CG58" s="100" t="n">
        <f aca="false">-(CAPEX!$E$22)/(Hipótesis!$C$86*12)</f>
        <v>-1037.7380952381</v>
      </c>
      <c r="CH58" s="100" t="n">
        <f aca="false">-(CAPEX!$E$22)/(Hipótesis!$C$86*12)</f>
        <v>-1037.7380952381</v>
      </c>
    </row>
    <row r="59" customFormat="false" ht="13.5" hidden="false" customHeight="true" outlineLevel="0" collapsed="false">
      <c r="A59" s="22" t="s">
        <v>535</v>
      </c>
      <c r="C59" s="100" t="n">
        <f aca="false">C56+C58</f>
        <v>-15683.2994050795</v>
      </c>
      <c r="D59" s="100" t="n">
        <f aca="false">D56+D58</f>
        <v>-14875.3471029503</v>
      </c>
      <c r="E59" s="100" t="n">
        <f aca="false">E56+E58</f>
        <v>-13264.2309028513</v>
      </c>
      <c r="F59" s="100" t="n">
        <f aca="false">F56+F58</f>
        <v>-12409.5533929109</v>
      </c>
      <c r="G59" s="100" t="n">
        <f aca="false">G56+G58</f>
        <v>-11606.3894949412</v>
      </c>
      <c r="H59" s="100" t="n">
        <f aca="false">H56+H58</f>
        <v>-10374.4592098088</v>
      </c>
      <c r="I59" s="100" t="n">
        <f aca="false">I56+I58</f>
        <v>-8182.38326661052</v>
      </c>
      <c r="J59" s="100" t="n">
        <f aca="false">J56+J58</f>
        <v>-5990.30732341223</v>
      </c>
      <c r="K59" s="100" t="n">
        <f aca="false">K56+K58</f>
        <v>-3798.23138021394</v>
      </c>
      <c r="L59" s="100" t="n">
        <f aca="false">L56+L58</f>
        <v>-1606.15543701565</v>
      </c>
      <c r="M59" s="100" t="n">
        <f aca="false">M56+M58</f>
        <v>-2461.24339178715</v>
      </c>
      <c r="N59" s="100" t="n">
        <f aca="false">N56+N58</f>
        <v>-507.396147049501</v>
      </c>
      <c r="O59" s="100" t="n">
        <f aca="false">O56+O58</f>
        <v>-3848.06890231185</v>
      </c>
      <c r="P59" s="100" t="n">
        <f aca="false">P56+P58</f>
        <v>-2120.50396493308</v>
      </c>
      <c r="Q59" s="100" t="n">
        <f aca="false">Q56+Q58</f>
        <v>-2704.25902755431</v>
      </c>
      <c r="R59" s="100" t="n">
        <f aca="false">R56+R58</f>
        <v>-976.694090175544</v>
      </c>
      <c r="S59" s="100" t="n">
        <f aca="false">S56+S58</f>
        <v>750.87084720322</v>
      </c>
      <c r="T59" s="100" t="n">
        <f aca="false">T56+T58</f>
        <v>167.115784581998</v>
      </c>
      <c r="U59" s="100" t="n">
        <f aca="false">U56+U58</f>
        <v>1894.68072196077</v>
      </c>
      <c r="V59" s="100" t="n">
        <f aca="false">V56+V58</f>
        <v>903.045659339532</v>
      </c>
      <c r="W59" s="100" t="n">
        <f aca="false">W56+W58</f>
        <v>2630.6105967183</v>
      </c>
      <c r="X59" s="100" t="n">
        <f aca="false">X56+X58</f>
        <v>1481.9203345879</v>
      </c>
      <c r="Y59" s="100" t="n">
        <f aca="false">Y56+Y58</f>
        <v>2644.55007245753</v>
      </c>
      <c r="Z59" s="100" t="n">
        <f aca="false">Z56+Z58</f>
        <v>3604.69573052348</v>
      </c>
      <c r="AA59" s="100" t="n">
        <f aca="false">AA56+AA58</f>
        <v>2144.33098858943</v>
      </c>
      <c r="AB59" s="100" t="n">
        <f aca="false">AB56+AB58</f>
        <v>3104.47664665538</v>
      </c>
      <c r="AC59" s="100" t="n">
        <f aca="false">AC56+AC58</f>
        <v>4064.62230472133</v>
      </c>
      <c r="AD59" s="100" t="n">
        <f aca="false">AD56+AD58</f>
        <v>5024.76796278728</v>
      </c>
      <c r="AE59" s="100" t="n">
        <f aca="false">AE56+AE58</f>
        <v>3604.25402085323</v>
      </c>
      <c r="AF59" s="100" t="n">
        <f aca="false">AF56+AF58</f>
        <v>4564.39967891917</v>
      </c>
      <c r="AG59" s="100" t="n">
        <f aca="false">AG56+AG58</f>
        <v>5524.54533698511</v>
      </c>
      <c r="AH59" s="100" t="n">
        <f aca="false">AH56+AH58</f>
        <v>6484.69099505107</v>
      </c>
      <c r="AI59" s="100" t="n">
        <f aca="false">AI56+AI58</f>
        <v>7444.83665311701</v>
      </c>
      <c r="AJ59" s="100" t="n">
        <f aca="false">AJ56+AJ58</f>
        <v>8404.98231118296</v>
      </c>
      <c r="AK59" s="100" t="n">
        <f aca="false">AK56+AK58</f>
        <v>9365.12796924891</v>
      </c>
      <c r="AL59" s="100" t="n">
        <f aca="false">AL56+AL58</f>
        <v>10325.2736273149</v>
      </c>
      <c r="AM59" s="100" t="n">
        <f aca="false">AM56+AM58</f>
        <v>6328.19439738082</v>
      </c>
      <c r="AN59" s="100" t="n">
        <f aca="false">AN56+AN58</f>
        <v>7288.34005544676</v>
      </c>
      <c r="AO59" s="100" t="n">
        <f aca="false">AO56+AO58</f>
        <v>8248.48571351272</v>
      </c>
      <c r="AP59" s="100" t="n">
        <f aca="false">AP56+AP58</f>
        <v>9208.63137157867</v>
      </c>
      <c r="AQ59" s="100" t="n">
        <f aca="false">AQ56+AQ58</f>
        <v>10168.7770296446</v>
      </c>
      <c r="AR59" s="100" t="n">
        <f aca="false">AR56+AR58</f>
        <v>11128.9226877106</v>
      </c>
      <c r="AS59" s="100" t="n">
        <f aca="false">AS56+AS58</f>
        <v>11128.9226877106</v>
      </c>
      <c r="AT59" s="100" t="n">
        <f aca="false">AT56+AT58</f>
        <v>11128.9226877106</v>
      </c>
      <c r="AU59" s="100" t="n">
        <f aca="false">AU56+AU58</f>
        <v>11128.9226877106</v>
      </c>
      <c r="AV59" s="100" t="n">
        <f aca="false">AV56+AV58</f>
        <v>11128.9226877106</v>
      </c>
      <c r="AW59" s="100" t="n">
        <f aca="false">AW56+AW58</f>
        <v>11128.9226877106</v>
      </c>
      <c r="AX59" s="100" t="n">
        <f aca="false">AX56+AX58</f>
        <v>11128.9226877106</v>
      </c>
      <c r="AY59" s="100" t="n">
        <f aca="false">AY56+AY58</f>
        <v>8534.46044107057</v>
      </c>
      <c r="AZ59" s="100" t="n">
        <f aca="false">AZ56+AZ58</f>
        <v>8534.46044107057</v>
      </c>
      <c r="BA59" s="100" t="n">
        <f aca="false">BA56+BA58</f>
        <v>8534.46044107057</v>
      </c>
      <c r="BB59" s="100" t="n">
        <f aca="false">BB56+BB58</f>
        <v>8534.46044107057</v>
      </c>
      <c r="BC59" s="100" t="n">
        <f aca="false">BC56+BC58</f>
        <v>8534.46044107057</v>
      </c>
      <c r="BD59" s="100" t="n">
        <f aca="false">BD56+BD58</f>
        <v>8534.46044107057</v>
      </c>
      <c r="BE59" s="100" t="n">
        <f aca="false">BE56+BE58</f>
        <v>8534.46044107057</v>
      </c>
      <c r="BF59" s="100" t="n">
        <f aca="false">BF56+BF58</f>
        <v>8534.46044107057</v>
      </c>
      <c r="BG59" s="100" t="n">
        <f aca="false">BG56+BG58</f>
        <v>8534.46044107057</v>
      </c>
      <c r="BH59" s="100" t="n">
        <f aca="false">BH56+BH58</f>
        <v>8534.46044107057</v>
      </c>
      <c r="BI59" s="100" t="n">
        <f aca="false">BI56+BI58</f>
        <v>8534.46044107057</v>
      </c>
      <c r="BJ59" s="100" t="n">
        <f aca="false">BJ56+BJ58</f>
        <v>8534.46044107057</v>
      </c>
      <c r="BK59" s="100" t="n">
        <f aca="false">BK56+BK58</f>
        <v>5921.56432703137</v>
      </c>
      <c r="BL59" s="100" t="n">
        <f aca="false">BL56+BL58</f>
        <v>5921.56432703137</v>
      </c>
      <c r="BM59" s="100" t="n">
        <f aca="false">BM56+BM58</f>
        <v>5921.56432703137</v>
      </c>
      <c r="BN59" s="100" t="n">
        <f aca="false">BN56+BN58</f>
        <v>5921.56432703137</v>
      </c>
      <c r="BO59" s="100" t="n">
        <f aca="false">BO56+BO58</f>
        <v>5921.56432703137</v>
      </c>
      <c r="BP59" s="100" t="n">
        <f aca="false">BP56+BP58</f>
        <v>5921.56432703137</v>
      </c>
      <c r="BQ59" s="100" t="n">
        <f aca="false">BQ56+BQ58</f>
        <v>5921.56432703137</v>
      </c>
      <c r="BR59" s="100" t="n">
        <f aca="false">BR56+BR58</f>
        <v>5921.56432703137</v>
      </c>
      <c r="BS59" s="100" t="n">
        <f aca="false">BS56+BS58</f>
        <v>5921.56432703137</v>
      </c>
      <c r="BT59" s="100" t="n">
        <f aca="false">BT56+BT58</f>
        <v>5921.56432703137</v>
      </c>
      <c r="BU59" s="100" t="n">
        <f aca="false">BU56+BU58</f>
        <v>5921.56432703137</v>
      </c>
      <c r="BV59" s="100" t="n">
        <f aca="false">BV56+BV58</f>
        <v>5921.56432703137</v>
      </c>
      <c r="BW59" s="100" t="n">
        <f aca="false">BW56+BW58</f>
        <v>3289.68132957099</v>
      </c>
      <c r="BX59" s="100" t="n">
        <f aca="false">BX56+BX58</f>
        <v>3289.68132957099</v>
      </c>
      <c r="BY59" s="100" t="n">
        <f aca="false">BY56+BY58</f>
        <v>3289.68132957099</v>
      </c>
      <c r="BZ59" s="100" t="n">
        <f aca="false">BZ56+BZ58</f>
        <v>3289.68132957099</v>
      </c>
      <c r="CA59" s="100" t="n">
        <f aca="false">CA56+CA58</f>
        <v>3289.68132957099</v>
      </c>
      <c r="CB59" s="100" t="n">
        <f aca="false">CB56+CB58</f>
        <v>3289.68132957099</v>
      </c>
      <c r="CC59" s="100" t="n">
        <f aca="false">CC56+CC58</f>
        <v>3289.68132957099</v>
      </c>
      <c r="CD59" s="100" t="n">
        <f aca="false">CD56+CD58</f>
        <v>3289.68132957099</v>
      </c>
      <c r="CE59" s="100" t="n">
        <f aca="false">CE56+CE58</f>
        <v>3289.68132957099</v>
      </c>
      <c r="CF59" s="100" t="n">
        <f aca="false">CF56+CF58</f>
        <v>3289.68132957099</v>
      </c>
      <c r="CG59" s="100" t="n">
        <f aca="false">CG56+CG58</f>
        <v>3289.68132957099</v>
      </c>
      <c r="CH59" s="100" t="n">
        <f aca="false">CH56+CH58</f>
        <v>3289.68132957099</v>
      </c>
    </row>
    <row r="60" customFormat="false" ht="13.5" hidden="false" customHeight="true" outlineLevel="0" collapsed="false">
      <c r="A60" s="6" t="s">
        <v>536</v>
      </c>
      <c r="C60" s="100" t="n">
        <f aca="false">-(C91+C98+C103+C77+C68*Hipótesis!$D$73*Hipótesis!$D$74/12)</f>
        <v>-337.858420833333</v>
      </c>
      <c r="D60" s="100" t="n">
        <f aca="false">-(D91+D98+D103+D77+D68*Hipótesis!$D$73*Hipótesis!$D$74/12)</f>
        <v>-342.735858333333</v>
      </c>
      <c r="E60" s="100" t="n">
        <f aca="false">-(E91+E98+E103+E77+E68*Hipótesis!$D$73*Hipótesis!$D$74/12)</f>
        <v>-352.916897395833</v>
      </c>
      <c r="F60" s="100" t="n">
        <f aca="false">-(F91+F98+F103+F77+F68*Hipótesis!$D$73*Hipótesis!$D$74/12)</f>
        <v>-358.572848958333</v>
      </c>
      <c r="G60" s="100" t="n">
        <f aca="false">-(G91+G98+G103+G77+G68*Hipótesis!$D$73*Hipótesis!$D$74/12)</f>
        <v>-363.876450520833</v>
      </c>
      <c r="H60" s="100" t="n">
        <f aca="false">-(H91+H98+H103+H77+H68*Hipótesis!$D$73*Hipótesis!$D$74/12)</f>
        <v>-372.409927083333</v>
      </c>
      <c r="I60" s="100" t="n">
        <f aca="false">-(I91+I98+I103+I77+I68*Hipótesis!$D$73*Hipótesis!$D$74/12)</f>
        <v>-387.684880356101</v>
      </c>
      <c r="J60" s="100" t="n">
        <f aca="false">-(J91+J98+J103+J77+J68*Hipótesis!$D$73*Hipótesis!$D$74/12)</f>
        <v>-402.95983362887</v>
      </c>
      <c r="K60" s="100" t="n">
        <f aca="false">-(K91+K98+K103+K77+K68*Hipótesis!$D$73*Hipótesis!$D$74/12)</f>
        <v>-418.234786901638</v>
      </c>
      <c r="L60" s="100" t="n">
        <f aca="false">-(L91+L98+L103+L77+L68*Hipótesis!$D$73*Hipótesis!$D$74/12)</f>
        <v>-469.223221545301</v>
      </c>
      <c r="M60" s="100" t="n">
        <f aca="false">-(M91+M98+M103+M77+M68*Hipótesis!$D$73*Hipótesis!$D$74/12)</f>
        <v>-501.571415395569</v>
      </c>
      <c r="N60" s="100" t="n">
        <f aca="false">-(N91+N98+N103+N77+N68*Hipótesis!$D$73*Hipótesis!$D$74/12)</f>
        <v>-547.571423118643</v>
      </c>
      <c r="O60" s="100" t="n">
        <f aca="false">-(O91+O98+O103+O77+O68*Hipótesis!$D$73*Hipótesis!$D$74/12)</f>
        <v>-564.738763501984</v>
      </c>
      <c r="P60" s="100" t="n">
        <f aca="false">-(P91+P98+P103+P77+P68*Hipótesis!$D$73*Hipótesis!$D$74/12)</f>
        <v>-598.553835084149</v>
      </c>
      <c r="Q60" s="100" t="n">
        <f aca="false">-(Q91+Q98+Q103+Q77+Q68*Hipótesis!$D$73*Hipótesis!$D$74/12)</f>
        <v>-624.39341583728</v>
      </c>
      <c r="R60" s="100" t="n">
        <f aca="false">-(R91+R98+R103+R77+R68*Hipótesis!$D$73*Hipótesis!$D$74/12)</f>
        <v>-654.44977073922</v>
      </c>
      <c r="S60" s="100" t="n">
        <f aca="false">-(S91+S98+S103+S77+S68*Hipótesis!$D$73*Hipótesis!$D$74/12)</f>
        <v>-710.258215216558</v>
      </c>
      <c r="T60" s="100" t="n">
        <f aca="false">-(T91+T98+T103+T77+T68*Hipótesis!$D$73*Hipótesis!$D$74/12)</f>
        <v>-712.407882218016</v>
      </c>
      <c r="U60" s="100" t="n">
        <f aca="false">-(U91+U98+U103+U77+U68*Hipótesis!$D$73*Hipótesis!$D$74/12)</f>
        <v>-763.643343311179</v>
      </c>
      <c r="V60" s="100" t="n">
        <f aca="false">-(V91+V98+V103+V77+V68*Hipótesis!$D$73*Hipótesis!$D$74/12)</f>
        <v>-753.791134434614</v>
      </c>
      <c r="W60" s="100" t="n">
        <f aca="false">-(W91+W98+W103+W77+W68*Hipótesis!$D$73*Hipótesis!$D$74/12)</f>
        <v>-802.349706524521</v>
      </c>
      <c r="X60" s="100" t="n">
        <f aca="false">-(X91+X98+X103+X77+X68*Hipótesis!$D$73*Hipótesis!$D$74/12)</f>
        <v>-782.639589258234</v>
      </c>
      <c r="Y60" s="100" t="n">
        <f aca="false">-(Y91+Y98+Y103+Y77+Y68*Hipótesis!$D$73*Hipótesis!$D$74/12)</f>
        <v>-812.788216746372</v>
      </c>
      <c r="Z60" s="100" t="n">
        <f aca="false">-(Z91+Z98+Z103+Z77+Z68*Hipótesis!$D$73*Hipótesis!$D$74/12)</f>
        <v>-832.963291546751</v>
      </c>
      <c r="AA60" s="100" t="n">
        <f aca="false">-(AA91+AA98+AA103+AA77+AA68*Hipótesis!$D$73*Hipótesis!$D$74/12)</f>
        <v>-800.870693441353</v>
      </c>
      <c r="AB60" s="100" t="n">
        <f aca="false">-(AB91+AB98+AB103+AB77+AB68*Hipótesis!$D$73*Hipótesis!$D$74/12)</f>
        <v>-824.942374838798</v>
      </c>
      <c r="AC60" s="100" t="n">
        <f aca="false">-(AC91+AC98+AC103+AC77+AC68*Hipótesis!$D$73*Hipótesis!$D$74/12)</f>
        <v>-845.473695977981</v>
      </c>
      <c r="AD60" s="100" t="n">
        <f aca="false">-(AD91+AD98+AD103+AD77+AD68*Hipótesis!$D$73*Hipótesis!$D$74/12)</f>
        <v>-862.450864205395</v>
      </c>
      <c r="AE60" s="100" t="n">
        <f aca="false">-(AE91+AE98+AE103+AE77+AE68*Hipótesis!$D$73*Hipótesis!$D$74/12)</f>
        <v>-828.246841133657</v>
      </c>
      <c r="AF60" s="100" t="n">
        <f aca="false">-(AF91+AF98+AF103+AF77+AF68*Hipótesis!$D$73*Hipótesis!$D$74/12)</f>
        <v>-847.163270396662</v>
      </c>
      <c r="AG60" s="100" t="n">
        <f aca="false">-(AG91+AG98+AG103+AG77+AG68*Hipótesis!$D$73*Hipótesis!$D$74/12)</f>
        <v>-862.519255398298</v>
      </c>
      <c r="AH60" s="100" t="n">
        <f aca="false">-(AH91+AH98+AH103+AH77+AH68*Hipótesis!$D$73*Hipótesis!$D$74/12)</f>
        <v>-874.300925241131</v>
      </c>
      <c r="AI60" s="100" t="n">
        <f aca="false">-(AI91+AI98+AI103+AI77+AI68*Hipótesis!$D$73*Hipótesis!$D$74/12)</f>
        <v>-882.49435498902</v>
      </c>
      <c r="AJ60" s="100" t="n">
        <f aca="false">-(AJ91+AJ98+AJ103+AJ77+AJ68*Hipótesis!$D$73*Hipótesis!$D$74/12)</f>
        <v>-887.085565456596</v>
      </c>
      <c r="AK60" s="100" t="n">
        <f aca="false">-(AK91+AK98+AK103+AK77+AK68*Hipótesis!$D$73*Hipótesis!$D$74/12)</f>
        <v>-888.060522997913</v>
      </c>
      <c r="AL60" s="100" t="n">
        <f aca="false">-(AL91+AL98+AL103+AL77+AL68*Hipótesis!$D$73*Hipótesis!$D$74/12)</f>
        <v>-885.40513929428</v>
      </c>
      <c r="AM60" s="100" t="n">
        <f aca="false">-(AM91+AM98+AM103+AM77+AM68*Hipótesis!$D$73*Hipótesis!$D$74/12)</f>
        <v>-779.96077338126</v>
      </c>
      <c r="AN60" s="100" t="n">
        <f aca="false">-(AN91+AN98+AN103+AN77+AN68*Hipótesis!$D$73*Hipótesis!$D$74/12)</f>
        <v>-791.471434406166</v>
      </c>
      <c r="AO60" s="100" t="n">
        <f aca="false">-(AO91+AO98+AO103+AO77+AO68*Hipótesis!$D$73*Hipótesis!$D$74/12)</f>
        <v>-807.135638169419</v>
      </c>
      <c r="AP60" s="100" t="n">
        <f aca="false">-(AP91+AP98+AP103+AP77+AP68*Hipótesis!$D$73*Hipótesis!$D$74/12)</f>
        <v>-827.524472485451</v>
      </c>
      <c r="AQ60" s="100" t="n">
        <f aca="false">-(AQ91+AQ98+AQ103+AQ77+AQ68*Hipótesis!$D$73*Hipótesis!$D$74/12)</f>
        <v>-847.913306801482</v>
      </c>
      <c r="AR60" s="100" t="n">
        <f aca="false">-(AR91+AR98+AR103+AR77+AR68*Hipótesis!$D$73*Hipótesis!$D$74/12)</f>
        <v>-868.302141117514</v>
      </c>
      <c r="AS60" s="100" t="n">
        <f aca="false">-(AS91+AS98+AS103+AS77+AS68*Hipótesis!$D$73*Hipótesis!$D$74/12)</f>
        <v>-862.746585561958</v>
      </c>
      <c r="AT60" s="100" t="n">
        <f aca="false">-(AT91+AT98+AT103+AT77+AT68*Hipótesis!$D$73*Hipótesis!$D$74/12)</f>
        <v>-857.191030006403</v>
      </c>
      <c r="AU60" s="100" t="n">
        <f aca="false">-(AU91+AU98+AU103+AU77+AU68*Hipótesis!$D$73*Hipótesis!$D$74/12)</f>
        <v>-851.635474450847</v>
      </c>
      <c r="AV60" s="100" t="n">
        <f aca="false">-(AV91+AV98+AV103+AV77+AV68*Hipótesis!$D$73*Hipótesis!$D$74/12)</f>
        <v>-846.079918895292</v>
      </c>
      <c r="AW60" s="100" t="n">
        <f aca="false">-(AW91+AW98+AW103+AW77+AW68*Hipótesis!$D$73*Hipótesis!$D$74/12)</f>
        <v>-840.524363339736</v>
      </c>
      <c r="AX60" s="100" t="n">
        <f aca="false">-(AX91+AX98+AX103+AX77+AX68*Hipótesis!$D$73*Hipótesis!$D$74/12)</f>
        <v>-834.968807784181</v>
      </c>
      <c r="AY60" s="100" t="n">
        <f aca="false">-(AY91+AY98+AY103+AY77+AY68*Hipótesis!$D$73*Hipótesis!$D$74/12)</f>
        <v>-777.524007295825</v>
      </c>
      <c r="AZ60" s="100" t="n">
        <f aca="false">-(AZ91+AZ98+AZ103+AZ77+AZ68*Hipótesis!$D$73*Hipótesis!$D$74/12)</f>
        <v>-771.968451740269</v>
      </c>
      <c r="BA60" s="100" t="n">
        <f aca="false">-(BA91+BA98+BA103+BA77+BA68*Hipótesis!$D$73*Hipótesis!$D$74/12)</f>
        <v>-766.412896184714</v>
      </c>
      <c r="BB60" s="100" t="n">
        <f aca="false">-(BB91+BB98+BB103+BB77+BB68*Hipótesis!$D$73*Hipótesis!$D$74/12)</f>
        <v>-760.857340629158</v>
      </c>
      <c r="BC60" s="100" t="n">
        <f aca="false">-(BC91+BC98+BC103+BC77+BC68*Hipótesis!$D$73*Hipótesis!$D$74/12)</f>
        <v>-755.301785073603</v>
      </c>
      <c r="BD60" s="100" t="n">
        <f aca="false">-(BD91+BD98+BD103+BD77+BD68*Hipótesis!$D$73*Hipótesis!$D$74/12)</f>
        <v>-749.746229518047</v>
      </c>
      <c r="BE60" s="100" t="n">
        <f aca="false">-(BE91+BE98+BE103+BE77+BE68*Hipótesis!$D$73*Hipótesis!$D$74/12)</f>
        <v>-744.190673962492</v>
      </c>
      <c r="BF60" s="100" t="n">
        <f aca="false">-(BF91+BF98+BF103+BF77+BF68*Hipótesis!$D$73*Hipótesis!$D$74/12)</f>
        <v>-738.635118406936</v>
      </c>
      <c r="BG60" s="100" t="n">
        <f aca="false">-(BG91+BG98+BG103+BG77+BG68*Hipótesis!$D$73*Hipótesis!$D$74/12)</f>
        <v>-733.079562851381</v>
      </c>
      <c r="BH60" s="100" t="n">
        <f aca="false">-(BH91+BH98+BH103+BH77+BH68*Hipótesis!$D$73*Hipótesis!$D$74/12)</f>
        <v>-727.524007295825</v>
      </c>
      <c r="BI60" s="100" t="n">
        <f aca="false">-(BI91+BI98+BI103+BI77+BI68*Hipótesis!$D$73*Hipótesis!$D$74/12)</f>
        <v>-721.968451740269</v>
      </c>
      <c r="BJ60" s="100" t="n">
        <f aca="false">-(BJ91+BJ98+BJ103+BJ77+BJ68*Hipótesis!$D$73*Hipótesis!$D$74/12)</f>
        <v>-716.412896184714</v>
      </c>
      <c r="BK60" s="100" t="n">
        <f aca="false">-(BK91+BK98+BK103+BK77+BK68*Hipótesis!$D$73*Hipótesis!$D$74/12)</f>
        <v>-658.599418348374</v>
      </c>
      <c r="BL60" s="100" t="n">
        <f aca="false">-(BL91+BL98+BL103+BL77+BL68*Hipótesis!$D$73*Hipótesis!$D$74/12)</f>
        <v>-653.043862792819</v>
      </c>
      <c r="BM60" s="100" t="n">
        <f aca="false">-(BM91+BM98+BM103+BM77+BM68*Hipótesis!$D$73*Hipótesis!$D$74/12)</f>
        <v>-647.488307237263</v>
      </c>
      <c r="BN60" s="100" t="n">
        <f aca="false">-(BN91+BN98+BN103+BN77+BN68*Hipótesis!$D$73*Hipótesis!$D$74/12)</f>
        <v>-641.932751681708</v>
      </c>
      <c r="BO60" s="100" t="n">
        <f aca="false">-(BO91+BO98+BO103+BO77+BO68*Hipótesis!$D$73*Hipótesis!$D$74/12)</f>
        <v>-636.377196126152</v>
      </c>
      <c r="BP60" s="100" t="n">
        <f aca="false">-(BP91+BP98+BP103+BP77+BP68*Hipótesis!$D$73*Hipótesis!$D$74/12)</f>
        <v>-630.821640570597</v>
      </c>
      <c r="BQ60" s="100" t="n">
        <f aca="false">-(BQ91+BQ98+BQ103+BQ77+BQ68*Hipótesis!$D$73*Hipótesis!$D$74/12)</f>
        <v>-625.266085015041</v>
      </c>
      <c r="BR60" s="100" t="n">
        <f aca="false">-(BR91+BR98+BR103+BR77+BR68*Hipótesis!$D$73*Hipótesis!$D$74/12)</f>
        <v>-619.710529459485</v>
      </c>
      <c r="BS60" s="100" t="n">
        <f aca="false">-(BS91+BS98+BS103+BS77+BS68*Hipótesis!$D$73*Hipótesis!$D$74/12)</f>
        <v>-614.15497390393</v>
      </c>
      <c r="BT60" s="100" t="n">
        <f aca="false">-(BT91+BT98+BT103+BT77+BT68*Hipótesis!$D$73*Hipótesis!$D$74/12)</f>
        <v>-608.599418348374</v>
      </c>
      <c r="BU60" s="100" t="n">
        <f aca="false">-(BU91+BU98+BU103+BU77+BU68*Hipótesis!$D$73*Hipótesis!$D$74/12)</f>
        <v>-603.043862792819</v>
      </c>
      <c r="BV60" s="100" t="n">
        <f aca="false">-(BV91+BV98+BV103+BV77+BV68*Hipótesis!$D$73*Hipótesis!$D$74/12)</f>
        <v>-597.488307237263</v>
      </c>
      <c r="BW60" s="100" t="n">
        <f aca="false">-(BW91+BW98+BW103+BW77+BW68*Hipótesis!$D$73*Hipótesis!$D$74/12)</f>
        <v>-539.2950917325</v>
      </c>
      <c r="BX60" s="100" t="n">
        <f aca="false">-(BX91+BX98+BX103+BX77+BX68*Hipótesis!$D$73*Hipótesis!$D$74/12)</f>
        <v>-533.739536176945</v>
      </c>
      <c r="BY60" s="100" t="n">
        <f aca="false">-(BY91+BY98+BY103+BY77+BY68*Hipótesis!$D$73*Hipótesis!$D$74/12)</f>
        <v>-528.183980621389</v>
      </c>
      <c r="BZ60" s="100" t="n">
        <f aca="false">-(BZ91+BZ98+BZ103+BZ77+BZ68*Hipótesis!$D$73*Hipótesis!$D$74/12)</f>
        <v>-522.628425065833</v>
      </c>
      <c r="CA60" s="100" t="n">
        <f aca="false">-(CA91+CA98+CA103+CA77+CA68*Hipótesis!$D$73*Hipótesis!$D$74/12)</f>
        <v>-517.072869510278</v>
      </c>
      <c r="CB60" s="100" t="n">
        <f aca="false">-(CB91+CB98+CB103+CB77+CB68*Hipótesis!$D$73*Hipótesis!$D$74/12)</f>
        <v>-511.517313954722</v>
      </c>
      <c r="CC60" s="100" t="n">
        <f aca="false">-(CC91+CC98+CC103+CC77+CC68*Hipótesis!$D$73*Hipótesis!$D$74/12)</f>
        <v>-505.961758399167</v>
      </c>
      <c r="CD60" s="100" t="n">
        <f aca="false">-(CD91+CD98+CD103+CD77+CD68*Hipótesis!$D$73*Hipótesis!$D$74/12)</f>
        <v>-500.406202843611</v>
      </c>
      <c r="CE60" s="100" t="n">
        <f aca="false">-(CE91+CE98+CE103+CE77+CE68*Hipótesis!$D$73*Hipótesis!$D$74/12)</f>
        <v>-494.850647288056</v>
      </c>
      <c r="CF60" s="100" t="n">
        <f aca="false">-(CF91+CF98+CF103+CF77+CF68*Hipótesis!$D$73*Hipótesis!$D$74/12)</f>
        <v>-489.2950917325</v>
      </c>
      <c r="CG60" s="100" t="n">
        <f aca="false">-(CG91+CG98+CG103+CG77+CG68*Hipótesis!$D$73*Hipótesis!$D$74/12)</f>
        <v>-483.739536176945</v>
      </c>
      <c r="CH60" s="100" t="n">
        <f aca="false">-(CH91+CH98+CH103+CH77+CH68*Hipótesis!$D$73*Hipótesis!$D$74/12)</f>
        <v>-478.183980621389</v>
      </c>
    </row>
    <row r="61" customFormat="false" ht="13.5" hidden="false" customHeight="true" outlineLevel="0" collapsed="false">
      <c r="A61" s="22" t="s">
        <v>537</v>
      </c>
      <c r="C61" s="100" t="n">
        <f aca="false">C59+C60</f>
        <v>-16021.1578259128</v>
      </c>
      <c r="D61" s="100" t="n">
        <f aca="false">D59+D60</f>
        <v>-15218.0829612836</v>
      </c>
      <c r="E61" s="100" t="n">
        <f aca="false">E59+E60</f>
        <v>-13617.1478002471</v>
      </c>
      <c r="F61" s="100" t="n">
        <f aca="false">F59+F60</f>
        <v>-12768.1262418693</v>
      </c>
      <c r="G61" s="100" t="n">
        <f aca="false">G59+G60</f>
        <v>-11970.265945462</v>
      </c>
      <c r="H61" s="100" t="n">
        <f aca="false">H59+H60</f>
        <v>-10746.8691368921</v>
      </c>
      <c r="I61" s="100" t="n">
        <f aca="false">I59+I60</f>
        <v>-8570.06814696662</v>
      </c>
      <c r="J61" s="100" t="n">
        <f aca="false">J59+J60</f>
        <v>-6393.2671570411</v>
      </c>
      <c r="K61" s="100" t="n">
        <f aca="false">K59+K60</f>
        <v>-4216.46616711558</v>
      </c>
      <c r="L61" s="100" t="n">
        <f aca="false">L59+L60</f>
        <v>-2075.37865856095</v>
      </c>
      <c r="M61" s="100" t="n">
        <f aca="false">M59+M60</f>
        <v>-2962.81480718272</v>
      </c>
      <c r="N61" s="100" t="n">
        <f aca="false">N59+N60</f>
        <v>-1054.96757016814</v>
      </c>
      <c r="O61" s="100" t="n">
        <f aca="false">O59+O60</f>
        <v>-4412.80766581383</v>
      </c>
      <c r="P61" s="100" t="n">
        <f aca="false">P59+P60</f>
        <v>-2719.05780001723</v>
      </c>
      <c r="Q61" s="100" t="n">
        <f aca="false">Q59+Q60</f>
        <v>-3328.65244339159</v>
      </c>
      <c r="R61" s="100" t="n">
        <f aca="false">R59+R60</f>
        <v>-1631.14386091476</v>
      </c>
      <c r="S61" s="100" t="n">
        <f aca="false">S59+S60</f>
        <v>40.6126319866614</v>
      </c>
      <c r="T61" s="100" t="n">
        <f aca="false">T59+T60</f>
        <v>-545.292097636017</v>
      </c>
      <c r="U61" s="100" t="n">
        <f aca="false">U59+U60</f>
        <v>1131.03737864959</v>
      </c>
      <c r="V61" s="100" t="n">
        <f aca="false">V59+V60</f>
        <v>149.254524904919</v>
      </c>
      <c r="W61" s="100" t="n">
        <f aca="false">W59+W60</f>
        <v>1828.26089019378</v>
      </c>
      <c r="X61" s="100" t="n">
        <f aca="false">X59+X60</f>
        <v>699.28074532967</v>
      </c>
      <c r="Y61" s="100" t="n">
        <f aca="false">Y59+Y60</f>
        <v>1831.76185571116</v>
      </c>
      <c r="Z61" s="100" t="n">
        <f aca="false">Z59+Z60</f>
        <v>2771.73243897673</v>
      </c>
      <c r="AA61" s="100" t="n">
        <f aca="false">AA59+AA60</f>
        <v>1343.46029514808</v>
      </c>
      <c r="AB61" s="100" t="n">
        <f aca="false">AB59+AB60</f>
        <v>2279.53427181658</v>
      </c>
      <c r="AC61" s="100" t="n">
        <f aca="false">AC59+AC60</f>
        <v>3219.14860874335</v>
      </c>
      <c r="AD61" s="100" t="n">
        <f aca="false">AD59+AD60</f>
        <v>4162.31709858189</v>
      </c>
      <c r="AE61" s="100" t="n">
        <f aca="false">AE59+AE60</f>
        <v>2776.00717971958</v>
      </c>
      <c r="AF61" s="100" t="n">
        <f aca="false">AF59+AF60</f>
        <v>3717.23640852251</v>
      </c>
      <c r="AG61" s="100" t="n">
        <f aca="false">AG59+AG60</f>
        <v>4662.02608158682</v>
      </c>
      <c r="AH61" s="100" t="n">
        <f aca="false">AH59+AH60</f>
        <v>5610.39006980994</v>
      </c>
      <c r="AI61" s="100" t="n">
        <f aca="false">AI59+AI60</f>
        <v>6562.342298128</v>
      </c>
      <c r="AJ61" s="100" t="n">
        <f aca="false">AJ59+AJ60</f>
        <v>7517.89674572636</v>
      </c>
      <c r="AK61" s="100" t="n">
        <f aca="false">AK59+AK60</f>
        <v>8477.06744625099</v>
      </c>
      <c r="AL61" s="100" t="n">
        <f aca="false">AL59+AL60</f>
        <v>9439.86848802059</v>
      </c>
      <c r="AM61" s="100" t="n">
        <f aca="false">AM59+AM60</f>
        <v>5548.23362399956</v>
      </c>
      <c r="AN61" s="100" t="n">
        <f aca="false">AN59+AN60</f>
        <v>6496.86862104059</v>
      </c>
      <c r="AO61" s="100" t="n">
        <f aca="false">AO59+AO60</f>
        <v>7441.3500753433</v>
      </c>
      <c r="AP61" s="100" t="n">
        <f aca="false">AP59+AP60</f>
        <v>8381.10689909322</v>
      </c>
      <c r="AQ61" s="100" t="n">
        <f aca="false">AQ59+AQ60</f>
        <v>9320.86372284313</v>
      </c>
      <c r="AR61" s="100" t="n">
        <f aca="false">AR59+AR60</f>
        <v>10260.6205465931</v>
      </c>
      <c r="AS61" s="100" t="n">
        <f aca="false">AS59+AS60</f>
        <v>10266.1761021486</v>
      </c>
      <c r="AT61" s="100" t="n">
        <f aca="false">AT59+AT60</f>
        <v>10271.7316577042</v>
      </c>
      <c r="AU61" s="100" t="n">
        <f aca="false">AU59+AU60</f>
        <v>10277.2872132597</v>
      </c>
      <c r="AV61" s="100" t="n">
        <f aca="false">AV59+AV60</f>
        <v>10282.8427688153</v>
      </c>
      <c r="AW61" s="100" t="n">
        <f aca="false">AW59+AW60</f>
        <v>10288.3983243708</v>
      </c>
      <c r="AX61" s="100" t="n">
        <f aca="false">AX59+AX60</f>
        <v>10293.9538799264</v>
      </c>
      <c r="AY61" s="100" t="n">
        <f aca="false">AY59+AY60</f>
        <v>7756.93643377474</v>
      </c>
      <c r="AZ61" s="100" t="n">
        <f aca="false">AZ59+AZ60</f>
        <v>7762.4919893303</v>
      </c>
      <c r="BA61" s="100" t="n">
        <f aca="false">BA59+BA60</f>
        <v>7768.04754488586</v>
      </c>
      <c r="BB61" s="100" t="n">
        <f aca="false">BB59+BB60</f>
        <v>7773.60310044141</v>
      </c>
      <c r="BC61" s="100" t="n">
        <f aca="false">BC59+BC60</f>
        <v>7779.15865599697</v>
      </c>
      <c r="BD61" s="100" t="n">
        <f aca="false">BD59+BD60</f>
        <v>7784.71421155252</v>
      </c>
      <c r="BE61" s="100" t="n">
        <f aca="false">BE59+BE60</f>
        <v>7790.26976710808</v>
      </c>
      <c r="BF61" s="100" t="n">
        <f aca="false">BF59+BF60</f>
        <v>7795.82532266363</v>
      </c>
      <c r="BG61" s="100" t="n">
        <f aca="false">BG59+BG60</f>
        <v>7801.38087821919</v>
      </c>
      <c r="BH61" s="100" t="n">
        <f aca="false">BH59+BH60</f>
        <v>7806.93643377474</v>
      </c>
      <c r="BI61" s="100" t="n">
        <f aca="false">BI59+BI60</f>
        <v>7812.4919893303</v>
      </c>
      <c r="BJ61" s="100" t="n">
        <f aca="false">BJ59+BJ60</f>
        <v>7818.04754488586</v>
      </c>
      <c r="BK61" s="100" t="n">
        <f aca="false">BK59+BK60</f>
        <v>5262.964908683</v>
      </c>
      <c r="BL61" s="100" t="n">
        <f aca="false">BL59+BL60</f>
        <v>5268.52046423855</v>
      </c>
      <c r="BM61" s="100" t="n">
        <f aca="false">BM59+BM60</f>
        <v>5274.07601979411</v>
      </c>
      <c r="BN61" s="100" t="n">
        <f aca="false">BN59+BN60</f>
        <v>5279.63157534966</v>
      </c>
      <c r="BO61" s="100" t="n">
        <f aca="false">BO59+BO60</f>
        <v>5285.18713090522</v>
      </c>
      <c r="BP61" s="100" t="n">
        <f aca="false">BP59+BP60</f>
        <v>5290.74268646077</v>
      </c>
      <c r="BQ61" s="100" t="n">
        <f aca="false">BQ59+BQ60</f>
        <v>5296.29824201633</v>
      </c>
      <c r="BR61" s="100" t="n">
        <f aca="false">BR59+BR60</f>
        <v>5301.85379757189</v>
      </c>
      <c r="BS61" s="100" t="n">
        <f aca="false">BS59+BS60</f>
        <v>5307.40935312744</v>
      </c>
      <c r="BT61" s="100" t="n">
        <f aca="false">BT59+BT60</f>
        <v>5312.964908683</v>
      </c>
      <c r="BU61" s="100" t="n">
        <f aca="false">BU59+BU60</f>
        <v>5318.52046423855</v>
      </c>
      <c r="BV61" s="100" t="n">
        <f aca="false">BV59+BV60</f>
        <v>5324.07601979411</v>
      </c>
      <c r="BW61" s="100" t="n">
        <f aca="false">BW59+BW60</f>
        <v>2750.38623783849</v>
      </c>
      <c r="BX61" s="100" t="n">
        <f aca="false">BX59+BX60</f>
        <v>2755.94179339405</v>
      </c>
      <c r="BY61" s="100" t="n">
        <f aca="false">BY59+BY60</f>
        <v>2761.4973489496</v>
      </c>
      <c r="BZ61" s="100" t="n">
        <f aca="false">BZ59+BZ60</f>
        <v>2767.05290450516</v>
      </c>
      <c r="CA61" s="100" t="n">
        <f aca="false">CA59+CA60</f>
        <v>2772.60846006071</v>
      </c>
      <c r="CB61" s="100" t="n">
        <f aca="false">CB59+CB60</f>
        <v>2778.16401561627</v>
      </c>
      <c r="CC61" s="100" t="n">
        <f aca="false">CC59+CC60</f>
        <v>2783.71957117182</v>
      </c>
      <c r="CD61" s="100" t="n">
        <f aca="false">CD59+CD60</f>
        <v>2789.27512672738</v>
      </c>
      <c r="CE61" s="100" t="n">
        <f aca="false">CE59+CE60</f>
        <v>2794.83068228294</v>
      </c>
      <c r="CF61" s="100" t="n">
        <f aca="false">CF59+CF60</f>
        <v>2800.38623783849</v>
      </c>
      <c r="CG61" s="100" t="n">
        <f aca="false">CG59+CG60</f>
        <v>2805.94179339405</v>
      </c>
      <c r="CH61" s="100" t="n">
        <f aca="false">CH59+CH60</f>
        <v>2811.4973489496</v>
      </c>
    </row>
    <row r="62" customFormat="false" ht="13.5" hidden="false" customHeight="true" outlineLevel="0" collapsed="false">
      <c r="A62" s="6" t="s">
        <v>538</v>
      </c>
      <c r="C62" s="100" t="n">
        <f aca="false">-IF(1&lt;Hipótesis!$D$89,Hipótesis!$C$87,Hipótesis!$C$88)*MAX(0,C61)</f>
        <v>-0</v>
      </c>
      <c r="D62" s="100" t="n">
        <f aca="false">-IF(1&lt;Hipótesis!$D$89,Hipótesis!$C$87,Hipótesis!$C$88)*MAX(0,D61)</f>
        <v>-0</v>
      </c>
      <c r="E62" s="100" t="n">
        <f aca="false">-IF(1&lt;Hipótesis!$D$89,Hipótesis!$C$87,Hipótesis!$C$88)*MAX(0,E61)</f>
        <v>-0</v>
      </c>
      <c r="F62" s="100" t="n">
        <f aca="false">-IF(1&lt;Hipótesis!$D$89,Hipótesis!$C$87,Hipótesis!$C$88)*MAX(0,F61)</f>
        <v>-0</v>
      </c>
      <c r="G62" s="100" t="n">
        <f aca="false">-IF(1&lt;Hipótesis!$D$89,Hipótesis!$C$87,Hipótesis!$C$88)*MAX(0,G61)</f>
        <v>-0</v>
      </c>
      <c r="H62" s="100" t="n">
        <f aca="false">-IF(1&lt;Hipótesis!$D$89,Hipótesis!$C$87,Hipótesis!$C$88)*MAX(0,H61)</f>
        <v>-0</v>
      </c>
      <c r="I62" s="100" t="n">
        <f aca="false">-IF(1&lt;Hipótesis!$D$89,Hipótesis!$C$87,Hipótesis!$C$88)*MAX(0,I61)</f>
        <v>-0</v>
      </c>
      <c r="J62" s="100" t="n">
        <f aca="false">-IF(1&lt;Hipótesis!$D$89,Hipótesis!$C$87,Hipótesis!$C$88)*MAX(0,J61)</f>
        <v>-0</v>
      </c>
      <c r="K62" s="100" t="n">
        <f aca="false">-IF(1&lt;Hipótesis!$D$89,Hipótesis!$C$87,Hipótesis!$C$88)*MAX(0,K61)</f>
        <v>-0</v>
      </c>
      <c r="L62" s="100" t="n">
        <f aca="false">-IF(1&lt;Hipótesis!$D$89,Hipótesis!$C$87,Hipótesis!$C$88)*MAX(0,L61)</f>
        <v>-0</v>
      </c>
      <c r="M62" s="100" t="n">
        <f aca="false">-IF(1&lt;Hipótesis!$D$89,Hipótesis!$C$87,Hipótesis!$C$88)*MAX(0,M61)</f>
        <v>-0</v>
      </c>
      <c r="N62" s="100" t="n">
        <f aca="false">-IF(1&lt;Hipótesis!$D$89,Hipótesis!$C$87,Hipótesis!$C$88)*MAX(0,N61)</f>
        <v>-0</v>
      </c>
      <c r="O62" s="100" t="n">
        <f aca="false">-IF(2&lt;Hipótesis!$D$89,Hipótesis!$C$87,Hipótesis!$C$88)*MAX(0,O61)</f>
        <v>-0</v>
      </c>
      <c r="P62" s="100" t="n">
        <f aca="false">-IF(2&lt;Hipótesis!$D$89,Hipótesis!$C$87,Hipótesis!$C$88)*MAX(0,P61)</f>
        <v>-0</v>
      </c>
      <c r="Q62" s="100" t="n">
        <f aca="false">-IF(2&lt;Hipótesis!$D$89,Hipótesis!$C$87,Hipótesis!$C$88)*MAX(0,Q61)</f>
        <v>-0</v>
      </c>
      <c r="R62" s="100" t="n">
        <f aca="false">-IF(2&lt;Hipótesis!$D$89,Hipótesis!$C$87,Hipótesis!$C$88)*MAX(0,R61)</f>
        <v>-0</v>
      </c>
      <c r="S62" s="100" t="n">
        <f aca="false">-IF(2&lt;Hipótesis!$D$89,Hipótesis!$C$87,Hipótesis!$C$88)*MAX(0,S61)</f>
        <v>-6.09189479799921</v>
      </c>
      <c r="T62" s="100" t="n">
        <f aca="false">-IF(2&lt;Hipótesis!$D$89,Hipótesis!$C$87,Hipótesis!$C$88)*MAX(0,T61)</f>
        <v>-0</v>
      </c>
      <c r="U62" s="100" t="n">
        <f aca="false">-IF(2&lt;Hipótesis!$D$89,Hipótesis!$C$87,Hipótesis!$C$88)*MAX(0,U61)</f>
        <v>-169.655606797439</v>
      </c>
      <c r="V62" s="100" t="n">
        <f aca="false">-IF(2&lt;Hipótesis!$D$89,Hipótesis!$C$87,Hipótesis!$C$88)*MAX(0,V61)</f>
        <v>-22.3881787357378</v>
      </c>
      <c r="W62" s="100" t="n">
        <f aca="false">-IF(2&lt;Hipótesis!$D$89,Hipótesis!$C$87,Hipótesis!$C$88)*MAX(0,W61)</f>
        <v>-274.239133529067</v>
      </c>
      <c r="X62" s="100" t="n">
        <f aca="false">-IF(2&lt;Hipótesis!$D$89,Hipótesis!$C$87,Hipótesis!$C$88)*MAX(0,X61)</f>
        <v>-104.89211179945</v>
      </c>
      <c r="Y62" s="100" t="n">
        <f aca="false">-IF(2&lt;Hipótesis!$D$89,Hipótesis!$C$87,Hipótesis!$C$88)*MAX(0,Y61)</f>
        <v>-274.764278356674</v>
      </c>
      <c r="Z62" s="100" t="n">
        <f aca="false">-IF(2&lt;Hipótesis!$D$89,Hipótesis!$C$87,Hipótesis!$C$88)*MAX(0,Z61)</f>
        <v>-415.759865846509</v>
      </c>
      <c r="AA62" s="100" t="n">
        <f aca="false">-IF(3&lt;Hipótesis!$D$89,Hipótesis!$C$87,Hipótesis!$C$88)*MAX(0,AA61)</f>
        <v>-201.519044272212</v>
      </c>
      <c r="AB62" s="100" t="n">
        <f aca="false">-IF(3&lt;Hipótesis!$D$89,Hipótesis!$C$87,Hipótesis!$C$88)*MAX(0,AB61)</f>
        <v>-341.930140772487</v>
      </c>
      <c r="AC62" s="100" t="n">
        <f aca="false">-IF(3&lt;Hipótesis!$D$89,Hipótesis!$C$87,Hipótesis!$C$88)*MAX(0,AC61)</f>
        <v>-482.872291311503</v>
      </c>
      <c r="AD62" s="100" t="n">
        <f aca="false">-IF(3&lt;Hipótesis!$D$89,Hipótesis!$C$87,Hipótesis!$C$88)*MAX(0,AD61)</f>
        <v>-624.347564787283</v>
      </c>
      <c r="AE62" s="100" t="n">
        <f aca="false">-IF(3&lt;Hipótesis!$D$89,Hipótesis!$C$87,Hipótesis!$C$88)*MAX(0,AE61)</f>
        <v>-416.401076957937</v>
      </c>
      <c r="AF62" s="100" t="n">
        <f aca="false">-IF(3&lt;Hipótesis!$D$89,Hipótesis!$C$87,Hipótesis!$C$88)*MAX(0,AF61)</f>
        <v>-557.585461278376</v>
      </c>
      <c r="AG62" s="100" t="n">
        <f aca="false">-IF(3&lt;Hipótesis!$D$89,Hipótesis!$C$87,Hipótesis!$C$88)*MAX(0,AG61)</f>
        <v>-699.303912238022</v>
      </c>
      <c r="AH62" s="100" t="n">
        <f aca="false">-IF(3&lt;Hipótesis!$D$89,Hipótesis!$C$87,Hipótesis!$C$88)*MAX(0,AH61)</f>
        <v>-841.558510471491</v>
      </c>
      <c r="AI62" s="100" t="n">
        <f aca="false">-IF(3&lt;Hipótesis!$D$89,Hipótesis!$C$87,Hipótesis!$C$88)*MAX(0,AI61)</f>
        <v>-984.351344719199</v>
      </c>
      <c r="AJ62" s="100" t="n">
        <f aca="false">-IF(3&lt;Hipótesis!$D$89,Hipótesis!$C$87,Hipótesis!$C$88)*MAX(0,AJ61)</f>
        <v>-1127.68451185895</v>
      </c>
      <c r="AK62" s="100" t="n">
        <f aca="false">-IF(3&lt;Hipótesis!$D$89,Hipótesis!$C$87,Hipótesis!$C$88)*MAX(0,AK61)</f>
        <v>-1271.56011693765</v>
      </c>
      <c r="AL62" s="100" t="n">
        <f aca="false">-IF(3&lt;Hipótesis!$D$89,Hipótesis!$C$87,Hipótesis!$C$88)*MAX(0,AL61)</f>
        <v>-1415.98027320309</v>
      </c>
      <c r="AM62" s="100" t="n">
        <f aca="false">-IF(4&lt;Hipótesis!$D$89,Hipótesis!$C$87,Hipótesis!$C$88)*MAX(0,AM61)</f>
        <v>-1387.05840599989</v>
      </c>
      <c r="AN62" s="100" t="n">
        <f aca="false">-IF(4&lt;Hipótesis!$D$89,Hipótesis!$C$87,Hipótesis!$C$88)*MAX(0,AN61)</f>
        <v>-1624.21715526015</v>
      </c>
      <c r="AO62" s="100" t="n">
        <f aca="false">-IF(4&lt;Hipótesis!$D$89,Hipótesis!$C$87,Hipótesis!$C$88)*MAX(0,AO61)</f>
        <v>-1860.33751883583</v>
      </c>
      <c r="AP62" s="100" t="n">
        <f aca="false">-IF(4&lt;Hipótesis!$D$89,Hipótesis!$C$87,Hipótesis!$C$88)*MAX(0,AP61)</f>
        <v>-2095.27672477331</v>
      </c>
      <c r="AQ62" s="100" t="n">
        <f aca="false">-IF(4&lt;Hipótesis!$D$89,Hipótesis!$C$87,Hipótesis!$C$88)*MAX(0,AQ61)</f>
        <v>-2330.21593071078</v>
      </c>
      <c r="AR62" s="100" t="n">
        <f aca="false">-IF(4&lt;Hipótesis!$D$89,Hipótesis!$C$87,Hipótesis!$C$88)*MAX(0,AR61)</f>
        <v>-2565.15513664826</v>
      </c>
      <c r="AS62" s="100" t="n">
        <f aca="false">-IF(4&lt;Hipótesis!$D$89,Hipótesis!$C$87,Hipótesis!$C$88)*MAX(0,AS61)</f>
        <v>-2566.54402553715</v>
      </c>
      <c r="AT62" s="100" t="n">
        <f aca="false">-IF(4&lt;Hipótesis!$D$89,Hipótesis!$C$87,Hipótesis!$C$88)*MAX(0,AT61)</f>
        <v>-2567.93291442604</v>
      </c>
      <c r="AU62" s="100" t="n">
        <f aca="false">-IF(4&lt;Hipótesis!$D$89,Hipótesis!$C$87,Hipótesis!$C$88)*MAX(0,AU61)</f>
        <v>-2569.32180331493</v>
      </c>
      <c r="AV62" s="100" t="n">
        <f aca="false">-IF(4&lt;Hipótesis!$D$89,Hipótesis!$C$87,Hipótesis!$C$88)*MAX(0,AV61)</f>
        <v>-2570.71069220382</v>
      </c>
      <c r="AW62" s="100" t="n">
        <f aca="false">-IF(4&lt;Hipótesis!$D$89,Hipótesis!$C$87,Hipótesis!$C$88)*MAX(0,AW61)</f>
        <v>-2572.09958109271</v>
      </c>
      <c r="AX62" s="100" t="n">
        <f aca="false">-IF(4&lt;Hipótesis!$D$89,Hipótesis!$C$87,Hipótesis!$C$88)*MAX(0,AX61)</f>
        <v>-2573.4884699816</v>
      </c>
      <c r="AY62" s="100" t="n">
        <f aca="false">-IF(5&lt;Hipótesis!$D$89,Hipótesis!$C$87,Hipótesis!$C$88)*MAX(0,AY61)</f>
        <v>-1939.23410844369</v>
      </c>
      <c r="AZ62" s="100" t="n">
        <f aca="false">-IF(5&lt;Hipótesis!$D$89,Hipótesis!$C$87,Hipótesis!$C$88)*MAX(0,AZ61)</f>
        <v>-1940.62299733257</v>
      </c>
      <c r="BA62" s="100" t="n">
        <f aca="false">-IF(5&lt;Hipótesis!$D$89,Hipótesis!$C$87,Hipótesis!$C$88)*MAX(0,BA61)</f>
        <v>-1942.01188622146</v>
      </c>
      <c r="BB62" s="100" t="n">
        <f aca="false">-IF(5&lt;Hipótesis!$D$89,Hipótesis!$C$87,Hipótesis!$C$88)*MAX(0,BB61)</f>
        <v>-1943.40077511035</v>
      </c>
      <c r="BC62" s="100" t="n">
        <f aca="false">-IF(5&lt;Hipótesis!$D$89,Hipótesis!$C$87,Hipótesis!$C$88)*MAX(0,BC61)</f>
        <v>-1944.78966399924</v>
      </c>
      <c r="BD62" s="100" t="n">
        <f aca="false">-IF(5&lt;Hipótesis!$D$89,Hipótesis!$C$87,Hipótesis!$C$88)*MAX(0,BD61)</f>
        <v>-1946.17855288813</v>
      </c>
      <c r="BE62" s="100" t="n">
        <f aca="false">-IF(5&lt;Hipótesis!$D$89,Hipótesis!$C$87,Hipótesis!$C$88)*MAX(0,BE61)</f>
        <v>-1947.56744177702</v>
      </c>
      <c r="BF62" s="100" t="n">
        <f aca="false">-IF(5&lt;Hipótesis!$D$89,Hipótesis!$C$87,Hipótesis!$C$88)*MAX(0,BF61)</f>
        <v>-1948.95633066591</v>
      </c>
      <c r="BG62" s="100" t="n">
        <f aca="false">-IF(5&lt;Hipótesis!$D$89,Hipótesis!$C$87,Hipótesis!$C$88)*MAX(0,BG61)</f>
        <v>-1950.3452195548</v>
      </c>
      <c r="BH62" s="100" t="n">
        <f aca="false">-IF(5&lt;Hipótesis!$D$89,Hipótesis!$C$87,Hipótesis!$C$88)*MAX(0,BH61)</f>
        <v>-1951.73410844369</v>
      </c>
      <c r="BI62" s="100" t="n">
        <f aca="false">-IF(5&lt;Hipótesis!$D$89,Hipótesis!$C$87,Hipótesis!$C$88)*MAX(0,BI61)</f>
        <v>-1953.12299733257</v>
      </c>
      <c r="BJ62" s="100" t="n">
        <f aca="false">-IF(5&lt;Hipótesis!$D$89,Hipótesis!$C$87,Hipótesis!$C$88)*MAX(0,BJ61)</f>
        <v>-1954.51188622146</v>
      </c>
      <c r="BK62" s="100" t="n">
        <f aca="false">-IF(6&lt;Hipótesis!$D$89,Hipótesis!$C$87,Hipótesis!$C$88)*MAX(0,BK61)</f>
        <v>-1315.74122717075</v>
      </c>
      <c r="BL62" s="100" t="n">
        <f aca="false">-IF(6&lt;Hipótesis!$D$89,Hipótesis!$C$87,Hipótesis!$C$88)*MAX(0,BL61)</f>
        <v>-1317.13011605964</v>
      </c>
      <c r="BM62" s="100" t="n">
        <f aca="false">-IF(6&lt;Hipótesis!$D$89,Hipótesis!$C$87,Hipótesis!$C$88)*MAX(0,BM61)</f>
        <v>-1318.51900494853</v>
      </c>
      <c r="BN62" s="100" t="n">
        <f aca="false">-IF(6&lt;Hipótesis!$D$89,Hipótesis!$C$87,Hipótesis!$C$88)*MAX(0,BN61)</f>
        <v>-1319.90789383742</v>
      </c>
      <c r="BO62" s="100" t="n">
        <f aca="false">-IF(6&lt;Hipótesis!$D$89,Hipótesis!$C$87,Hipótesis!$C$88)*MAX(0,BO61)</f>
        <v>-1321.2967827263</v>
      </c>
      <c r="BP62" s="100" t="n">
        <f aca="false">-IF(6&lt;Hipótesis!$D$89,Hipótesis!$C$87,Hipótesis!$C$88)*MAX(0,BP61)</f>
        <v>-1322.68567161519</v>
      </c>
      <c r="BQ62" s="100" t="n">
        <f aca="false">-IF(6&lt;Hipótesis!$D$89,Hipótesis!$C$87,Hipótesis!$C$88)*MAX(0,BQ61)</f>
        <v>-1324.07456050408</v>
      </c>
      <c r="BR62" s="100" t="n">
        <f aca="false">-IF(6&lt;Hipótesis!$D$89,Hipótesis!$C$87,Hipótesis!$C$88)*MAX(0,BR61)</f>
        <v>-1325.46344939297</v>
      </c>
      <c r="BS62" s="100" t="n">
        <f aca="false">-IF(6&lt;Hipótesis!$D$89,Hipótesis!$C$87,Hipótesis!$C$88)*MAX(0,BS61)</f>
        <v>-1326.85233828186</v>
      </c>
      <c r="BT62" s="100" t="n">
        <f aca="false">-IF(6&lt;Hipótesis!$D$89,Hipótesis!$C$87,Hipótesis!$C$88)*MAX(0,BT61)</f>
        <v>-1328.24122717075</v>
      </c>
      <c r="BU62" s="100" t="n">
        <f aca="false">-IF(6&lt;Hipótesis!$D$89,Hipótesis!$C$87,Hipótesis!$C$88)*MAX(0,BU61)</f>
        <v>-1329.63011605964</v>
      </c>
      <c r="BV62" s="100" t="n">
        <f aca="false">-IF(6&lt;Hipótesis!$D$89,Hipótesis!$C$87,Hipótesis!$C$88)*MAX(0,BV61)</f>
        <v>-1331.01900494853</v>
      </c>
      <c r="BW62" s="100" t="n">
        <f aca="false">-IF(7&lt;Hipótesis!$D$89,Hipótesis!$C$87,Hipótesis!$C$88)*MAX(0,BW61)</f>
        <v>-687.596559459623</v>
      </c>
      <c r="BX62" s="100" t="n">
        <f aca="false">-IF(7&lt;Hipótesis!$D$89,Hipótesis!$C$87,Hipótesis!$C$88)*MAX(0,BX61)</f>
        <v>-688.985448348512</v>
      </c>
      <c r="BY62" s="100" t="n">
        <f aca="false">-IF(7&lt;Hipótesis!$D$89,Hipótesis!$C$87,Hipótesis!$C$88)*MAX(0,BY61)</f>
        <v>-690.374337237401</v>
      </c>
      <c r="BZ62" s="100" t="n">
        <f aca="false">-IF(7&lt;Hipótesis!$D$89,Hipótesis!$C$87,Hipótesis!$C$88)*MAX(0,BZ61)</f>
        <v>-691.763226126289</v>
      </c>
      <c r="CA62" s="100" t="n">
        <f aca="false">-IF(7&lt;Hipótesis!$D$89,Hipótesis!$C$87,Hipótesis!$C$88)*MAX(0,CA61)</f>
        <v>-693.152115015178</v>
      </c>
      <c r="CB62" s="100" t="n">
        <f aca="false">-IF(7&lt;Hipótesis!$D$89,Hipótesis!$C$87,Hipótesis!$C$88)*MAX(0,CB61)</f>
        <v>-694.541003904067</v>
      </c>
      <c r="CC62" s="100" t="n">
        <f aca="false">-IF(7&lt;Hipótesis!$D$89,Hipótesis!$C$87,Hipótesis!$C$88)*MAX(0,CC61)</f>
        <v>-695.929892792956</v>
      </c>
      <c r="CD62" s="100" t="n">
        <f aca="false">-IF(7&lt;Hipótesis!$D$89,Hipótesis!$C$87,Hipótesis!$C$88)*MAX(0,CD61)</f>
        <v>-697.318781681845</v>
      </c>
      <c r="CE62" s="100" t="n">
        <f aca="false">-IF(7&lt;Hipótesis!$D$89,Hipótesis!$C$87,Hipótesis!$C$88)*MAX(0,CE61)</f>
        <v>-698.707670570734</v>
      </c>
      <c r="CF62" s="100" t="n">
        <f aca="false">-IF(7&lt;Hipótesis!$D$89,Hipótesis!$C$87,Hipótesis!$C$88)*MAX(0,CF61)</f>
        <v>-700.096559459623</v>
      </c>
      <c r="CG62" s="100" t="n">
        <f aca="false">-IF(7&lt;Hipótesis!$D$89,Hipótesis!$C$87,Hipótesis!$C$88)*MAX(0,CG61)</f>
        <v>-701.485448348512</v>
      </c>
      <c r="CH62" s="100" t="n">
        <f aca="false">-IF(7&lt;Hipótesis!$D$89,Hipótesis!$C$87,Hipótesis!$C$88)*MAX(0,CH61)</f>
        <v>-702.874337237401</v>
      </c>
    </row>
    <row r="63" customFormat="false" ht="13.5" hidden="false" customHeight="true" outlineLevel="0" collapsed="false">
      <c r="A63" s="22" t="s">
        <v>539</v>
      </c>
      <c r="C63" s="100" t="n">
        <f aca="false">C61+C62</f>
        <v>-16021.1578259128</v>
      </c>
      <c r="D63" s="100" t="n">
        <f aca="false">D61+D62</f>
        <v>-15218.0829612836</v>
      </c>
      <c r="E63" s="100" t="n">
        <f aca="false">E61+E62</f>
        <v>-13617.1478002471</v>
      </c>
      <c r="F63" s="100" t="n">
        <f aca="false">F61+F62</f>
        <v>-12768.1262418693</v>
      </c>
      <c r="G63" s="100" t="n">
        <f aca="false">G61+G62</f>
        <v>-11970.265945462</v>
      </c>
      <c r="H63" s="100" t="n">
        <f aca="false">H61+H62</f>
        <v>-10746.8691368921</v>
      </c>
      <c r="I63" s="100" t="n">
        <f aca="false">I61+I62</f>
        <v>-8570.06814696662</v>
      </c>
      <c r="J63" s="100" t="n">
        <f aca="false">J61+J62</f>
        <v>-6393.2671570411</v>
      </c>
      <c r="K63" s="100" t="n">
        <f aca="false">K61+K62</f>
        <v>-4216.46616711558</v>
      </c>
      <c r="L63" s="100" t="n">
        <f aca="false">L61+L62</f>
        <v>-2075.37865856095</v>
      </c>
      <c r="M63" s="100" t="n">
        <f aca="false">M61+M62</f>
        <v>-2962.81480718272</v>
      </c>
      <c r="N63" s="100" t="n">
        <f aca="false">N61+N62</f>
        <v>-1054.96757016814</v>
      </c>
      <c r="O63" s="100" t="n">
        <f aca="false">O61+O62</f>
        <v>-4412.80766581383</v>
      </c>
      <c r="P63" s="100" t="n">
        <f aca="false">P61+P62</f>
        <v>-2719.05780001723</v>
      </c>
      <c r="Q63" s="100" t="n">
        <f aca="false">Q61+Q62</f>
        <v>-3328.65244339159</v>
      </c>
      <c r="R63" s="100" t="n">
        <f aca="false">R61+R62</f>
        <v>-1631.14386091476</v>
      </c>
      <c r="S63" s="100" t="n">
        <f aca="false">S61+S62</f>
        <v>34.5207371886622</v>
      </c>
      <c r="T63" s="100" t="n">
        <f aca="false">T61+T62</f>
        <v>-545.292097636017</v>
      </c>
      <c r="U63" s="100" t="n">
        <f aca="false">U61+U62</f>
        <v>961.381771852152</v>
      </c>
      <c r="V63" s="100" t="n">
        <f aca="false">V61+V62</f>
        <v>126.866346169181</v>
      </c>
      <c r="W63" s="100" t="n">
        <f aca="false">W61+W62</f>
        <v>1554.02175666471</v>
      </c>
      <c r="X63" s="100" t="n">
        <f aca="false">X61+X62</f>
        <v>594.388633530219</v>
      </c>
      <c r="Y63" s="100" t="n">
        <f aca="false">Y61+Y62</f>
        <v>1556.99757735448</v>
      </c>
      <c r="Z63" s="100" t="n">
        <f aca="false">Z61+Z62</f>
        <v>2355.97257313022</v>
      </c>
      <c r="AA63" s="100" t="n">
        <f aca="false">AA61+AA62</f>
        <v>1141.94125087587</v>
      </c>
      <c r="AB63" s="100" t="n">
        <f aca="false">AB61+AB62</f>
        <v>1937.6041310441</v>
      </c>
      <c r="AC63" s="100" t="n">
        <f aca="false">AC61+AC62</f>
        <v>2736.27631743185</v>
      </c>
      <c r="AD63" s="100" t="n">
        <f aca="false">AD61+AD62</f>
        <v>3537.9695337946</v>
      </c>
      <c r="AE63" s="100" t="n">
        <f aca="false">AE61+AE62</f>
        <v>2359.60610276164</v>
      </c>
      <c r="AF63" s="100" t="n">
        <f aca="false">AF61+AF62</f>
        <v>3159.65094724413</v>
      </c>
      <c r="AG63" s="100" t="n">
        <f aca="false">AG61+AG62</f>
        <v>3962.72216934879</v>
      </c>
      <c r="AH63" s="100" t="n">
        <f aca="false">AH61+AH62</f>
        <v>4768.83155933845</v>
      </c>
      <c r="AI63" s="100" t="n">
        <f aca="false">AI61+AI62</f>
        <v>5577.9909534088</v>
      </c>
      <c r="AJ63" s="100" t="n">
        <f aca="false">AJ61+AJ62</f>
        <v>6390.21223386741</v>
      </c>
      <c r="AK63" s="100" t="n">
        <f aca="false">AK61+AK62</f>
        <v>7205.50732931335</v>
      </c>
      <c r="AL63" s="100" t="n">
        <f aca="false">AL61+AL62</f>
        <v>8023.8882148175</v>
      </c>
      <c r="AM63" s="100" t="n">
        <f aca="false">AM61+AM62</f>
        <v>4161.17521799967</v>
      </c>
      <c r="AN63" s="100" t="n">
        <f aca="false">AN61+AN62</f>
        <v>4872.65146578044</v>
      </c>
      <c r="AO63" s="100" t="n">
        <f aca="false">AO61+AO62</f>
        <v>5581.01255650748</v>
      </c>
      <c r="AP63" s="100" t="n">
        <f aca="false">AP61+AP62</f>
        <v>6285.83017431992</v>
      </c>
      <c r="AQ63" s="100" t="n">
        <f aca="false">AQ61+AQ62</f>
        <v>6990.64779213234</v>
      </c>
      <c r="AR63" s="100" t="n">
        <f aca="false">AR61+AR62</f>
        <v>7695.46540994479</v>
      </c>
      <c r="AS63" s="100" t="n">
        <f aca="false">AS61+AS62</f>
        <v>7699.63207661146</v>
      </c>
      <c r="AT63" s="100" t="n">
        <f aca="false">AT61+AT62</f>
        <v>7703.79874327813</v>
      </c>
      <c r="AU63" s="100" t="n">
        <f aca="false">AU61+AU62</f>
        <v>7707.96540994479</v>
      </c>
      <c r="AV63" s="100" t="n">
        <f aca="false">AV61+AV62</f>
        <v>7712.13207661146</v>
      </c>
      <c r="AW63" s="100" t="n">
        <f aca="false">AW61+AW62</f>
        <v>7716.29874327813</v>
      </c>
      <c r="AX63" s="100" t="n">
        <f aca="false">AX61+AX62</f>
        <v>7720.46540994479</v>
      </c>
      <c r="AY63" s="100" t="n">
        <f aca="false">AY61+AY62</f>
        <v>5817.70232533106</v>
      </c>
      <c r="AZ63" s="100" t="n">
        <f aca="false">AZ61+AZ62</f>
        <v>5821.86899199772</v>
      </c>
      <c r="BA63" s="100" t="n">
        <f aca="false">BA61+BA62</f>
        <v>5826.03565866439</v>
      </c>
      <c r="BB63" s="100" t="n">
        <f aca="false">BB61+BB62</f>
        <v>5830.20232533106</v>
      </c>
      <c r="BC63" s="100" t="n">
        <f aca="false">BC61+BC62</f>
        <v>5834.36899199773</v>
      </c>
      <c r="BD63" s="100" t="n">
        <f aca="false">BD61+BD62</f>
        <v>5838.53565866439</v>
      </c>
      <c r="BE63" s="100" t="n">
        <f aca="false">BE61+BE62</f>
        <v>5842.70232533106</v>
      </c>
      <c r="BF63" s="100" t="n">
        <f aca="false">BF61+BF62</f>
        <v>5846.86899199772</v>
      </c>
      <c r="BG63" s="100" t="n">
        <f aca="false">BG61+BG62</f>
        <v>5851.03565866439</v>
      </c>
      <c r="BH63" s="100" t="n">
        <f aca="false">BH61+BH62</f>
        <v>5855.20232533106</v>
      </c>
      <c r="BI63" s="100" t="n">
        <f aca="false">BI61+BI62</f>
        <v>5859.36899199772</v>
      </c>
      <c r="BJ63" s="100" t="n">
        <f aca="false">BJ61+BJ62</f>
        <v>5863.53565866439</v>
      </c>
      <c r="BK63" s="100" t="n">
        <f aca="false">BK61+BK62</f>
        <v>3947.22368151225</v>
      </c>
      <c r="BL63" s="100" t="n">
        <f aca="false">BL61+BL62</f>
        <v>3951.39034817891</v>
      </c>
      <c r="BM63" s="100" t="n">
        <f aca="false">BM61+BM62</f>
        <v>3955.55701484558</v>
      </c>
      <c r="BN63" s="100" t="n">
        <f aca="false">BN61+BN62</f>
        <v>3959.72368151225</v>
      </c>
      <c r="BO63" s="100" t="n">
        <f aca="false">BO61+BO62</f>
        <v>3963.89034817891</v>
      </c>
      <c r="BP63" s="100" t="n">
        <f aca="false">BP61+BP62</f>
        <v>3968.05701484558</v>
      </c>
      <c r="BQ63" s="100" t="n">
        <f aca="false">BQ61+BQ62</f>
        <v>3972.22368151225</v>
      </c>
      <c r="BR63" s="100" t="n">
        <f aca="false">BR61+BR62</f>
        <v>3976.39034817891</v>
      </c>
      <c r="BS63" s="100" t="n">
        <f aca="false">BS61+BS62</f>
        <v>3980.55701484558</v>
      </c>
      <c r="BT63" s="100" t="n">
        <f aca="false">BT61+BT62</f>
        <v>3984.72368151225</v>
      </c>
      <c r="BU63" s="100" t="n">
        <f aca="false">BU61+BU62</f>
        <v>3988.89034817891</v>
      </c>
      <c r="BV63" s="100" t="n">
        <f aca="false">BV61+BV62</f>
        <v>3993.05701484558</v>
      </c>
      <c r="BW63" s="100" t="n">
        <f aca="false">BW61+BW62</f>
        <v>2062.78967837887</v>
      </c>
      <c r="BX63" s="100" t="n">
        <f aca="false">BX61+BX62</f>
        <v>2066.95634504554</v>
      </c>
      <c r="BY63" s="100" t="n">
        <f aca="false">BY61+BY62</f>
        <v>2071.1230117122</v>
      </c>
      <c r="BZ63" s="100" t="n">
        <f aca="false">BZ61+BZ62</f>
        <v>2075.28967837887</v>
      </c>
      <c r="CA63" s="100" t="n">
        <f aca="false">CA61+CA62</f>
        <v>2079.45634504553</v>
      </c>
      <c r="CB63" s="100" t="n">
        <f aca="false">CB61+CB62</f>
        <v>2083.6230117122</v>
      </c>
      <c r="CC63" s="100" t="n">
        <f aca="false">CC61+CC62</f>
        <v>2087.78967837887</v>
      </c>
      <c r="CD63" s="100" t="n">
        <f aca="false">CD61+CD62</f>
        <v>2091.95634504554</v>
      </c>
      <c r="CE63" s="100" t="n">
        <f aca="false">CE61+CE62</f>
        <v>2096.1230117122</v>
      </c>
      <c r="CF63" s="100" t="n">
        <f aca="false">CF61+CF62</f>
        <v>2100.28967837887</v>
      </c>
      <c r="CG63" s="100" t="n">
        <f aca="false">CG61+CG62</f>
        <v>2104.45634504554</v>
      </c>
      <c r="CH63" s="100" t="n">
        <f aca="false">CH61+CH62</f>
        <v>2108.6230117122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9" t="s">
        <v>540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customFormat="false" ht="13.5" hidden="false" customHeight="true" outlineLevel="0" collapsed="false">
      <c r="A66" s="6" t="s">
        <v>533</v>
      </c>
      <c r="C66" s="100" t="n">
        <f aca="false">C56</f>
        <v>-14645.5613098414</v>
      </c>
      <c r="D66" s="100" t="n">
        <f aca="false">D56</f>
        <v>-13837.6090077122</v>
      </c>
      <c r="E66" s="100" t="n">
        <f aca="false">E56</f>
        <v>-12226.4928076132</v>
      </c>
      <c r="F66" s="100" t="n">
        <f aca="false">F56</f>
        <v>-11371.8152976729</v>
      </c>
      <c r="G66" s="100" t="n">
        <f aca="false">G56</f>
        <v>-10568.6513997031</v>
      </c>
      <c r="H66" s="100" t="n">
        <f aca="false">H56</f>
        <v>-9336.72111457072</v>
      </c>
      <c r="I66" s="100" t="n">
        <f aca="false">I56</f>
        <v>-7144.64517137242</v>
      </c>
      <c r="J66" s="100" t="n">
        <f aca="false">J56</f>
        <v>-4952.56922817414</v>
      </c>
      <c r="K66" s="100" t="n">
        <f aca="false">K56</f>
        <v>-2760.49328497584</v>
      </c>
      <c r="L66" s="100" t="n">
        <f aca="false">L56</f>
        <v>-568.417341777558</v>
      </c>
      <c r="M66" s="100" t="n">
        <f aca="false">M56</f>
        <v>-1423.50529654906</v>
      </c>
      <c r="N66" s="100" t="n">
        <f aca="false">N56</f>
        <v>530.341948188594</v>
      </c>
      <c r="O66" s="100" t="n">
        <f aca="false">O56</f>
        <v>-2810.33080707376</v>
      </c>
      <c r="P66" s="100" t="n">
        <f aca="false">P56</f>
        <v>-1082.76586969498</v>
      </c>
      <c r="Q66" s="100" t="n">
        <f aca="false">Q56</f>
        <v>-1666.52093231622</v>
      </c>
      <c r="R66" s="100" t="n">
        <f aca="false">R56</f>
        <v>61.0440050625512</v>
      </c>
      <c r="S66" s="100" t="n">
        <f aca="false">S56</f>
        <v>1788.60894244131</v>
      </c>
      <c r="T66" s="100" t="n">
        <f aca="false">T56</f>
        <v>1204.85387982009</v>
      </c>
      <c r="U66" s="100" t="n">
        <f aca="false">U56</f>
        <v>2932.41881719886</v>
      </c>
      <c r="V66" s="100" t="n">
        <f aca="false">V56</f>
        <v>1940.78375457763</v>
      </c>
      <c r="W66" s="100" t="n">
        <f aca="false">W56</f>
        <v>3668.34869195639</v>
      </c>
      <c r="X66" s="100" t="n">
        <f aca="false">X56</f>
        <v>2519.658429826</v>
      </c>
      <c r="Y66" s="100" t="n">
        <f aca="false">Y56</f>
        <v>3682.28816769562</v>
      </c>
      <c r="Z66" s="100" t="n">
        <f aca="false">Z56</f>
        <v>4642.43382576158</v>
      </c>
      <c r="AA66" s="100" t="n">
        <f aca="false">AA56</f>
        <v>3182.06908382753</v>
      </c>
      <c r="AB66" s="100" t="n">
        <f aca="false">AB56</f>
        <v>4142.21474189348</v>
      </c>
      <c r="AC66" s="100" t="n">
        <f aca="false">AC56</f>
        <v>5102.36039995943</v>
      </c>
      <c r="AD66" s="100" t="n">
        <f aca="false">AD56</f>
        <v>6062.50605802538</v>
      </c>
      <c r="AE66" s="100" t="n">
        <f aca="false">AE56</f>
        <v>4641.99211609133</v>
      </c>
      <c r="AF66" s="100" t="n">
        <f aca="false">AF56</f>
        <v>5602.13777415727</v>
      </c>
      <c r="AG66" s="100" t="n">
        <f aca="false">AG56</f>
        <v>6562.28343222321</v>
      </c>
      <c r="AH66" s="100" t="n">
        <f aca="false">AH56</f>
        <v>7522.42909028917</v>
      </c>
      <c r="AI66" s="100" t="n">
        <f aca="false">AI56</f>
        <v>8482.57474835511</v>
      </c>
      <c r="AJ66" s="100" t="n">
        <f aca="false">AJ56</f>
        <v>9442.72040642105</v>
      </c>
      <c r="AK66" s="100" t="n">
        <f aca="false">AK56</f>
        <v>10402.866064487</v>
      </c>
      <c r="AL66" s="100" t="n">
        <f aca="false">AL56</f>
        <v>11363.011722553</v>
      </c>
      <c r="AM66" s="100" t="n">
        <f aca="false">AM56</f>
        <v>7365.93249261892</v>
      </c>
      <c r="AN66" s="100" t="n">
        <f aca="false">AN56</f>
        <v>8326.07815068485</v>
      </c>
      <c r="AO66" s="100" t="n">
        <f aca="false">AO56</f>
        <v>9286.22380875082</v>
      </c>
      <c r="AP66" s="100" t="n">
        <f aca="false">AP56</f>
        <v>10246.3694668168</v>
      </c>
      <c r="AQ66" s="100" t="n">
        <f aca="false">AQ56</f>
        <v>11206.5151248827</v>
      </c>
      <c r="AR66" s="100" t="n">
        <f aca="false">AR56</f>
        <v>12166.6607829487</v>
      </c>
      <c r="AS66" s="100" t="n">
        <f aca="false">AS56</f>
        <v>12166.6607829487</v>
      </c>
      <c r="AT66" s="100" t="n">
        <f aca="false">AT56</f>
        <v>12166.6607829487</v>
      </c>
      <c r="AU66" s="100" t="n">
        <f aca="false">AU56</f>
        <v>12166.6607829487</v>
      </c>
      <c r="AV66" s="100" t="n">
        <f aca="false">AV56</f>
        <v>12166.6607829487</v>
      </c>
      <c r="AW66" s="100" t="n">
        <f aca="false">AW56</f>
        <v>12166.6607829487</v>
      </c>
      <c r="AX66" s="100" t="n">
        <f aca="false">AX56</f>
        <v>12166.6607829487</v>
      </c>
      <c r="AY66" s="100" t="n">
        <f aca="false">AY56</f>
        <v>9572.19853630866</v>
      </c>
      <c r="AZ66" s="100" t="n">
        <f aca="false">AZ56</f>
        <v>9572.19853630866</v>
      </c>
      <c r="BA66" s="100" t="n">
        <f aca="false">BA56</f>
        <v>9572.19853630866</v>
      </c>
      <c r="BB66" s="100" t="n">
        <f aca="false">BB56</f>
        <v>9572.19853630866</v>
      </c>
      <c r="BC66" s="100" t="n">
        <f aca="false">BC56</f>
        <v>9572.19853630866</v>
      </c>
      <c r="BD66" s="100" t="n">
        <f aca="false">BD56</f>
        <v>9572.19853630866</v>
      </c>
      <c r="BE66" s="100" t="n">
        <f aca="false">BE56</f>
        <v>9572.19853630866</v>
      </c>
      <c r="BF66" s="100" t="n">
        <f aca="false">BF56</f>
        <v>9572.19853630866</v>
      </c>
      <c r="BG66" s="100" t="n">
        <f aca="false">BG56</f>
        <v>9572.19853630866</v>
      </c>
      <c r="BH66" s="100" t="n">
        <f aca="false">BH56</f>
        <v>9572.19853630866</v>
      </c>
      <c r="BI66" s="100" t="n">
        <f aca="false">BI56</f>
        <v>9572.19853630866</v>
      </c>
      <c r="BJ66" s="100" t="n">
        <f aca="false">BJ56</f>
        <v>9572.19853630866</v>
      </c>
      <c r="BK66" s="100" t="n">
        <f aca="false">BK56</f>
        <v>6959.30242226947</v>
      </c>
      <c r="BL66" s="100" t="n">
        <f aca="false">BL56</f>
        <v>6959.30242226947</v>
      </c>
      <c r="BM66" s="100" t="n">
        <f aca="false">BM56</f>
        <v>6959.30242226947</v>
      </c>
      <c r="BN66" s="100" t="n">
        <f aca="false">BN56</f>
        <v>6959.30242226947</v>
      </c>
      <c r="BO66" s="100" t="n">
        <f aca="false">BO56</f>
        <v>6959.30242226947</v>
      </c>
      <c r="BP66" s="100" t="n">
        <f aca="false">BP56</f>
        <v>6959.30242226947</v>
      </c>
      <c r="BQ66" s="100" t="n">
        <f aca="false">BQ56</f>
        <v>6959.30242226947</v>
      </c>
      <c r="BR66" s="100" t="n">
        <f aca="false">BR56</f>
        <v>6959.30242226947</v>
      </c>
      <c r="BS66" s="100" t="n">
        <f aca="false">BS56</f>
        <v>6959.30242226947</v>
      </c>
      <c r="BT66" s="100" t="n">
        <f aca="false">BT56</f>
        <v>6959.30242226947</v>
      </c>
      <c r="BU66" s="100" t="n">
        <f aca="false">BU56</f>
        <v>6959.30242226947</v>
      </c>
      <c r="BV66" s="100" t="n">
        <f aca="false">BV56</f>
        <v>6959.30242226947</v>
      </c>
      <c r="BW66" s="100" t="n">
        <f aca="false">BW56</f>
        <v>4327.41942480909</v>
      </c>
      <c r="BX66" s="100" t="n">
        <f aca="false">BX56</f>
        <v>4327.41942480909</v>
      </c>
      <c r="BY66" s="100" t="n">
        <f aca="false">BY56</f>
        <v>4327.41942480909</v>
      </c>
      <c r="BZ66" s="100" t="n">
        <f aca="false">BZ56</f>
        <v>4327.41942480909</v>
      </c>
      <c r="CA66" s="100" t="n">
        <f aca="false">CA56</f>
        <v>4327.41942480909</v>
      </c>
      <c r="CB66" s="100" t="n">
        <f aca="false">CB56</f>
        <v>4327.41942480909</v>
      </c>
      <c r="CC66" s="100" t="n">
        <f aca="false">CC56</f>
        <v>4327.41942480909</v>
      </c>
      <c r="CD66" s="100" t="n">
        <f aca="false">CD56</f>
        <v>4327.41942480909</v>
      </c>
      <c r="CE66" s="100" t="n">
        <f aca="false">CE56</f>
        <v>4327.41942480909</v>
      </c>
      <c r="CF66" s="100" t="n">
        <f aca="false">CF56</f>
        <v>4327.41942480909</v>
      </c>
      <c r="CG66" s="100" t="n">
        <f aca="false">CG56</f>
        <v>4327.41942480909</v>
      </c>
      <c r="CH66" s="100" t="n">
        <f aca="false">CH56</f>
        <v>4327.41942480909</v>
      </c>
    </row>
    <row r="67" customFormat="false" ht="13.5" hidden="false" customHeight="true" outlineLevel="0" collapsed="false">
      <c r="A67" s="6" t="s">
        <v>541</v>
      </c>
      <c r="C67" s="100" t="n">
        <f aca="false">C62</f>
        <v>-0</v>
      </c>
      <c r="D67" s="100" t="n">
        <f aca="false">D62</f>
        <v>-0</v>
      </c>
      <c r="E67" s="100" t="n">
        <f aca="false">E62</f>
        <v>-0</v>
      </c>
      <c r="F67" s="100" t="n">
        <f aca="false">F62</f>
        <v>-0</v>
      </c>
      <c r="G67" s="100" t="n">
        <f aca="false">G62</f>
        <v>-0</v>
      </c>
      <c r="H67" s="100" t="n">
        <f aca="false">H62</f>
        <v>-0</v>
      </c>
      <c r="I67" s="100" t="n">
        <f aca="false">I62</f>
        <v>-0</v>
      </c>
      <c r="J67" s="100" t="n">
        <f aca="false">J62</f>
        <v>-0</v>
      </c>
      <c r="K67" s="100" t="n">
        <f aca="false">K62</f>
        <v>-0</v>
      </c>
      <c r="L67" s="100" t="n">
        <f aca="false">L62</f>
        <v>-0</v>
      </c>
      <c r="M67" s="100" t="n">
        <f aca="false">M62</f>
        <v>-0</v>
      </c>
      <c r="N67" s="100" t="n">
        <f aca="false">N62</f>
        <v>-0</v>
      </c>
      <c r="O67" s="100" t="n">
        <f aca="false">O62</f>
        <v>-0</v>
      </c>
      <c r="P67" s="100" t="n">
        <f aca="false">P62</f>
        <v>-0</v>
      </c>
      <c r="Q67" s="100" t="n">
        <f aca="false">Q62</f>
        <v>-0</v>
      </c>
      <c r="R67" s="100" t="n">
        <f aca="false">R62</f>
        <v>-0</v>
      </c>
      <c r="S67" s="100" t="n">
        <f aca="false">S62</f>
        <v>-6.09189479799921</v>
      </c>
      <c r="T67" s="100" t="n">
        <f aca="false">T62</f>
        <v>-0</v>
      </c>
      <c r="U67" s="100" t="n">
        <f aca="false">U62</f>
        <v>-169.655606797439</v>
      </c>
      <c r="V67" s="100" t="n">
        <f aca="false">V62</f>
        <v>-22.3881787357378</v>
      </c>
      <c r="W67" s="100" t="n">
        <f aca="false">W62</f>
        <v>-274.239133529067</v>
      </c>
      <c r="X67" s="100" t="n">
        <f aca="false">X62</f>
        <v>-104.89211179945</v>
      </c>
      <c r="Y67" s="100" t="n">
        <f aca="false">Y62</f>
        <v>-274.764278356674</v>
      </c>
      <c r="Z67" s="100" t="n">
        <f aca="false">Z62</f>
        <v>-415.759865846509</v>
      </c>
      <c r="AA67" s="100" t="n">
        <f aca="false">AA62</f>
        <v>-201.519044272212</v>
      </c>
      <c r="AB67" s="100" t="n">
        <f aca="false">AB62</f>
        <v>-341.930140772487</v>
      </c>
      <c r="AC67" s="100" t="n">
        <f aca="false">AC62</f>
        <v>-482.872291311503</v>
      </c>
      <c r="AD67" s="100" t="n">
        <f aca="false">AD62</f>
        <v>-624.347564787283</v>
      </c>
      <c r="AE67" s="100" t="n">
        <f aca="false">AE62</f>
        <v>-416.401076957937</v>
      </c>
      <c r="AF67" s="100" t="n">
        <f aca="false">AF62</f>
        <v>-557.585461278376</v>
      </c>
      <c r="AG67" s="100" t="n">
        <f aca="false">AG62</f>
        <v>-699.303912238022</v>
      </c>
      <c r="AH67" s="100" t="n">
        <f aca="false">AH62</f>
        <v>-841.558510471491</v>
      </c>
      <c r="AI67" s="100" t="n">
        <f aca="false">AI62</f>
        <v>-984.351344719199</v>
      </c>
      <c r="AJ67" s="100" t="n">
        <f aca="false">AJ62</f>
        <v>-1127.68451185895</v>
      </c>
      <c r="AK67" s="100" t="n">
        <f aca="false">AK62</f>
        <v>-1271.56011693765</v>
      </c>
      <c r="AL67" s="100" t="n">
        <f aca="false">AL62</f>
        <v>-1415.98027320309</v>
      </c>
      <c r="AM67" s="100" t="n">
        <f aca="false">AM62</f>
        <v>-1387.05840599989</v>
      </c>
      <c r="AN67" s="100" t="n">
        <f aca="false">AN62</f>
        <v>-1624.21715526015</v>
      </c>
      <c r="AO67" s="100" t="n">
        <f aca="false">AO62</f>
        <v>-1860.33751883583</v>
      </c>
      <c r="AP67" s="100" t="n">
        <f aca="false">AP62</f>
        <v>-2095.27672477331</v>
      </c>
      <c r="AQ67" s="100" t="n">
        <f aca="false">AQ62</f>
        <v>-2330.21593071078</v>
      </c>
      <c r="AR67" s="100" t="n">
        <f aca="false">AR62</f>
        <v>-2565.15513664826</v>
      </c>
      <c r="AS67" s="100" t="n">
        <f aca="false">AS62</f>
        <v>-2566.54402553715</v>
      </c>
      <c r="AT67" s="100" t="n">
        <f aca="false">AT62</f>
        <v>-2567.93291442604</v>
      </c>
      <c r="AU67" s="100" t="n">
        <f aca="false">AU62</f>
        <v>-2569.32180331493</v>
      </c>
      <c r="AV67" s="100" t="n">
        <f aca="false">AV62</f>
        <v>-2570.71069220382</v>
      </c>
      <c r="AW67" s="100" t="n">
        <f aca="false">AW62</f>
        <v>-2572.09958109271</v>
      </c>
      <c r="AX67" s="100" t="n">
        <f aca="false">AX62</f>
        <v>-2573.4884699816</v>
      </c>
      <c r="AY67" s="100" t="n">
        <f aca="false">AY62</f>
        <v>-1939.23410844369</v>
      </c>
      <c r="AZ67" s="100" t="n">
        <f aca="false">AZ62</f>
        <v>-1940.62299733257</v>
      </c>
      <c r="BA67" s="100" t="n">
        <f aca="false">BA62</f>
        <v>-1942.01188622146</v>
      </c>
      <c r="BB67" s="100" t="n">
        <f aca="false">BB62</f>
        <v>-1943.40077511035</v>
      </c>
      <c r="BC67" s="100" t="n">
        <f aca="false">BC62</f>
        <v>-1944.78966399924</v>
      </c>
      <c r="BD67" s="100" t="n">
        <f aca="false">BD62</f>
        <v>-1946.17855288813</v>
      </c>
      <c r="BE67" s="100" t="n">
        <f aca="false">BE62</f>
        <v>-1947.56744177702</v>
      </c>
      <c r="BF67" s="100" t="n">
        <f aca="false">BF62</f>
        <v>-1948.95633066591</v>
      </c>
      <c r="BG67" s="100" t="n">
        <f aca="false">BG62</f>
        <v>-1950.3452195548</v>
      </c>
      <c r="BH67" s="100" t="n">
        <f aca="false">BH62</f>
        <v>-1951.73410844369</v>
      </c>
      <c r="BI67" s="100" t="n">
        <f aca="false">BI62</f>
        <v>-1953.12299733257</v>
      </c>
      <c r="BJ67" s="100" t="n">
        <f aca="false">BJ62</f>
        <v>-1954.51188622146</v>
      </c>
      <c r="BK67" s="100" t="n">
        <f aca="false">BK62</f>
        <v>-1315.74122717075</v>
      </c>
      <c r="BL67" s="100" t="n">
        <f aca="false">BL62</f>
        <v>-1317.13011605964</v>
      </c>
      <c r="BM67" s="100" t="n">
        <f aca="false">BM62</f>
        <v>-1318.51900494853</v>
      </c>
      <c r="BN67" s="100" t="n">
        <f aca="false">BN62</f>
        <v>-1319.90789383742</v>
      </c>
      <c r="BO67" s="100" t="n">
        <f aca="false">BO62</f>
        <v>-1321.2967827263</v>
      </c>
      <c r="BP67" s="100" t="n">
        <f aca="false">BP62</f>
        <v>-1322.68567161519</v>
      </c>
      <c r="BQ67" s="100" t="n">
        <f aca="false">BQ62</f>
        <v>-1324.07456050408</v>
      </c>
      <c r="BR67" s="100" t="n">
        <f aca="false">BR62</f>
        <v>-1325.46344939297</v>
      </c>
      <c r="BS67" s="100" t="n">
        <f aca="false">BS62</f>
        <v>-1326.85233828186</v>
      </c>
      <c r="BT67" s="100" t="n">
        <f aca="false">BT62</f>
        <v>-1328.24122717075</v>
      </c>
      <c r="BU67" s="100" t="n">
        <f aca="false">BU62</f>
        <v>-1329.63011605964</v>
      </c>
      <c r="BV67" s="100" t="n">
        <f aca="false">BV62</f>
        <v>-1331.01900494853</v>
      </c>
      <c r="BW67" s="100" t="n">
        <f aca="false">BW62</f>
        <v>-687.596559459623</v>
      </c>
      <c r="BX67" s="100" t="n">
        <f aca="false">BX62</f>
        <v>-688.985448348512</v>
      </c>
      <c r="BY67" s="100" t="n">
        <f aca="false">BY62</f>
        <v>-690.374337237401</v>
      </c>
      <c r="BZ67" s="100" t="n">
        <f aca="false">BZ62</f>
        <v>-691.763226126289</v>
      </c>
      <c r="CA67" s="100" t="n">
        <f aca="false">CA62</f>
        <v>-693.152115015178</v>
      </c>
      <c r="CB67" s="100" t="n">
        <f aca="false">CB62</f>
        <v>-694.541003904067</v>
      </c>
      <c r="CC67" s="100" t="n">
        <f aca="false">CC62</f>
        <v>-695.929892792956</v>
      </c>
      <c r="CD67" s="100" t="n">
        <f aca="false">CD62</f>
        <v>-697.318781681845</v>
      </c>
      <c r="CE67" s="100" t="n">
        <f aca="false">CE62</f>
        <v>-698.707670570734</v>
      </c>
      <c r="CF67" s="100" t="n">
        <f aca="false">CF62</f>
        <v>-700.096559459623</v>
      </c>
      <c r="CG67" s="100" t="n">
        <f aca="false">CG62</f>
        <v>-701.485448348512</v>
      </c>
      <c r="CH67" s="100" t="n">
        <f aca="false">CH62</f>
        <v>-702.874337237401</v>
      </c>
    </row>
    <row r="68" customFormat="false" ht="13.5" hidden="false" customHeight="true" outlineLevel="0" collapsed="false">
      <c r="A68" s="6" t="s">
        <v>542</v>
      </c>
      <c r="C68" s="101" t="n">
        <f aca="false">C38*Hipótesis!$C$66/30</f>
        <v>1206.69</v>
      </c>
      <c r="D68" s="101" t="n">
        <f aca="false">D38*Hipótesis!$C$66/30</f>
        <v>2507.34</v>
      </c>
      <c r="E68" s="101" t="n">
        <f aca="false">E38*Hipótesis!$C$66/30</f>
        <v>5222.28375</v>
      </c>
      <c r="F68" s="101" t="n">
        <f aca="false">F38*Hipótesis!$C$66/30</f>
        <v>6730.5375</v>
      </c>
      <c r="G68" s="101" t="n">
        <f aca="false">G38*Hipótesis!$C$66/30</f>
        <v>8144.83125</v>
      </c>
      <c r="H68" s="101" t="n">
        <f aca="false">H38*Hipótesis!$C$66/30</f>
        <v>10420.425</v>
      </c>
      <c r="I68" s="101" t="n">
        <f aca="false">I38*Hipótesis!$C$66/30</f>
        <v>14493.7458727382</v>
      </c>
      <c r="J68" s="101" t="n">
        <f aca="false">J38*Hipótesis!$C$66/30</f>
        <v>18567.0667454763</v>
      </c>
      <c r="K68" s="101" t="n">
        <f aca="false">K38*Hipótesis!$C$66/30</f>
        <v>22640.3876182145</v>
      </c>
      <c r="L68" s="101" t="n">
        <f aca="false">L38*Hipótesis!$C$66/30</f>
        <v>26713.7084909527</v>
      </c>
      <c r="M68" s="101" t="n">
        <f aca="false">M38*Hipótesis!$C$66/30</f>
        <v>29372.7356136908</v>
      </c>
      <c r="N68" s="101" t="n">
        <f aca="false">N38*Hipótesis!$C$66/30</f>
        <v>33206.262736429</v>
      </c>
      <c r="O68" s="101" t="n">
        <f aca="false">O38*Hipótesis!$C$66/30</f>
        <v>37039.7898591671</v>
      </c>
      <c r="P68" s="101" t="n">
        <f aca="false">P38*Hipótesis!$C$66/30</f>
        <v>40450.4969819053</v>
      </c>
      <c r="Q68" s="101" t="n">
        <f aca="false">Q38*Hipótesis!$C$66/30</f>
        <v>43861.2041046435</v>
      </c>
      <c r="R68" s="101" t="n">
        <f aca="false">R38*Hipótesis!$C$66/30</f>
        <v>47271.9112273816</v>
      </c>
      <c r="S68" s="101" t="n">
        <f aca="false">S38*Hipótesis!$C$66/30</f>
        <v>50682.6183501198</v>
      </c>
      <c r="T68" s="101" t="n">
        <f aca="false">T38*Hipótesis!$C$66/30</f>
        <v>54093.325472858</v>
      </c>
      <c r="U68" s="101" t="n">
        <f aca="false">U38*Hipótesis!$C$66/30</f>
        <v>57504.0325955961</v>
      </c>
      <c r="V68" s="101" t="n">
        <f aca="false">V38*Hipótesis!$C$66/30</f>
        <v>60914.7397183343</v>
      </c>
      <c r="W68" s="101" t="n">
        <f aca="false">W38*Hipótesis!$C$66/30</f>
        <v>64325.4468410724</v>
      </c>
      <c r="X68" s="101" t="n">
        <f aca="false">X38*Hipótesis!$C$66/30</f>
        <v>66561.6539638106</v>
      </c>
      <c r="Y68" s="101" t="n">
        <f aca="false">Y38*Hipótesis!$C$66/30</f>
        <v>68797.8610865488</v>
      </c>
      <c r="Z68" s="101" t="n">
        <f aca="false">Z38*Hipótesis!$C$66/30</f>
        <v>70595.5882092869</v>
      </c>
      <c r="AA68" s="101" t="n">
        <f aca="false">AA38*Hipótesis!$C$66/30</f>
        <v>72393.3153320251</v>
      </c>
      <c r="AB68" s="101" t="n">
        <f aca="false">AB38*Hipótesis!$C$66/30</f>
        <v>74191.0424547633</v>
      </c>
      <c r="AC68" s="101" t="n">
        <f aca="false">AC38*Hipótesis!$C$66/30</f>
        <v>75988.7695775014</v>
      </c>
      <c r="AD68" s="101" t="n">
        <f aca="false">AD38*Hipótesis!$C$66/30</f>
        <v>77786.4967002396</v>
      </c>
      <c r="AE68" s="101" t="n">
        <f aca="false">AE38*Hipótesis!$C$66/30</f>
        <v>79584.2238229777</v>
      </c>
      <c r="AF68" s="101" t="n">
        <f aca="false">AF38*Hipótesis!$C$66/30</f>
        <v>81381.9509457159</v>
      </c>
      <c r="AG68" s="101" t="n">
        <f aca="false">AG38*Hipótesis!$C$66/30</f>
        <v>83179.678068454</v>
      </c>
      <c r="AH68" s="101" t="n">
        <f aca="false">AH38*Hipótesis!$C$66/30</f>
        <v>84977.4051911922</v>
      </c>
      <c r="AI68" s="101" t="n">
        <f aca="false">AI38*Hipótesis!$C$66/30</f>
        <v>86775.1323139304</v>
      </c>
      <c r="AJ68" s="101" t="n">
        <f aca="false">AJ38*Hipótesis!$C$66/30</f>
        <v>88572.8594366685</v>
      </c>
      <c r="AK68" s="101" t="n">
        <f aca="false">AK38*Hipótesis!$C$66/30</f>
        <v>90370.5865594067</v>
      </c>
      <c r="AL68" s="101" t="n">
        <f aca="false">AL38*Hipótesis!$C$66/30</f>
        <v>92168.3136821449</v>
      </c>
      <c r="AM68" s="101" t="n">
        <f aca="false">AM38*Hipótesis!$C$66/30</f>
        <v>93966.040804883</v>
      </c>
      <c r="AN68" s="101" t="n">
        <f aca="false">AN38*Hipótesis!$C$66/30</f>
        <v>95763.7679276212</v>
      </c>
      <c r="AO68" s="101" t="n">
        <f aca="false">AO38*Hipótesis!$C$66/30</f>
        <v>97561.4950503594</v>
      </c>
      <c r="AP68" s="101" t="n">
        <f aca="false">AP38*Hipótesis!$C$66/30</f>
        <v>99359.2221730975</v>
      </c>
      <c r="AQ68" s="101" t="n">
        <f aca="false">AQ38*Hipótesis!$C$66/30</f>
        <v>101156.949295836</v>
      </c>
      <c r="AR68" s="101" t="n">
        <f aca="false">AR38*Hipótesis!$C$66/30</f>
        <v>102954.676418574</v>
      </c>
      <c r="AS68" s="101" t="n">
        <f aca="false">AS38*Hipótesis!$C$66/30</f>
        <v>102954.676418574</v>
      </c>
      <c r="AT68" s="101" t="n">
        <f aca="false">AT38*Hipótesis!$C$66/30</f>
        <v>102954.676418574</v>
      </c>
      <c r="AU68" s="101" t="n">
        <f aca="false">AU38*Hipótesis!$C$66/30</f>
        <v>102954.676418574</v>
      </c>
      <c r="AV68" s="101" t="n">
        <f aca="false">AV38*Hipótesis!$C$66/30</f>
        <v>102954.676418574</v>
      </c>
      <c r="AW68" s="101" t="n">
        <f aca="false">AW38*Hipótesis!$C$66/30</f>
        <v>102954.676418574</v>
      </c>
      <c r="AX68" s="101" t="n">
        <f aca="false">AX38*Hipótesis!$C$66/30</f>
        <v>102954.676418574</v>
      </c>
      <c r="AY68" s="101" t="n">
        <f aca="false">AY38*Hipótesis!$C$66/30</f>
        <v>102954.676418574</v>
      </c>
      <c r="AZ68" s="101" t="n">
        <f aca="false">AZ38*Hipótesis!$C$66/30</f>
        <v>102954.676418574</v>
      </c>
      <c r="BA68" s="101" t="n">
        <f aca="false">BA38*Hipótesis!$C$66/30</f>
        <v>102954.676418574</v>
      </c>
      <c r="BB68" s="101" t="n">
        <f aca="false">BB38*Hipótesis!$C$66/30</f>
        <v>102954.676418574</v>
      </c>
      <c r="BC68" s="101" t="n">
        <f aca="false">BC38*Hipótesis!$C$66/30</f>
        <v>102954.676418574</v>
      </c>
      <c r="BD68" s="101" t="n">
        <f aca="false">BD38*Hipótesis!$C$66/30</f>
        <v>102954.676418574</v>
      </c>
      <c r="BE68" s="101" t="n">
        <f aca="false">BE38*Hipótesis!$C$66/30</f>
        <v>102954.676418574</v>
      </c>
      <c r="BF68" s="101" t="n">
        <f aca="false">BF38*Hipótesis!$C$66/30</f>
        <v>102954.676418574</v>
      </c>
      <c r="BG68" s="101" t="n">
        <f aca="false">BG38*Hipótesis!$C$66/30</f>
        <v>102954.676418574</v>
      </c>
      <c r="BH68" s="101" t="n">
        <f aca="false">BH38*Hipótesis!$C$66/30</f>
        <v>102954.676418574</v>
      </c>
      <c r="BI68" s="101" t="n">
        <f aca="false">BI38*Hipótesis!$C$66/30</f>
        <v>102954.676418574</v>
      </c>
      <c r="BJ68" s="101" t="n">
        <f aca="false">BJ38*Hipótesis!$C$66/30</f>
        <v>102954.676418574</v>
      </c>
      <c r="BK68" s="101" t="n">
        <f aca="false">BK38*Hipótesis!$C$66/30</f>
        <v>102954.676418574</v>
      </c>
      <c r="BL68" s="101" t="n">
        <f aca="false">BL38*Hipótesis!$C$66/30</f>
        <v>102954.676418574</v>
      </c>
      <c r="BM68" s="101" t="n">
        <f aca="false">BM38*Hipótesis!$C$66/30</f>
        <v>102954.676418574</v>
      </c>
      <c r="BN68" s="101" t="n">
        <f aca="false">BN38*Hipótesis!$C$66/30</f>
        <v>102954.676418574</v>
      </c>
      <c r="BO68" s="101" t="n">
        <f aca="false">BO38*Hipótesis!$C$66/30</f>
        <v>102954.676418574</v>
      </c>
      <c r="BP68" s="101" t="n">
        <f aca="false">BP38*Hipótesis!$C$66/30</f>
        <v>102954.676418574</v>
      </c>
      <c r="BQ68" s="101" t="n">
        <f aca="false">BQ38*Hipótesis!$C$66/30</f>
        <v>102954.676418574</v>
      </c>
      <c r="BR68" s="101" t="n">
        <f aca="false">BR38*Hipótesis!$C$66/30</f>
        <v>102954.676418574</v>
      </c>
      <c r="BS68" s="101" t="n">
        <f aca="false">BS38*Hipótesis!$C$66/30</f>
        <v>102954.676418574</v>
      </c>
      <c r="BT68" s="101" t="n">
        <f aca="false">BT38*Hipótesis!$C$66/30</f>
        <v>102954.676418574</v>
      </c>
      <c r="BU68" s="101" t="n">
        <f aca="false">BU38*Hipótesis!$C$66/30</f>
        <v>102954.676418574</v>
      </c>
      <c r="BV68" s="101" t="n">
        <f aca="false">BV38*Hipótesis!$C$66/30</f>
        <v>102954.676418574</v>
      </c>
      <c r="BW68" s="101" t="n">
        <f aca="false">BW38*Hipótesis!$C$66/30</f>
        <v>102954.676418574</v>
      </c>
      <c r="BX68" s="101" t="n">
        <f aca="false">BX38*Hipótesis!$C$66/30</f>
        <v>102954.676418574</v>
      </c>
      <c r="BY68" s="101" t="n">
        <f aca="false">BY38*Hipótesis!$C$66/30</f>
        <v>102954.676418574</v>
      </c>
      <c r="BZ68" s="101" t="n">
        <f aca="false">BZ38*Hipótesis!$C$66/30</f>
        <v>102954.676418574</v>
      </c>
      <c r="CA68" s="101" t="n">
        <f aca="false">CA38*Hipótesis!$C$66/30</f>
        <v>102954.676418574</v>
      </c>
      <c r="CB68" s="101" t="n">
        <f aca="false">CB38*Hipótesis!$C$66/30</f>
        <v>102954.676418574</v>
      </c>
      <c r="CC68" s="101" t="n">
        <f aca="false">CC38*Hipótesis!$C$66/30</f>
        <v>102954.676418574</v>
      </c>
      <c r="CD68" s="101" t="n">
        <f aca="false">CD38*Hipótesis!$C$66/30</f>
        <v>102954.676418574</v>
      </c>
      <c r="CE68" s="101" t="n">
        <f aca="false">CE38*Hipótesis!$C$66/30</f>
        <v>102954.676418574</v>
      </c>
      <c r="CF68" s="101" t="n">
        <f aca="false">CF38*Hipótesis!$C$66/30</f>
        <v>102954.676418574</v>
      </c>
      <c r="CG68" s="101" t="n">
        <f aca="false">CG38*Hipótesis!$C$66/30</f>
        <v>102954.676418574</v>
      </c>
      <c r="CH68" s="101" t="n">
        <f aca="false">CH38*Hipótesis!$C$66/30</f>
        <v>102954.676418574</v>
      </c>
    </row>
    <row r="69" customFormat="false" ht="13.5" hidden="false" customHeight="true" outlineLevel="0" collapsed="false">
      <c r="A69" s="6" t="s">
        <v>543</v>
      </c>
      <c r="C69" s="101" t="n">
        <f aca="false">-C39*Hipótesis!$C$67/30</f>
        <v>109.098</v>
      </c>
      <c r="D69" s="101" t="n">
        <f aca="false">-D39*Hipótesis!$C$67/30</f>
        <v>234.623647058823</v>
      </c>
      <c r="E69" s="101" t="n">
        <f aca="false">-E39*Hipótesis!$C$67/30</f>
        <v>579.188495010504</v>
      </c>
      <c r="F69" s="101" t="n">
        <f aca="false">-F39*Hipótesis!$C$67/30</f>
        <v>814.655342962185</v>
      </c>
      <c r="G69" s="101" t="n">
        <f aca="false">-G39*Hipótesis!$C$67/30</f>
        <v>1033.69454385504</v>
      </c>
      <c r="H69" s="101" t="n">
        <f aca="false">-H39*Hipótesis!$C$67/30</f>
        <v>1440.96720063025</v>
      </c>
      <c r="I69" s="101" t="n">
        <f aca="false">-I39*Hipótesis!$C$67/30</f>
        <v>2185.86807778384</v>
      </c>
      <c r="J69" s="101" t="n">
        <f aca="false">-J39*Hipótesis!$C$67/30</f>
        <v>2930.76895493743</v>
      </c>
      <c r="K69" s="101" t="n">
        <f aca="false">-K39*Hipótesis!$C$67/30</f>
        <v>3675.66983209102</v>
      </c>
      <c r="L69" s="101" t="n">
        <f aca="false">-L39*Hipótesis!$C$67/30</f>
        <v>4420.57070924461</v>
      </c>
      <c r="M69" s="101" t="n">
        <f aca="false">-M39*Hipótesis!$C$67/30</f>
        <v>4946.43238550534</v>
      </c>
      <c r="N69" s="101" t="n">
        <f aca="false">-N39*Hipótesis!$C$67/30</f>
        <v>5746.08817941313</v>
      </c>
      <c r="O69" s="101" t="n">
        <f aca="false">-O39*Hipótesis!$C$67/30</f>
        <v>6545.74397332092</v>
      </c>
      <c r="P69" s="101" t="n">
        <f aca="false">-P39*Hipótesis!$C$67/30</f>
        <v>7266.68395840518</v>
      </c>
      <c r="Q69" s="101" t="n">
        <f aca="false">-Q39*Hipótesis!$C$67/30</f>
        <v>7987.62394348944</v>
      </c>
      <c r="R69" s="101" t="n">
        <f aca="false">-R39*Hipótesis!$C$67/30</f>
        <v>8708.5639285737</v>
      </c>
      <c r="S69" s="101" t="n">
        <f aca="false">-S39*Hipótesis!$C$67/30</f>
        <v>9429.50391365796</v>
      </c>
      <c r="T69" s="101" t="n">
        <f aca="false">-T39*Hipótesis!$C$67/30</f>
        <v>10150.4438987422</v>
      </c>
      <c r="U69" s="101" t="n">
        <f aca="false">-U39*Hipótesis!$C$67/30</f>
        <v>10871.3838838265</v>
      </c>
      <c r="V69" s="101" t="n">
        <f aca="false">-V39*Hipótesis!$C$67/30</f>
        <v>11592.3238689107</v>
      </c>
      <c r="W69" s="101" t="n">
        <f aca="false">-W39*Hipótesis!$C$67/30</f>
        <v>12313.263853995</v>
      </c>
      <c r="X69" s="101" t="n">
        <f aca="false">-X39*Hipótesis!$C$67/30</f>
        <v>12760.4097214322</v>
      </c>
      <c r="Y69" s="101" t="n">
        <f aca="false">-Y39*Hipótesis!$C$67/30</f>
        <v>13207.5555888694</v>
      </c>
      <c r="Z69" s="101" t="n">
        <f aca="false">-Z39*Hipótesis!$C$67/30</f>
        <v>13545.1838092478</v>
      </c>
      <c r="AA69" s="101" t="n">
        <f aca="false">-AA39*Hipótesis!$C$67/30</f>
        <v>13882.8120296262</v>
      </c>
      <c r="AB69" s="101" t="n">
        <f aca="false">-AB39*Hipótesis!$C$67/30</f>
        <v>14220.4402500045</v>
      </c>
      <c r="AC69" s="101" t="n">
        <f aca="false">-AC39*Hipótesis!$C$67/30</f>
        <v>14558.0684703829</v>
      </c>
      <c r="AD69" s="101" t="n">
        <f aca="false">-AD39*Hipótesis!$C$67/30</f>
        <v>14895.6966907613</v>
      </c>
      <c r="AE69" s="101" t="n">
        <f aca="false">-AE39*Hipótesis!$C$67/30</f>
        <v>15233.3249111397</v>
      </c>
      <c r="AF69" s="101" t="n">
        <f aca="false">-AF39*Hipótesis!$C$67/30</f>
        <v>15570.9531315181</v>
      </c>
      <c r="AG69" s="101" t="n">
        <f aca="false">-AG39*Hipótesis!$C$67/30</f>
        <v>15908.5813518964</v>
      </c>
      <c r="AH69" s="101" t="n">
        <f aca="false">-AH39*Hipótesis!$C$67/30</f>
        <v>16246.2095722748</v>
      </c>
      <c r="AI69" s="101" t="n">
        <f aca="false">-AI39*Hipótesis!$C$67/30</f>
        <v>16583.8377926532</v>
      </c>
      <c r="AJ69" s="101" t="n">
        <f aca="false">-AJ39*Hipótesis!$C$67/30</f>
        <v>16921.4660130316</v>
      </c>
      <c r="AK69" s="101" t="n">
        <f aca="false">-AK39*Hipótesis!$C$67/30</f>
        <v>17259.09423341</v>
      </c>
      <c r="AL69" s="101" t="n">
        <f aca="false">-AL39*Hipótesis!$C$67/30</f>
        <v>17596.7224537883</v>
      </c>
      <c r="AM69" s="101" t="n">
        <f aca="false">-AM39*Hipótesis!$C$67/30</f>
        <v>17934.3506741667</v>
      </c>
      <c r="AN69" s="101" t="n">
        <f aca="false">-AN39*Hipótesis!$C$67/30</f>
        <v>18271.9788945451</v>
      </c>
      <c r="AO69" s="101" t="n">
        <f aca="false">-AO39*Hipótesis!$C$67/30</f>
        <v>18609.6071149235</v>
      </c>
      <c r="AP69" s="101" t="n">
        <f aca="false">-AP39*Hipótesis!$C$67/30</f>
        <v>18947.2353353018</v>
      </c>
      <c r="AQ69" s="101" t="n">
        <f aca="false">-AQ39*Hipótesis!$C$67/30</f>
        <v>19284.8635556802</v>
      </c>
      <c r="AR69" s="101" t="n">
        <f aca="false">-AR39*Hipótesis!$C$67/30</f>
        <v>19622.4917760586</v>
      </c>
      <c r="AS69" s="101" t="n">
        <f aca="false">-AS39*Hipótesis!$C$67/30</f>
        <v>19622.4917760586</v>
      </c>
      <c r="AT69" s="101" t="n">
        <f aca="false">-AT39*Hipótesis!$C$67/30</f>
        <v>19622.4917760586</v>
      </c>
      <c r="AU69" s="101" t="n">
        <f aca="false">-AU39*Hipótesis!$C$67/30</f>
        <v>19622.4917760586</v>
      </c>
      <c r="AV69" s="101" t="n">
        <f aca="false">-AV39*Hipótesis!$C$67/30</f>
        <v>19622.4917760586</v>
      </c>
      <c r="AW69" s="101" t="n">
        <f aca="false">-AW39*Hipótesis!$C$67/30</f>
        <v>19622.4917760586</v>
      </c>
      <c r="AX69" s="101" t="n">
        <f aca="false">-AX39*Hipótesis!$C$67/30</f>
        <v>19622.4917760586</v>
      </c>
      <c r="AY69" s="101" t="n">
        <f aca="false">-AY39*Hipótesis!$C$67/30</f>
        <v>19622.4917760586</v>
      </c>
      <c r="AZ69" s="101" t="n">
        <f aca="false">-AZ39*Hipótesis!$C$67/30</f>
        <v>19622.4917760586</v>
      </c>
      <c r="BA69" s="101" t="n">
        <f aca="false">-BA39*Hipótesis!$C$67/30</f>
        <v>19622.4917760586</v>
      </c>
      <c r="BB69" s="101" t="n">
        <f aca="false">-BB39*Hipótesis!$C$67/30</f>
        <v>19622.4917760586</v>
      </c>
      <c r="BC69" s="101" t="n">
        <f aca="false">-BC39*Hipótesis!$C$67/30</f>
        <v>19622.4917760586</v>
      </c>
      <c r="BD69" s="101" t="n">
        <f aca="false">-BD39*Hipótesis!$C$67/30</f>
        <v>19622.4917760586</v>
      </c>
      <c r="BE69" s="101" t="n">
        <f aca="false">-BE39*Hipótesis!$C$67/30</f>
        <v>19622.4917760586</v>
      </c>
      <c r="BF69" s="101" t="n">
        <f aca="false">-BF39*Hipótesis!$C$67/30</f>
        <v>19622.4917760586</v>
      </c>
      <c r="BG69" s="101" t="n">
        <f aca="false">-BG39*Hipótesis!$C$67/30</f>
        <v>19622.4917760586</v>
      </c>
      <c r="BH69" s="101" t="n">
        <f aca="false">-BH39*Hipótesis!$C$67/30</f>
        <v>19622.4917760586</v>
      </c>
      <c r="BI69" s="101" t="n">
        <f aca="false">-BI39*Hipótesis!$C$67/30</f>
        <v>19622.4917760586</v>
      </c>
      <c r="BJ69" s="101" t="n">
        <f aca="false">-BJ39*Hipótesis!$C$67/30</f>
        <v>19622.4917760586</v>
      </c>
      <c r="BK69" s="101" t="n">
        <f aca="false">-BK39*Hipótesis!$C$67/30</f>
        <v>19622.4917760586</v>
      </c>
      <c r="BL69" s="101" t="n">
        <f aca="false">-BL39*Hipótesis!$C$67/30</f>
        <v>19622.4917760586</v>
      </c>
      <c r="BM69" s="101" t="n">
        <f aca="false">-BM39*Hipótesis!$C$67/30</f>
        <v>19622.4917760586</v>
      </c>
      <c r="BN69" s="101" t="n">
        <f aca="false">-BN39*Hipótesis!$C$67/30</f>
        <v>19622.4917760586</v>
      </c>
      <c r="BO69" s="101" t="n">
        <f aca="false">-BO39*Hipótesis!$C$67/30</f>
        <v>19622.4917760586</v>
      </c>
      <c r="BP69" s="101" t="n">
        <f aca="false">-BP39*Hipótesis!$C$67/30</f>
        <v>19622.4917760586</v>
      </c>
      <c r="BQ69" s="101" t="n">
        <f aca="false">-BQ39*Hipótesis!$C$67/30</f>
        <v>19622.4917760586</v>
      </c>
      <c r="BR69" s="101" t="n">
        <f aca="false">-BR39*Hipótesis!$C$67/30</f>
        <v>19622.4917760586</v>
      </c>
      <c r="BS69" s="101" t="n">
        <f aca="false">-BS39*Hipótesis!$C$67/30</f>
        <v>19622.4917760586</v>
      </c>
      <c r="BT69" s="101" t="n">
        <f aca="false">-BT39*Hipótesis!$C$67/30</f>
        <v>19622.4917760586</v>
      </c>
      <c r="BU69" s="101" t="n">
        <f aca="false">-BU39*Hipótesis!$C$67/30</f>
        <v>19622.4917760586</v>
      </c>
      <c r="BV69" s="101" t="n">
        <f aca="false">-BV39*Hipótesis!$C$67/30</f>
        <v>19622.4917760586</v>
      </c>
      <c r="BW69" s="101" t="n">
        <f aca="false">-BW39*Hipótesis!$C$67/30</f>
        <v>19622.4917760586</v>
      </c>
      <c r="BX69" s="101" t="n">
        <f aca="false">-BX39*Hipótesis!$C$67/30</f>
        <v>19622.4917760586</v>
      </c>
      <c r="BY69" s="101" t="n">
        <f aca="false">-BY39*Hipótesis!$C$67/30</f>
        <v>19622.4917760586</v>
      </c>
      <c r="BZ69" s="101" t="n">
        <f aca="false">-BZ39*Hipótesis!$C$67/30</f>
        <v>19622.4917760586</v>
      </c>
      <c r="CA69" s="101" t="n">
        <f aca="false">-CA39*Hipótesis!$C$67/30</f>
        <v>19622.4917760586</v>
      </c>
      <c r="CB69" s="101" t="n">
        <f aca="false">-CB39*Hipótesis!$C$67/30</f>
        <v>19622.4917760586</v>
      </c>
      <c r="CC69" s="101" t="n">
        <f aca="false">-CC39*Hipótesis!$C$67/30</f>
        <v>19622.4917760586</v>
      </c>
      <c r="CD69" s="101" t="n">
        <f aca="false">-CD39*Hipótesis!$C$67/30</f>
        <v>19622.4917760586</v>
      </c>
      <c r="CE69" s="101" t="n">
        <f aca="false">-CE39*Hipótesis!$C$67/30</f>
        <v>19622.4917760586</v>
      </c>
      <c r="CF69" s="101" t="n">
        <f aca="false">-CF39*Hipótesis!$C$67/30</f>
        <v>19622.4917760586</v>
      </c>
      <c r="CG69" s="101" t="n">
        <f aca="false">-CG39*Hipótesis!$C$67/30</f>
        <v>19622.4917760586</v>
      </c>
      <c r="CH69" s="101" t="n">
        <f aca="false">-CH39*Hipótesis!$C$67/30</f>
        <v>19622.4917760586</v>
      </c>
    </row>
    <row r="70" customFormat="false" ht="13.5" hidden="false" customHeight="true" outlineLevel="0" collapsed="false">
      <c r="A70" s="22" t="s">
        <v>544</v>
      </c>
      <c r="C70" s="101" t="n">
        <f aca="false">C68*(1-Hipótesis!$D$73)-C69</f>
        <v>373.578</v>
      </c>
      <c r="D70" s="101" t="n">
        <f aca="false">D68*(1-Hipótesis!$D$73)-D69</f>
        <v>768.312352941176</v>
      </c>
      <c r="E70" s="101" t="n">
        <f aca="false">E68*(1-Hipótesis!$D$73)-E69</f>
        <v>1509.7250049895</v>
      </c>
      <c r="F70" s="101" t="n">
        <f aca="false">F68*(1-Hipótesis!$D$73)-F69</f>
        <v>1877.55965703782</v>
      </c>
      <c r="G70" s="101" t="n">
        <f aca="false">G68*(1-Hipótesis!$D$73)-G69</f>
        <v>2224.23795614496</v>
      </c>
      <c r="H70" s="101" t="n">
        <f aca="false">H68*(1-Hipótesis!$D$73)-H69</f>
        <v>2727.20279936975</v>
      </c>
      <c r="I70" s="101" t="n">
        <f aca="false">I68*(1-Hipótesis!$D$73)-I69</f>
        <v>3611.63027131143</v>
      </c>
      <c r="J70" s="101" t="n">
        <f aca="false">J68*(1-Hipótesis!$D$73)-J69</f>
        <v>4496.0577432531</v>
      </c>
      <c r="K70" s="101" t="n">
        <f aca="false">K68*(1-Hipótesis!$D$73)-K69</f>
        <v>5380.48521519478</v>
      </c>
      <c r="L70" s="101" t="n">
        <f aca="false">L68*(1-Hipótesis!$D$73)-L69</f>
        <v>6264.91268713645</v>
      </c>
      <c r="M70" s="101" t="n">
        <f aca="false">M68*(1-Hipótesis!$D$73)-M69</f>
        <v>6802.66185997099</v>
      </c>
      <c r="N70" s="101" t="n">
        <f aca="false">N68*(1-Hipótesis!$D$73)-N69</f>
        <v>7536.41691515846</v>
      </c>
      <c r="O70" s="101" t="n">
        <f aca="false">O68*(1-Hipótesis!$D$73)-O69</f>
        <v>8270.17197034594</v>
      </c>
      <c r="P70" s="101" t="n">
        <f aca="false">P68*(1-Hipótesis!$D$73)-P69</f>
        <v>8913.51483435694</v>
      </c>
      <c r="Q70" s="101" t="n">
        <f aca="false">Q68*(1-Hipótesis!$D$73)-Q69</f>
        <v>9556.85769836795</v>
      </c>
      <c r="R70" s="101" t="n">
        <f aca="false">R68*(1-Hipótesis!$D$73)-R69</f>
        <v>10200.200562379</v>
      </c>
      <c r="S70" s="101" t="n">
        <f aca="false">S68*(1-Hipótesis!$D$73)-S69</f>
        <v>10843.54342639</v>
      </c>
      <c r="T70" s="101" t="n">
        <f aca="false">T68*(1-Hipótesis!$D$73)-T69</f>
        <v>11486.886290401</v>
      </c>
      <c r="U70" s="101" t="n">
        <f aca="false">U68*(1-Hipótesis!$D$73)-U69</f>
        <v>12130.229154412</v>
      </c>
      <c r="V70" s="101" t="n">
        <f aca="false">V68*(1-Hipótesis!$D$73)-V69</f>
        <v>12773.572018423</v>
      </c>
      <c r="W70" s="101" t="n">
        <f aca="false">W68*(1-Hipótesis!$D$73)-W69</f>
        <v>13416.914882434</v>
      </c>
      <c r="X70" s="101" t="n">
        <f aca="false">X68*(1-Hipótesis!$D$73)-X69</f>
        <v>13864.251864092</v>
      </c>
      <c r="Y70" s="101" t="n">
        <f aca="false">Y68*(1-Hipótesis!$D$73)-Y69</f>
        <v>14311.5888457501</v>
      </c>
      <c r="Z70" s="101" t="n">
        <f aca="false">Z68*(1-Hipótesis!$D$73)-Z69</f>
        <v>14693.051474467</v>
      </c>
      <c r="AA70" s="101" t="n">
        <f aca="false">AA68*(1-Hipótesis!$D$73)-AA69</f>
        <v>15074.5141031839</v>
      </c>
      <c r="AB70" s="101" t="n">
        <f aca="false">AB68*(1-Hipótesis!$D$73)-AB69</f>
        <v>15455.9767319008</v>
      </c>
      <c r="AC70" s="101" t="n">
        <f aca="false">AC68*(1-Hipótesis!$D$73)-AC69</f>
        <v>15837.4393606176</v>
      </c>
      <c r="AD70" s="101" t="n">
        <f aca="false">AD68*(1-Hipótesis!$D$73)-AD69</f>
        <v>16218.9019893345</v>
      </c>
      <c r="AE70" s="101" t="n">
        <f aca="false">AE68*(1-Hipótesis!$D$73)-AE69</f>
        <v>16600.3646180514</v>
      </c>
      <c r="AF70" s="101" t="n">
        <f aca="false">AF68*(1-Hipótesis!$D$73)-AF69</f>
        <v>16981.8272467683</v>
      </c>
      <c r="AG70" s="101" t="n">
        <f aca="false">AG68*(1-Hipótesis!$D$73)-AG69</f>
        <v>17363.2898754852</v>
      </c>
      <c r="AH70" s="101" t="n">
        <f aca="false">AH68*(1-Hipótesis!$D$73)-AH69</f>
        <v>17744.7525042021</v>
      </c>
      <c r="AI70" s="101" t="n">
        <f aca="false">AI68*(1-Hipótesis!$D$73)-AI69</f>
        <v>18126.215132919</v>
      </c>
      <c r="AJ70" s="101" t="n">
        <f aca="false">AJ68*(1-Hipótesis!$D$73)-AJ69</f>
        <v>18507.6777616358</v>
      </c>
      <c r="AK70" s="101" t="n">
        <f aca="false">AK68*(1-Hipótesis!$D$73)-AK69</f>
        <v>18889.1403903527</v>
      </c>
      <c r="AL70" s="101" t="n">
        <f aca="false">AL68*(1-Hipótesis!$D$73)-AL69</f>
        <v>19270.6030190696</v>
      </c>
      <c r="AM70" s="101" t="n">
        <f aca="false">AM68*(1-Hipótesis!$D$73)-AM69</f>
        <v>19652.0656477865</v>
      </c>
      <c r="AN70" s="101" t="n">
        <f aca="false">AN68*(1-Hipótesis!$D$73)-AN69</f>
        <v>20033.5282765034</v>
      </c>
      <c r="AO70" s="101" t="n">
        <f aca="false">AO68*(1-Hipótesis!$D$73)-AO69</f>
        <v>20414.9909052203</v>
      </c>
      <c r="AP70" s="101" t="n">
        <f aca="false">AP68*(1-Hipótesis!$D$73)-AP69</f>
        <v>20796.4535339372</v>
      </c>
      <c r="AQ70" s="101" t="n">
        <f aca="false">AQ68*(1-Hipótesis!$D$73)-AQ69</f>
        <v>21177.916162654</v>
      </c>
      <c r="AR70" s="101" t="n">
        <f aca="false">AR68*(1-Hipótesis!$D$73)-AR69</f>
        <v>21559.3787913709</v>
      </c>
      <c r="AS70" s="101" t="n">
        <f aca="false">AS68*(1-Hipótesis!$D$73)-AS69</f>
        <v>21559.3787913709</v>
      </c>
      <c r="AT70" s="101" t="n">
        <f aca="false">AT68*(1-Hipótesis!$D$73)-AT69</f>
        <v>21559.3787913709</v>
      </c>
      <c r="AU70" s="101" t="n">
        <f aca="false">AU68*(1-Hipótesis!$D$73)-AU69</f>
        <v>21559.3787913709</v>
      </c>
      <c r="AV70" s="101" t="n">
        <f aca="false">AV68*(1-Hipótesis!$D$73)-AV69</f>
        <v>21559.3787913709</v>
      </c>
      <c r="AW70" s="101" t="n">
        <f aca="false">AW68*(1-Hipótesis!$D$73)-AW69</f>
        <v>21559.3787913709</v>
      </c>
      <c r="AX70" s="101" t="n">
        <f aca="false">AX68*(1-Hipótesis!$D$73)-AX69</f>
        <v>21559.3787913709</v>
      </c>
      <c r="AY70" s="101" t="n">
        <f aca="false">AY68*(1-Hipótesis!$D$73)-AY69</f>
        <v>21559.3787913709</v>
      </c>
      <c r="AZ70" s="101" t="n">
        <f aca="false">AZ68*(1-Hipótesis!$D$73)-AZ69</f>
        <v>21559.3787913709</v>
      </c>
      <c r="BA70" s="101" t="n">
        <f aca="false">BA68*(1-Hipótesis!$D$73)-BA69</f>
        <v>21559.3787913709</v>
      </c>
      <c r="BB70" s="101" t="n">
        <f aca="false">BB68*(1-Hipótesis!$D$73)-BB69</f>
        <v>21559.3787913709</v>
      </c>
      <c r="BC70" s="101" t="n">
        <f aca="false">BC68*(1-Hipótesis!$D$73)-BC69</f>
        <v>21559.3787913709</v>
      </c>
      <c r="BD70" s="101" t="n">
        <f aca="false">BD68*(1-Hipótesis!$D$73)-BD69</f>
        <v>21559.3787913709</v>
      </c>
      <c r="BE70" s="101" t="n">
        <f aca="false">BE68*(1-Hipótesis!$D$73)-BE69</f>
        <v>21559.3787913709</v>
      </c>
      <c r="BF70" s="101" t="n">
        <f aca="false">BF68*(1-Hipótesis!$D$73)-BF69</f>
        <v>21559.3787913709</v>
      </c>
      <c r="BG70" s="101" t="n">
        <f aca="false">BG68*(1-Hipótesis!$D$73)-BG69</f>
        <v>21559.3787913709</v>
      </c>
      <c r="BH70" s="101" t="n">
        <f aca="false">BH68*(1-Hipótesis!$D$73)-BH69</f>
        <v>21559.3787913709</v>
      </c>
      <c r="BI70" s="101" t="n">
        <f aca="false">BI68*(1-Hipótesis!$D$73)-BI69</f>
        <v>21559.3787913709</v>
      </c>
      <c r="BJ70" s="101" t="n">
        <f aca="false">BJ68*(1-Hipótesis!$D$73)-BJ69</f>
        <v>21559.3787913709</v>
      </c>
      <c r="BK70" s="101" t="n">
        <f aca="false">BK68*(1-Hipótesis!$D$73)-BK69</f>
        <v>21559.3787913709</v>
      </c>
      <c r="BL70" s="101" t="n">
        <f aca="false">BL68*(1-Hipótesis!$D$73)-BL69</f>
        <v>21559.3787913709</v>
      </c>
      <c r="BM70" s="101" t="n">
        <f aca="false">BM68*(1-Hipótesis!$D$73)-BM69</f>
        <v>21559.3787913709</v>
      </c>
      <c r="BN70" s="101" t="n">
        <f aca="false">BN68*(1-Hipótesis!$D$73)-BN69</f>
        <v>21559.3787913709</v>
      </c>
      <c r="BO70" s="101" t="n">
        <f aca="false">BO68*(1-Hipótesis!$D$73)-BO69</f>
        <v>21559.3787913709</v>
      </c>
      <c r="BP70" s="101" t="n">
        <f aca="false">BP68*(1-Hipótesis!$D$73)-BP69</f>
        <v>21559.3787913709</v>
      </c>
      <c r="BQ70" s="101" t="n">
        <f aca="false">BQ68*(1-Hipótesis!$D$73)-BQ69</f>
        <v>21559.3787913709</v>
      </c>
      <c r="BR70" s="101" t="n">
        <f aca="false">BR68*(1-Hipótesis!$D$73)-BR69</f>
        <v>21559.3787913709</v>
      </c>
      <c r="BS70" s="101" t="n">
        <f aca="false">BS68*(1-Hipótesis!$D$73)-BS69</f>
        <v>21559.3787913709</v>
      </c>
      <c r="BT70" s="101" t="n">
        <f aca="false">BT68*(1-Hipótesis!$D$73)-BT69</f>
        <v>21559.3787913709</v>
      </c>
      <c r="BU70" s="101" t="n">
        <f aca="false">BU68*(1-Hipótesis!$D$73)-BU69</f>
        <v>21559.3787913709</v>
      </c>
      <c r="BV70" s="101" t="n">
        <f aca="false">BV68*(1-Hipótesis!$D$73)-BV69</f>
        <v>21559.3787913709</v>
      </c>
      <c r="BW70" s="101" t="n">
        <f aca="false">BW68*(1-Hipótesis!$D$73)-BW69</f>
        <v>21559.3787913709</v>
      </c>
      <c r="BX70" s="101" t="n">
        <f aca="false">BX68*(1-Hipótesis!$D$73)-BX69</f>
        <v>21559.3787913709</v>
      </c>
      <c r="BY70" s="101" t="n">
        <f aca="false">BY68*(1-Hipótesis!$D$73)-BY69</f>
        <v>21559.3787913709</v>
      </c>
      <c r="BZ70" s="101" t="n">
        <f aca="false">BZ68*(1-Hipótesis!$D$73)-BZ69</f>
        <v>21559.3787913709</v>
      </c>
      <c r="CA70" s="101" t="n">
        <f aca="false">CA68*(1-Hipótesis!$D$73)-CA69</f>
        <v>21559.3787913709</v>
      </c>
      <c r="CB70" s="101" t="n">
        <f aca="false">CB68*(1-Hipótesis!$D$73)-CB69</f>
        <v>21559.3787913709</v>
      </c>
      <c r="CC70" s="101" t="n">
        <f aca="false">CC68*(1-Hipótesis!$D$73)-CC69</f>
        <v>21559.3787913709</v>
      </c>
      <c r="CD70" s="101" t="n">
        <f aca="false">CD68*(1-Hipótesis!$D$73)-CD69</f>
        <v>21559.3787913709</v>
      </c>
      <c r="CE70" s="101" t="n">
        <f aca="false">CE68*(1-Hipótesis!$D$73)-CE69</f>
        <v>21559.3787913709</v>
      </c>
      <c r="CF70" s="101" t="n">
        <f aca="false">CF68*(1-Hipótesis!$D$73)-CF69</f>
        <v>21559.3787913709</v>
      </c>
      <c r="CG70" s="101" t="n">
        <f aca="false">CG68*(1-Hipótesis!$D$73)-CG69</f>
        <v>21559.3787913709</v>
      </c>
      <c r="CH70" s="101" t="n">
        <f aca="false">CH68*(1-Hipótesis!$D$73)-CH69</f>
        <v>21559.3787913709</v>
      </c>
    </row>
    <row r="71" customFormat="false" ht="13.5" hidden="false" customHeight="true" outlineLevel="0" collapsed="false">
      <c r="A71" s="6" t="s">
        <v>545</v>
      </c>
      <c r="C71" s="100" t="n">
        <f aca="false">-C70</f>
        <v>-373.578</v>
      </c>
      <c r="D71" s="100" t="n">
        <f aca="false">-(D70-C70)</f>
        <v>-394.734352941177</v>
      </c>
      <c r="E71" s="100" t="n">
        <f aca="false">-(E70-D70)</f>
        <v>-741.412652048319</v>
      </c>
      <c r="F71" s="100" t="n">
        <f aca="false">-(F70-E70)</f>
        <v>-367.83465204832</v>
      </c>
      <c r="G71" s="100" t="n">
        <f aca="false">-(G70-F70)</f>
        <v>-346.678299107143</v>
      </c>
      <c r="H71" s="100" t="n">
        <f aca="false">-(H70-G70)</f>
        <v>-502.96484322479</v>
      </c>
      <c r="I71" s="100" t="n">
        <f aca="false">-(I70-H70)</f>
        <v>-884.427471941677</v>
      </c>
      <c r="J71" s="100" t="n">
        <f aca="false">-(J70-I70)</f>
        <v>-884.427471941676</v>
      </c>
      <c r="K71" s="100" t="n">
        <f aca="false">-(K70-J70)</f>
        <v>-884.427471941678</v>
      </c>
      <c r="L71" s="100" t="n">
        <f aca="false">-(L70-K70)</f>
        <v>-884.427471941674</v>
      </c>
      <c r="M71" s="100" t="n">
        <f aca="false">-(M70-L70)</f>
        <v>-537.749172834533</v>
      </c>
      <c r="N71" s="100" t="n">
        <f aca="false">-(N70-M70)</f>
        <v>-733.755055187477</v>
      </c>
      <c r="O71" s="100" t="n">
        <f aca="false">-(O70-N70)</f>
        <v>-733.755055187476</v>
      </c>
      <c r="P71" s="100" t="n">
        <f aca="false">-(P70-O70)</f>
        <v>-643.342864011003</v>
      </c>
      <c r="Q71" s="100" t="n">
        <f aca="false">-(Q70-P70)</f>
        <v>-643.342864011005</v>
      </c>
      <c r="R71" s="100" t="n">
        <f aca="false">-(R70-Q70)</f>
        <v>-643.342864011005</v>
      </c>
      <c r="S71" s="100" t="n">
        <f aca="false">-(S70-R70)</f>
        <v>-643.342864011</v>
      </c>
      <c r="T71" s="100" t="n">
        <f aca="false">-(T70-S70)</f>
        <v>-643.342864011007</v>
      </c>
      <c r="U71" s="100" t="n">
        <f aca="false">-(U70-T70)</f>
        <v>-643.342864011007</v>
      </c>
      <c r="V71" s="100" t="n">
        <f aca="false">-(V70-U70)</f>
        <v>-643.342864011001</v>
      </c>
      <c r="W71" s="100" t="n">
        <f aca="false">-(W70-V70)</f>
        <v>-643.342864011003</v>
      </c>
      <c r="X71" s="100" t="n">
        <f aca="false">-(X70-W70)</f>
        <v>-447.336981658062</v>
      </c>
      <c r="Y71" s="100" t="n">
        <f aca="false">-(Y70-X70)</f>
        <v>-447.336981658067</v>
      </c>
      <c r="Z71" s="100" t="n">
        <f aca="false">-(Z70-Y70)</f>
        <v>-381.462628716889</v>
      </c>
      <c r="AA71" s="100" t="n">
        <f aca="false">-(AA70-Z70)</f>
        <v>-381.462628716878</v>
      </c>
      <c r="AB71" s="100" t="n">
        <f aca="false">-(AB70-AA70)</f>
        <v>-381.462628716898</v>
      </c>
      <c r="AC71" s="100" t="n">
        <f aca="false">-(AC70-AB70)</f>
        <v>-381.462628716879</v>
      </c>
      <c r="AD71" s="100" t="n">
        <f aca="false">-(AD70-AC70)</f>
        <v>-381.462628716889</v>
      </c>
      <c r="AE71" s="100" t="n">
        <f aca="false">-(AE70-AD70)</f>
        <v>-381.462628716881</v>
      </c>
      <c r="AF71" s="100" t="n">
        <f aca="false">-(AF70-AE70)</f>
        <v>-381.462628716887</v>
      </c>
      <c r="AG71" s="100" t="n">
        <f aca="false">-(AG70-AF70)</f>
        <v>-381.462628716887</v>
      </c>
      <c r="AH71" s="100" t="n">
        <f aca="false">-(AH70-AG70)</f>
        <v>-381.462628716887</v>
      </c>
      <c r="AI71" s="100" t="n">
        <f aca="false">-(AI70-AH70)</f>
        <v>-381.462628716887</v>
      </c>
      <c r="AJ71" s="100" t="n">
        <f aca="false">-(AJ70-AI70)</f>
        <v>-381.462628716883</v>
      </c>
      <c r="AK71" s="100" t="n">
        <f aca="false">-(AK70-AJ70)</f>
        <v>-381.462628716894</v>
      </c>
      <c r="AL71" s="100" t="n">
        <f aca="false">-(AL70-AK70)</f>
        <v>-381.462628716894</v>
      </c>
      <c r="AM71" s="100" t="n">
        <f aca="false">-(AM70-AL70)</f>
        <v>-381.462628716879</v>
      </c>
      <c r="AN71" s="100" t="n">
        <f aca="false">-(AN70-AM70)</f>
        <v>-381.462628716887</v>
      </c>
      <c r="AO71" s="100" t="n">
        <f aca="false">-(AO70-AN70)</f>
        <v>-381.462628716883</v>
      </c>
      <c r="AP71" s="100" t="n">
        <f aca="false">-(AP70-AO70)</f>
        <v>-381.462628716894</v>
      </c>
      <c r="AQ71" s="100" t="n">
        <f aca="false">-(AQ70-AP70)</f>
        <v>-381.462628716872</v>
      </c>
      <c r="AR71" s="100" t="n">
        <f aca="false">-(AR70-AQ70)</f>
        <v>-381.462628716898</v>
      </c>
      <c r="AS71" s="100" t="n">
        <f aca="false">-(AS70-AR70)</f>
        <v>-0</v>
      </c>
      <c r="AT71" s="100" t="n">
        <f aca="false">-(AT70-AS70)</f>
        <v>-0</v>
      </c>
      <c r="AU71" s="100" t="n">
        <f aca="false">-(AU70-AT70)</f>
        <v>-0</v>
      </c>
      <c r="AV71" s="100" t="n">
        <f aca="false">-(AV70-AU70)</f>
        <v>-0</v>
      </c>
      <c r="AW71" s="100" t="n">
        <f aca="false">-(AW70-AV70)</f>
        <v>-0</v>
      </c>
      <c r="AX71" s="100" t="n">
        <f aca="false">-(AX70-AW70)</f>
        <v>-0</v>
      </c>
      <c r="AY71" s="100" t="n">
        <f aca="false">-(AY70-AX70)</f>
        <v>-0</v>
      </c>
      <c r="AZ71" s="100" t="n">
        <f aca="false">-(AZ70-AY70)</f>
        <v>-0</v>
      </c>
      <c r="BA71" s="100" t="n">
        <f aca="false">-(BA70-AZ70)</f>
        <v>-0</v>
      </c>
      <c r="BB71" s="100" t="n">
        <f aca="false">-(BB70-BA70)</f>
        <v>-0</v>
      </c>
      <c r="BC71" s="100" t="n">
        <f aca="false">-(BC70-BB70)</f>
        <v>-0</v>
      </c>
      <c r="BD71" s="100" t="n">
        <f aca="false">-(BD70-BC70)</f>
        <v>-0</v>
      </c>
      <c r="BE71" s="100" t="n">
        <f aca="false">-(BE70-BD70)</f>
        <v>-0</v>
      </c>
      <c r="BF71" s="100" t="n">
        <f aca="false">-(BF70-BE70)</f>
        <v>-0</v>
      </c>
      <c r="BG71" s="100" t="n">
        <f aca="false">-(BG70-BF70)</f>
        <v>-0</v>
      </c>
      <c r="BH71" s="100" t="n">
        <f aca="false">-(BH70-BG70)</f>
        <v>-0</v>
      </c>
      <c r="BI71" s="100" t="n">
        <f aca="false">-(BI70-BH70)</f>
        <v>-0</v>
      </c>
      <c r="BJ71" s="100" t="n">
        <f aca="false">-(BJ70-BI70)</f>
        <v>-0</v>
      </c>
      <c r="BK71" s="100" t="n">
        <f aca="false">-(BK70-BJ70)</f>
        <v>-0</v>
      </c>
      <c r="BL71" s="100" t="n">
        <f aca="false">-(BL70-BK70)</f>
        <v>-0</v>
      </c>
      <c r="BM71" s="100" t="n">
        <f aca="false">-(BM70-BL70)</f>
        <v>-0</v>
      </c>
      <c r="BN71" s="100" t="n">
        <f aca="false">-(BN70-BM70)</f>
        <v>-0</v>
      </c>
      <c r="BO71" s="100" t="n">
        <f aca="false">-(BO70-BN70)</f>
        <v>-0</v>
      </c>
      <c r="BP71" s="100" t="n">
        <f aca="false">-(BP70-BO70)</f>
        <v>-0</v>
      </c>
      <c r="BQ71" s="100" t="n">
        <f aca="false">-(BQ70-BP70)</f>
        <v>-0</v>
      </c>
      <c r="BR71" s="100" t="n">
        <f aca="false">-(BR70-BQ70)</f>
        <v>-0</v>
      </c>
      <c r="BS71" s="100" t="n">
        <f aca="false">-(BS70-BR70)</f>
        <v>-0</v>
      </c>
      <c r="BT71" s="100" t="n">
        <f aca="false">-(BT70-BS70)</f>
        <v>-0</v>
      </c>
      <c r="BU71" s="100" t="n">
        <f aca="false">-(BU70-BT70)</f>
        <v>-0</v>
      </c>
      <c r="BV71" s="100" t="n">
        <f aca="false">-(BV70-BU70)</f>
        <v>-0</v>
      </c>
      <c r="BW71" s="100" t="n">
        <f aca="false">-(BW70-BV70)</f>
        <v>-0</v>
      </c>
      <c r="BX71" s="100" t="n">
        <f aca="false">-(BX70-BW70)</f>
        <v>-0</v>
      </c>
      <c r="BY71" s="100" t="n">
        <f aca="false">-(BY70-BX70)</f>
        <v>-0</v>
      </c>
      <c r="BZ71" s="100" t="n">
        <f aca="false">-(BZ70-BY70)</f>
        <v>-0</v>
      </c>
      <c r="CA71" s="100" t="n">
        <f aca="false">-(CA70-BZ70)</f>
        <v>-0</v>
      </c>
      <c r="CB71" s="100" t="n">
        <f aca="false">-(CB70-CA70)</f>
        <v>-0</v>
      </c>
      <c r="CC71" s="100" t="n">
        <f aca="false">-(CC70-CB70)</f>
        <v>-0</v>
      </c>
      <c r="CD71" s="100" t="n">
        <f aca="false">-(CD70-CC70)</f>
        <v>-0</v>
      </c>
      <c r="CE71" s="100" t="n">
        <f aca="false">-(CE70-CD70)</f>
        <v>-0</v>
      </c>
      <c r="CF71" s="100" t="n">
        <f aca="false">-(CF70-CE70)</f>
        <v>-0</v>
      </c>
      <c r="CG71" s="100" t="n">
        <f aca="false">-(CG70-CF70)</f>
        <v>-0</v>
      </c>
      <c r="CH71" s="100" t="n">
        <f aca="false">-(CH70-CG70)</f>
        <v>-0</v>
      </c>
    </row>
    <row r="72" customFormat="false" ht="13.5" hidden="false" customHeight="true" outlineLevel="0" collapsed="false">
      <c r="A72" s="6" t="s">
        <v>546</v>
      </c>
      <c r="C72" s="100" t="n">
        <f aca="false">-CAPEX!$E$22*CAPEX!$C$29</f>
        <v>-26151</v>
      </c>
      <c r="D72" s="100" t="n">
        <f aca="false">-CAPEX!$E$22*CAPEX!$D$29</f>
        <v>-12203.8</v>
      </c>
      <c r="E72" s="100" t="n">
        <f aca="false">-CAPEX!$E$22*CAPEX!$E$29</f>
        <v>-8717</v>
      </c>
      <c r="F72" s="100" t="n">
        <f aca="false">-CAPEX!$E$22*CAPEX!$F$29</f>
        <v>-7845.3</v>
      </c>
      <c r="G72" s="100" t="n">
        <f aca="false">-CAPEX!$E$22*CAPEX!$G$29</f>
        <v>-6973.6</v>
      </c>
      <c r="H72" s="100" t="n">
        <f aca="false">-CAPEX!$E$22*CAPEX!$H$29</f>
        <v>-6101.9</v>
      </c>
      <c r="I72" s="100" t="n">
        <f aca="false">-CAPEX!$E$22*CAPEX!$I$29</f>
        <v>-5230.2</v>
      </c>
      <c r="J72" s="100" t="n">
        <f aca="false">-CAPEX!$E$22*CAPEX!$J$29</f>
        <v>-4358.5</v>
      </c>
      <c r="K72" s="100" t="n">
        <f aca="false">-CAPEX!$E$22*CAPEX!$K$29</f>
        <v>-3486.8</v>
      </c>
      <c r="L72" s="100" t="n">
        <f aca="false">-CAPEX!$E$22*CAPEX!$L$29</f>
        <v>-2615.1</v>
      </c>
      <c r="M72" s="100" t="n">
        <f aca="false">-CAPEX!$E$22*CAPEX!$M$29</f>
        <v>-1743.4</v>
      </c>
      <c r="N72" s="100" t="n">
        <f aca="false">-CAPEX!$E$22*CAPEX!$N$29</f>
        <v>-1743.4</v>
      </c>
      <c r="O72" s="100" t="n">
        <f aca="false">0</f>
        <v>0</v>
      </c>
      <c r="P72" s="100" t="n">
        <f aca="false">0</f>
        <v>0</v>
      </c>
      <c r="Q72" s="100" t="n">
        <f aca="false">0</f>
        <v>0</v>
      </c>
      <c r="R72" s="100" t="n">
        <f aca="false">0</f>
        <v>0</v>
      </c>
      <c r="S72" s="100" t="n">
        <f aca="false">0</f>
        <v>0</v>
      </c>
      <c r="T72" s="100" t="n">
        <f aca="false">0</f>
        <v>0</v>
      </c>
      <c r="U72" s="100" t="n">
        <f aca="false">0</f>
        <v>0</v>
      </c>
      <c r="V72" s="100" t="n">
        <f aca="false">0</f>
        <v>0</v>
      </c>
      <c r="W72" s="100" t="n">
        <f aca="false">0</f>
        <v>0</v>
      </c>
      <c r="X72" s="100" t="n">
        <f aca="false">0</f>
        <v>0</v>
      </c>
      <c r="Y72" s="100" t="n">
        <f aca="false">0</f>
        <v>0</v>
      </c>
      <c r="Z72" s="100" t="n">
        <f aca="false">0</f>
        <v>0</v>
      </c>
      <c r="AA72" s="100" t="n">
        <f aca="false">0</f>
        <v>0</v>
      </c>
      <c r="AB72" s="100" t="n">
        <f aca="false">0</f>
        <v>0</v>
      </c>
      <c r="AC72" s="100" t="n">
        <f aca="false">0</f>
        <v>0</v>
      </c>
      <c r="AD72" s="100" t="n">
        <f aca="false">0</f>
        <v>0</v>
      </c>
      <c r="AE72" s="100" t="n">
        <f aca="false">0</f>
        <v>0</v>
      </c>
      <c r="AF72" s="100" t="n">
        <f aca="false">0</f>
        <v>0</v>
      </c>
      <c r="AG72" s="100" t="n">
        <f aca="false">0</f>
        <v>0</v>
      </c>
      <c r="AH72" s="100" t="n">
        <f aca="false">0</f>
        <v>0</v>
      </c>
      <c r="AI72" s="100" t="n">
        <f aca="false">0</f>
        <v>0</v>
      </c>
      <c r="AJ72" s="100" t="n">
        <f aca="false">0</f>
        <v>0</v>
      </c>
      <c r="AK72" s="100" t="n">
        <f aca="false">0</f>
        <v>0</v>
      </c>
      <c r="AL72" s="100" t="n">
        <f aca="false">0</f>
        <v>0</v>
      </c>
      <c r="AM72" s="100" t="n">
        <f aca="false">0</f>
        <v>0</v>
      </c>
      <c r="AN72" s="100" t="n">
        <f aca="false">0</f>
        <v>0</v>
      </c>
      <c r="AO72" s="100" t="n">
        <f aca="false">0</f>
        <v>0</v>
      </c>
      <c r="AP72" s="100" t="n">
        <f aca="false">0</f>
        <v>0</v>
      </c>
      <c r="AQ72" s="100" t="n">
        <f aca="false">0</f>
        <v>0</v>
      </c>
      <c r="AR72" s="100" t="n">
        <f aca="false">0</f>
        <v>0</v>
      </c>
      <c r="AS72" s="100" t="n">
        <f aca="false">0</f>
        <v>0</v>
      </c>
      <c r="AT72" s="100" t="n">
        <f aca="false">0</f>
        <v>0</v>
      </c>
      <c r="AU72" s="100" t="n">
        <f aca="false">0</f>
        <v>0</v>
      </c>
      <c r="AV72" s="100" t="n">
        <f aca="false">0</f>
        <v>0</v>
      </c>
      <c r="AW72" s="100" t="n">
        <f aca="false">0</f>
        <v>0</v>
      </c>
      <c r="AX72" s="100" t="n">
        <f aca="false">0</f>
        <v>0</v>
      </c>
      <c r="AY72" s="100" t="n">
        <f aca="false">0</f>
        <v>0</v>
      </c>
      <c r="AZ72" s="100" t="n">
        <f aca="false">0</f>
        <v>0</v>
      </c>
      <c r="BA72" s="100" t="n">
        <f aca="false">0</f>
        <v>0</v>
      </c>
      <c r="BB72" s="100" t="n">
        <f aca="false">0</f>
        <v>0</v>
      </c>
      <c r="BC72" s="100" t="n">
        <f aca="false">0</f>
        <v>0</v>
      </c>
      <c r="BD72" s="100" t="n">
        <f aca="false">0</f>
        <v>0</v>
      </c>
      <c r="BE72" s="100" t="n">
        <f aca="false">0</f>
        <v>0</v>
      </c>
      <c r="BF72" s="100" t="n">
        <f aca="false">0</f>
        <v>0</v>
      </c>
      <c r="BG72" s="100" t="n">
        <f aca="false">0</f>
        <v>0</v>
      </c>
      <c r="BH72" s="100" t="n">
        <f aca="false">0</f>
        <v>0</v>
      </c>
      <c r="BI72" s="100" t="n">
        <f aca="false">0</f>
        <v>0</v>
      </c>
      <c r="BJ72" s="100" t="n">
        <f aca="false">0</f>
        <v>0</v>
      </c>
      <c r="BK72" s="100" t="n">
        <f aca="false">0</f>
        <v>0</v>
      </c>
      <c r="BL72" s="100" t="n">
        <f aca="false">0</f>
        <v>0</v>
      </c>
      <c r="BM72" s="100" t="n">
        <f aca="false">0</f>
        <v>0</v>
      </c>
      <c r="BN72" s="100" t="n">
        <f aca="false">0</f>
        <v>0</v>
      </c>
      <c r="BO72" s="100" t="n">
        <f aca="false">0</f>
        <v>0</v>
      </c>
      <c r="BP72" s="100" t="n">
        <f aca="false">0</f>
        <v>0</v>
      </c>
      <c r="BQ72" s="100" t="n">
        <f aca="false">0</f>
        <v>0</v>
      </c>
      <c r="BR72" s="100" t="n">
        <f aca="false">0</f>
        <v>0</v>
      </c>
      <c r="BS72" s="100" t="n">
        <f aca="false">0</f>
        <v>0</v>
      </c>
      <c r="BT72" s="100" t="n">
        <f aca="false">0</f>
        <v>0</v>
      </c>
      <c r="BU72" s="100" t="n">
        <f aca="false">0</f>
        <v>0</v>
      </c>
      <c r="BV72" s="100" t="n">
        <f aca="false">0</f>
        <v>0</v>
      </c>
      <c r="BW72" s="100" t="n">
        <f aca="false">0</f>
        <v>0</v>
      </c>
      <c r="BX72" s="100" t="n">
        <f aca="false">0</f>
        <v>0</v>
      </c>
      <c r="BY72" s="100" t="n">
        <f aca="false">0</f>
        <v>0</v>
      </c>
      <c r="BZ72" s="100" t="n">
        <f aca="false">0</f>
        <v>0</v>
      </c>
      <c r="CA72" s="100" t="n">
        <f aca="false">0</f>
        <v>0</v>
      </c>
      <c r="CB72" s="100" t="n">
        <f aca="false">0</f>
        <v>0</v>
      </c>
      <c r="CC72" s="100" t="n">
        <f aca="false">0</f>
        <v>0</v>
      </c>
      <c r="CD72" s="100" t="n">
        <f aca="false">0</f>
        <v>0</v>
      </c>
      <c r="CE72" s="100" t="n">
        <f aca="false">0</f>
        <v>0</v>
      </c>
      <c r="CF72" s="100" t="n">
        <f aca="false">0</f>
        <v>0</v>
      </c>
      <c r="CG72" s="100" t="n">
        <f aca="false">0</f>
        <v>0</v>
      </c>
      <c r="CH72" s="100" t="n">
        <f aca="false">0</f>
        <v>0</v>
      </c>
    </row>
    <row r="73" customFormat="false" ht="13.5" hidden="false" customHeight="true" outlineLevel="0" collapsed="false">
      <c r="A73" s="6" t="s">
        <v>547</v>
      </c>
      <c r="C73" s="100" t="n">
        <f aca="false">-C36*Hipótesis!$D$68</f>
        <v>-20.1115</v>
      </c>
      <c r="D73" s="100" t="n">
        <f aca="false">-D36*Hipótesis!$D$68</f>
        <v>-41.789</v>
      </c>
      <c r="E73" s="100" t="n">
        <f aca="false">-E36*Hipótesis!$D$68</f>
        <v>-87.0380625</v>
      </c>
      <c r="F73" s="100" t="n">
        <f aca="false">-F36*Hipótesis!$D$68</f>
        <v>-112.175625</v>
      </c>
      <c r="G73" s="100" t="n">
        <f aca="false">-G36*Hipótesis!$D$68</f>
        <v>-135.7471875</v>
      </c>
      <c r="H73" s="100" t="n">
        <f aca="false">-H36*Hipótesis!$D$68</f>
        <v>-173.67375</v>
      </c>
      <c r="I73" s="100" t="n">
        <f aca="false">-I36*Hipótesis!$D$68</f>
        <v>-241.562431212303</v>
      </c>
      <c r="J73" s="100" t="n">
        <f aca="false">-J36*Hipótesis!$D$68</f>
        <v>-309.451112424605</v>
      </c>
      <c r="K73" s="100" t="n">
        <f aca="false">-K36*Hipótesis!$D$68</f>
        <v>-377.339793636908</v>
      </c>
      <c r="L73" s="100" t="n">
        <f aca="false">-L36*Hipótesis!$D$68</f>
        <v>-445.228474849211</v>
      </c>
      <c r="M73" s="100" t="n">
        <f aca="false">-M36*Hipótesis!$D$68</f>
        <v>-489.545593561514</v>
      </c>
      <c r="N73" s="100" t="n">
        <f aca="false">-N36*Hipótesis!$D$68</f>
        <v>-553.437712273816</v>
      </c>
      <c r="O73" s="100" t="n">
        <f aca="false">-O36*Hipótesis!$D$68</f>
        <v>-617.329830986119</v>
      </c>
      <c r="P73" s="100" t="n">
        <f aca="false">-P36*Hipótesis!$D$68</f>
        <v>-674.174949698422</v>
      </c>
      <c r="Q73" s="100" t="n">
        <f aca="false">-Q36*Hipótesis!$D$68</f>
        <v>-731.020068410724</v>
      </c>
      <c r="R73" s="100" t="n">
        <f aca="false">-R36*Hipótesis!$D$68</f>
        <v>-787.865187123027</v>
      </c>
      <c r="S73" s="100" t="n">
        <f aca="false">-S36*Hipótesis!$D$68</f>
        <v>-844.71030583533</v>
      </c>
      <c r="T73" s="100" t="n">
        <f aca="false">-T36*Hipótesis!$D$68</f>
        <v>-901.555424547633</v>
      </c>
      <c r="U73" s="100" t="n">
        <f aca="false">-U36*Hipótesis!$D$68</f>
        <v>-958.400543259935</v>
      </c>
      <c r="V73" s="100" t="n">
        <f aca="false">-V36*Hipótesis!$D$68</f>
        <v>-1015.24566197224</v>
      </c>
      <c r="W73" s="100" t="n">
        <f aca="false">-W36*Hipótesis!$D$68</f>
        <v>-1072.09078068454</v>
      </c>
      <c r="X73" s="100" t="n">
        <f aca="false">-X36*Hipótesis!$D$68</f>
        <v>-1109.36089939684</v>
      </c>
      <c r="Y73" s="100" t="n">
        <f aca="false">-Y36*Hipótesis!$D$68</f>
        <v>-1146.63101810915</v>
      </c>
      <c r="Z73" s="100" t="n">
        <f aca="false">-Z36*Hipótesis!$D$68</f>
        <v>-1176.59313682145</v>
      </c>
      <c r="AA73" s="100" t="n">
        <f aca="false">-AA36*Hipótesis!$D$68</f>
        <v>-1206.55525553375</v>
      </c>
      <c r="AB73" s="100" t="n">
        <f aca="false">-AB36*Hipótesis!$D$68</f>
        <v>-1236.51737424605</v>
      </c>
      <c r="AC73" s="100" t="n">
        <f aca="false">-AC36*Hipótesis!$D$68</f>
        <v>-1266.47949295836</v>
      </c>
      <c r="AD73" s="100" t="n">
        <f aca="false">-AD36*Hipótesis!$D$68</f>
        <v>-1296.44161167066</v>
      </c>
      <c r="AE73" s="100" t="n">
        <f aca="false">-AE36*Hipótesis!$D$68</f>
        <v>-1326.40373038296</v>
      </c>
      <c r="AF73" s="100" t="n">
        <f aca="false">-AF36*Hipótesis!$D$68</f>
        <v>-1356.36584909526</v>
      </c>
      <c r="AG73" s="100" t="n">
        <f aca="false">-AG36*Hipótesis!$D$68</f>
        <v>-1386.32796780757</v>
      </c>
      <c r="AH73" s="100" t="n">
        <f aca="false">-AH36*Hipótesis!$D$68</f>
        <v>-1416.29008651987</v>
      </c>
      <c r="AI73" s="100" t="n">
        <f aca="false">-AI36*Hipótesis!$D$68</f>
        <v>-1446.25220523217</v>
      </c>
      <c r="AJ73" s="100" t="n">
        <f aca="false">-AJ36*Hipótesis!$D$68</f>
        <v>-1476.21432394448</v>
      </c>
      <c r="AK73" s="100" t="n">
        <f aca="false">-AK36*Hipótesis!$D$68</f>
        <v>-1506.17644265678</v>
      </c>
      <c r="AL73" s="100" t="n">
        <f aca="false">-AL36*Hipótesis!$D$68</f>
        <v>-1536.13856136908</v>
      </c>
      <c r="AM73" s="100" t="n">
        <f aca="false">-AM36*Hipótesis!$D$68</f>
        <v>-1566.10068008138</v>
      </c>
      <c r="AN73" s="100" t="n">
        <f aca="false">-AN36*Hipótesis!$D$68</f>
        <v>-1596.06279879369</v>
      </c>
      <c r="AO73" s="100" t="n">
        <f aca="false">-AO36*Hipótesis!$D$68</f>
        <v>-1626.02491750599</v>
      </c>
      <c r="AP73" s="100" t="n">
        <f aca="false">-AP36*Hipótesis!$D$68</f>
        <v>-1655.98703621829</v>
      </c>
      <c r="AQ73" s="100" t="n">
        <f aca="false">-AQ36*Hipótesis!$D$68</f>
        <v>-1685.94915493059</v>
      </c>
      <c r="AR73" s="100" t="n">
        <f aca="false">-AR36*Hipótesis!$D$68</f>
        <v>-1715.9112736429</v>
      </c>
      <c r="AS73" s="100" t="n">
        <f aca="false">-AS36*Hipótesis!$D$68</f>
        <v>-1715.9112736429</v>
      </c>
      <c r="AT73" s="100" t="n">
        <f aca="false">-AT36*Hipótesis!$D$68</f>
        <v>-1715.9112736429</v>
      </c>
      <c r="AU73" s="100" t="n">
        <f aca="false">-AU36*Hipótesis!$D$68</f>
        <v>-1715.9112736429</v>
      </c>
      <c r="AV73" s="100" t="n">
        <f aca="false">-AV36*Hipótesis!$D$68</f>
        <v>-1715.9112736429</v>
      </c>
      <c r="AW73" s="100" t="n">
        <f aca="false">-AW36*Hipótesis!$D$68</f>
        <v>-1715.9112736429</v>
      </c>
      <c r="AX73" s="100" t="n">
        <f aca="false">-AX36*Hipótesis!$D$68</f>
        <v>-1715.9112736429</v>
      </c>
      <c r="AY73" s="100" t="n">
        <f aca="false">-AY36*Hipótesis!$D$68</f>
        <v>-1715.9112736429</v>
      </c>
      <c r="AZ73" s="100" t="n">
        <f aca="false">-AZ36*Hipótesis!$D$68</f>
        <v>-1715.9112736429</v>
      </c>
      <c r="BA73" s="100" t="n">
        <f aca="false">-BA36*Hipótesis!$D$68</f>
        <v>-1715.9112736429</v>
      </c>
      <c r="BB73" s="100" t="n">
        <f aca="false">-BB36*Hipótesis!$D$68</f>
        <v>-1715.9112736429</v>
      </c>
      <c r="BC73" s="100" t="n">
        <f aca="false">-BC36*Hipótesis!$D$68</f>
        <v>-1715.9112736429</v>
      </c>
      <c r="BD73" s="100" t="n">
        <f aca="false">-BD36*Hipótesis!$D$68</f>
        <v>-1715.9112736429</v>
      </c>
      <c r="BE73" s="100" t="n">
        <f aca="false">-BE36*Hipótesis!$D$68</f>
        <v>-1715.9112736429</v>
      </c>
      <c r="BF73" s="100" t="n">
        <f aca="false">-BF36*Hipótesis!$D$68</f>
        <v>-1715.9112736429</v>
      </c>
      <c r="BG73" s="100" t="n">
        <f aca="false">-BG36*Hipótesis!$D$68</f>
        <v>-1715.9112736429</v>
      </c>
      <c r="BH73" s="100" t="n">
        <f aca="false">-BH36*Hipótesis!$D$68</f>
        <v>-1715.9112736429</v>
      </c>
      <c r="BI73" s="100" t="n">
        <f aca="false">-BI36*Hipótesis!$D$68</f>
        <v>-1715.9112736429</v>
      </c>
      <c r="BJ73" s="100" t="n">
        <f aca="false">-BJ36*Hipótesis!$D$68</f>
        <v>-1715.9112736429</v>
      </c>
      <c r="BK73" s="100" t="n">
        <f aca="false">-BK36*Hipótesis!$D$68</f>
        <v>-1715.9112736429</v>
      </c>
      <c r="BL73" s="100" t="n">
        <f aca="false">-BL36*Hipótesis!$D$68</f>
        <v>-1715.9112736429</v>
      </c>
      <c r="BM73" s="100" t="n">
        <f aca="false">-BM36*Hipótesis!$D$68</f>
        <v>-1715.9112736429</v>
      </c>
      <c r="BN73" s="100" t="n">
        <f aca="false">-BN36*Hipótesis!$D$68</f>
        <v>-1715.9112736429</v>
      </c>
      <c r="BO73" s="100" t="n">
        <f aca="false">-BO36*Hipótesis!$D$68</f>
        <v>-1715.9112736429</v>
      </c>
      <c r="BP73" s="100" t="n">
        <f aca="false">-BP36*Hipótesis!$D$68</f>
        <v>-1715.9112736429</v>
      </c>
      <c r="BQ73" s="100" t="n">
        <f aca="false">-BQ36*Hipótesis!$D$68</f>
        <v>-1715.9112736429</v>
      </c>
      <c r="BR73" s="100" t="n">
        <f aca="false">-BR36*Hipótesis!$D$68</f>
        <v>-1715.9112736429</v>
      </c>
      <c r="BS73" s="100" t="n">
        <f aca="false">-BS36*Hipótesis!$D$68</f>
        <v>-1715.9112736429</v>
      </c>
      <c r="BT73" s="100" t="n">
        <f aca="false">-BT36*Hipótesis!$D$68</f>
        <v>-1715.9112736429</v>
      </c>
      <c r="BU73" s="100" t="n">
        <f aca="false">-BU36*Hipótesis!$D$68</f>
        <v>-1715.9112736429</v>
      </c>
      <c r="BV73" s="100" t="n">
        <f aca="false">-BV36*Hipótesis!$D$68</f>
        <v>-1715.9112736429</v>
      </c>
      <c r="BW73" s="100" t="n">
        <f aca="false">-BW36*Hipótesis!$D$68</f>
        <v>-1715.9112736429</v>
      </c>
      <c r="BX73" s="100" t="n">
        <f aca="false">-BX36*Hipótesis!$D$68</f>
        <v>-1715.9112736429</v>
      </c>
      <c r="BY73" s="100" t="n">
        <f aca="false">-BY36*Hipótesis!$D$68</f>
        <v>-1715.9112736429</v>
      </c>
      <c r="BZ73" s="100" t="n">
        <f aca="false">-BZ36*Hipótesis!$D$68</f>
        <v>-1715.9112736429</v>
      </c>
      <c r="CA73" s="100" t="n">
        <f aca="false">-CA36*Hipótesis!$D$68</f>
        <v>-1715.9112736429</v>
      </c>
      <c r="CB73" s="100" t="n">
        <f aca="false">-CB36*Hipótesis!$D$68</f>
        <v>-1715.9112736429</v>
      </c>
      <c r="CC73" s="100" t="n">
        <f aca="false">-CC36*Hipótesis!$D$68</f>
        <v>-1715.9112736429</v>
      </c>
      <c r="CD73" s="100" t="n">
        <f aca="false">-CD36*Hipótesis!$D$68</f>
        <v>-1715.9112736429</v>
      </c>
      <c r="CE73" s="100" t="n">
        <f aca="false">-CE36*Hipótesis!$D$68</f>
        <v>-1715.9112736429</v>
      </c>
      <c r="CF73" s="100" t="n">
        <f aca="false">-CF36*Hipótesis!$D$68</f>
        <v>-1715.9112736429</v>
      </c>
      <c r="CG73" s="100" t="n">
        <f aca="false">-CG36*Hipótesis!$D$68</f>
        <v>-1715.9112736429</v>
      </c>
      <c r="CH73" s="100" t="n">
        <f aca="false">-CH36*Hipótesis!$D$68</f>
        <v>-1715.9112736429</v>
      </c>
    </row>
    <row r="74" customFormat="false" ht="13.5" hidden="false" customHeight="true" outlineLevel="0" collapsed="false">
      <c r="A74" s="22" t="s">
        <v>548</v>
      </c>
      <c r="C74" s="100" t="n">
        <f aca="false">C66+C67+C71+C72+C73</f>
        <v>-41190.2508098414</v>
      </c>
      <c r="D74" s="100" t="n">
        <f aca="false">D66+D67+D71+D72+D73</f>
        <v>-26477.9323606534</v>
      </c>
      <c r="E74" s="100" t="n">
        <f aca="false">E66+E67+E71+E72+E73</f>
        <v>-21771.9435221615</v>
      </c>
      <c r="F74" s="100" t="n">
        <f aca="false">F66+F67+F71+F72+F73</f>
        <v>-19697.1255747212</v>
      </c>
      <c r="G74" s="100" t="n">
        <f aca="false">G66+G67+G71+G72+G73</f>
        <v>-18024.6768863102</v>
      </c>
      <c r="H74" s="100" t="n">
        <f aca="false">H66+H67+H71+H72+H73</f>
        <v>-16115.2597077955</v>
      </c>
      <c r="I74" s="100" t="n">
        <f aca="false">I66+I67+I71+I72+I73</f>
        <v>-13500.8350745264</v>
      </c>
      <c r="J74" s="100" t="n">
        <f aca="false">J66+J67+J71+J72+J73</f>
        <v>-10504.9478125404</v>
      </c>
      <c r="K74" s="100" t="n">
        <f aca="false">K66+K67+K71+K72+K73</f>
        <v>-7509.06055055443</v>
      </c>
      <c r="L74" s="100" t="n">
        <f aca="false">L66+L67+L71+L72+L73</f>
        <v>-4513.17328856844</v>
      </c>
      <c r="M74" s="100" t="n">
        <f aca="false">M66+M67+M71+M72+M73</f>
        <v>-4194.2000629451</v>
      </c>
      <c r="N74" s="100" t="n">
        <f aca="false">N66+N67+N71+N72+N73</f>
        <v>-2500.2508192727</v>
      </c>
      <c r="O74" s="100" t="n">
        <f aca="false">O66+O67+O71+O72+O73</f>
        <v>-4161.41569324735</v>
      </c>
      <c r="P74" s="100" t="n">
        <f aca="false">P66+P67+P71+P72+P73</f>
        <v>-2400.28368340441</v>
      </c>
      <c r="Q74" s="100" t="n">
        <f aca="false">Q66+Q67+Q71+Q72+Q73</f>
        <v>-3040.88386473795</v>
      </c>
      <c r="R74" s="100" t="n">
        <f aca="false">R66+R67+R71+R72+R73</f>
        <v>-1370.16404607148</v>
      </c>
      <c r="S74" s="100" t="n">
        <f aca="false">S66+S67+S71+S72+S73</f>
        <v>294.463877796986</v>
      </c>
      <c r="T74" s="100" t="n">
        <f aca="false">T66+T67+T71+T72+T73</f>
        <v>-340.044408738546</v>
      </c>
      <c r="U74" s="100" t="n">
        <f aca="false">U66+U67+U71+U72+U73</f>
        <v>1161.01980313048</v>
      </c>
      <c r="V74" s="100" t="n">
        <f aca="false">V66+V67+V71+V72+V73</f>
        <v>259.80704985865</v>
      </c>
      <c r="W74" s="100" t="n">
        <f aca="false">W66+W67+W71+W72+W73</f>
        <v>1678.67591373178</v>
      </c>
      <c r="X74" s="100" t="n">
        <f aca="false">X66+X67+X71+X72+X73</f>
        <v>858.068436971643</v>
      </c>
      <c r="Y74" s="100" t="n">
        <f aca="false">Y66+Y67+Y71+Y72+Y73</f>
        <v>1813.55588957174</v>
      </c>
      <c r="Z74" s="100" t="n">
        <f aca="false">Z66+Z67+Z71+Z72+Z73</f>
        <v>2668.61819437673</v>
      </c>
      <c r="AA74" s="100" t="n">
        <f aca="false">AA66+AA67+AA71+AA72+AA73</f>
        <v>1392.53215530469</v>
      </c>
      <c r="AB74" s="100" t="n">
        <f aca="false">AB66+AB67+AB71+AB72+AB73</f>
        <v>2182.30459815804</v>
      </c>
      <c r="AC74" s="100" t="n">
        <f aca="false">AC66+AC67+AC71+AC72+AC73</f>
        <v>2971.54598697269</v>
      </c>
      <c r="AD74" s="100" t="n">
        <f aca="false">AD66+AD67+AD71+AD72+AD73</f>
        <v>3760.25425285055</v>
      </c>
      <c r="AE74" s="100" t="n">
        <f aca="false">AE66+AE67+AE71+AE72+AE73</f>
        <v>2517.72468003355</v>
      </c>
      <c r="AF74" s="100" t="n">
        <f aca="false">AF66+AF67+AF71+AF72+AF73</f>
        <v>3306.72383506674</v>
      </c>
      <c r="AG74" s="100" t="n">
        <f aca="false">AG66+AG67+AG71+AG72+AG73</f>
        <v>4095.18892346073</v>
      </c>
      <c r="AH74" s="100" t="n">
        <f aca="false">AH66+AH67+AH71+AH72+AH73</f>
        <v>4883.11786458092</v>
      </c>
      <c r="AI74" s="100" t="n">
        <f aca="false">AI66+AI67+AI71+AI72+AI73</f>
        <v>5670.50856968685</v>
      </c>
      <c r="AJ74" s="100" t="n">
        <f aca="false">AJ66+AJ67+AJ71+AJ72+AJ73</f>
        <v>6457.35894190074</v>
      </c>
      <c r="AK74" s="100" t="n">
        <f aca="false">AK66+AK67+AK71+AK72+AK73</f>
        <v>7243.66687617568</v>
      </c>
      <c r="AL74" s="100" t="n">
        <f aca="false">AL66+AL67+AL71+AL72+AL73</f>
        <v>8029.4302592639</v>
      </c>
      <c r="AM74" s="100" t="n">
        <f aca="false">AM66+AM67+AM71+AM72+AM73</f>
        <v>4031.31077782076</v>
      </c>
      <c r="AN74" s="100" t="n">
        <f aca="false">AN66+AN67+AN71+AN72+AN73</f>
        <v>4724.33556791413</v>
      </c>
      <c r="AO74" s="100" t="n">
        <f aca="false">AO66+AO67+AO71+AO72+AO73</f>
        <v>5418.39874369212</v>
      </c>
      <c r="AP74" s="100" t="n">
        <f aca="false">AP66+AP67+AP71+AP72+AP73</f>
        <v>6113.64307710828</v>
      </c>
      <c r="AQ74" s="100" t="n">
        <f aca="false">AQ66+AQ67+AQ71+AQ72+AQ73</f>
        <v>6808.88741052445</v>
      </c>
      <c r="AR74" s="100" t="n">
        <f aca="false">AR66+AR67+AR71+AR72+AR73</f>
        <v>7504.13174394061</v>
      </c>
      <c r="AS74" s="100" t="n">
        <f aca="false">AS66+AS67+AS71+AS72+AS73</f>
        <v>7884.20548376862</v>
      </c>
      <c r="AT74" s="100" t="n">
        <f aca="false">AT66+AT67+AT71+AT72+AT73</f>
        <v>7882.81659487973</v>
      </c>
      <c r="AU74" s="100" t="n">
        <f aca="false">AU66+AU67+AU71+AU72+AU73</f>
        <v>7881.42770599084</v>
      </c>
      <c r="AV74" s="100" t="n">
        <f aca="false">AV66+AV67+AV71+AV72+AV73</f>
        <v>7880.03881710195</v>
      </c>
      <c r="AW74" s="100" t="n">
        <f aca="false">AW66+AW67+AW71+AW72+AW73</f>
        <v>7878.64992821306</v>
      </c>
      <c r="AX74" s="100" t="n">
        <f aca="false">AX66+AX67+AX71+AX72+AX73</f>
        <v>7877.26103932417</v>
      </c>
      <c r="AY74" s="100" t="n">
        <f aca="false">AY66+AY67+AY71+AY72+AY73</f>
        <v>5917.05315422208</v>
      </c>
      <c r="AZ74" s="100" t="n">
        <f aca="false">AZ66+AZ67+AZ71+AZ72+AZ73</f>
        <v>5915.66426533319</v>
      </c>
      <c r="BA74" s="100" t="n">
        <f aca="false">BA66+BA67+BA71+BA72+BA73</f>
        <v>5914.2753764443</v>
      </c>
      <c r="BB74" s="100" t="n">
        <f aca="false">BB66+BB67+BB71+BB72+BB73</f>
        <v>5912.88648755541</v>
      </c>
      <c r="BC74" s="100" t="n">
        <f aca="false">BC66+BC67+BC71+BC72+BC73</f>
        <v>5911.49759866653</v>
      </c>
      <c r="BD74" s="100" t="n">
        <f aca="false">BD66+BD67+BD71+BD72+BD73</f>
        <v>5910.10870977764</v>
      </c>
      <c r="BE74" s="100" t="n">
        <f aca="false">BE66+BE67+BE71+BE72+BE73</f>
        <v>5908.71982088875</v>
      </c>
      <c r="BF74" s="100" t="n">
        <f aca="false">BF66+BF67+BF71+BF72+BF73</f>
        <v>5907.33093199986</v>
      </c>
      <c r="BG74" s="100" t="n">
        <f aca="false">BG66+BG67+BG71+BG72+BG73</f>
        <v>5905.94204311097</v>
      </c>
      <c r="BH74" s="100" t="n">
        <f aca="false">BH66+BH67+BH71+BH72+BH73</f>
        <v>5904.55315422208</v>
      </c>
      <c r="BI74" s="100" t="n">
        <f aca="false">BI66+BI67+BI71+BI72+BI73</f>
        <v>5903.16426533319</v>
      </c>
      <c r="BJ74" s="100" t="n">
        <f aca="false">BJ66+BJ67+BJ71+BJ72+BJ73</f>
        <v>5901.7753764443</v>
      </c>
      <c r="BK74" s="100" t="n">
        <f aca="false">BK66+BK67+BK71+BK72+BK73</f>
        <v>3927.64992145582</v>
      </c>
      <c r="BL74" s="100" t="n">
        <f aca="false">BL66+BL67+BL71+BL72+BL73</f>
        <v>3926.26103256693</v>
      </c>
      <c r="BM74" s="100" t="n">
        <f aca="false">BM66+BM67+BM71+BM72+BM73</f>
        <v>3924.87214367804</v>
      </c>
      <c r="BN74" s="100" t="n">
        <f aca="false">BN66+BN67+BN71+BN72+BN73</f>
        <v>3923.48325478915</v>
      </c>
      <c r="BO74" s="100" t="n">
        <f aca="false">BO66+BO67+BO71+BO72+BO73</f>
        <v>3922.09436590026</v>
      </c>
      <c r="BP74" s="100" t="n">
        <f aca="false">BP66+BP67+BP71+BP72+BP73</f>
        <v>3920.70547701138</v>
      </c>
      <c r="BQ74" s="100" t="n">
        <f aca="false">BQ66+BQ67+BQ71+BQ72+BQ73</f>
        <v>3919.31658812249</v>
      </c>
      <c r="BR74" s="100" t="n">
        <f aca="false">BR66+BR67+BR71+BR72+BR73</f>
        <v>3917.9276992336</v>
      </c>
      <c r="BS74" s="100" t="n">
        <f aca="false">BS66+BS67+BS71+BS72+BS73</f>
        <v>3916.53881034471</v>
      </c>
      <c r="BT74" s="100" t="n">
        <f aca="false">BT66+BT67+BT71+BT72+BT73</f>
        <v>3915.14992145582</v>
      </c>
      <c r="BU74" s="100" t="n">
        <f aca="false">BU66+BU67+BU71+BU72+BU73</f>
        <v>3913.76103256693</v>
      </c>
      <c r="BV74" s="100" t="n">
        <f aca="false">BV66+BV67+BV71+BV72+BV73</f>
        <v>3912.37214367804</v>
      </c>
      <c r="BW74" s="100" t="n">
        <f aca="false">BW66+BW67+BW71+BW72+BW73</f>
        <v>1923.91159170657</v>
      </c>
      <c r="BX74" s="100" t="n">
        <f aca="false">BX66+BX67+BX71+BX72+BX73</f>
        <v>1922.52270281768</v>
      </c>
      <c r="BY74" s="100" t="n">
        <f aca="false">BY66+BY67+BY71+BY72+BY73</f>
        <v>1921.13381392879</v>
      </c>
      <c r="BZ74" s="100" t="n">
        <f aca="false">BZ66+BZ67+BZ71+BZ72+BZ73</f>
        <v>1919.7449250399</v>
      </c>
      <c r="CA74" s="100" t="n">
        <f aca="false">CA66+CA67+CA71+CA72+CA73</f>
        <v>1918.35603615101</v>
      </c>
      <c r="CB74" s="100" t="n">
        <f aca="false">CB66+CB67+CB71+CB72+CB73</f>
        <v>1916.96714726212</v>
      </c>
      <c r="CC74" s="100" t="n">
        <f aca="false">CC66+CC67+CC71+CC72+CC73</f>
        <v>1915.57825837323</v>
      </c>
      <c r="CD74" s="100" t="n">
        <f aca="false">CD66+CD67+CD71+CD72+CD73</f>
        <v>1914.18936948434</v>
      </c>
      <c r="CE74" s="100" t="n">
        <f aca="false">CE66+CE67+CE71+CE72+CE73</f>
        <v>1912.80048059545</v>
      </c>
      <c r="CF74" s="100" t="n">
        <f aca="false">CF66+CF67+CF71+CF72+CF73</f>
        <v>1911.41159170657</v>
      </c>
      <c r="CG74" s="100" t="n">
        <f aca="false">CG66+CG67+CG71+CG72+CG73</f>
        <v>1910.02270281768</v>
      </c>
      <c r="CH74" s="100" t="n">
        <f aca="false">CH66+CH67+CH71+CH72+CH73</f>
        <v>1908.63381392879</v>
      </c>
    </row>
    <row r="75" customFormat="false" ht="13.5" hidden="false" customHeight="true" outlineLevel="0" collapsed="false">
      <c r="A75" s="6" t="s">
        <v>549</v>
      </c>
      <c r="C75" s="100" t="n">
        <f aca="false">Hipótesis!$D$122</f>
        <v>200000</v>
      </c>
      <c r="D75" s="100" t="n">
        <f aca="false">0</f>
        <v>0</v>
      </c>
      <c r="E75" s="100" t="n">
        <f aca="false">0</f>
        <v>0</v>
      </c>
      <c r="F75" s="100" t="n">
        <f aca="false">0</f>
        <v>0</v>
      </c>
      <c r="G75" s="100" t="n">
        <f aca="false">0</f>
        <v>0</v>
      </c>
      <c r="H75" s="100" t="n">
        <f aca="false">0</f>
        <v>0</v>
      </c>
      <c r="I75" s="100" t="n">
        <f aca="false">0</f>
        <v>0</v>
      </c>
      <c r="J75" s="100" t="n">
        <f aca="false">0</f>
        <v>0</v>
      </c>
      <c r="K75" s="100" t="n">
        <f aca="false">0</f>
        <v>0</v>
      </c>
      <c r="L75" s="100" t="n">
        <f aca="false">0</f>
        <v>0</v>
      </c>
      <c r="M75" s="100" t="n">
        <f aca="false">0</f>
        <v>0</v>
      </c>
      <c r="N75" s="100" t="n">
        <f aca="false">0</f>
        <v>0</v>
      </c>
      <c r="O75" s="100" t="n">
        <f aca="false">0</f>
        <v>0</v>
      </c>
      <c r="P75" s="100" t="n">
        <f aca="false">0</f>
        <v>0</v>
      </c>
      <c r="Q75" s="100" t="n">
        <f aca="false">0</f>
        <v>0</v>
      </c>
      <c r="R75" s="100" t="n">
        <f aca="false">0</f>
        <v>0</v>
      </c>
      <c r="S75" s="100" t="n">
        <f aca="false">0</f>
        <v>0</v>
      </c>
      <c r="T75" s="100" t="n">
        <f aca="false">0</f>
        <v>0</v>
      </c>
      <c r="U75" s="100" t="n">
        <f aca="false">0</f>
        <v>0</v>
      </c>
      <c r="V75" s="100" t="n">
        <f aca="false">0</f>
        <v>0</v>
      </c>
      <c r="W75" s="100" t="n">
        <f aca="false">0</f>
        <v>0</v>
      </c>
      <c r="X75" s="100" t="n">
        <f aca="false">0</f>
        <v>0</v>
      </c>
      <c r="Y75" s="100" t="n">
        <f aca="false">0</f>
        <v>0</v>
      </c>
      <c r="Z75" s="100" t="n">
        <f aca="false">0</f>
        <v>0</v>
      </c>
      <c r="AA75" s="100" t="n">
        <f aca="false">0</f>
        <v>0</v>
      </c>
      <c r="AB75" s="100" t="n">
        <f aca="false">0</f>
        <v>0</v>
      </c>
      <c r="AC75" s="100" t="n">
        <f aca="false">0</f>
        <v>0</v>
      </c>
      <c r="AD75" s="100" t="n">
        <f aca="false">0</f>
        <v>0</v>
      </c>
      <c r="AE75" s="100" t="n">
        <f aca="false">0</f>
        <v>0</v>
      </c>
      <c r="AF75" s="100" t="n">
        <f aca="false">0</f>
        <v>0</v>
      </c>
      <c r="AG75" s="100" t="n">
        <f aca="false">0</f>
        <v>0</v>
      </c>
      <c r="AH75" s="100" t="n">
        <f aca="false">0</f>
        <v>0</v>
      </c>
      <c r="AI75" s="100" t="n">
        <f aca="false">0</f>
        <v>0</v>
      </c>
      <c r="AJ75" s="100" t="n">
        <f aca="false">0</f>
        <v>0</v>
      </c>
      <c r="AK75" s="100" t="n">
        <f aca="false">0</f>
        <v>0</v>
      </c>
      <c r="AL75" s="100" t="n">
        <f aca="false">0</f>
        <v>0</v>
      </c>
      <c r="AM75" s="100" t="n">
        <f aca="false">0</f>
        <v>0</v>
      </c>
      <c r="AN75" s="100" t="n">
        <f aca="false">0</f>
        <v>0</v>
      </c>
      <c r="AO75" s="100" t="n">
        <f aca="false">0</f>
        <v>0</v>
      </c>
      <c r="AP75" s="100" t="n">
        <f aca="false">0</f>
        <v>0</v>
      </c>
      <c r="AQ75" s="100" t="n">
        <f aca="false">0</f>
        <v>0</v>
      </c>
      <c r="AR75" s="100" t="n">
        <f aca="false">0</f>
        <v>0</v>
      </c>
      <c r="AS75" s="100" t="n">
        <f aca="false">0</f>
        <v>0</v>
      </c>
      <c r="AT75" s="100" t="n">
        <f aca="false">0</f>
        <v>0</v>
      </c>
      <c r="AU75" s="100" t="n">
        <f aca="false">0</f>
        <v>0</v>
      </c>
      <c r="AV75" s="100" t="n">
        <f aca="false">0</f>
        <v>0</v>
      </c>
      <c r="AW75" s="100" t="n">
        <f aca="false">0</f>
        <v>0</v>
      </c>
      <c r="AX75" s="100" t="n">
        <f aca="false">0</f>
        <v>0</v>
      </c>
      <c r="AY75" s="100" t="n">
        <f aca="false">0</f>
        <v>0</v>
      </c>
      <c r="AZ75" s="100" t="n">
        <f aca="false">0</f>
        <v>0</v>
      </c>
      <c r="BA75" s="100" t="n">
        <f aca="false">0</f>
        <v>0</v>
      </c>
      <c r="BB75" s="100" t="n">
        <f aca="false">0</f>
        <v>0</v>
      </c>
      <c r="BC75" s="100" t="n">
        <f aca="false">0</f>
        <v>0</v>
      </c>
      <c r="BD75" s="100" t="n">
        <f aca="false">0</f>
        <v>0</v>
      </c>
      <c r="BE75" s="100" t="n">
        <f aca="false">0</f>
        <v>0</v>
      </c>
      <c r="BF75" s="100" t="n">
        <f aca="false">0</f>
        <v>0</v>
      </c>
      <c r="BG75" s="100" t="n">
        <f aca="false">0</f>
        <v>0</v>
      </c>
      <c r="BH75" s="100" t="n">
        <f aca="false">0</f>
        <v>0</v>
      </c>
      <c r="BI75" s="100" t="n">
        <f aca="false">0</f>
        <v>0</v>
      </c>
      <c r="BJ75" s="100" t="n">
        <f aca="false">0</f>
        <v>0</v>
      </c>
      <c r="BK75" s="100" t="n">
        <f aca="false">0</f>
        <v>0</v>
      </c>
      <c r="BL75" s="100" t="n">
        <f aca="false">0</f>
        <v>0</v>
      </c>
      <c r="BM75" s="100" t="n">
        <f aca="false">0</f>
        <v>0</v>
      </c>
      <c r="BN75" s="100" t="n">
        <f aca="false">0</f>
        <v>0</v>
      </c>
      <c r="BO75" s="100" t="n">
        <f aca="false">0</f>
        <v>0</v>
      </c>
      <c r="BP75" s="100" t="n">
        <f aca="false">0</f>
        <v>0</v>
      </c>
      <c r="BQ75" s="100" t="n">
        <f aca="false">0</f>
        <v>0</v>
      </c>
      <c r="BR75" s="100" t="n">
        <f aca="false">0</f>
        <v>0</v>
      </c>
      <c r="BS75" s="100" t="n">
        <f aca="false">0</f>
        <v>0</v>
      </c>
      <c r="BT75" s="100" t="n">
        <f aca="false">0</f>
        <v>0</v>
      </c>
      <c r="BU75" s="100" t="n">
        <f aca="false">0</f>
        <v>0</v>
      </c>
      <c r="BV75" s="100" t="n">
        <f aca="false">0</f>
        <v>0</v>
      </c>
      <c r="BW75" s="100" t="n">
        <f aca="false">0</f>
        <v>0</v>
      </c>
      <c r="BX75" s="100" t="n">
        <f aca="false">0</f>
        <v>0</v>
      </c>
      <c r="BY75" s="100" t="n">
        <f aca="false">0</f>
        <v>0</v>
      </c>
      <c r="BZ75" s="100" t="n">
        <f aca="false">0</f>
        <v>0</v>
      </c>
      <c r="CA75" s="100" t="n">
        <f aca="false">0</f>
        <v>0</v>
      </c>
      <c r="CB75" s="100" t="n">
        <f aca="false">0</f>
        <v>0</v>
      </c>
      <c r="CC75" s="100" t="n">
        <f aca="false">0</f>
        <v>0</v>
      </c>
      <c r="CD75" s="100" t="n">
        <f aca="false">0</f>
        <v>0</v>
      </c>
      <c r="CE75" s="100" t="n">
        <f aca="false">0</f>
        <v>0</v>
      </c>
      <c r="CF75" s="100" t="n">
        <f aca="false">0</f>
        <v>0</v>
      </c>
      <c r="CG75" s="100" t="n">
        <f aca="false">0</f>
        <v>0</v>
      </c>
      <c r="CH75" s="100" t="n">
        <f aca="false">0</f>
        <v>0</v>
      </c>
    </row>
    <row r="76" customFormat="false" ht="13.5" hidden="false" customHeight="true" outlineLevel="0" collapsed="false">
      <c r="A76" s="6" t="s">
        <v>550</v>
      </c>
      <c r="C76" s="100" t="n">
        <f aca="false">-C106</f>
        <v>-333.333333333333</v>
      </c>
      <c r="D76" s="100" t="n">
        <f aca="false">-D106</f>
        <v>-333.333333333333</v>
      </c>
      <c r="E76" s="100" t="n">
        <f aca="false">-E106</f>
        <v>-333.333333333333</v>
      </c>
      <c r="F76" s="100" t="n">
        <f aca="false">-F106</f>
        <v>-333.333333333333</v>
      </c>
      <c r="G76" s="100" t="n">
        <f aca="false">-G106</f>
        <v>-333.333333333333</v>
      </c>
      <c r="H76" s="100" t="n">
        <f aca="false">-H106</f>
        <v>-333.333333333333</v>
      </c>
      <c r="I76" s="100" t="n">
        <f aca="false">-I106</f>
        <v>-333.333333333333</v>
      </c>
      <c r="J76" s="100" t="n">
        <f aca="false">-J106</f>
        <v>-333.333333333333</v>
      </c>
      <c r="K76" s="100" t="n">
        <f aca="false">-K106</f>
        <v>-333.333333333333</v>
      </c>
      <c r="L76" s="100" t="n">
        <f aca="false">-L106</f>
        <v>-333.333333333333</v>
      </c>
      <c r="M76" s="100" t="n">
        <f aca="false">-M106</f>
        <v>-333.333333333333</v>
      </c>
      <c r="N76" s="100" t="n">
        <f aca="false">-N106</f>
        <v>-343.940172297105</v>
      </c>
      <c r="O76" s="100" t="n">
        <f aca="false">-O106</f>
        <v>-333.333333333333</v>
      </c>
      <c r="P76" s="100" t="n">
        <f aca="false">-P106</f>
        <v>-333.333333333333</v>
      </c>
      <c r="Q76" s="100" t="n">
        <f aca="false">-Q106</f>
        <v>-333.333333333333</v>
      </c>
      <c r="R76" s="100" t="n">
        <f aca="false">-R106</f>
        <v>-334.554213434584</v>
      </c>
      <c r="S76" s="100" t="n">
        <f aca="false">-S106</f>
        <v>-369.10551218216</v>
      </c>
      <c r="T76" s="100" t="n">
        <f aca="false">-T106</f>
        <v>-357.430410929735</v>
      </c>
      <c r="U76" s="100" t="n">
        <f aca="false">-U106</f>
        <v>-391.981709677311</v>
      </c>
      <c r="V76" s="100" t="n">
        <f aca="false">-V106</f>
        <v>-372.149008424886</v>
      </c>
      <c r="W76" s="100" t="n">
        <f aca="false">-W106</f>
        <v>-406.700307172461</v>
      </c>
      <c r="X76" s="100" t="n">
        <f aca="false">-X106</f>
        <v>-383.726501929853</v>
      </c>
      <c r="Y76" s="100" t="n">
        <f aca="false">-Y106</f>
        <v>-406.979096687246</v>
      </c>
      <c r="Z76" s="100" t="n">
        <f aca="false">-Z106</f>
        <v>-426.182009848565</v>
      </c>
      <c r="AA76" s="100" t="n">
        <f aca="false">-AA106</f>
        <v>-2063.64138167655</v>
      </c>
      <c r="AB76" s="100" t="n">
        <f aca="false">-AB106</f>
        <v>-2077.28873928231</v>
      </c>
      <c r="AC76" s="100" t="n">
        <f aca="false">-AC106</f>
        <v>-2090.93609688808</v>
      </c>
      <c r="AD76" s="100" t="n">
        <f aca="false">-AD106</f>
        <v>-2104.58345449384</v>
      </c>
      <c r="AE76" s="100" t="n">
        <f aca="false">-AE106</f>
        <v>-2070.6176200996</v>
      </c>
      <c r="AF76" s="100" t="n">
        <f aca="false">-AF106</f>
        <v>-2084.26497770537</v>
      </c>
      <c r="AG76" s="100" t="n">
        <f aca="false">-AG106</f>
        <v>-2097.91233531113</v>
      </c>
      <c r="AH76" s="100" t="n">
        <f aca="false">-AH106</f>
        <v>-2111.55969291689</v>
      </c>
      <c r="AI76" s="100" t="n">
        <f aca="false">-AI106</f>
        <v>-2125.20705052266</v>
      </c>
      <c r="AJ76" s="100" t="n">
        <f aca="false">-AJ106</f>
        <v>-2138.85440812842</v>
      </c>
      <c r="AK76" s="100" t="n">
        <f aca="false">-AK106</f>
        <v>-2152.50176573418</v>
      </c>
      <c r="AL76" s="100" t="n">
        <f aca="false">-AL106</f>
        <v>-2166.14912333995</v>
      </c>
      <c r="AM76" s="100" t="n">
        <f aca="false">-AM106</f>
        <v>-2080.65198318571</v>
      </c>
      <c r="AN76" s="100" t="n">
        <f aca="false">-AN106</f>
        <v>-2094.29934079147</v>
      </c>
      <c r="AO76" s="100" t="n">
        <f aca="false">-AO106</f>
        <v>-2107.94669839724</v>
      </c>
      <c r="AP76" s="100" t="n">
        <f aca="false">-AP106</f>
        <v>-2121.594056003</v>
      </c>
      <c r="AQ76" s="100" t="n">
        <f aca="false">-AQ106</f>
        <v>-2135.24141360877</v>
      </c>
      <c r="AR76" s="100" t="n">
        <f aca="false">-AR106</f>
        <v>-2148.88877121453</v>
      </c>
      <c r="AS76" s="100" t="n">
        <f aca="false">-AS106</f>
        <v>-2143.33321565897</v>
      </c>
      <c r="AT76" s="100" t="n">
        <f aca="false">-AT106</f>
        <v>-2137.77766010342</v>
      </c>
      <c r="AU76" s="100" t="n">
        <f aca="false">-AU106</f>
        <v>-2132.22210454786</v>
      </c>
      <c r="AV76" s="100" t="n">
        <f aca="false">-AV106</f>
        <v>-2126.66654899231</v>
      </c>
      <c r="AW76" s="100" t="n">
        <f aca="false">-AW106</f>
        <v>-2121.11099343675</v>
      </c>
      <c r="AX76" s="100" t="n">
        <f aca="false">-AX106</f>
        <v>-2115.5554378812</v>
      </c>
      <c r="AY76" s="100" t="n">
        <f aca="false">-AY106</f>
        <v>-2058.11063739284</v>
      </c>
      <c r="AZ76" s="100" t="n">
        <f aca="false">-AZ106</f>
        <v>-2052.55508183728</v>
      </c>
      <c r="BA76" s="100" t="n">
        <f aca="false">-BA106</f>
        <v>-2046.99952628173</v>
      </c>
      <c r="BB76" s="100" t="n">
        <f aca="false">-BB106</f>
        <v>-2041.44397072617</v>
      </c>
      <c r="BC76" s="100" t="n">
        <f aca="false">-BC106</f>
        <v>-2035.88841517062</v>
      </c>
      <c r="BD76" s="100" t="n">
        <f aca="false">-BD106</f>
        <v>-2030.33285961506</v>
      </c>
      <c r="BE76" s="100" t="n">
        <f aca="false">-BE106</f>
        <v>-2024.77730405951</v>
      </c>
      <c r="BF76" s="100" t="n">
        <f aca="false">-BF106</f>
        <v>-2019.22174850395</v>
      </c>
      <c r="BG76" s="100" t="n">
        <f aca="false">-BG106</f>
        <v>-2013.6661929484</v>
      </c>
      <c r="BH76" s="100" t="n">
        <f aca="false">-BH106</f>
        <v>-2008.11063739284</v>
      </c>
      <c r="BI76" s="100" t="n">
        <f aca="false">-BI106</f>
        <v>-2002.55508183728</v>
      </c>
      <c r="BJ76" s="100" t="n">
        <f aca="false">-BJ106</f>
        <v>-1996.99952628173</v>
      </c>
      <c r="BK76" s="100" t="n">
        <f aca="false">-BK106</f>
        <v>-1939.18604844539</v>
      </c>
      <c r="BL76" s="100" t="n">
        <f aca="false">-BL106</f>
        <v>-1933.63049288983</v>
      </c>
      <c r="BM76" s="100" t="n">
        <f aca="false">-BM106</f>
        <v>-1928.07493733428</v>
      </c>
      <c r="BN76" s="100" t="n">
        <f aca="false">-BN106</f>
        <v>-1922.51938177872</v>
      </c>
      <c r="BO76" s="100" t="n">
        <f aca="false">-BO106</f>
        <v>-1916.96382622317</v>
      </c>
      <c r="BP76" s="100" t="n">
        <f aca="false">-BP106</f>
        <v>-1911.40827066761</v>
      </c>
      <c r="BQ76" s="100" t="n">
        <f aca="false">-BQ106</f>
        <v>-1905.85271511206</v>
      </c>
      <c r="BR76" s="100" t="n">
        <f aca="false">-BR106</f>
        <v>-1900.2971595565</v>
      </c>
      <c r="BS76" s="100" t="n">
        <f aca="false">-BS106</f>
        <v>-1894.74160400094</v>
      </c>
      <c r="BT76" s="100" t="n">
        <f aca="false">-BT106</f>
        <v>-1889.18604844539</v>
      </c>
      <c r="BU76" s="100" t="n">
        <f aca="false">-BU106</f>
        <v>-1883.63049288983</v>
      </c>
      <c r="BV76" s="100" t="n">
        <f aca="false">-BV106</f>
        <v>-1878.07493733428</v>
      </c>
      <c r="BW76" s="100" t="n">
        <f aca="false">-BW106</f>
        <v>-1819.88172182951</v>
      </c>
      <c r="BX76" s="100" t="n">
        <f aca="false">-BX106</f>
        <v>-1814.32616627396</v>
      </c>
      <c r="BY76" s="100" t="n">
        <f aca="false">-BY106</f>
        <v>-1808.7706107184</v>
      </c>
      <c r="BZ76" s="100" t="n">
        <f aca="false">-BZ106</f>
        <v>-1803.21505516285</v>
      </c>
      <c r="CA76" s="100" t="n">
        <f aca="false">-CA106</f>
        <v>-1797.65949960729</v>
      </c>
      <c r="CB76" s="100" t="n">
        <f aca="false">-CB106</f>
        <v>-1792.10394405174</v>
      </c>
      <c r="CC76" s="100" t="n">
        <f aca="false">-CC106</f>
        <v>-1786.54838849618</v>
      </c>
      <c r="CD76" s="100" t="n">
        <f aca="false">-CD106</f>
        <v>-1780.99283294063</v>
      </c>
      <c r="CE76" s="100" t="n">
        <f aca="false">-CE106</f>
        <v>-1775.43727738507</v>
      </c>
      <c r="CF76" s="100" t="n">
        <f aca="false">-CF106</f>
        <v>-1769.88172182951</v>
      </c>
      <c r="CG76" s="100" t="n">
        <f aca="false">-CG106</f>
        <v>-1764.32616627396</v>
      </c>
      <c r="CH76" s="100" t="n">
        <f aca="false">-CH106</f>
        <v>-1758.77061071835</v>
      </c>
    </row>
    <row r="77" customFormat="false" ht="13.5" hidden="false" customHeight="true" outlineLevel="0" collapsed="false">
      <c r="A77" s="6" t="s">
        <v>551</v>
      </c>
      <c r="C77" s="100" t="n">
        <f aca="false">0</f>
        <v>0</v>
      </c>
      <c r="D77" s="100" t="n">
        <f aca="false">C81*Hipótesis!$D$71/12</f>
        <v>-0</v>
      </c>
      <c r="E77" s="100" t="n">
        <f aca="false">D81*Hipótesis!$D$71/12</f>
        <v>0</v>
      </c>
      <c r="F77" s="100" t="n">
        <f aca="false">E81*Hipótesis!$D$71/12</f>
        <v>0</v>
      </c>
      <c r="G77" s="100" t="n">
        <f aca="false">F81*Hipótesis!$D$71/12</f>
        <v>0</v>
      </c>
      <c r="H77" s="100" t="n">
        <f aca="false">G81*Hipótesis!$D$71/12</f>
        <v>0</v>
      </c>
      <c r="I77" s="100" t="n">
        <f aca="false">H81*Hipótesis!$D$71/12</f>
        <v>0</v>
      </c>
      <c r="J77" s="100" t="n">
        <f aca="false">I81*Hipótesis!$D$71/12</f>
        <v>0</v>
      </c>
      <c r="K77" s="100" t="n">
        <f aca="false">J81*Hipótesis!$D$71/12</f>
        <v>0</v>
      </c>
      <c r="L77" s="100" t="n">
        <f aca="false">K81*Hipótesis!$D$71/12</f>
        <v>35.713481370895</v>
      </c>
      <c r="M77" s="100" t="n">
        <f aca="false">L81*Hipótesis!$D$71/12</f>
        <v>58.0903235108947</v>
      </c>
      <c r="N77" s="100" t="n">
        <f aca="false">M81*Hipótesis!$D$71/12</f>
        <v>79.1077655599292</v>
      </c>
      <c r="O77" s="100" t="n">
        <f aca="false">N81*Hipótesis!$D$71/12</f>
        <v>92.5062181967738</v>
      </c>
      <c r="P77" s="100" t="n">
        <f aca="false">O81*Hipótesis!$D$71/12</f>
        <v>113.53113806867</v>
      </c>
      <c r="Q77" s="100" t="n">
        <f aca="false">P81*Hipótesis!$D$71/12</f>
        <v>126.580567111533</v>
      </c>
      <c r="R77" s="100" t="n">
        <f aca="false">Q81*Hipótesis!$D$71/12</f>
        <v>142.625890201954</v>
      </c>
      <c r="S77" s="100" t="n">
        <f aca="false">R81*Hipótesis!$D$71/12</f>
        <v>151.09288422145</v>
      </c>
      <c r="T77" s="100" t="n">
        <f aca="false">S81*Hipótesis!$D$71/12</f>
        <v>152.127500765063</v>
      </c>
      <c r="U77" s="100" t="n">
        <f aca="false">T81*Hipótesis!$D$71/12</f>
        <v>156.021511400383</v>
      </c>
      <c r="V77" s="100" t="n">
        <f aca="false">U81*Hipótesis!$D$71/12</f>
        <v>153.211852065974</v>
      </c>
      <c r="W77" s="100" t="n">
        <f aca="false">V81*Hipótesis!$D$71/12</f>
        <v>154.428973698038</v>
      </c>
      <c r="X77" s="100" t="n">
        <f aca="false">W81*Hipótesis!$D$71/12</f>
        <v>149.306884964091</v>
      </c>
      <c r="Y77" s="100" t="n">
        <f aca="false">X81*Hipótesis!$D$71/12</f>
        <v>147.817140984568</v>
      </c>
      <c r="Z77" s="100" t="n">
        <f aca="false">Y81*Hipótesis!$D$71/12</f>
        <v>142.04782591336</v>
      </c>
      <c r="AA77" s="100" t="n">
        <f aca="false">Z81*Hipótesis!$D$71/12</f>
        <v>132.421045936376</v>
      </c>
      <c r="AB77" s="100" t="n">
        <f aca="false">AA81*Hipótesis!$D$71/12</f>
        <v>136.103893017788</v>
      </c>
      <c r="AC77" s="100" t="n">
        <f aca="false">AB81*Hipótesis!$D$71/12</f>
        <v>136.246379840939</v>
      </c>
      <c r="AD77" s="100" t="n">
        <f aca="false">AC81*Hipótesis!$D$71/12</f>
        <v>132.834713752323</v>
      </c>
      <c r="AE77" s="100" t="n">
        <f aca="false">AD81*Hipótesis!$D$71/12</f>
        <v>125.855048364552</v>
      </c>
      <c r="AF77" s="100" t="n">
        <f aca="false">AE81*Hipótesis!$D$71/12</f>
        <v>124.382643311526</v>
      </c>
      <c r="AG77" s="100" t="n">
        <f aca="false">AF81*Hipótesis!$D$71/12</f>
        <v>119.349793997131</v>
      </c>
      <c r="AH77" s="100" t="n">
        <f aca="false">AG81*Hipótesis!$D$71/12</f>
        <v>110.742629523932</v>
      </c>
      <c r="AI77" s="100" t="n">
        <f aca="false">AH81*Hipótesis!$D$71/12</f>
        <v>98.5472249557901</v>
      </c>
      <c r="AJ77" s="100" t="n">
        <f aca="false">AI81*Hipótesis!$D$71/12</f>
        <v>82.7496011073349</v>
      </c>
      <c r="AK77" s="100" t="n">
        <f aca="false">AJ81*Hipótesis!$D$71/12</f>
        <v>63.3357243326204</v>
      </c>
      <c r="AL77" s="100" t="n">
        <f aca="false">AK81*Hipótesis!$D$71/12</f>
        <v>40.2915063129547</v>
      </c>
      <c r="AM77" s="100" t="n">
        <f aca="false">AL81*Hipótesis!$D$71/12</f>
        <v>13.6028038439043</v>
      </c>
      <c r="AN77" s="100" t="n">
        <f aca="false">AM81*Hipótesis!$D$71/12</f>
        <v>4.7246305527782</v>
      </c>
      <c r="AO77" s="100" t="n">
        <f aca="false">AN81*Hipótesis!$D$71/12</f>
        <v>0</v>
      </c>
      <c r="AP77" s="100" t="n">
        <f aca="false">AO81*Hipótesis!$D$71/12</f>
        <v>0</v>
      </c>
      <c r="AQ77" s="100" t="n">
        <f aca="false">AP81*Hipótesis!$D$71/12</f>
        <v>0</v>
      </c>
      <c r="AR77" s="100" t="n">
        <f aca="false">AQ81*Hipótesis!$D$71/12</f>
        <v>0</v>
      </c>
      <c r="AS77" s="100" t="n">
        <f aca="false">AR81*Hipótesis!$D$71/12</f>
        <v>0</v>
      </c>
      <c r="AT77" s="100" t="n">
        <f aca="false">AS81*Hipótesis!$D$71/12</f>
        <v>0</v>
      </c>
      <c r="AU77" s="100" t="n">
        <f aca="false">AT81*Hipótesis!$D$71/12</f>
        <v>0</v>
      </c>
      <c r="AV77" s="100" t="n">
        <f aca="false">AU81*Hipótesis!$D$71/12</f>
        <v>0</v>
      </c>
      <c r="AW77" s="100" t="n">
        <f aca="false">AV81*Hipótesis!$D$71/12</f>
        <v>0</v>
      </c>
      <c r="AX77" s="100" t="n">
        <f aca="false">AW81*Hipótesis!$D$71/12</f>
        <v>0</v>
      </c>
      <c r="AY77" s="100" t="n">
        <f aca="false">AX81*Hipótesis!$D$71/12</f>
        <v>0</v>
      </c>
      <c r="AZ77" s="100" t="n">
        <f aca="false">AY81*Hipótesis!$D$71/12</f>
        <v>0</v>
      </c>
      <c r="BA77" s="100" t="n">
        <f aca="false">AZ81*Hipótesis!$D$71/12</f>
        <v>0</v>
      </c>
      <c r="BB77" s="100" t="n">
        <f aca="false">BA81*Hipótesis!$D$71/12</f>
        <v>0</v>
      </c>
      <c r="BC77" s="100" t="n">
        <f aca="false">BB81*Hipótesis!$D$71/12</f>
        <v>0</v>
      </c>
      <c r="BD77" s="100" t="n">
        <f aca="false">BC81*Hipótesis!$D$71/12</f>
        <v>0</v>
      </c>
      <c r="BE77" s="100" t="n">
        <f aca="false">BD81*Hipótesis!$D$71/12</f>
        <v>0</v>
      </c>
      <c r="BF77" s="100" t="n">
        <f aca="false">BE81*Hipótesis!$D$71/12</f>
        <v>0</v>
      </c>
      <c r="BG77" s="100" t="n">
        <f aca="false">BF81*Hipótesis!$D$71/12</f>
        <v>0</v>
      </c>
      <c r="BH77" s="100" t="n">
        <f aca="false">BG81*Hipótesis!$D$71/12</f>
        <v>0</v>
      </c>
      <c r="BI77" s="100" t="n">
        <f aca="false">BH81*Hipótesis!$D$71/12</f>
        <v>0</v>
      </c>
      <c r="BJ77" s="100" t="n">
        <f aca="false">BI81*Hipótesis!$D$71/12</f>
        <v>0</v>
      </c>
      <c r="BK77" s="100" t="n">
        <f aca="false">BJ81*Hipótesis!$D$71/12</f>
        <v>0</v>
      </c>
      <c r="BL77" s="100" t="n">
        <f aca="false">BK81*Hipótesis!$D$71/12</f>
        <v>0</v>
      </c>
      <c r="BM77" s="100" t="n">
        <f aca="false">BL81*Hipótesis!$D$71/12</f>
        <v>0</v>
      </c>
      <c r="BN77" s="100" t="n">
        <f aca="false">BM81*Hipótesis!$D$71/12</f>
        <v>0</v>
      </c>
      <c r="BO77" s="100" t="n">
        <f aca="false">BN81*Hipótesis!$D$71/12</f>
        <v>0</v>
      </c>
      <c r="BP77" s="100" t="n">
        <f aca="false">BO81*Hipótesis!$D$71/12</f>
        <v>0</v>
      </c>
      <c r="BQ77" s="100" t="n">
        <f aca="false">BP81*Hipótesis!$D$71/12</f>
        <v>0</v>
      </c>
      <c r="BR77" s="100" t="n">
        <f aca="false">BQ81*Hipótesis!$D$71/12</f>
        <v>0</v>
      </c>
      <c r="BS77" s="100" t="n">
        <f aca="false">BR81*Hipótesis!$D$71/12</f>
        <v>0</v>
      </c>
      <c r="BT77" s="100" t="n">
        <f aca="false">BS81*Hipótesis!$D$71/12</f>
        <v>0</v>
      </c>
      <c r="BU77" s="100" t="n">
        <f aca="false">BT81*Hipótesis!$D$71/12</f>
        <v>0</v>
      </c>
      <c r="BV77" s="100" t="n">
        <f aca="false">BU81*Hipótesis!$D$71/12</f>
        <v>0</v>
      </c>
      <c r="BW77" s="100" t="n">
        <f aca="false">BV81*Hipótesis!$D$71/12</f>
        <v>0</v>
      </c>
      <c r="BX77" s="100" t="n">
        <f aca="false">BW81*Hipótesis!$D$71/12</f>
        <v>0</v>
      </c>
      <c r="BY77" s="100" t="n">
        <f aca="false">BX81*Hipótesis!$D$71/12</f>
        <v>0</v>
      </c>
      <c r="BZ77" s="100" t="n">
        <f aca="false">BY81*Hipótesis!$D$71/12</f>
        <v>0</v>
      </c>
      <c r="CA77" s="100" t="n">
        <f aca="false">BZ81*Hipótesis!$D$71/12</f>
        <v>0</v>
      </c>
      <c r="CB77" s="100" t="n">
        <f aca="false">CA81*Hipótesis!$D$71/12</f>
        <v>0</v>
      </c>
      <c r="CC77" s="100" t="n">
        <f aca="false">CB81*Hipótesis!$D$71/12</f>
        <v>0</v>
      </c>
      <c r="CD77" s="100" t="n">
        <f aca="false">CC81*Hipótesis!$D$71/12</f>
        <v>0</v>
      </c>
      <c r="CE77" s="100" t="n">
        <f aca="false">CD81*Hipótesis!$D$71/12</f>
        <v>0</v>
      </c>
      <c r="CF77" s="100" t="n">
        <f aca="false">CE81*Hipótesis!$D$71/12</f>
        <v>0</v>
      </c>
      <c r="CG77" s="100" t="n">
        <f aca="false">CF81*Hipótesis!$D$71/12</f>
        <v>0</v>
      </c>
      <c r="CH77" s="100" t="n">
        <f aca="false">CG81*Hipótesis!$D$71/12</f>
        <v>0</v>
      </c>
    </row>
    <row r="78" customFormat="false" ht="13.5" hidden="false" customHeight="true" outlineLevel="0" collapsed="false">
      <c r="A78" s="22" t="s">
        <v>552</v>
      </c>
      <c r="C78" s="100" t="n">
        <f aca="false">C74+C75+C76-C77</f>
        <v>158476.415856825</v>
      </c>
      <c r="D78" s="100" t="n">
        <f aca="false">D74+D75+D76-D77</f>
        <v>-26811.2656939867</v>
      </c>
      <c r="E78" s="100" t="n">
        <f aca="false">E74+E75+E76-E77</f>
        <v>-22105.2768554949</v>
      </c>
      <c r="F78" s="100" t="n">
        <f aca="false">F74+F75+F76-F77</f>
        <v>-20030.4589080545</v>
      </c>
      <c r="G78" s="100" t="n">
        <f aca="false">G74+G75+G76-G77</f>
        <v>-18358.0102196435</v>
      </c>
      <c r="H78" s="100" t="n">
        <f aca="false">H74+H75+H76-H77</f>
        <v>-16448.5930411288</v>
      </c>
      <c r="I78" s="100" t="n">
        <f aca="false">I74+I75+I76-I77</f>
        <v>-13834.1684078597</v>
      </c>
      <c r="J78" s="100" t="n">
        <f aca="false">J74+J75+J76-J77</f>
        <v>-10838.2811458738</v>
      </c>
      <c r="K78" s="100" t="n">
        <f aca="false">K74+K75+K76-K77</f>
        <v>-7842.39388388776</v>
      </c>
      <c r="L78" s="100" t="n">
        <f aca="false">L74+L75+L76-L77</f>
        <v>-4882.22010327267</v>
      </c>
      <c r="M78" s="100" t="n">
        <f aca="false">M74+M75+M76-M77</f>
        <v>-4585.62371978933</v>
      </c>
      <c r="N78" s="100" t="n">
        <f aca="false">N74+N75+N76-N77</f>
        <v>-2923.29875712973</v>
      </c>
      <c r="O78" s="100" t="n">
        <f aca="false">O74+O75+O76-O77</f>
        <v>-4587.25524477746</v>
      </c>
      <c r="P78" s="100" t="n">
        <f aca="false">P74+P75+P76-P77</f>
        <v>-2847.14815480641</v>
      </c>
      <c r="Q78" s="100" t="n">
        <f aca="false">Q74+Q75+Q76-Q77</f>
        <v>-3500.79776518281</v>
      </c>
      <c r="R78" s="100" t="n">
        <f aca="false">R74+R75+R76-R77</f>
        <v>-1847.34414970802</v>
      </c>
      <c r="S78" s="100" t="n">
        <f aca="false">S74+S75+S76-S77</f>
        <v>-225.734518606623</v>
      </c>
      <c r="T78" s="100" t="n">
        <f aca="false">T74+T75+T76-T77</f>
        <v>-849.602320433344</v>
      </c>
      <c r="U78" s="100" t="n">
        <f aca="false">U74+U75+U76-U77</f>
        <v>613.016582052791</v>
      </c>
      <c r="V78" s="100" t="n">
        <f aca="false">V74+V75+V76-V77</f>
        <v>-265.55381063221</v>
      </c>
      <c r="W78" s="100" t="n">
        <f aca="false">W74+W75+W76-W77</f>
        <v>1117.54663286128</v>
      </c>
      <c r="X78" s="100" t="n">
        <f aca="false">X74+X75+X76-X77</f>
        <v>325.035050077699</v>
      </c>
      <c r="Y78" s="100" t="n">
        <f aca="false">Y74+Y75+Y76-Y77</f>
        <v>1258.75965189992</v>
      </c>
      <c r="Z78" s="100" t="n">
        <f aca="false">Z74+Z75+Z76-Z77</f>
        <v>2100.3883586148</v>
      </c>
      <c r="AA78" s="100" t="n">
        <f aca="false">AA74+AA75+AA76-AA77</f>
        <v>-803.530272308241</v>
      </c>
      <c r="AB78" s="100" t="n">
        <f aca="false">AB74+AB75+AB76-AB77</f>
        <v>-31.0880341420652</v>
      </c>
      <c r="AC78" s="100" t="n">
        <f aca="false">AC74+AC75+AC76-AC77</f>
        <v>744.363510243672</v>
      </c>
      <c r="AD78" s="100" t="n">
        <f aca="false">AD74+AD75+AD76-AD77</f>
        <v>1522.83608460438</v>
      </c>
      <c r="AE78" s="100" t="n">
        <f aca="false">AE74+AE75+AE76-AE77</f>
        <v>321.252011569392</v>
      </c>
      <c r="AF78" s="100" t="n">
        <f aca="false">AF74+AF75+AF76-AF77</f>
        <v>1098.07621404984</v>
      </c>
      <c r="AG78" s="100" t="n">
        <f aca="false">AG74+AG75+AG76-AG77</f>
        <v>1877.92679415247</v>
      </c>
      <c r="AH78" s="100" t="n">
        <f aca="false">AH74+AH75+AH76-AH77</f>
        <v>2660.81554214009</v>
      </c>
      <c r="AI78" s="100" t="n">
        <f aca="false">AI74+AI75+AI76-AI77</f>
        <v>3446.7542942084</v>
      </c>
      <c r="AJ78" s="100" t="n">
        <f aca="false">AJ74+AJ75+AJ76-AJ77</f>
        <v>4235.75493266499</v>
      </c>
      <c r="AK78" s="100" t="n">
        <f aca="false">AK74+AK75+AK76-AK77</f>
        <v>5027.82938610888</v>
      </c>
      <c r="AL78" s="100" t="n">
        <f aca="false">AL74+AL75+AL76-AL77</f>
        <v>5822.989629611</v>
      </c>
      <c r="AM78" s="100" t="n">
        <f aca="false">AM74+AM75+AM76-AM77</f>
        <v>1937.05599079115</v>
      </c>
      <c r="AN78" s="100" t="n">
        <f aca="false">AN74+AN75+AN76-AN77</f>
        <v>2625.31159656988</v>
      </c>
      <c r="AO78" s="100" t="n">
        <f aca="false">AO74+AO75+AO76-AO77</f>
        <v>3310.45204529488</v>
      </c>
      <c r="AP78" s="100" t="n">
        <f aca="false">AP74+AP75+AP76-AP77</f>
        <v>3992.04902110527</v>
      </c>
      <c r="AQ78" s="100" t="n">
        <f aca="false">AQ74+AQ75+AQ76-AQ77</f>
        <v>4673.64599691569</v>
      </c>
      <c r="AR78" s="100" t="n">
        <f aca="false">AR74+AR75+AR76-AR77</f>
        <v>5355.24297272608</v>
      </c>
      <c r="AS78" s="100" t="n">
        <f aca="false">AS74+AS75+AS76-AS77</f>
        <v>5740.87226810964</v>
      </c>
      <c r="AT78" s="100" t="n">
        <f aca="false">AT74+AT75+AT76-AT77</f>
        <v>5745.03893477631</v>
      </c>
      <c r="AU78" s="100" t="n">
        <f aca="false">AU74+AU75+AU76-AU77</f>
        <v>5749.20560144298</v>
      </c>
      <c r="AV78" s="100" t="n">
        <f aca="false">AV74+AV75+AV76-AV77</f>
        <v>5753.37226810964</v>
      </c>
      <c r="AW78" s="100" t="n">
        <f aca="false">AW74+AW75+AW76-AW77</f>
        <v>5757.53893477631</v>
      </c>
      <c r="AX78" s="100" t="n">
        <f aca="false">AX74+AX75+AX76-AX77</f>
        <v>5761.70560144298</v>
      </c>
      <c r="AY78" s="100" t="n">
        <f aca="false">AY74+AY75+AY76-AY77</f>
        <v>3858.94251682924</v>
      </c>
      <c r="AZ78" s="100" t="n">
        <f aca="false">AZ74+AZ75+AZ76-AZ77</f>
        <v>3863.10918349591</v>
      </c>
      <c r="BA78" s="100" t="n">
        <f aca="false">BA74+BA75+BA76-BA77</f>
        <v>3867.27585016257</v>
      </c>
      <c r="BB78" s="100" t="n">
        <f aca="false">BB74+BB75+BB76-BB77</f>
        <v>3871.44251682924</v>
      </c>
      <c r="BC78" s="100" t="n">
        <f aca="false">BC74+BC75+BC76-BC77</f>
        <v>3875.60918349591</v>
      </c>
      <c r="BD78" s="100" t="n">
        <f aca="false">BD74+BD75+BD76-BD77</f>
        <v>3879.77585016257</v>
      </c>
      <c r="BE78" s="100" t="n">
        <f aca="false">BE74+BE75+BE76-BE77</f>
        <v>3883.94251682924</v>
      </c>
      <c r="BF78" s="100" t="n">
        <f aca="false">BF74+BF75+BF76-BF77</f>
        <v>3888.10918349591</v>
      </c>
      <c r="BG78" s="100" t="n">
        <f aca="false">BG74+BG75+BG76-BG77</f>
        <v>3892.27585016258</v>
      </c>
      <c r="BH78" s="100" t="n">
        <f aca="false">BH74+BH75+BH76-BH77</f>
        <v>3896.44251682924</v>
      </c>
      <c r="BI78" s="100" t="n">
        <f aca="false">BI74+BI75+BI76-BI77</f>
        <v>3900.60918349591</v>
      </c>
      <c r="BJ78" s="100" t="n">
        <f aca="false">BJ74+BJ75+BJ76-BJ77</f>
        <v>3904.77585016257</v>
      </c>
      <c r="BK78" s="100" t="n">
        <f aca="false">BK74+BK75+BK76-BK77</f>
        <v>1988.46387301043</v>
      </c>
      <c r="BL78" s="100" t="n">
        <f aca="false">BL74+BL75+BL76-BL77</f>
        <v>1992.6305396771</v>
      </c>
      <c r="BM78" s="100" t="n">
        <f aca="false">BM74+BM75+BM76-BM77</f>
        <v>1996.79720634376</v>
      </c>
      <c r="BN78" s="100" t="n">
        <f aca="false">BN74+BN75+BN76-BN77</f>
        <v>2000.96387301043</v>
      </c>
      <c r="BO78" s="100" t="n">
        <f aca="false">BO74+BO75+BO76-BO77</f>
        <v>2005.1305396771</v>
      </c>
      <c r="BP78" s="100" t="n">
        <f aca="false">BP74+BP75+BP76-BP77</f>
        <v>2009.29720634376</v>
      </c>
      <c r="BQ78" s="100" t="n">
        <f aca="false">BQ74+BQ75+BQ76-BQ77</f>
        <v>2013.46387301043</v>
      </c>
      <c r="BR78" s="100" t="n">
        <f aca="false">BR74+BR75+BR76-BR77</f>
        <v>2017.6305396771</v>
      </c>
      <c r="BS78" s="100" t="n">
        <f aca="false">BS74+BS75+BS76-BS77</f>
        <v>2021.79720634376</v>
      </c>
      <c r="BT78" s="100" t="n">
        <f aca="false">BT74+BT75+BT76-BT77</f>
        <v>2025.96387301043</v>
      </c>
      <c r="BU78" s="100" t="n">
        <f aca="false">BU74+BU75+BU76-BU77</f>
        <v>2030.1305396771</v>
      </c>
      <c r="BV78" s="100" t="n">
        <f aca="false">BV74+BV75+BV76-BV77</f>
        <v>2034.29720634376</v>
      </c>
      <c r="BW78" s="100" t="n">
        <f aca="false">BW74+BW75+BW76-BW77</f>
        <v>104.029869877051</v>
      </c>
      <c r="BX78" s="100" t="n">
        <f aca="false">BX74+BX75+BX76-BX77</f>
        <v>108.196536543718</v>
      </c>
      <c r="BY78" s="100" t="n">
        <f aca="false">BY74+BY75+BY76-BY77</f>
        <v>112.363203210384</v>
      </c>
      <c r="BZ78" s="100" t="n">
        <f aca="false">BZ74+BZ75+BZ76-BZ77</f>
        <v>116.529869877051</v>
      </c>
      <c r="CA78" s="100" t="n">
        <f aca="false">CA74+CA75+CA76-CA77</f>
        <v>120.696536543718</v>
      </c>
      <c r="CB78" s="100" t="n">
        <f aca="false">CB74+CB75+CB76-CB77</f>
        <v>124.863203210384</v>
      </c>
      <c r="CC78" s="100" t="n">
        <f aca="false">CC74+CC75+CC76-CC77</f>
        <v>129.029869877051</v>
      </c>
      <c r="CD78" s="100" t="n">
        <f aca="false">CD74+CD75+CD76-CD77</f>
        <v>133.196536543718</v>
      </c>
      <c r="CE78" s="100" t="n">
        <f aca="false">CE74+CE75+CE76-CE77</f>
        <v>137.363203210384</v>
      </c>
      <c r="CF78" s="100" t="n">
        <f aca="false">CF74+CF75+CF76-CF77</f>
        <v>141.529869877051</v>
      </c>
      <c r="CG78" s="100" t="n">
        <f aca="false">CG74+CG75+CG76-CG77</f>
        <v>145.696536543718</v>
      </c>
      <c r="CH78" s="100" t="n">
        <f aca="false">CH74+CH75+CH76-CH77</f>
        <v>149.863203210443</v>
      </c>
    </row>
    <row r="79" customFormat="false" ht="13.5" hidden="false" customHeight="true" outlineLevel="0" collapsed="false">
      <c r="A79" s="6" t="s">
        <v>553</v>
      </c>
      <c r="C79" s="100" t="n">
        <f aca="false">C78</f>
        <v>158476.415856825</v>
      </c>
      <c r="D79" s="100" t="n">
        <f aca="false">C86+D78</f>
        <v>131665.150162839</v>
      </c>
      <c r="E79" s="100" t="n">
        <f aca="false">D86+E78</f>
        <v>109559.873307344</v>
      </c>
      <c r="F79" s="100" t="n">
        <f aca="false">E86+F78</f>
        <v>89529.4143992893</v>
      </c>
      <c r="G79" s="100" t="n">
        <f aca="false">F86+G78</f>
        <v>71171.4041796457</v>
      </c>
      <c r="H79" s="100" t="n">
        <f aca="false">G86+H78</f>
        <v>54722.8111385169</v>
      </c>
      <c r="I79" s="100" t="n">
        <f aca="false">H86+I78</f>
        <v>40888.6427306572</v>
      </c>
      <c r="J79" s="100" t="n">
        <f aca="false">I86+J78</f>
        <v>30050.3615847834</v>
      </c>
      <c r="K79" s="100" t="n">
        <f aca="false">J86+K78</f>
        <v>22207.9677008956</v>
      </c>
      <c r="L79" s="100" t="n">
        <f aca="false">K86+L78</f>
        <v>25117.7798967273</v>
      </c>
      <c r="M79" s="100" t="n">
        <f aca="false">L86+M78</f>
        <v>25414.3762802107</v>
      </c>
      <c r="N79" s="100" t="n">
        <f aca="false">M86+N78</f>
        <v>27076.7012428703</v>
      </c>
      <c r="O79" s="100" t="n">
        <f aca="false">N86+O78</f>
        <v>25412.7447552225</v>
      </c>
      <c r="P79" s="100" t="n">
        <f aca="false">O86+P78</f>
        <v>27152.8518451936</v>
      </c>
      <c r="Q79" s="100" t="n">
        <f aca="false">P86+Q78</f>
        <v>26499.2022348172</v>
      </c>
      <c r="R79" s="100" t="n">
        <f aca="false">Q86+R78</f>
        <v>28152.655850292</v>
      </c>
      <c r="S79" s="100" t="n">
        <f aca="false">R86+S78</f>
        <v>29774.2654813934</v>
      </c>
      <c r="T79" s="100" t="n">
        <f aca="false">S86+T78</f>
        <v>29150.3976795667</v>
      </c>
      <c r="U79" s="100" t="n">
        <f aca="false">T86+U78</f>
        <v>30613.0165820528</v>
      </c>
      <c r="V79" s="100" t="n">
        <f aca="false">U86+V78</f>
        <v>29734.4461893678</v>
      </c>
      <c r="W79" s="100" t="n">
        <f aca="false">V86+W78</f>
        <v>31117.5466328613</v>
      </c>
      <c r="X79" s="100" t="n">
        <f aca="false">W86+X78</f>
        <v>30325.0350500777</v>
      </c>
      <c r="Y79" s="100" t="n">
        <f aca="false">X86+Y78</f>
        <v>31258.7596518999</v>
      </c>
      <c r="Z79" s="100" t="n">
        <f aca="false">Y86+Z78</f>
        <v>32100.3883586148</v>
      </c>
      <c r="AA79" s="100" t="n">
        <f aca="false">Z86+AA78</f>
        <v>29196.4697276918</v>
      </c>
      <c r="AB79" s="100" t="n">
        <f aca="false">AA86+AB78</f>
        <v>29968.9119658579</v>
      </c>
      <c r="AC79" s="100" t="n">
        <f aca="false">AB86+AC78</f>
        <v>30744.3635102437</v>
      </c>
      <c r="AD79" s="100" t="n">
        <f aca="false">AC86+AD78</f>
        <v>31522.8360846044</v>
      </c>
      <c r="AE79" s="100" t="n">
        <f aca="false">AD86+AE78</f>
        <v>30321.2520115694</v>
      </c>
      <c r="AF79" s="100" t="n">
        <f aca="false">AE86+AF78</f>
        <v>31098.0762140498</v>
      </c>
      <c r="AG79" s="100" t="n">
        <f aca="false">AF86+AG78</f>
        <v>31877.9267941525</v>
      </c>
      <c r="AH79" s="100" t="n">
        <f aca="false">AG86+AH78</f>
        <v>32660.8155421401</v>
      </c>
      <c r="AI79" s="100" t="n">
        <f aca="false">AH86+AI78</f>
        <v>33446.7542942084</v>
      </c>
      <c r="AJ79" s="100" t="n">
        <f aca="false">AI86+AJ78</f>
        <v>34235.754932665</v>
      </c>
      <c r="AK79" s="100" t="n">
        <f aca="false">AJ86+AK78</f>
        <v>35027.8293861089</v>
      </c>
      <c r="AL79" s="100" t="n">
        <f aca="false">AK86+AL78</f>
        <v>35822.989629611</v>
      </c>
      <c r="AM79" s="100" t="n">
        <f aca="false">AL86+AM78</f>
        <v>31937.0559907912</v>
      </c>
      <c r="AN79" s="100" t="n">
        <f aca="false">AM86+AN78</f>
        <v>32625.3115965699</v>
      </c>
      <c r="AO79" s="100" t="n">
        <f aca="false">AN86+AO78</f>
        <v>34904.9351576222</v>
      </c>
      <c r="AP79" s="100" t="n">
        <f aca="false">AO86+AP78</f>
        <v>38896.9841787275</v>
      </c>
      <c r="AQ79" s="100" t="n">
        <f aca="false">AP86+AQ78</f>
        <v>43570.6301756432</v>
      </c>
      <c r="AR79" s="100" t="n">
        <f aca="false">AQ86+AR78</f>
        <v>48925.8731483693</v>
      </c>
      <c r="AS79" s="100" t="n">
        <f aca="false">AR86+AS78</f>
        <v>54666.7454164789</v>
      </c>
      <c r="AT79" s="100" t="n">
        <f aca="false">AS86+AT78</f>
        <v>60411.7843512552</v>
      </c>
      <c r="AU79" s="100" t="n">
        <f aca="false">AT86+AU78</f>
        <v>66160.9899526982</v>
      </c>
      <c r="AV79" s="100" t="n">
        <f aca="false">AU86+AV78</f>
        <v>71914.3622208079</v>
      </c>
      <c r="AW79" s="100" t="n">
        <f aca="false">AV86+AW78</f>
        <v>77671.9011555842</v>
      </c>
      <c r="AX79" s="100" t="n">
        <f aca="false">AW86+AX78</f>
        <v>83433.6067570272</v>
      </c>
      <c r="AY79" s="100" t="n">
        <f aca="false">AX86+AY78</f>
        <v>63858.9425168292</v>
      </c>
      <c r="AZ79" s="100" t="n">
        <f aca="false">AY86+AZ78</f>
        <v>67722.0517003251</v>
      </c>
      <c r="BA79" s="100" t="n">
        <f aca="false">AZ86+BA78</f>
        <v>71589.3275504877</v>
      </c>
      <c r="BB79" s="100" t="n">
        <f aca="false">BA86+BB78</f>
        <v>75460.770067317</v>
      </c>
      <c r="BC79" s="100" t="n">
        <f aca="false">BB86+BC78</f>
        <v>79336.3792508129</v>
      </c>
      <c r="BD79" s="100" t="n">
        <f aca="false">BC86+BD78</f>
        <v>83216.1551009755</v>
      </c>
      <c r="BE79" s="100" t="n">
        <f aca="false">BD86+BE78</f>
        <v>87100.0976178047</v>
      </c>
      <c r="BF79" s="100" t="n">
        <f aca="false">BE86+BF78</f>
        <v>90988.2068013006</v>
      </c>
      <c r="BG79" s="100" t="n">
        <f aca="false">BF86+BG78</f>
        <v>94880.4826514632</v>
      </c>
      <c r="BH79" s="100" t="n">
        <f aca="false">BG86+BH78</f>
        <v>98776.9251682924</v>
      </c>
      <c r="BI79" s="100" t="n">
        <f aca="false">BH86+BI78</f>
        <v>102677.534351788</v>
      </c>
      <c r="BJ79" s="100" t="n">
        <f aca="false">BI86+BJ78</f>
        <v>106582.310201951</v>
      </c>
      <c r="BK79" s="100" t="n">
        <f aca="false">BJ86+BK78</f>
        <v>80535.8029133722</v>
      </c>
      <c r="BL79" s="100" t="n">
        <f aca="false">BK86+BL78</f>
        <v>82528.4334530493</v>
      </c>
      <c r="BM79" s="100" t="n">
        <f aca="false">BL86+BM78</f>
        <v>84525.2306593931</v>
      </c>
      <c r="BN79" s="100" t="n">
        <f aca="false">BM86+BN78</f>
        <v>86526.1945324035</v>
      </c>
      <c r="BO79" s="100" t="n">
        <f aca="false">BN86+BO78</f>
        <v>88531.3250720806</v>
      </c>
      <c r="BP79" s="100" t="n">
        <f aca="false">BO86+BP78</f>
        <v>90540.6222784244</v>
      </c>
      <c r="BQ79" s="100" t="n">
        <f aca="false">BP86+BQ78</f>
        <v>92554.0861514348</v>
      </c>
      <c r="BR79" s="100" t="n">
        <f aca="false">BQ86+BR78</f>
        <v>94571.7166911119</v>
      </c>
      <c r="BS79" s="100" t="n">
        <f aca="false">BR86+BS78</f>
        <v>96593.5138974557</v>
      </c>
      <c r="BT79" s="100" t="n">
        <f aca="false">BS86+BT78</f>
        <v>98619.4777704661</v>
      </c>
      <c r="BU79" s="100" t="n">
        <f aca="false">BT86+BU78</f>
        <v>100649.608310143</v>
      </c>
      <c r="BV79" s="100" t="n">
        <f aca="false">BU86+BV78</f>
        <v>102683.905516487</v>
      </c>
      <c r="BW79" s="100" t="n">
        <f aca="false">BV86+BW78</f>
        <v>83731.2617151052</v>
      </c>
      <c r="BX79" s="100" t="n">
        <f aca="false">BW86+BX78</f>
        <v>83839.458251649</v>
      </c>
      <c r="BY79" s="100" t="n">
        <f aca="false">BX86+BY78</f>
        <v>83951.8214548593</v>
      </c>
      <c r="BZ79" s="100" t="n">
        <f aca="false">BY86+BZ78</f>
        <v>84068.3513247364</v>
      </c>
      <c r="CA79" s="100" t="n">
        <f aca="false">BZ86+CA78</f>
        <v>84189.0478612801</v>
      </c>
      <c r="CB79" s="100" t="n">
        <f aca="false">CA86+CB78</f>
        <v>84313.9110644905</v>
      </c>
      <c r="CC79" s="100" t="n">
        <f aca="false">CB86+CC78</f>
        <v>84442.9409343675</v>
      </c>
      <c r="CD79" s="100" t="n">
        <f aca="false">CC86+CD78</f>
        <v>84576.1374709112</v>
      </c>
      <c r="CE79" s="100" t="n">
        <f aca="false">CD86+CE78</f>
        <v>84713.5006741216</v>
      </c>
      <c r="CF79" s="100" t="n">
        <f aca="false">CE86+CF78</f>
        <v>84855.0305439987</v>
      </c>
      <c r="CG79" s="100" t="n">
        <f aca="false">CF86+CG78</f>
        <v>85000.7270805424</v>
      </c>
      <c r="CH79" s="100" t="n">
        <f aca="false">CG86+CH78</f>
        <v>85150.5902837528</v>
      </c>
    </row>
    <row r="80" customFormat="false" ht="13.5" hidden="false" customHeight="true" outlineLevel="0" collapsed="false">
      <c r="A80" s="22" t="s">
        <v>554</v>
      </c>
      <c r="C80" s="100" t="n">
        <f aca="false">IF(C79&lt;Hipótesis!$D$72,MIN(Hipótesis!$D$70-0,Hipótesis!$D$72-C79),-MIN(0,MAX(0,C79-Hipótesis!$D$72)))</f>
        <v>-0</v>
      </c>
      <c r="D80" s="100" t="n">
        <f aca="false">IF(D79&lt;Hipótesis!$D$72,MIN(Hipótesis!$D$70-C81,Hipótesis!$D$72-D79),-MIN(C81,MAX(0,D79-Hipótesis!$D$72)))</f>
        <v>0</v>
      </c>
      <c r="E80" s="100" t="n">
        <f aca="false">IF(E79&lt;Hipótesis!$D$72,MIN(Hipótesis!$D$70-D81,Hipótesis!$D$72-E79),-MIN(D81,MAX(0,E79-Hipótesis!$D$72)))</f>
        <v>-0</v>
      </c>
      <c r="F80" s="100" t="n">
        <f aca="false">IF(F79&lt;Hipótesis!$D$72,MIN(Hipótesis!$D$70-E81,Hipótesis!$D$72-F79),-MIN(E81,MAX(0,F79-Hipótesis!$D$72)))</f>
        <v>-0</v>
      </c>
      <c r="G80" s="100" t="n">
        <f aca="false">IF(G79&lt;Hipótesis!$D$72,MIN(Hipótesis!$D$70-F81,Hipótesis!$D$72-G79),-MIN(F81,MAX(0,G79-Hipótesis!$D$72)))</f>
        <v>-0</v>
      </c>
      <c r="H80" s="100" t="n">
        <f aca="false">IF(H79&lt;Hipótesis!$D$72,MIN(Hipótesis!$D$70-G81,Hipótesis!$D$72-H79),-MIN(G81,MAX(0,H79-Hipótesis!$D$72)))</f>
        <v>-0</v>
      </c>
      <c r="I80" s="100" t="n">
        <f aca="false">IF(I79&lt;Hipótesis!$D$72,MIN(Hipótesis!$D$70-H81,Hipótesis!$D$72-I79),-MIN(H81,MAX(0,I79-Hipótesis!$D$72)))</f>
        <v>-0</v>
      </c>
      <c r="J80" s="100" t="n">
        <f aca="false">IF(J79&lt;Hipótesis!$D$72,MIN(Hipótesis!$D$70-I81,Hipótesis!$D$72-J79),-MIN(I81,MAX(0,J79-Hipótesis!$D$72)))</f>
        <v>-0</v>
      </c>
      <c r="K80" s="100" t="n">
        <f aca="false">IF(K79&lt;Hipótesis!$D$72,MIN(Hipótesis!$D$70-J81,Hipótesis!$D$72-K79),-MIN(J81,MAX(0,K79-Hipótesis!$D$72)))</f>
        <v>7792.03229910436</v>
      </c>
      <c r="L80" s="100" t="n">
        <f aca="false">IF(L79&lt;Hipótesis!$D$72,MIN(Hipótesis!$D$70-K81,Hipótesis!$D$72-L79),-MIN(K81,MAX(0,L79-Hipótesis!$D$72)))</f>
        <v>4882.22010327267</v>
      </c>
      <c r="M80" s="100" t="n">
        <f aca="false">IF(M79&lt;Hipótesis!$D$72,MIN(Hipótesis!$D$70-L81,Hipótesis!$D$72-M79),-MIN(L81,MAX(0,M79-Hipótesis!$D$72)))</f>
        <v>4585.62371978933</v>
      </c>
      <c r="N80" s="100" t="n">
        <f aca="false">IF(N79&lt;Hipótesis!$D$72,MIN(Hipótesis!$D$70-M81,Hipótesis!$D$72-N79),-MIN(M81,MAX(0,N79-Hipótesis!$D$72)))</f>
        <v>2923.29875712973</v>
      </c>
      <c r="O80" s="100" t="n">
        <f aca="false">IF(O79&lt;Hipótesis!$D$72,MIN(Hipótesis!$D$70-N81,Hipótesis!$D$72-O79),-MIN(N81,MAX(0,O79-Hipótesis!$D$72)))</f>
        <v>4587.25524477746</v>
      </c>
      <c r="P80" s="100" t="n">
        <f aca="false">IF(P79&lt;Hipótesis!$D$72,MIN(Hipótesis!$D$70-O81,Hipótesis!$D$72-P79),-MIN(O81,MAX(0,P79-Hipótesis!$D$72)))</f>
        <v>2847.14815480641</v>
      </c>
      <c r="Q80" s="100" t="n">
        <f aca="false">IF(Q79&lt;Hipótesis!$D$72,MIN(Hipótesis!$D$70-P81,Hipótesis!$D$72-Q79),-MIN(P81,MAX(0,Q79-Hipótesis!$D$72)))</f>
        <v>3500.79776518281</v>
      </c>
      <c r="R80" s="100" t="n">
        <f aca="false">IF(R79&lt;Hipótesis!$D$72,MIN(Hipótesis!$D$70-Q81,Hipótesis!$D$72-R79),-MIN(Q81,MAX(0,R79-Hipótesis!$D$72)))</f>
        <v>1847.34414970802</v>
      </c>
      <c r="S80" s="100" t="n">
        <f aca="false">IF(S79&lt;Hipótesis!$D$72,MIN(Hipótesis!$D$70-R81,Hipótesis!$D$72-S79),-MIN(R81,MAX(0,S79-Hipótesis!$D$72)))</f>
        <v>225.734518606623</v>
      </c>
      <c r="T80" s="100" t="n">
        <f aca="false">IF(T79&lt;Hipótesis!$D$72,MIN(Hipótesis!$D$70-S81,Hipótesis!$D$72-T79),-MIN(S81,MAX(0,T79-Hipótesis!$D$72)))</f>
        <v>849.602320433343</v>
      </c>
      <c r="U80" s="100" t="n">
        <f aca="false">IF(U79&lt;Hipótesis!$D$72,MIN(Hipótesis!$D$70-T81,Hipótesis!$D$72-U79),-MIN(T81,MAX(0,U79-Hipótesis!$D$72)))</f>
        <v>-613.016582052791</v>
      </c>
      <c r="V80" s="100" t="n">
        <f aca="false">IF(V79&lt;Hipótesis!$D$72,MIN(Hipótesis!$D$70-U81,Hipótesis!$D$72-V79),-MIN(U81,MAX(0,V79-Hipótesis!$D$72)))</f>
        <v>265.553810632209</v>
      </c>
      <c r="W80" s="100" t="n">
        <f aca="false">IF(W79&lt;Hipótesis!$D$72,MIN(Hipótesis!$D$70-V81,Hipótesis!$D$72-W79),-MIN(V81,MAX(0,W79-Hipótesis!$D$72)))</f>
        <v>-1117.54663286129</v>
      </c>
      <c r="X80" s="100" t="n">
        <f aca="false">IF(X79&lt;Hipótesis!$D$72,MIN(Hipótesis!$D$70-W81,Hipótesis!$D$72-X79),-MIN(W81,MAX(0,X79-Hipótesis!$D$72)))</f>
        <v>-325.035050077699</v>
      </c>
      <c r="Y80" s="100" t="n">
        <f aca="false">IF(Y79&lt;Hipótesis!$D$72,MIN(Hipótesis!$D$70-X81,Hipótesis!$D$72-Y79),-MIN(X81,MAX(0,Y79-Hipótesis!$D$72)))</f>
        <v>-1258.75965189992</v>
      </c>
      <c r="Z80" s="100" t="n">
        <f aca="false">IF(Z79&lt;Hipótesis!$D$72,MIN(Hipótesis!$D$70-Y81,Hipótesis!$D$72-Z79),-MIN(Y81,MAX(0,Z79-Hipótesis!$D$72)))</f>
        <v>-2100.3883586148</v>
      </c>
      <c r="AA80" s="100" t="n">
        <f aca="false">IF(AA79&lt;Hipótesis!$D$72,MIN(Hipótesis!$D$70-Z81,Hipótesis!$D$72-AA79),-MIN(Z81,MAX(0,AA79-Hipótesis!$D$72)))</f>
        <v>803.530272308242</v>
      </c>
      <c r="AB80" s="100" t="n">
        <f aca="false">IF(AB79&lt;Hipótesis!$D$72,MIN(Hipótesis!$D$70-AA81,Hipótesis!$D$72-AB79),-MIN(AA81,MAX(0,AB79-Hipótesis!$D$72)))</f>
        <v>31.0880341420634</v>
      </c>
      <c r="AC80" s="100" t="n">
        <f aca="false">IF(AC79&lt;Hipótesis!$D$72,MIN(Hipótesis!$D$70-AB81,Hipótesis!$D$72-AC79),-MIN(AB81,MAX(0,AC79-Hipótesis!$D$72)))</f>
        <v>-744.363510243671</v>
      </c>
      <c r="AD80" s="100" t="n">
        <f aca="false">IF(AD79&lt;Hipótesis!$D$72,MIN(Hipótesis!$D$70-AC81,Hipótesis!$D$72-AD79),-MIN(AC81,MAX(0,AD79-Hipótesis!$D$72)))</f>
        <v>-1522.83608460438</v>
      </c>
      <c r="AE80" s="100" t="n">
        <f aca="false">IF(AE79&lt;Hipótesis!$D$72,MIN(Hipótesis!$D$70-AD81,Hipótesis!$D$72-AE79),-MIN(AD81,MAX(0,AE79-Hipótesis!$D$72)))</f>
        <v>-321.252011569391</v>
      </c>
      <c r="AF80" s="100" t="n">
        <f aca="false">IF(AF79&lt;Hipótesis!$D$72,MIN(Hipótesis!$D$70-AE81,Hipótesis!$D$72-AF79),-MIN(AE81,MAX(0,AF79-Hipótesis!$D$72)))</f>
        <v>-1098.07621404984</v>
      </c>
      <c r="AG80" s="100" t="n">
        <f aca="false">IF(AG79&lt;Hipótesis!$D$72,MIN(Hipótesis!$D$70-AF81,Hipótesis!$D$72-AG79),-MIN(AF81,MAX(0,AG79-Hipótesis!$D$72)))</f>
        <v>-1877.92679415247</v>
      </c>
      <c r="AH80" s="100" t="n">
        <f aca="false">IF(AH79&lt;Hipótesis!$D$72,MIN(Hipótesis!$D$70-AG81,Hipótesis!$D$72-AH79),-MIN(AG81,MAX(0,AH79-Hipótesis!$D$72)))</f>
        <v>-2660.81554214009</v>
      </c>
      <c r="AI80" s="100" t="n">
        <f aca="false">IF(AI79&lt;Hipótesis!$D$72,MIN(Hipótesis!$D$70-AH81,Hipótesis!$D$72-AI79),-MIN(AH81,MAX(0,AI79-Hipótesis!$D$72)))</f>
        <v>-3446.7542942084</v>
      </c>
      <c r="AJ80" s="100" t="n">
        <f aca="false">IF(AJ79&lt;Hipótesis!$D$72,MIN(Hipótesis!$D$70-AI81,Hipótesis!$D$72-AJ79),-MIN(AI81,MAX(0,AJ79-Hipótesis!$D$72)))</f>
        <v>-4235.75493266498</v>
      </c>
      <c r="AK80" s="100" t="n">
        <f aca="false">IF(AK79&lt;Hipótesis!$D$72,MIN(Hipótesis!$D$70-AJ81,Hipótesis!$D$72-AK79),-MIN(AJ81,MAX(0,AK79-Hipótesis!$D$72)))</f>
        <v>-5027.82938610888</v>
      </c>
      <c r="AL80" s="100" t="n">
        <f aca="false">IF(AL79&lt;Hipótesis!$D$72,MIN(Hipótesis!$D$70-AK81,Hipótesis!$D$72-AL79),-MIN(AK81,MAX(0,AL79-Hipótesis!$D$72)))</f>
        <v>-5822.989629611</v>
      </c>
      <c r="AM80" s="100" t="n">
        <f aca="false">IF(AM79&lt;Hipótesis!$D$72,MIN(Hipótesis!$D$70-AL81,Hipótesis!$D$72-AM79),-MIN(AL81,MAX(0,AM79-Hipótesis!$D$72)))</f>
        <v>-1937.05599079115</v>
      </c>
      <c r="AN80" s="100" t="n">
        <f aca="false">IF(AN79&lt;Hipótesis!$D$72,MIN(Hipótesis!$D$70-AM81,Hipótesis!$D$72-AN79),-MIN(AM81,MAX(0,AN79-Hipótesis!$D$72)))</f>
        <v>-1030.82848424252</v>
      </c>
      <c r="AO80" s="100" t="n">
        <f aca="false">IF(AO79&lt;Hipótesis!$D$72,MIN(Hipótesis!$D$70-AN81,Hipótesis!$D$72-AO79),-MIN(AN81,MAX(0,AO79-Hipótesis!$D$72)))</f>
        <v>-0</v>
      </c>
      <c r="AP80" s="100" t="n">
        <f aca="false">IF(AP79&lt;Hipótesis!$D$72,MIN(Hipótesis!$D$70-AO81,Hipótesis!$D$72-AP79),-MIN(AO81,MAX(0,AP79-Hipótesis!$D$72)))</f>
        <v>-0</v>
      </c>
      <c r="AQ80" s="100" t="n">
        <f aca="false">IF(AQ79&lt;Hipótesis!$D$72,MIN(Hipótesis!$D$70-AP81,Hipótesis!$D$72-AQ79),-MIN(AP81,MAX(0,AQ79-Hipótesis!$D$72)))</f>
        <v>-0</v>
      </c>
      <c r="AR80" s="100" t="n">
        <f aca="false">IF(AR79&lt;Hipótesis!$D$72,MIN(Hipótesis!$D$70-AQ81,Hipótesis!$D$72-AR79),-MIN(AQ81,MAX(0,AR79-Hipótesis!$D$72)))</f>
        <v>-0</v>
      </c>
      <c r="AS80" s="100" t="n">
        <f aca="false">IF(AS79&lt;Hipótesis!$D$72,MIN(Hipótesis!$D$70-AR81,Hipótesis!$D$72-AS79),-MIN(AR81,MAX(0,AS79-Hipótesis!$D$72)))</f>
        <v>-0</v>
      </c>
      <c r="AT80" s="100" t="n">
        <f aca="false">IF(AT79&lt;Hipótesis!$D$72,MIN(Hipótesis!$D$70-AS81,Hipótesis!$D$72-AT79),-MIN(AS81,MAX(0,AT79-Hipótesis!$D$72)))</f>
        <v>-0</v>
      </c>
      <c r="AU80" s="100" t="n">
        <f aca="false">IF(AU79&lt;Hipótesis!$D$72,MIN(Hipótesis!$D$70-AT81,Hipótesis!$D$72-AU79),-MIN(AT81,MAX(0,AU79-Hipótesis!$D$72)))</f>
        <v>-0</v>
      </c>
      <c r="AV80" s="100" t="n">
        <f aca="false">IF(AV79&lt;Hipótesis!$D$72,MIN(Hipótesis!$D$70-AU81,Hipótesis!$D$72-AV79),-MIN(AU81,MAX(0,AV79-Hipótesis!$D$72)))</f>
        <v>-0</v>
      </c>
      <c r="AW80" s="100" t="n">
        <f aca="false">IF(AW79&lt;Hipótesis!$D$72,MIN(Hipótesis!$D$70-AV81,Hipótesis!$D$72-AW79),-MIN(AV81,MAX(0,AW79-Hipótesis!$D$72)))</f>
        <v>-0</v>
      </c>
      <c r="AX80" s="100" t="n">
        <f aca="false">IF(AX79&lt;Hipótesis!$D$72,MIN(Hipótesis!$D$70-AW81,Hipótesis!$D$72-AX79),-MIN(AW81,MAX(0,AX79-Hipótesis!$D$72)))</f>
        <v>-0</v>
      </c>
      <c r="AY80" s="100" t="n">
        <f aca="false">IF(AY79&lt;Hipótesis!$D$72,MIN(Hipótesis!$D$70-AX81,Hipótesis!$D$72-AY79),-MIN(AX81,MAX(0,AY79-Hipótesis!$D$72)))</f>
        <v>-0</v>
      </c>
      <c r="AZ80" s="100" t="n">
        <f aca="false">IF(AZ79&lt;Hipótesis!$D$72,MIN(Hipótesis!$D$70-AY81,Hipótesis!$D$72-AZ79),-MIN(AY81,MAX(0,AZ79-Hipótesis!$D$72)))</f>
        <v>-0</v>
      </c>
      <c r="BA80" s="100" t="n">
        <f aca="false">IF(BA79&lt;Hipótesis!$D$72,MIN(Hipótesis!$D$70-AZ81,Hipótesis!$D$72-BA79),-MIN(AZ81,MAX(0,BA79-Hipótesis!$D$72)))</f>
        <v>-0</v>
      </c>
      <c r="BB80" s="100" t="n">
        <f aca="false">IF(BB79&lt;Hipótesis!$D$72,MIN(Hipótesis!$D$70-BA81,Hipótesis!$D$72-BB79),-MIN(BA81,MAX(0,BB79-Hipótesis!$D$72)))</f>
        <v>-0</v>
      </c>
      <c r="BC80" s="100" t="n">
        <f aca="false">IF(BC79&lt;Hipótesis!$D$72,MIN(Hipótesis!$D$70-BB81,Hipótesis!$D$72-BC79),-MIN(BB81,MAX(0,BC79-Hipótesis!$D$72)))</f>
        <v>-0</v>
      </c>
      <c r="BD80" s="100" t="n">
        <f aca="false">IF(BD79&lt;Hipótesis!$D$72,MIN(Hipótesis!$D$70-BC81,Hipótesis!$D$72-BD79),-MIN(BC81,MAX(0,BD79-Hipótesis!$D$72)))</f>
        <v>-0</v>
      </c>
      <c r="BE80" s="100" t="n">
        <f aca="false">IF(BE79&lt;Hipótesis!$D$72,MIN(Hipótesis!$D$70-BD81,Hipótesis!$D$72-BE79),-MIN(BD81,MAX(0,BE79-Hipótesis!$D$72)))</f>
        <v>-0</v>
      </c>
      <c r="BF80" s="100" t="n">
        <f aca="false">IF(BF79&lt;Hipótesis!$D$72,MIN(Hipótesis!$D$70-BE81,Hipótesis!$D$72-BF79),-MIN(BE81,MAX(0,BF79-Hipótesis!$D$72)))</f>
        <v>-0</v>
      </c>
      <c r="BG80" s="100" t="n">
        <f aca="false">IF(BG79&lt;Hipótesis!$D$72,MIN(Hipótesis!$D$70-BF81,Hipótesis!$D$72-BG79),-MIN(BF81,MAX(0,BG79-Hipótesis!$D$72)))</f>
        <v>-0</v>
      </c>
      <c r="BH80" s="100" t="n">
        <f aca="false">IF(BH79&lt;Hipótesis!$D$72,MIN(Hipótesis!$D$70-BG81,Hipótesis!$D$72-BH79),-MIN(BG81,MAX(0,BH79-Hipótesis!$D$72)))</f>
        <v>-0</v>
      </c>
      <c r="BI80" s="100" t="n">
        <f aca="false">IF(BI79&lt;Hipótesis!$D$72,MIN(Hipótesis!$D$70-BH81,Hipótesis!$D$72-BI79),-MIN(BH81,MAX(0,BI79-Hipótesis!$D$72)))</f>
        <v>-0</v>
      </c>
      <c r="BJ80" s="100" t="n">
        <f aca="false">IF(BJ79&lt;Hipótesis!$D$72,MIN(Hipótesis!$D$70-BI81,Hipótesis!$D$72-BJ79),-MIN(BI81,MAX(0,BJ79-Hipótesis!$D$72)))</f>
        <v>-0</v>
      </c>
      <c r="BK80" s="100" t="n">
        <f aca="false">IF(BK79&lt;Hipótesis!$D$72,MIN(Hipótesis!$D$70-BJ81,Hipótesis!$D$72-BK79),-MIN(BJ81,MAX(0,BK79-Hipótesis!$D$72)))</f>
        <v>-0</v>
      </c>
      <c r="BL80" s="100" t="n">
        <f aca="false">IF(BL79&lt;Hipótesis!$D$72,MIN(Hipótesis!$D$70-BK81,Hipótesis!$D$72-BL79),-MIN(BK81,MAX(0,BL79-Hipótesis!$D$72)))</f>
        <v>-0</v>
      </c>
      <c r="BM80" s="100" t="n">
        <f aca="false">IF(BM79&lt;Hipótesis!$D$72,MIN(Hipótesis!$D$70-BL81,Hipótesis!$D$72-BM79),-MIN(BL81,MAX(0,BM79-Hipótesis!$D$72)))</f>
        <v>-0</v>
      </c>
      <c r="BN80" s="100" t="n">
        <f aca="false">IF(BN79&lt;Hipótesis!$D$72,MIN(Hipótesis!$D$70-BM81,Hipótesis!$D$72-BN79),-MIN(BM81,MAX(0,BN79-Hipótesis!$D$72)))</f>
        <v>-0</v>
      </c>
      <c r="BO80" s="100" t="n">
        <f aca="false">IF(BO79&lt;Hipótesis!$D$72,MIN(Hipótesis!$D$70-BN81,Hipótesis!$D$72-BO79),-MIN(BN81,MAX(0,BO79-Hipótesis!$D$72)))</f>
        <v>-0</v>
      </c>
      <c r="BP80" s="100" t="n">
        <f aca="false">IF(BP79&lt;Hipótesis!$D$72,MIN(Hipótesis!$D$70-BO81,Hipótesis!$D$72-BP79),-MIN(BO81,MAX(0,BP79-Hipótesis!$D$72)))</f>
        <v>-0</v>
      </c>
      <c r="BQ80" s="100" t="n">
        <f aca="false">IF(BQ79&lt;Hipótesis!$D$72,MIN(Hipótesis!$D$70-BP81,Hipótesis!$D$72-BQ79),-MIN(BP81,MAX(0,BQ79-Hipótesis!$D$72)))</f>
        <v>-0</v>
      </c>
      <c r="BR80" s="100" t="n">
        <f aca="false">IF(BR79&lt;Hipótesis!$D$72,MIN(Hipótesis!$D$70-BQ81,Hipótesis!$D$72-BR79),-MIN(BQ81,MAX(0,BR79-Hipótesis!$D$72)))</f>
        <v>-0</v>
      </c>
      <c r="BS80" s="100" t="n">
        <f aca="false">IF(BS79&lt;Hipótesis!$D$72,MIN(Hipótesis!$D$70-BR81,Hipótesis!$D$72-BS79),-MIN(BR81,MAX(0,BS79-Hipótesis!$D$72)))</f>
        <v>-0</v>
      </c>
      <c r="BT80" s="100" t="n">
        <f aca="false">IF(BT79&lt;Hipótesis!$D$72,MIN(Hipótesis!$D$70-BS81,Hipótesis!$D$72-BT79),-MIN(BS81,MAX(0,BT79-Hipótesis!$D$72)))</f>
        <v>-0</v>
      </c>
      <c r="BU80" s="100" t="n">
        <f aca="false">IF(BU79&lt;Hipótesis!$D$72,MIN(Hipótesis!$D$70-BT81,Hipótesis!$D$72-BU79),-MIN(BT81,MAX(0,BU79-Hipótesis!$D$72)))</f>
        <v>-0</v>
      </c>
      <c r="BV80" s="100" t="n">
        <f aca="false">IF(BV79&lt;Hipótesis!$D$72,MIN(Hipótesis!$D$70-BU81,Hipótesis!$D$72-BV79),-MIN(BU81,MAX(0,BV79-Hipótesis!$D$72)))</f>
        <v>-0</v>
      </c>
      <c r="BW80" s="100" t="n">
        <f aca="false">IF(BW79&lt;Hipótesis!$D$72,MIN(Hipótesis!$D$70-BV81,Hipótesis!$D$72-BW79),-MIN(BV81,MAX(0,BW79-Hipótesis!$D$72)))</f>
        <v>-0</v>
      </c>
      <c r="BX80" s="100" t="n">
        <f aca="false">IF(BX79&lt;Hipótesis!$D$72,MIN(Hipótesis!$D$70-BW81,Hipótesis!$D$72-BX79),-MIN(BW81,MAX(0,BX79-Hipótesis!$D$72)))</f>
        <v>-0</v>
      </c>
      <c r="BY80" s="100" t="n">
        <f aca="false">IF(BY79&lt;Hipótesis!$D$72,MIN(Hipótesis!$D$70-BX81,Hipótesis!$D$72-BY79),-MIN(BX81,MAX(0,BY79-Hipótesis!$D$72)))</f>
        <v>-0</v>
      </c>
      <c r="BZ80" s="100" t="n">
        <f aca="false">IF(BZ79&lt;Hipótesis!$D$72,MIN(Hipótesis!$D$70-BY81,Hipótesis!$D$72-BZ79),-MIN(BY81,MAX(0,BZ79-Hipótesis!$D$72)))</f>
        <v>-0</v>
      </c>
      <c r="CA80" s="100" t="n">
        <f aca="false">IF(CA79&lt;Hipótesis!$D$72,MIN(Hipótesis!$D$70-BZ81,Hipótesis!$D$72-CA79),-MIN(BZ81,MAX(0,CA79-Hipótesis!$D$72)))</f>
        <v>-0</v>
      </c>
      <c r="CB80" s="100" t="n">
        <f aca="false">IF(CB79&lt;Hipótesis!$D$72,MIN(Hipótesis!$D$70-CA81,Hipótesis!$D$72-CB79),-MIN(CA81,MAX(0,CB79-Hipótesis!$D$72)))</f>
        <v>-0</v>
      </c>
      <c r="CC80" s="100" t="n">
        <f aca="false">IF(CC79&lt;Hipótesis!$D$72,MIN(Hipótesis!$D$70-CB81,Hipótesis!$D$72-CC79),-MIN(CB81,MAX(0,CC79-Hipótesis!$D$72)))</f>
        <v>-0</v>
      </c>
      <c r="CD80" s="100" t="n">
        <f aca="false">IF(CD79&lt;Hipótesis!$D$72,MIN(Hipótesis!$D$70-CC81,Hipótesis!$D$72-CD79),-MIN(CC81,MAX(0,CD79-Hipótesis!$D$72)))</f>
        <v>-0</v>
      </c>
      <c r="CE80" s="100" t="n">
        <f aca="false">IF(CE79&lt;Hipótesis!$D$72,MIN(Hipótesis!$D$70-CD81,Hipótesis!$D$72-CE79),-MIN(CD81,MAX(0,CE79-Hipótesis!$D$72)))</f>
        <v>-0</v>
      </c>
      <c r="CF80" s="100" t="n">
        <f aca="false">IF(CF79&lt;Hipótesis!$D$72,MIN(Hipótesis!$D$70-CE81,Hipótesis!$D$72-CF79),-MIN(CE81,MAX(0,CF79-Hipótesis!$D$72)))</f>
        <v>-0</v>
      </c>
      <c r="CG80" s="100" t="n">
        <f aca="false">IF(CG79&lt;Hipótesis!$D$72,MIN(Hipótesis!$D$70-CF81,Hipótesis!$D$72-CG79),-MIN(CF81,MAX(0,CG79-Hipótesis!$D$72)))</f>
        <v>-0</v>
      </c>
      <c r="CH80" s="100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46" t="s">
        <v>555</v>
      </c>
      <c r="C81" s="63" t="n">
        <f aca="false">C80</f>
        <v>-0</v>
      </c>
      <c r="D81" s="63" t="n">
        <f aca="false">C81+D80</f>
        <v>0</v>
      </c>
      <c r="E81" s="63" t="n">
        <f aca="false">D81+E80</f>
        <v>0</v>
      </c>
      <c r="F81" s="63" t="n">
        <f aca="false">E81+F80</f>
        <v>0</v>
      </c>
      <c r="G81" s="63" t="n">
        <f aca="false">F81+G80</f>
        <v>0</v>
      </c>
      <c r="H81" s="63" t="n">
        <f aca="false">G81+H80</f>
        <v>0</v>
      </c>
      <c r="I81" s="63" t="n">
        <f aca="false">H81+I80</f>
        <v>0</v>
      </c>
      <c r="J81" s="63" t="n">
        <f aca="false">I81+J80</f>
        <v>0</v>
      </c>
      <c r="K81" s="63" t="n">
        <f aca="false">J81+K80</f>
        <v>7792.03229910436</v>
      </c>
      <c r="L81" s="63" t="n">
        <f aca="false">K81+L80</f>
        <v>12674.252402377</v>
      </c>
      <c r="M81" s="63" t="n">
        <f aca="false">L81+M80</f>
        <v>17259.8761221664</v>
      </c>
      <c r="N81" s="63" t="n">
        <f aca="false">M81+N80</f>
        <v>20183.1748792961</v>
      </c>
      <c r="O81" s="63" t="n">
        <f aca="false">N81+O80</f>
        <v>24770.4301240736</v>
      </c>
      <c r="P81" s="63" t="n">
        <f aca="false">O81+P80</f>
        <v>27617.57827888</v>
      </c>
      <c r="Q81" s="63" t="n">
        <f aca="false">P81+Q80</f>
        <v>31118.3760440628</v>
      </c>
      <c r="R81" s="63" t="n">
        <f aca="false">Q81+R80</f>
        <v>32965.7201937708</v>
      </c>
      <c r="S81" s="63" t="n">
        <f aca="false">R81+S80</f>
        <v>33191.4547123774</v>
      </c>
      <c r="T81" s="63" t="n">
        <f aca="false">S81+T80</f>
        <v>34041.0570328108</v>
      </c>
      <c r="U81" s="63" t="n">
        <f aca="false">T81+U80</f>
        <v>33428.040450758</v>
      </c>
      <c r="V81" s="63" t="n">
        <f aca="false">U81+V80</f>
        <v>33693.5942613902</v>
      </c>
      <c r="W81" s="63" t="n">
        <f aca="false">V81+W80</f>
        <v>32576.0476285289</v>
      </c>
      <c r="X81" s="63" t="n">
        <f aca="false">W81+X80</f>
        <v>32251.0125784512</v>
      </c>
      <c r="Y81" s="63" t="n">
        <f aca="false">X81+Y80</f>
        <v>30992.2529265513</v>
      </c>
      <c r="Z81" s="63" t="n">
        <f aca="false">Y81+Z80</f>
        <v>28891.8645679365</v>
      </c>
      <c r="AA81" s="63" t="n">
        <f aca="false">Z81+AA80</f>
        <v>29695.3948402447</v>
      </c>
      <c r="AB81" s="63" t="n">
        <f aca="false">AA81+AB80</f>
        <v>29726.4828743868</v>
      </c>
      <c r="AC81" s="63" t="n">
        <f aca="false">AB81+AC80</f>
        <v>28982.1193641431</v>
      </c>
      <c r="AD81" s="63" t="n">
        <f aca="false">AC81+AD80</f>
        <v>27459.2832795387</v>
      </c>
      <c r="AE81" s="63" t="n">
        <f aca="false">AD81+AE80</f>
        <v>27138.0312679693</v>
      </c>
      <c r="AF81" s="63" t="n">
        <f aca="false">AE81+AF80</f>
        <v>26039.9550539195</v>
      </c>
      <c r="AG81" s="63" t="n">
        <f aca="false">AF81+AG80</f>
        <v>24162.028259767</v>
      </c>
      <c r="AH81" s="63" t="n">
        <f aca="false">AG81+AH80</f>
        <v>21501.2127176269</v>
      </c>
      <c r="AI81" s="63" t="n">
        <f aca="false">AH81+AI80</f>
        <v>18054.4584234185</v>
      </c>
      <c r="AJ81" s="63" t="n">
        <f aca="false">AI81+AJ80</f>
        <v>13818.7034907535</v>
      </c>
      <c r="AK81" s="63" t="n">
        <f aca="false">AJ81+AK80</f>
        <v>8790.87410464467</v>
      </c>
      <c r="AL81" s="63" t="n">
        <f aca="false">AK81+AL80</f>
        <v>2967.88447503367</v>
      </c>
      <c r="AM81" s="63" t="n">
        <f aca="false">AL81+AM80</f>
        <v>1030.82848424252</v>
      </c>
      <c r="AN81" s="63" t="n">
        <f aca="false">AM81+AN80</f>
        <v>0</v>
      </c>
      <c r="AO81" s="63" t="n">
        <f aca="false">AN81+AO80</f>
        <v>0</v>
      </c>
      <c r="AP81" s="63" t="n">
        <f aca="false">AO81+AP80</f>
        <v>0</v>
      </c>
      <c r="AQ81" s="63" t="n">
        <f aca="false">AP81+AQ80</f>
        <v>0</v>
      </c>
      <c r="AR81" s="63" t="n">
        <f aca="false">AQ81+AR80</f>
        <v>0</v>
      </c>
      <c r="AS81" s="63" t="n">
        <f aca="false">AR81+AS80</f>
        <v>0</v>
      </c>
      <c r="AT81" s="63" t="n">
        <f aca="false">AS81+AT80</f>
        <v>0</v>
      </c>
      <c r="AU81" s="63" t="n">
        <f aca="false">AT81+AU80</f>
        <v>0</v>
      </c>
      <c r="AV81" s="63" t="n">
        <f aca="false">AU81+AV80</f>
        <v>0</v>
      </c>
      <c r="AW81" s="63" t="n">
        <f aca="false">AV81+AW80</f>
        <v>0</v>
      </c>
      <c r="AX81" s="63" t="n">
        <f aca="false">AW81+AX80</f>
        <v>0</v>
      </c>
      <c r="AY81" s="63" t="n">
        <f aca="false">AX81+AY80</f>
        <v>0</v>
      </c>
      <c r="AZ81" s="63" t="n">
        <f aca="false">AY81+AZ80</f>
        <v>0</v>
      </c>
      <c r="BA81" s="63" t="n">
        <f aca="false">AZ81+BA80</f>
        <v>0</v>
      </c>
      <c r="BB81" s="63" t="n">
        <f aca="false">BA81+BB80</f>
        <v>0</v>
      </c>
      <c r="BC81" s="63" t="n">
        <f aca="false">BB81+BC80</f>
        <v>0</v>
      </c>
      <c r="BD81" s="63" t="n">
        <f aca="false">BC81+BD80</f>
        <v>0</v>
      </c>
      <c r="BE81" s="63" t="n">
        <f aca="false">BD81+BE80</f>
        <v>0</v>
      </c>
      <c r="BF81" s="63" t="n">
        <f aca="false">BE81+BF80</f>
        <v>0</v>
      </c>
      <c r="BG81" s="63" t="n">
        <f aca="false">BF81+BG80</f>
        <v>0</v>
      </c>
      <c r="BH81" s="63" t="n">
        <f aca="false">BG81+BH80</f>
        <v>0</v>
      </c>
      <c r="BI81" s="63" t="n">
        <f aca="false">BH81+BI80</f>
        <v>0</v>
      </c>
      <c r="BJ81" s="63" t="n">
        <f aca="false">BI81+BJ80</f>
        <v>0</v>
      </c>
      <c r="BK81" s="63" t="n">
        <f aca="false">BJ81+BK80</f>
        <v>0</v>
      </c>
      <c r="BL81" s="63" t="n">
        <f aca="false">BK81+BL80</f>
        <v>0</v>
      </c>
      <c r="BM81" s="63" t="n">
        <f aca="false">BL81+BM80</f>
        <v>0</v>
      </c>
      <c r="BN81" s="63" t="n">
        <f aca="false">BM81+BN80</f>
        <v>0</v>
      </c>
      <c r="BO81" s="63" t="n">
        <f aca="false">BN81+BO80</f>
        <v>0</v>
      </c>
      <c r="BP81" s="63" t="n">
        <f aca="false">BO81+BP80</f>
        <v>0</v>
      </c>
      <c r="BQ81" s="63" t="n">
        <f aca="false">BP81+BQ80</f>
        <v>0</v>
      </c>
      <c r="BR81" s="63" t="n">
        <f aca="false">BQ81+BR80</f>
        <v>0</v>
      </c>
      <c r="BS81" s="63" t="n">
        <f aca="false">BR81+BS80</f>
        <v>0</v>
      </c>
      <c r="BT81" s="63" t="n">
        <f aca="false">BS81+BT80</f>
        <v>0</v>
      </c>
      <c r="BU81" s="63" t="n">
        <f aca="false">BT81+BU80</f>
        <v>0</v>
      </c>
      <c r="BV81" s="63" t="n">
        <f aca="false">BU81+BV80</f>
        <v>0</v>
      </c>
      <c r="BW81" s="63" t="n">
        <f aca="false">BV81+BW80</f>
        <v>0</v>
      </c>
      <c r="BX81" s="63" t="n">
        <f aca="false">BW81+BX80</f>
        <v>0</v>
      </c>
      <c r="BY81" s="63" t="n">
        <f aca="false">BX81+BY80</f>
        <v>0</v>
      </c>
      <c r="BZ81" s="63" t="n">
        <f aca="false">BY81+BZ80</f>
        <v>0</v>
      </c>
      <c r="CA81" s="63" t="n">
        <f aca="false">BZ81+CA80</f>
        <v>0</v>
      </c>
      <c r="CB81" s="63" t="n">
        <f aca="false">CA81+CB80</f>
        <v>0</v>
      </c>
      <c r="CC81" s="63" t="n">
        <f aca="false">CB81+CC80</f>
        <v>0</v>
      </c>
      <c r="CD81" s="63" t="n">
        <f aca="false">CC81+CD80</f>
        <v>0</v>
      </c>
      <c r="CE81" s="63" t="n">
        <f aca="false">CD81+CE80</f>
        <v>0</v>
      </c>
      <c r="CF81" s="63" t="n">
        <f aca="false">CE81+CF80</f>
        <v>0</v>
      </c>
      <c r="CG81" s="63" t="n">
        <f aca="false">CF81+CG80</f>
        <v>0</v>
      </c>
      <c r="CH81" s="63" t="n">
        <f aca="false">CG81+CH80</f>
        <v>0</v>
      </c>
    </row>
    <row r="82" customFormat="false" ht="13.5" hidden="false" customHeight="true" outlineLevel="0" collapsed="false">
      <c r="A82" s="6" t="s">
        <v>556</v>
      </c>
      <c r="C82" s="100" t="n">
        <f aca="false">C79+C80</f>
        <v>158476.415856825</v>
      </c>
      <c r="D82" s="100" t="n">
        <f aca="false">D79+D80</f>
        <v>131665.150162839</v>
      </c>
      <c r="E82" s="100" t="n">
        <f aca="false">E79+E80</f>
        <v>109559.873307344</v>
      </c>
      <c r="F82" s="100" t="n">
        <f aca="false">F79+F80</f>
        <v>89529.4143992893</v>
      </c>
      <c r="G82" s="100" t="n">
        <f aca="false">G79+G80</f>
        <v>71171.4041796457</v>
      </c>
      <c r="H82" s="100" t="n">
        <f aca="false">H79+H80</f>
        <v>54722.8111385169</v>
      </c>
      <c r="I82" s="100" t="n">
        <f aca="false">I79+I80</f>
        <v>40888.6427306572</v>
      </c>
      <c r="J82" s="100" t="n">
        <f aca="false">J79+J80</f>
        <v>30050.3615847834</v>
      </c>
      <c r="K82" s="100" t="n">
        <f aca="false">K79+K80</f>
        <v>30000</v>
      </c>
      <c r="L82" s="100" t="n">
        <f aca="false">L79+L80</f>
        <v>30000</v>
      </c>
      <c r="M82" s="100" t="n">
        <f aca="false">M79+M80</f>
        <v>30000</v>
      </c>
      <c r="N82" s="100" t="n">
        <f aca="false">N79+N80</f>
        <v>30000</v>
      </c>
      <c r="O82" s="100" t="n">
        <f aca="false">O79+O80</f>
        <v>30000</v>
      </c>
      <c r="P82" s="100" t="n">
        <f aca="false">P79+P80</f>
        <v>30000</v>
      </c>
      <c r="Q82" s="100" t="n">
        <f aca="false">Q79+Q80</f>
        <v>30000</v>
      </c>
      <c r="R82" s="100" t="n">
        <f aca="false">R79+R80</f>
        <v>30000</v>
      </c>
      <c r="S82" s="100" t="n">
        <f aca="false">S79+S80</f>
        <v>30000</v>
      </c>
      <c r="T82" s="100" t="n">
        <f aca="false">T79+T80</f>
        <v>30000</v>
      </c>
      <c r="U82" s="100" t="n">
        <f aca="false">U79+U80</f>
        <v>30000</v>
      </c>
      <c r="V82" s="100" t="n">
        <f aca="false">V79+V80</f>
        <v>30000</v>
      </c>
      <c r="W82" s="100" t="n">
        <f aca="false">W79+W80</f>
        <v>30000</v>
      </c>
      <c r="X82" s="100" t="n">
        <f aca="false">X79+X80</f>
        <v>30000</v>
      </c>
      <c r="Y82" s="100" t="n">
        <f aca="false">Y79+Y80</f>
        <v>30000</v>
      </c>
      <c r="Z82" s="100" t="n">
        <f aca="false">Z79+Z80</f>
        <v>30000</v>
      </c>
      <c r="AA82" s="100" t="n">
        <f aca="false">AA79+AA80</f>
        <v>30000</v>
      </c>
      <c r="AB82" s="100" t="n">
        <f aca="false">AB79+AB80</f>
        <v>30000</v>
      </c>
      <c r="AC82" s="100" t="n">
        <f aca="false">AC79+AC80</f>
        <v>30000</v>
      </c>
      <c r="AD82" s="100" t="n">
        <f aca="false">AD79+AD80</f>
        <v>30000</v>
      </c>
      <c r="AE82" s="100" t="n">
        <f aca="false">AE79+AE80</f>
        <v>30000</v>
      </c>
      <c r="AF82" s="100" t="n">
        <f aca="false">AF79+AF80</f>
        <v>30000</v>
      </c>
      <c r="AG82" s="100" t="n">
        <f aca="false">AG79+AG80</f>
        <v>30000</v>
      </c>
      <c r="AH82" s="100" t="n">
        <f aca="false">AH79+AH80</f>
        <v>30000</v>
      </c>
      <c r="AI82" s="100" t="n">
        <f aca="false">AI79+AI80</f>
        <v>30000</v>
      </c>
      <c r="AJ82" s="100" t="n">
        <f aca="false">AJ79+AJ80</f>
        <v>30000</v>
      </c>
      <c r="AK82" s="100" t="n">
        <f aca="false">AK79+AK80</f>
        <v>30000</v>
      </c>
      <c r="AL82" s="100" t="n">
        <f aca="false">AL79+AL80</f>
        <v>30000</v>
      </c>
      <c r="AM82" s="100" t="n">
        <f aca="false">AM79+AM80</f>
        <v>30000</v>
      </c>
      <c r="AN82" s="100" t="n">
        <f aca="false">AN79+AN80</f>
        <v>31594.4831123274</v>
      </c>
      <c r="AO82" s="100" t="n">
        <f aca="false">AO79+AO80</f>
        <v>34904.9351576222</v>
      </c>
      <c r="AP82" s="100" t="n">
        <f aca="false">AP79+AP80</f>
        <v>38896.9841787275</v>
      </c>
      <c r="AQ82" s="100" t="n">
        <f aca="false">AQ79+AQ80</f>
        <v>43570.6301756432</v>
      </c>
      <c r="AR82" s="100" t="n">
        <f aca="false">AR79+AR80</f>
        <v>48925.8731483693</v>
      </c>
      <c r="AS82" s="100" t="n">
        <f aca="false">AS79+AS80</f>
        <v>54666.7454164789</v>
      </c>
      <c r="AT82" s="100" t="n">
        <f aca="false">AT79+AT80</f>
        <v>60411.7843512552</v>
      </c>
      <c r="AU82" s="100" t="n">
        <f aca="false">AU79+AU80</f>
        <v>66160.9899526982</v>
      </c>
      <c r="AV82" s="100" t="n">
        <f aca="false">AV79+AV80</f>
        <v>71914.3622208079</v>
      </c>
      <c r="AW82" s="100" t="n">
        <f aca="false">AW79+AW80</f>
        <v>77671.9011555842</v>
      </c>
      <c r="AX82" s="100" t="n">
        <f aca="false">AX79+AX80</f>
        <v>83433.6067570272</v>
      </c>
      <c r="AY82" s="100" t="n">
        <f aca="false">AY79+AY80</f>
        <v>63858.9425168292</v>
      </c>
      <c r="AZ82" s="100" t="n">
        <f aca="false">AZ79+AZ80</f>
        <v>67722.0517003251</v>
      </c>
      <c r="BA82" s="100" t="n">
        <f aca="false">BA79+BA80</f>
        <v>71589.3275504877</v>
      </c>
      <c r="BB82" s="100" t="n">
        <f aca="false">BB79+BB80</f>
        <v>75460.770067317</v>
      </c>
      <c r="BC82" s="100" t="n">
        <f aca="false">BC79+BC80</f>
        <v>79336.3792508129</v>
      </c>
      <c r="BD82" s="100" t="n">
        <f aca="false">BD79+BD80</f>
        <v>83216.1551009755</v>
      </c>
      <c r="BE82" s="100" t="n">
        <f aca="false">BE79+BE80</f>
        <v>87100.0976178047</v>
      </c>
      <c r="BF82" s="100" t="n">
        <f aca="false">BF79+BF80</f>
        <v>90988.2068013006</v>
      </c>
      <c r="BG82" s="100" t="n">
        <f aca="false">BG79+BG80</f>
        <v>94880.4826514632</v>
      </c>
      <c r="BH82" s="100" t="n">
        <f aca="false">BH79+BH80</f>
        <v>98776.9251682924</v>
      </c>
      <c r="BI82" s="100" t="n">
        <f aca="false">BI79+BI80</f>
        <v>102677.534351788</v>
      </c>
      <c r="BJ82" s="100" t="n">
        <f aca="false">BJ79+BJ80</f>
        <v>106582.310201951</v>
      </c>
      <c r="BK82" s="100" t="n">
        <f aca="false">BK79+BK80</f>
        <v>80535.8029133722</v>
      </c>
      <c r="BL82" s="100" t="n">
        <f aca="false">BL79+BL80</f>
        <v>82528.4334530493</v>
      </c>
      <c r="BM82" s="100" t="n">
        <f aca="false">BM79+BM80</f>
        <v>84525.2306593931</v>
      </c>
      <c r="BN82" s="100" t="n">
        <f aca="false">BN79+BN80</f>
        <v>86526.1945324035</v>
      </c>
      <c r="BO82" s="100" t="n">
        <f aca="false">BO79+BO80</f>
        <v>88531.3250720806</v>
      </c>
      <c r="BP82" s="100" t="n">
        <f aca="false">BP79+BP80</f>
        <v>90540.6222784244</v>
      </c>
      <c r="BQ82" s="100" t="n">
        <f aca="false">BQ79+BQ80</f>
        <v>92554.0861514348</v>
      </c>
      <c r="BR82" s="100" t="n">
        <f aca="false">BR79+BR80</f>
        <v>94571.7166911119</v>
      </c>
      <c r="BS82" s="100" t="n">
        <f aca="false">BS79+BS80</f>
        <v>96593.5138974557</v>
      </c>
      <c r="BT82" s="100" t="n">
        <f aca="false">BT79+BT80</f>
        <v>98619.4777704661</v>
      </c>
      <c r="BU82" s="100" t="n">
        <f aca="false">BU79+BU80</f>
        <v>100649.608310143</v>
      </c>
      <c r="BV82" s="100" t="n">
        <f aca="false">BV79+BV80</f>
        <v>102683.905516487</v>
      </c>
      <c r="BW82" s="100" t="n">
        <f aca="false">BW79+BW80</f>
        <v>83731.2617151052</v>
      </c>
      <c r="BX82" s="100" t="n">
        <f aca="false">BX79+BX80</f>
        <v>83839.458251649</v>
      </c>
      <c r="BY82" s="100" t="n">
        <f aca="false">BY79+BY80</f>
        <v>83951.8214548593</v>
      </c>
      <c r="BZ82" s="100" t="n">
        <f aca="false">BZ79+BZ80</f>
        <v>84068.3513247364</v>
      </c>
      <c r="CA82" s="100" t="n">
        <f aca="false">CA79+CA80</f>
        <v>84189.0478612801</v>
      </c>
      <c r="CB82" s="100" t="n">
        <f aca="false">CB79+CB80</f>
        <v>84313.9110644905</v>
      </c>
      <c r="CC82" s="100" t="n">
        <f aca="false">CC79+CC80</f>
        <v>84442.9409343675</v>
      </c>
      <c r="CD82" s="100" t="n">
        <f aca="false">CD79+CD80</f>
        <v>84576.1374709112</v>
      </c>
      <c r="CE82" s="100" t="n">
        <f aca="false">CE79+CE80</f>
        <v>84713.5006741216</v>
      </c>
      <c r="CF82" s="100" t="n">
        <f aca="false">CF79+CF80</f>
        <v>84855.0305439987</v>
      </c>
      <c r="CG82" s="100" t="n">
        <f aca="false">CG79+CG80</f>
        <v>85000.7270805424</v>
      </c>
      <c r="CH82" s="100" t="n">
        <f aca="false">CH79+CH80</f>
        <v>85150.5902837528</v>
      </c>
    </row>
    <row r="83" customFormat="false" ht="13.5" hidden="false" customHeight="true" outlineLevel="0" collapsed="false">
      <c r="A83" s="6" t="s">
        <v>557</v>
      </c>
      <c r="C83" s="100" t="n">
        <f aca="false">-IF(AND(1&gt;=Hipótesis!$D$76,MOD(1,12)=0,C81=0),MIN(Hipótesis!$D$77*MAX(0,SUM(C63:C63)),MAX(0,C82-Hipótesis!$D$80)),0)</f>
        <v>-0</v>
      </c>
      <c r="D83" s="100" t="n">
        <f aca="false">-IF(AND(2&gt;=Hipótesis!$D$76,MOD(2,12)=0,D81=0),MIN(Hipótesis!$D$77*MAX(0,SUM(C63:D63)),MAX(0,D82-Hipótesis!$D$80)),0)</f>
        <v>-0</v>
      </c>
      <c r="E83" s="100" t="n">
        <f aca="false">-IF(AND(3&gt;=Hipótesis!$D$76,MOD(3,12)=0,E81=0),MIN(Hipótesis!$D$77*MAX(0,SUM(C63:E63)),MAX(0,E82-Hipótesis!$D$80)),0)</f>
        <v>-0</v>
      </c>
      <c r="F83" s="100" t="n">
        <f aca="false">-IF(AND(4&gt;=Hipótesis!$D$76,MOD(4,12)=0,F81=0),MIN(Hipótesis!$D$77*MAX(0,SUM(C63:F63)),MAX(0,F82-Hipótesis!$D$80)),0)</f>
        <v>-0</v>
      </c>
      <c r="G83" s="100" t="n">
        <f aca="false">-IF(AND(5&gt;=Hipótesis!$D$76,MOD(5,12)=0,G81=0),MIN(Hipótesis!$D$77*MAX(0,SUM(C63:G63)),MAX(0,G82-Hipótesis!$D$80)),0)</f>
        <v>-0</v>
      </c>
      <c r="H83" s="100" t="n">
        <f aca="false">-IF(AND(6&gt;=Hipótesis!$D$76,MOD(6,12)=0,H81=0),MIN(Hipótesis!$D$77*MAX(0,SUM(C63:H63)),MAX(0,H82-Hipótesis!$D$80)),0)</f>
        <v>-0</v>
      </c>
      <c r="I83" s="100" t="n">
        <f aca="false">-IF(AND(7&gt;=Hipótesis!$D$76,MOD(7,12)=0,I81=0),MIN(Hipótesis!$D$77*MAX(0,SUM(C63:I63)),MAX(0,I82-Hipótesis!$D$80)),0)</f>
        <v>-0</v>
      </c>
      <c r="J83" s="100" t="n">
        <f aca="false">-IF(AND(8&gt;=Hipótesis!$D$76,MOD(8,12)=0,J81=0),MIN(Hipótesis!$D$77*MAX(0,SUM(C63:J63)),MAX(0,J82-Hipótesis!$D$80)),0)</f>
        <v>-0</v>
      </c>
      <c r="K83" s="100" t="n">
        <f aca="false">-IF(AND(9&gt;=Hipótesis!$D$76,MOD(9,12)=0,K81=0),MIN(Hipótesis!$D$77*MAX(0,SUM(C63:K63)),MAX(0,K82-Hipótesis!$D$80)),0)</f>
        <v>-0</v>
      </c>
      <c r="L83" s="100" t="n">
        <f aca="false">-IF(AND(10&gt;=Hipótesis!$D$76,MOD(10,12)=0,L81=0),MIN(Hipótesis!$D$77*MAX(0,SUM(C63:L63)),MAX(0,L82-Hipótesis!$D$80)),0)</f>
        <v>-0</v>
      </c>
      <c r="M83" s="100" t="n">
        <f aca="false">-IF(AND(11&gt;=Hipótesis!$D$76,MOD(11,12)=0,M81=0),MIN(Hipótesis!$D$77*MAX(0,SUM(C63:M63)),MAX(0,M82-Hipótesis!$D$80)),0)</f>
        <v>-0</v>
      </c>
      <c r="N83" s="100" t="n">
        <f aca="false">-IF(AND(12&gt;=Hipótesis!$D$76,MOD(12,12)=0,N81=0),MIN(Hipótesis!$D$77*MAX(0,SUM(C63:N63)),MAX(0,N82-Hipótesis!$D$80)),0)</f>
        <v>-0</v>
      </c>
      <c r="O83" s="100" t="n">
        <f aca="false">-IF(AND(13&gt;=Hipótesis!$D$76,MOD(13,12)=0,O81=0),MIN(Hipótesis!$D$77*MAX(0,SUM(D63:O63)),MAX(0,O82-Hipótesis!$D$80)),0)</f>
        <v>-0</v>
      </c>
      <c r="P83" s="100" t="n">
        <f aca="false">-IF(AND(14&gt;=Hipótesis!$D$76,MOD(14,12)=0,P81=0),MIN(Hipótesis!$D$77*MAX(0,SUM(E63:P63)),MAX(0,P82-Hipótesis!$D$80)),0)</f>
        <v>-0</v>
      </c>
      <c r="Q83" s="100" t="n">
        <f aca="false">-IF(AND(15&gt;=Hipótesis!$D$76,MOD(15,12)=0,Q81=0),MIN(Hipótesis!$D$77*MAX(0,SUM(F63:Q63)),MAX(0,Q82-Hipótesis!$D$80)),0)</f>
        <v>-0</v>
      </c>
      <c r="R83" s="100" t="n">
        <f aca="false">-IF(AND(16&gt;=Hipótesis!$D$76,MOD(16,12)=0,R81=0),MIN(Hipótesis!$D$77*MAX(0,SUM(G63:R63)),MAX(0,R82-Hipótesis!$D$80)),0)</f>
        <v>-0</v>
      </c>
      <c r="S83" s="100" t="n">
        <f aca="false">-IF(AND(17&gt;=Hipótesis!$D$76,MOD(17,12)=0,S81=0),MIN(Hipótesis!$D$77*MAX(0,SUM(H63:S63)),MAX(0,S82-Hipótesis!$D$80)),0)</f>
        <v>-0</v>
      </c>
      <c r="T83" s="100" t="n">
        <f aca="false">-IF(AND(18&gt;=Hipótesis!$D$76,MOD(18,12)=0,T81=0),MIN(Hipótesis!$D$77*MAX(0,SUM(I63:T63)),MAX(0,T82-Hipótesis!$D$80)),0)</f>
        <v>-0</v>
      </c>
      <c r="U83" s="100" t="n">
        <f aca="false">-IF(AND(19&gt;=Hipótesis!$D$76,MOD(19,12)=0,U81=0),MIN(Hipótesis!$D$77*MAX(0,SUM(J63:U63)),MAX(0,U82-Hipótesis!$D$80)),0)</f>
        <v>-0</v>
      </c>
      <c r="V83" s="100" t="n">
        <f aca="false">-IF(AND(20&gt;=Hipótesis!$D$76,MOD(20,12)=0,V81=0),MIN(Hipótesis!$D$77*MAX(0,SUM(K63:V63)),MAX(0,V82-Hipótesis!$D$80)),0)</f>
        <v>-0</v>
      </c>
      <c r="W83" s="100" t="n">
        <f aca="false">-IF(AND(21&gt;=Hipótesis!$D$76,MOD(21,12)=0,W81=0),MIN(Hipótesis!$D$77*MAX(0,SUM(L63:W63)),MAX(0,W82-Hipótesis!$D$80)),0)</f>
        <v>-0</v>
      </c>
      <c r="X83" s="100" t="n">
        <f aca="false">-IF(AND(22&gt;=Hipótesis!$D$76,MOD(22,12)=0,X81=0),MIN(Hipótesis!$D$77*MAX(0,SUM(M63:X63)),MAX(0,X82-Hipótesis!$D$80)),0)</f>
        <v>-0</v>
      </c>
      <c r="Y83" s="100" t="n">
        <f aca="false">-IF(AND(23&gt;=Hipótesis!$D$76,MOD(23,12)=0,Y81=0),MIN(Hipótesis!$D$77*MAX(0,SUM(N63:Y63)),MAX(0,Y82-Hipótesis!$D$80)),0)</f>
        <v>-0</v>
      </c>
      <c r="Z83" s="100" t="n">
        <f aca="false">-IF(AND(24&gt;=Hipótesis!$D$76,MOD(24,12)=0,Z81=0),MIN(Hipótesis!$D$77*MAX(0,SUM(O63:Z63)),MAX(0,Z82-Hipótesis!$D$80)),0)</f>
        <v>-0</v>
      </c>
      <c r="AA83" s="100" t="n">
        <f aca="false">-IF(AND(25&gt;=Hipótesis!$D$76,MOD(25,12)=0,AA81=0),MIN(Hipótesis!$D$77*MAX(0,SUM(P63:AA63)),MAX(0,AA82-Hipótesis!$D$80)),0)</f>
        <v>-0</v>
      </c>
      <c r="AB83" s="100" t="n">
        <f aca="false">-IF(AND(26&gt;=Hipótesis!$D$76,MOD(26,12)=0,AB81=0),MIN(Hipótesis!$D$77*MAX(0,SUM(Q63:AB63)),MAX(0,AB82-Hipótesis!$D$80)),0)</f>
        <v>-0</v>
      </c>
      <c r="AC83" s="100" t="n">
        <f aca="false">-IF(AND(27&gt;=Hipótesis!$D$76,MOD(27,12)=0,AC81=0),MIN(Hipótesis!$D$77*MAX(0,SUM(R63:AC63)),MAX(0,AC82-Hipótesis!$D$80)),0)</f>
        <v>-0</v>
      </c>
      <c r="AD83" s="100" t="n">
        <f aca="false">-IF(AND(28&gt;=Hipótesis!$D$76,MOD(28,12)=0,AD81=0),MIN(Hipótesis!$D$77*MAX(0,SUM(S63:AD63)),MAX(0,AD82-Hipótesis!$D$80)),0)</f>
        <v>-0</v>
      </c>
      <c r="AE83" s="100" t="n">
        <f aca="false">-IF(AND(29&gt;=Hipótesis!$D$76,MOD(29,12)=0,AE81=0),MIN(Hipótesis!$D$77*MAX(0,SUM(T63:AE63)),MAX(0,AE82-Hipótesis!$D$80)),0)</f>
        <v>-0</v>
      </c>
      <c r="AF83" s="100" t="n">
        <f aca="false">-IF(AND(30&gt;=Hipótesis!$D$76,MOD(30,12)=0,AF81=0),MIN(Hipótesis!$D$77*MAX(0,SUM(U63:AF63)),MAX(0,AF82-Hipótesis!$D$80)),0)</f>
        <v>-0</v>
      </c>
      <c r="AG83" s="100" t="n">
        <f aca="false">-IF(AND(31&gt;=Hipótesis!$D$76,MOD(31,12)=0,AG81=0),MIN(Hipótesis!$D$77*MAX(0,SUM(V63:AG63)),MAX(0,AG82-Hipótesis!$D$80)),0)</f>
        <v>-0</v>
      </c>
      <c r="AH83" s="100" t="n">
        <f aca="false">-IF(AND(32&gt;=Hipótesis!$D$76,MOD(32,12)=0,AH81=0),MIN(Hipótesis!$D$77*MAX(0,SUM(W63:AH63)),MAX(0,AH82-Hipótesis!$D$80)),0)</f>
        <v>-0</v>
      </c>
      <c r="AI83" s="100" t="n">
        <f aca="false">-IF(AND(33&gt;=Hipótesis!$D$76,MOD(33,12)=0,AI81=0),MIN(Hipótesis!$D$77*MAX(0,SUM(X63:AI63)),MAX(0,AI82-Hipótesis!$D$80)),0)</f>
        <v>-0</v>
      </c>
      <c r="AJ83" s="100" t="n">
        <f aca="false">-IF(AND(34&gt;=Hipótesis!$D$76,MOD(34,12)=0,AJ81=0),MIN(Hipótesis!$D$77*MAX(0,SUM(Y63:AJ63)),MAX(0,AJ82-Hipótesis!$D$80)),0)</f>
        <v>-0</v>
      </c>
      <c r="AK83" s="100" t="n">
        <f aca="false">-IF(AND(35&gt;=Hipótesis!$D$76,MOD(35,12)=0,AK81=0),MIN(Hipótesis!$D$77*MAX(0,SUM(Z63:AK63)),MAX(0,AK82-Hipótesis!$D$80)),0)</f>
        <v>-0</v>
      </c>
      <c r="AL83" s="100" t="n">
        <f aca="false">-IF(AND(36&gt;=Hipótesis!$D$76,MOD(36,12)=0,AL81=0),MIN(Hipótesis!$D$77*MAX(0,SUM(AA63:AL63)),MAX(0,AL82-Hipótesis!$D$80)),0)</f>
        <v>-0</v>
      </c>
      <c r="AM83" s="100" t="n">
        <f aca="false">-IF(AND(37&gt;=Hipótesis!$D$76,MOD(37,12)=0,AM81=0),MIN(Hipótesis!$D$77*MAX(0,SUM(AB63:AM63)),MAX(0,AM82-Hipótesis!$D$80)),0)</f>
        <v>-0</v>
      </c>
      <c r="AN83" s="100" t="n">
        <f aca="false">-IF(AND(38&gt;=Hipótesis!$D$76,MOD(38,12)=0,AN81=0),MIN(Hipótesis!$D$77*MAX(0,SUM(AC63:AN63)),MAX(0,AN82-Hipótesis!$D$80)),0)</f>
        <v>-0</v>
      </c>
      <c r="AO83" s="100" t="n">
        <f aca="false">-IF(AND(39&gt;=Hipótesis!$D$76,MOD(39,12)=0,AO81=0),MIN(Hipótesis!$D$77*MAX(0,SUM(AD63:AO63)),MAX(0,AO82-Hipótesis!$D$80)),0)</f>
        <v>-0</v>
      </c>
      <c r="AP83" s="100" t="n">
        <f aca="false">-IF(AND(40&gt;=Hipótesis!$D$76,MOD(40,12)=0,AP81=0),MIN(Hipótesis!$D$77*MAX(0,SUM(AE63:AP63)),MAX(0,AP82-Hipótesis!$D$80)),0)</f>
        <v>-0</v>
      </c>
      <c r="AQ83" s="100" t="n">
        <f aca="false">-IF(AND(41&gt;=Hipótesis!$D$76,MOD(41,12)=0,AQ81=0),MIN(Hipótesis!$D$77*MAX(0,SUM(AF63:AQ63)),MAX(0,AQ82-Hipótesis!$D$80)),0)</f>
        <v>-0</v>
      </c>
      <c r="AR83" s="100" t="n">
        <f aca="false">-IF(AND(42&gt;=Hipótesis!$D$76,MOD(42,12)=0,AR81=0),MIN(Hipótesis!$D$77*MAX(0,SUM(AG63:AR63)),MAX(0,AR82-Hipótesis!$D$80)),0)</f>
        <v>-0</v>
      </c>
      <c r="AS83" s="100" t="n">
        <f aca="false">-IF(AND(43&gt;=Hipótesis!$D$76,MOD(43,12)=0,AS81=0),MIN(Hipótesis!$D$77*MAX(0,SUM(AH63:AS63)),MAX(0,AS82-Hipótesis!$D$80)),0)</f>
        <v>-0</v>
      </c>
      <c r="AT83" s="100" t="n">
        <f aca="false">-IF(AND(44&gt;=Hipótesis!$D$76,MOD(44,12)=0,AT81=0),MIN(Hipótesis!$D$77*MAX(0,SUM(AI63:AT63)),MAX(0,AT82-Hipótesis!$D$80)),0)</f>
        <v>-0</v>
      </c>
      <c r="AU83" s="100" t="n">
        <f aca="false">-IF(AND(45&gt;=Hipótesis!$D$76,MOD(45,12)=0,AU81=0),MIN(Hipótesis!$D$77*MAX(0,SUM(AJ63:AU63)),MAX(0,AU82-Hipótesis!$D$80)),0)</f>
        <v>-0</v>
      </c>
      <c r="AV83" s="100" t="n">
        <f aca="false">-IF(AND(46&gt;=Hipótesis!$D$76,MOD(46,12)=0,AV81=0),MIN(Hipótesis!$D$77*MAX(0,SUM(AK63:AV63)),MAX(0,AV82-Hipótesis!$D$80)),0)</f>
        <v>-0</v>
      </c>
      <c r="AW83" s="100" t="n">
        <f aca="false">-IF(AND(47&gt;=Hipótesis!$D$76,MOD(47,12)=0,AW81=0),MIN(Hipótesis!$D$77*MAX(0,SUM(AL63:AW63)),MAX(0,AW82-Hipótesis!$D$80)),0)</f>
        <v>-0</v>
      </c>
      <c r="AX83" s="100" t="n">
        <f aca="false">-IF(AND(48&gt;=Hipótesis!$D$76,MOD(48,12)=0,AX81=0),MIN(Hipótesis!$D$77*MAX(0,SUM(AM63:AX63)),MAX(0,AX82-Hipótesis!$D$80)),0)</f>
        <v>-23433.6067570272</v>
      </c>
      <c r="AY83" s="100" t="n">
        <f aca="false">-IF(AND(49&gt;=Hipótesis!$D$76,MOD(49,12)=0,AY81=0),MIN(Hipótesis!$D$77*MAX(0,SUM(AN63:AY63)),MAX(0,AY82-Hipótesis!$D$80)),0)</f>
        <v>-0</v>
      </c>
      <c r="AZ83" s="100" t="n">
        <f aca="false">-IF(AND(50&gt;=Hipótesis!$D$76,MOD(50,12)=0,AZ81=0),MIN(Hipótesis!$D$77*MAX(0,SUM(AO63:AZ63)),MAX(0,AZ82-Hipótesis!$D$80)),0)</f>
        <v>-0</v>
      </c>
      <c r="BA83" s="100" t="n">
        <f aca="false">-IF(AND(51&gt;=Hipótesis!$D$76,MOD(51,12)=0,BA81=0),MIN(Hipótesis!$D$77*MAX(0,SUM(AP63:BA63)),MAX(0,BA82-Hipótesis!$D$80)),0)</f>
        <v>-0</v>
      </c>
      <c r="BB83" s="100" t="n">
        <f aca="false">-IF(AND(52&gt;=Hipótesis!$D$76,MOD(52,12)=0,BB81=0),MIN(Hipótesis!$D$77*MAX(0,SUM(AQ63:BB63)),MAX(0,BB82-Hipótesis!$D$80)),0)</f>
        <v>-0</v>
      </c>
      <c r="BC83" s="100" t="n">
        <f aca="false">-IF(AND(53&gt;=Hipótesis!$D$76,MOD(53,12)=0,BC81=0),MIN(Hipótesis!$D$77*MAX(0,SUM(AR63:BC63)),MAX(0,BC82-Hipótesis!$D$80)),0)</f>
        <v>-0</v>
      </c>
      <c r="BD83" s="100" t="n">
        <f aca="false">-IF(AND(54&gt;=Hipótesis!$D$76,MOD(54,12)=0,BD81=0),MIN(Hipótesis!$D$77*MAX(0,SUM(AS63:BD63)),MAX(0,BD82-Hipótesis!$D$80)),0)</f>
        <v>-0</v>
      </c>
      <c r="BE83" s="100" t="n">
        <f aca="false">-IF(AND(55&gt;=Hipótesis!$D$76,MOD(55,12)=0,BE81=0),MIN(Hipótesis!$D$77*MAX(0,SUM(AT63:BE63)),MAX(0,BE82-Hipótesis!$D$80)),0)</f>
        <v>-0</v>
      </c>
      <c r="BF83" s="100" t="n">
        <f aca="false">-IF(AND(56&gt;=Hipótesis!$D$76,MOD(56,12)=0,BF81=0),MIN(Hipótesis!$D$77*MAX(0,SUM(AU63:BF63)),MAX(0,BF82-Hipótesis!$D$80)),0)</f>
        <v>-0</v>
      </c>
      <c r="BG83" s="100" t="n">
        <f aca="false">-IF(AND(57&gt;=Hipótesis!$D$76,MOD(57,12)=0,BG81=0),MIN(Hipótesis!$D$77*MAX(0,SUM(AV63:BG63)),MAX(0,BG82-Hipótesis!$D$80)),0)</f>
        <v>-0</v>
      </c>
      <c r="BH83" s="100" t="n">
        <f aca="false">-IF(AND(58&gt;=Hipótesis!$D$76,MOD(58,12)=0,BH81=0),MIN(Hipótesis!$D$77*MAX(0,SUM(AW63:BH63)),MAX(0,BH82-Hipótesis!$D$80)),0)</f>
        <v>-0</v>
      </c>
      <c r="BI83" s="100" t="n">
        <f aca="false">-IF(AND(59&gt;=Hipótesis!$D$76,MOD(59,12)=0,BI81=0),MIN(Hipótesis!$D$77*MAX(0,SUM(AX63:BI63)),MAX(0,BI82-Hipótesis!$D$80)),0)</f>
        <v>-0</v>
      </c>
      <c r="BJ83" s="100" t="n">
        <f aca="false">-IF(AND(60&gt;=Hipótesis!$D$76,MOD(60,12)=0,BJ81=0),MIN(Hipótesis!$D$77*MAX(0,SUM(AY63:BJ63)),MAX(0,BJ82-Hipótesis!$D$80)),0)</f>
        <v>-28034.9711615891</v>
      </c>
      <c r="BK83" s="100" t="n">
        <f aca="false">-IF(AND(61&gt;=Hipótesis!$D$76,MOD(61,12)=0,BK81=0),MIN(Hipótesis!$D$77*MAX(0,SUM(AZ63:BK63)),MAX(0,BK82-Hipótesis!$D$80)),0)</f>
        <v>-0</v>
      </c>
      <c r="BL83" s="100" t="n">
        <f aca="false">-IF(AND(62&gt;=Hipótesis!$D$76,MOD(62,12)=0,BL81=0),MIN(Hipótesis!$D$77*MAX(0,SUM(BA63:BL63)),MAX(0,BL82-Hipótesis!$D$80)),0)</f>
        <v>-0</v>
      </c>
      <c r="BM83" s="100" t="n">
        <f aca="false">-IF(AND(63&gt;=Hipótesis!$D$76,MOD(63,12)=0,BM81=0),MIN(Hipótesis!$D$77*MAX(0,SUM(BB63:BM63)),MAX(0,BM82-Hipótesis!$D$80)),0)</f>
        <v>-0</v>
      </c>
      <c r="BN83" s="100" t="n">
        <f aca="false">-IF(AND(64&gt;=Hipótesis!$D$76,MOD(64,12)=0,BN81=0),MIN(Hipótesis!$D$77*MAX(0,SUM(BC63:BN63)),MAX(0,BN82-Hipótesis!$D$80)),0)</f>
        <v>-0</v>
      </c>
      <c r="BO83" s="100" t="n">
        <f aca="false">-IF(AND(65&gt;=Hipótesis!$D$76,MOD(65,12)=0,BO81=0),MIN(Hipótesis!$D$77*MAX(0,SUM(BD63:BO63)),MAX(0,BO82-Hipótesis!$D$80)),0)</f>
        <v>-0</v>
      </c>
      <c r="BP83" s="100" t="n">
        <f aca="false">-IF(AND(66&gt;=Hipótesis!$D$76,MOD(66,12)=0,BP81=0),MIN(Hipótesis!$D$77*MAX(0,SUM(BE63:BP63)),MAX(0,BP82-Hipótesis!$D$80)),0)</f>
        <v>-0</v>
      </c>
      <c r="BQ83" s="100" t="n">
        <f aca="false">-IF(AND(67&gt;=Hipótesis!$D$76,MOD(67,12)=0,BQ81=0),MIN(Hipótesis!$D$77*MAX(0,SUM(BF63:BQ63)),MAX(0,BQ82-Hipótesis!$D$80)),0)</f>
        <v>-0</v>
      </c>
      <c r="BR83" s="100" t="n">
        <f aca="false">-IF(AND(68&gt;=Hipótesis!$D$76,MOD(68,12)=0,BR81=0),MIN(Hipótesis!$D$77*MAX(0,SUM(BG63:BR63)),MAX(0,BR82-Hipótesis!$D$80)),0)</f>
        <v>-0</v>
      </c>
      <c r="BS83" s="100" t="n">
        <f aca="false">-IF(AND(69&gt;=Hipótesis!$D$76,MOD(69,12)=0,BS81=0),MIN(Hipótesis!$D$77*MAX(0,SUM(BH63:BS63)),MAX(0,BS82-Hipótesis!$D$80)),0)</f>
        <v>-0</v>
      </c>
      <c r="BT83" s="100" t="n">
        <f aca="false">-IF(AND(70&gt;=Hipótesis!$D$76,MOD(70,12)=0,BT81=0),MIN(Hipótesis!$D$77*MAX(0,SUM(BI63:BT63)),MAX(0,BT82-Hipótesis!$D$80)),0)</f>
        <v>-0</v>
      </c>
      <c r="BU83" s="100" t="n">
        <f aca="false">-IF(AND(71&gt;=Hipótesis!$D$76,MOD(71,12)=0,BU81=0),MIN(Hipótesis!$D$77*MAX(0,SUM(BJ63:BU63)),MAX(0,BU82-Hipótesis!$D$80)),0)</f>
        <v>-0</v>
      </c>
      <c r="BV83" s="100" t="n">
        <f aca="false">-IF(AND(72&gt;=Hipótesis!$D$76,MOD(72,12)=0,BV81=0),MIN(Hipótesis!$D$77*MAX(0,SUM(BK63:BV63)),MAX(0,BV82-Hipótesis!$D$80)),0)</f>
        <v>-19056.6736712588</v>
      </c>
      <c r="BW83" s="100" t="n">
        <f aca="false">-IF(AND(73&gt;=Hipótesis!$D$76,MOD(73,12)=0,BW81=0),MIN(Hipótesis!$D$77*MAX(0,SUM(BL63:BW63)),MAX(0,BW82-Hipótesis!$D$80)),0)</f>
        <v>-0</v>
      </c>
      <c r="BX83" s="100" t="n">
        <f aca="false">-IF(AND(74&gt;=Hipótesis!$D$76,MOD(74,12)=0,BX81=0),MIN(Hipótesis!$D$77*MAX(0,SUM(BM63:BX63)),MAX(0,BX82-Hipótesis!$D$80)),0)</f>
        <v>-0</v>
      </c>
      <c r="BY83" s="100" t="n">
        <f aca="false">-IF(AND(75&gt;=Hipótesis!$D$76,MOD(75,12)=0,BY81=0),MIN(Hipótesis!$D$77*MAX(0,SUM(BN63:BY63)),MAX(0,BY82-Hipótesis!$D$80)),0)</f>
        <v>-0</v>
      </c>
      <c r="BZ83" s="100" t="n">
        <f aca="false">-IF(AND(76&gt;=Hipótesis!$D$76,MOD(76,12)=0,BZ81=0),MIN(Hipótesis!$D$77*MAX(0,SUM(BO63:BZ63)),MAX(0,BZ82-Hipótesis!$D$80)),0)</f>
        <v>-0</v>
      </c>
      <c r="CA83" s="100" t="n">
        <f aca="false">-IF(AND(77&gt;=Hipótesis!$D$76,MOD(77,12)=0,CA81=0),MIN(Hipótesis!$D$77*MAX(0,SUM(BP63:CA63)),MAX(0,CA82-Hipótesis!$D$80)),0)</f>
        <v>-0</v>
      </c>
      <c r="CB83" s="100" t="n">
        <f aca="false">-IF(AND(78&gt;=Hipótesis!$D$76,MOD(78,12)=0,CB81=0),MIN(Hipótesis!$D$77*MAX(0,SUM(BQ63:CB63)),MAX(0,CB82-Hipótesis!$D$80)),0)</f>
        <v>-0</v>
      </c>
      <c r="CC83" s="100" t="n">
        <f aca="false">-IF(AND(79&gt;=Hipótesis!$D$76,MOD(79,12)=0,CC81=0),MIN(Hipótesis!$D$77*MAX(0,SUM(BR63:CC63)),MAX(0,CC82-Hipótesis!$D$80)),0)</f>
        <v>-0</v>
      </c>
      <c r="CD83" s="100" t="n">
        <f aca="false">-IF(AND(80&gt;=Hipótesis!$D$76,MOD(80,12)=0,CD81=0),MIN(Hipótesis!$D$77*MAX(0,SUM(BS63:CD63)),MAX(0,CD82-Hipótesis!$D$80)),0)</f>
        <v>-0</v>
      </c>
      <c r="CE83" s="100" t="n">
        <f aca="false">-IF(AND(81&gt;=Hipótesis!$D$76,MOD(81,12)=0,CE81=0),MIN(Hipótesis!$D$77*MAX(0,SUM(BT63:CE63)),MAX(0,CE82-Hipótesis!$D$80)),0)</f>
        <v>-0</v>
      </c>
      <c r="CF83" s="100" t="n">
        <f aca="false">-IF(AND(82&gt;=Hipótesis!$D$76,MOD(82,12)=0,CF81=0),MIN(Hipótesis!$D$77*MAX(0,SUM(BU63:CF63)),MAX(0,CF82-Hipótesis!$D$80)),0)</f>
        <v>-0</v>
      </c>
      <c r="CG83" s="100" t="n">
        <f aca="false">-IF(AND(83&gt;=Hipótesis!$D$76,MOD(83,12)=0,CG81=0),MIN(Hipótesis!$D$77*MAX(0,SUM(BV63:CG63)),MAX(0,CG82-Hipótesis!$D$80)),0)</f>
        <v>-0</v>
      </c>
      <c r="CH83" s="100" t="n">
        <f aca="false">-IF(AND(84&gt;=Hipótesis!$D$76,MOD(84,12)=0,CH81=0),MIN(Hipótesis!$D$77*MAX(0,SUM(BW63:CH63)),MAX(0,CH82-Hipótesis!$D$80)),0)</f>
        <v>-10011.3904562186</v>
      </c>
    </row>
    <row r="84" customFormat="false" ht="13.5" hidden="false" customHeight="true" outlineLevel="0" collapsed="false">
      <c r="A84" s="22" t="s">
        <v>558</v>
      </c>
      <c r="C84" s="100" t="n">
        <f aca="false">-IF(AND(1&gt;=Hipótesis!$D$78,MOD(1,12)=0,C96=0,C89=0,C101=0,C81=0),MIN(Hipótesis!$D$79*MAX(0,C112),MAX(0,C82+C83-Hipótesis!$D$80)),0)</f>
        <v>-0</v>
      </c>
      <c r="D84" s="100" t="n">
        <f aca="false">-IF(AND(2&gt;=Hipótesis!$D$78,MOD(2,12)=0,D96=0,D89=0,D101=0,D81=0),MIN(Hipótesis!$D$79*MAX(0,D112),MAX(0,D82+D83-Hipótesis!$D$80)),0)</f>
        <v>-0</v>
      </c>
      <c r="E84" s="100" t="n">
        <f aca="false">-IF(AND(3&gt;=Hipótesis!$D$78,MOD(3,12)=0,E96=0,E89=0,E101=0,E81=0),MIN(Hipótesis!$D$79*MAX(0,E112),MAX(0,E82+E83-Hipótesis!$D$80)),0)</f>
        <v>-0</v>
      </c>
      <c r="F84" s="100" t="n">
        <f aca="false">-IF(AND(4&gt;=Hipótesis!$D$78,MOD(4,12)=0,F96=0,F89=0,F101=0,F81=0),MIN(Hipótesis!$D$79*MAX(0,F112),MAX(0,F82+F83-Hipótesis!$D$80)),0)</f>
        <v>-0</v>
      </c>
      <c r="G84" s="100" t="n">
        <f aca="false">-IF(AND(5&gt;=Hipótesis!$D$78,MOD(5,12)=0,G96=0,G89=0,G101=0,G81=0),MIN(Hipótesis!$D$79*MAX(0,G112),MAX(0,G82+G83-Hipótesis!$D$80)),0)</f>
        <v>-0</v>
      </c>
      <c r="H84" s="100" t="n">
        <f aca="false">-IF(AND(6&gt;=Hipótesis!$D$78,MOD(6,12)=0,H96=0,H89=0,H101=0,H81=0),MIN(Hipótesis!$D$79*MAX(0,H112),MAX(0,H82+H83-Hipótesis!$D$80)),0)</f>
        <v>-0</v>
      </c>
      <c r="I84" s="100" t="n">
        <f aca="false">-IF(AND(7&gt;=Hipótesis!$D$78,MOD(7,12)=0,I96=0,I89=0,I101=0,I81=0),MIN(Hipótesis!$D$79*MAX(0,I112),MAX(0,I82+I83-Hipótesis!$D$80)),0)</f>
        <v>-0</v>
      </c>
      <c r="J84" s="100" t="n">
        <f aca="false">-IF(AND(8&gt;=Hipótesis!$D$78,MOD(8,12)=0,J96=0,J89=0,J101=0,J81=0),MIN(Hipótesis!$D$79*MAX(0,J112),MAX(0,J82+J83-Hipótesis!$D$80)),0)</f>
        <v>-0</v>
      </c>
      <c r="K84" s="100" t="n">
        <f aca="false">-IF(AND(9&gt;=Hipótesis!$D$78,MOD(9,12)=0,K96=0,K89=0,K101=0,K81=0),MIN(Hipótesis!$D$79*MAX(0,K112),MAX(0,K82+K83-Hipótesis!$D$80)),0)</f>
        <v>-0</v>
      </c>
      <c r="L84" s="100" t="n">
        <f aca="false">-IF(AND(10&gt;=Hipótesis!$D$78,MOD(10,12)=0,L96=0,L89=0,L101=0,L81=0),MIN(Hipótesis!$D$79*MAX(0,L112),MAX(0,L82+L83-Hipótesis!$D$80)),0)</f>
        <v>-0</v>
      </c>
      <c r="M84" s="100" t="n">
        <f aca="false">-IF(AND(11&gt;=Hipótesis!$D$78,MOD(11,12)=0,M96=0,M89=0,M101=0,M81=0),MIN(Hipótesis!$D$79*MAX(0,M112),MAX(0,M82+M83-Hipótesis!$D$80)),0)</f>
        <v>-0</v>
      </c>
      <c r="N84" s="100" t="n">
        <f aca="false">-IF(AND(12&gt;=Hipótesis!$D$78,MOD(12,12)=0,N96=0,N89=0,N101=0,N81=0),MIN(Hipótesis!$D$79*MAX(0,N112),MAX(0,N82+N83-Hipótesis!$D$80)),0)</f>
        <v>-0</v>
      </c>
      <c r="O84" s="100" t="n">
        <f aca="false">-IF(AND(13&gt;=Hipótesis!$D$78,MOD(13,12)=0,O96=0,O89=0,O101=0,O81=0),MIN(Hipótesis!$D$79*MAX(0,O112),MAX(0,O82+O83-Hipótesis!$D$80)),0)</f>
        <v>-0</v>
      </c>
      <c r="P84" s="100" t="n">
        <f aca="false">-IF(AND(14&gt;=Hipótesis!$D$78,MOD(14,12)=0,P96=0,P89=0,P101=0,P81=0),MIN(Hipótesis!$D$79*MAX(0,P112),MAX(0,P82+P83-Hipótesis!$D$80)),0)</f>
        <v>-0</v>
      </c>
      <c r="Q84" s="100" t="n">
        <f aca="false">-IF(AND(15&gt;=Hipótesis!$D$78,MOD(15,12)=0,Q96=0,Q89=0,Q101=0,Q81=0),MIN(Hipótesis!$D$79*MAX(0,Q112),MAX(0,Q82+Q83-Hipótesis!$D$80)),0)</f>
        <v>-0</v>
      </c>
      <c r="R84" s="100" t="n">
        <f aca="false">-IF(AND(16&gt;=Hipótesis!$D$78,MOD(16,12)=0,R96=0,R89=0,R101=0,R81=0),MIN(Hipótesis!$D$79*MAX(0,R112),MAX(0,R82+R83-Hipótesis!$D$80)),0)</f>
        <v>-0</v>
      </c>
      <c r="S84" s="100" t="n">
        <f aca="false">-IF(AND(17&gt;=Hipótesis!$D$78,MOD(17,12)=0,S96=0,S89=0,S101=0,S81=0),MIN(Hipótesis!$D$79*MAX(0,S112),MAX(0,S82+S83-Hipótesis!$D$80)),0)</f>
        <v>-0</v>
      </c>
      <c r="T84" s="100" t="n">
        <f aca="false">-IF(AND(18&gt;=Hipótesis!$D$78,MOD(18,12)=0,T96=0,T89=0,T101=0,T81=0),MIN(Hipótesis!$D$79*MAX(0,T112),MAX(0,T82+T83-Hipótesis!$D$80)),0)</f>
        <v>-0</v>
      </c>
      <c r="U84" s="100" t="n">
        <f aca="false">-IF(AND(19&gt;=Hipótesis!$D$78,MOD(19,12)=0,U96=0,U89=0,U101=0,U81=0),MIN(Hipótesis!$D$79*MAX(0,U112),MAX(0,U82+U83-Hipótesis!$D$80)),0)</f>
        <v>-0</v>
      </c>
      <c r="V84" s="100" t="n">
        <f aca="false">-IF(AND(20&gt;=Hipótesis!$D$78,MOD(20,12)=0,V96=0,V89=0,V101=0,V81=0),MIN(Hipótesis!$D$79*MAX(0,V112),MAX(0,V82+V83-Hipótesis!$D$80)),0)</f>
        <v>-0</v>
      </c>
      <c r="W84" s="100" t="n">
        <f aca="false">-IF(AND(21&gt;=Hipótesis!$D$78,MOD(21,12)=0,W96=0,W89=0,W101=0,W81=0),MIN(Hipótesis!$D$79*MAX(0,W112),MAX(0,W82+W83-Hipótesis!$D$80)),0)</f>
        <v>-0</v>
      </c>
      <c r="X84" s="100" t="n">
        <f aca="false">-IF(AND(22&gt;=Hipótesis!$D$78,MOD(22,12)=0,X96=0,X89=0,X101=0,X81=0),MIN(Hipótesis!$D$79*MAX(0,X112),MAX(0,X82+X83-Hipótesis!$D$80)),0)</f>
        <v>-0</v>
      </c>
      <c r="Y84" s="100" t="n">
        <f aca="false">-IF(AND(23&gt;=Hipótesis!$D$78,MOD(23,12)=0,Y96=0,Y89=0,Y101=0,Y81=0),MIN(Hipótesis!$D$79*MAX(0,Y112),MAX(0,Y82+Y83-Hipótesis!$D$80)),0)</f>
        <v>-0</v>
      </c>
      <c r="Z84" s="100" t="n">
        <f aca="false">-IF(AND(24&gt;=Hipótesis!$D$78,MOD(24,12)=0,Z96=0,Z89=0,Z101=0,Z81=0),MIN(Hipótesis!$D$79*MAX(0,Z112),MAX(0,Z82+Z83-Hipótesis!$D$80)),0)</f>
        <v>-0</v>
      </c>
      <c r="AA84" s="100" t="n">
        <f aca="false">-IF(AND(25&gt;=Hipótesis!$D$78,MOD(25,12)=0,AA96=0,AA89=0,AA101=0,AA81=0),MIN(Hipótesis!$D$79*MAX(0,AA112),MAX(0,AA82+AA83-Hipótesis!$D$80)),0)</f>
        <v>-0</v>
      </c>
      <c r="AB84" s="100" t="n">
        <f aca="false">-IF(AND(26&gt;=Hipótesis!$D$78,MOD(26,12)=0,AB96=0,AB89=0,AB101=0,AB81=0),MIN(Hipótesis!$D$79*MAX(0,AB112),MAX(0,AB82+AB83-Hipótesis!$D$80)),0)</f>
        <v>-0</v>
      </c>
      <c r="AC84" s="100" t="n">
        <f aca="false">-IF(AND(27&gt;=Hipótesis!$D$78,MOD(27,12)=0,AC96=0,AC89=0,AC101=0,AC81=0),MIN(Hipótesis!$D$79*MAX(0,AC112),MAX(0,AC82+AC83-Hipótesis!$D$80)),0)</f>
        <v>-0</v>
      </c>
      <c r="AD84" s="100" t="n">
        <f aca="false">-IF(AND(28&gt;=Hipótesis!$D$78,MOD(28,12)=0,AD96=0,AD89=0,AD101=0,AD81=0),MIN(Hipótesis!$D$79*MAX(0,AD112),MAX(0,AD82+AD83-Hipótesis!$D$80)),0)</f>
        <v>-0</v>
      </c>
      <c r="AE84" s="100" t="n">
        <f aca="false">-IF(AND(29&gt;=Hipótesis!$D$78,MOD(29,12)=0,AE96=0,AE89=0,AE101=0,AE81=0),MIN(Hipótesis!$D$79*MAX(0,AE112),MAX(0,AE82+AE83-Hipótesis!$D$80)),0)</f>
        <v>-0</v>
      </c>
      <c r="AF84" s="100" t="n">
        <f aca="false">-IF(AND(30&gt;=Hipótesis!$D$78,MOD(30,12)=0,AF96=0,AF89=0,AF101=0,AF81=0),MIN(Hipótesis!$D$79*MAX(0,AF112),MAX(0,AF82+AF83-Hipótesis!$D$80)),0)</f>
        <v>-0</v>
      </c>
      <c r="AG84" s="100" t="n">
        <f aca="false">-IF(AND(31&gt;=Hipótesis!$D$78,MOD(31,12)=0,AG96=0,AG89=0,AG101=0,AG81=0),MIN(Hipótesis!$D$79*MAX(0,AG112),MAX(0,AG82+AG83-Hipótesis!$D$80)),0)</f>
        <v>-0</v>
      </c>
      <c r="AH84" s="100" t="n">
        <f aca="false">-IF(AND(32&gt;=Hipótesis!$D$78,MOD(32,12)=0,AH96=0,AH89=0,AH101=0,AH81=0),MIN(Hipótesis!$D$79*MAX(0,AH112),MAX(0,AH82+AH83-Hipótesis!$D$80)),0)</f>
        <v>-0</v>
      </c>
      <c r="AI84" s="100" t="n">
        <f aca="false">-IF(AND(33&gt;=Hipótesis!$D$78,MOD(33,12)=0,AI96=0,AI89=0,AI101=0,AI81=0),MIN(Hipótesis!$D$79*MAX(0,AI112),MAX(0,AI82+AI83-Hipótesis!$D$80)),0)</f>
        <v>-0</v>
      </c>
      <c r="AJ84" s="100" t="n">
        <f aca="false">-IF(AND(34&gt;=Hipótesis!$D$78,MOD(34,12)=0,AJ96=0,AJ89=0,AJ101=0,AJ81=0),MIN(Hipótesis!$D$79*MAX(0,AJ112),MAX(0,AJ82+AJ83-Hipótesis!$D$80)),0)</f>
        <v>-0</v>
      </c>
      <c r="AK84" s="100" t="n">
        <f aca="false">-IF(AND(35&gt;=Hipótesis!$D$78,MOD(35,12)=0,AK96=0,AK89=0,AK101=0,AK81=0),MIN(Hipótesis!$D$79*MAX(0,AK112),MAX(0,AK82+AK83-Hipótesis!$D$80)),0)</f>
        <v>-0</v>
      </c>
      <c r="AL84" s="100" t="n">
        <f aca="false">-IF(AND(36&gt;=Hipótesis!$D$78,MOD(36,12)=0,AL96=0,AL89=0,AL101=0,AL81=0),MIN(Hipótesis!$D$79*MAX(0,AL112),MAX(0,AL82+AL83-Hipótesis!$D$80)),0)</f>
        <v>-0</v>
      </c>
      <c r="AM84" s="100" t="n">
        <f aca="false">-IF(AND(37&gt;=Hipótesis!$D$78,MOD(37,12)=0,AM96=0,AM89=0,AM101=0,AM81=0),MIN(Hipótesis!$D$79*MAX(0,AM112),MAX(0,AM82+AM83-Hipótesis!$D$80)),0)</f>
        <v>-0</v>
      </c>
      <c r="AN84" s="100" t="n">
        <f aca="false">-IF(AND(38&gt;=Hipótesis!$D$78,MOD(38,12)=0,AN96=0,AN89=0,AN101=0,AN81=0),MIN(Hipótesis!$D$79*MAX(0,AN112),MAX(0,AN82+AN83-Hipótesis!$D$80)),0)</f>
        <v>-0</v>
      </c>
      <c r="AO84" s="100" t="n">
        <f aca="false">-IF(AND(39&gt;=Hipótesis!$D$78,MOD(39,12)=0,AO96=0,AO89=0,AO101=0,AO81=0),MIN(Hipótesis!$D$79*MAX(0,AO112),MAX(0,AO82+AO83-Hipótesis!$D$80)),0)</f>
        <v>-0</v>
      </c>
      <c r="AP84" s="100" t="n">
        <f aca="false">-IF(AND(40&gt;=Hipótesis!$D$78,MOD(40,12)=0,AP96=0,AP89=0,AP101=0,AP81=0),MIN(Hipótesis!$D$79*MAX(0,AP112),MAX(0,AP82+AP83-Hipótesis!$D$80)),0)</f>
        <v>-0</v>
      </c>
      <c r="AQ84" s="100" t="n">
        <f aca="false">-IF(AND(41&gt;=Hipótesis!$D$78,MOD(41,12)=0,AQ96=0,AQ89=0,AQ101=0,AQ81=0),MIN(Hipótesis!$D$79*MAX(0,AQ112),MAX(0,AQ82+AQ83-Hipótesis!$D$80)),0)</f>
        <v>-0</v>
      </c>
      <c r="AR84" s="100" t="n">
        <f aca="false">-IF(AND(42&gt;=Hipótesis!$D$78,MOD(42,12)=0,AR96=0,AR89=0,AR101=0,AR81=0),MIN(Hipótesis!$D$79*MAX(0,AR112),MAX(0,AR82+AR83-Hipótesis!$D$80)),0)</f>
        <v>-0</v>
      </c>
      <c r="AS84" s="100" t="n">
        <f aca="false">-IF(AND(43&gt;=Hipótesis!$D$78,MOD(43,12)=0,AS96=0,AS89=0,AS101=0,AS81=0),MIN(Hipótesis!$D$79*MAX(0,AS112),MAX(0,AS82+AS83-Hipótesis!$D$80)),0)</f>
        <v>-0</v>
      </c>
      <c r="AT84" s="100" t="n">
        <f aca="false">-IF(AND(44&gt;=Hipótesis!$D$78,MOD(44,12)=0,AT96=0,AT89=0,AT101=0,AT81=0),MIN(Hipótesis!$D$79*MAX(0,AT112),MAX(0,AT82+AT83-Hipótesis!$D$80)),0)</f>
        <v>-0</v>
      </c>
      <c r="AU84" s="100" t="n">
        <f aca="false">-IF(AND(45&gt;=Hipótesis!$D$78,MOD(45,12)=0,AU96=0,AU89=0,AU101=0,AU81=0),MIN(Hipótesis!$D$79*MAX(0,AU112),MAX(0,AU82+AU83-Hipótesis!$D$80)),0)</f>
        <v>-0</v>
      </c>
      <c r="AV84" s="100" t="n">
        <f aca="false">-IF(AND(46&gt;=Hipótesis!$D$78,MOD(46,12)=0,AV96=0,AV89=0,AV101=0,AV81=0),MIN(Hipótesis!$D$79*MAX(0,AV112),MAX(0,AV82+AV83-Hipótesis!$D$80)),0)</f>
        <v>-0</v>
      </c>
      <c r="AW84" s="100" t="n">
        <f aca="false">-IF(AND(47&gt;=Hipótesis!$D$78,MOD(47,12)=0,AW96=0,AW89=0,AW101=0,AW81=0),MIN(Hipótesis!$D$79*MAX(0,AW112),MAX(0,AW82+AW83-Hipótesis!$D$80)),0)</f>
        <v>-0</v>
      </c>
      <c r="AX84" s="100" t="n">
        <f aca="false">-IF(AND(48&gt;=Hipótesis!$D$78,MOD(48,12)=0,AX96=0,AX89=0,AX101=0,AX81=0),MIN(Hipótesis!$D$79*MAX(0,AX112),MAX(0,AX82+AX83-Hipótesis!$D$80)),0)</f>
        <v>-0</v>
      </c>
      <c r="AY84" s="100" t="n">
        <f aca="false">-IF(AND(49&gt;=Hipótesis!$D$78,MOD(49,12)=0,AY96=0,AY89=0,AY101=0,AY81=0),MIN(Hipótesis!$D$79*MAX(0,AY112),MAX(0,AY82+AY83-Hipótesis!$D$80)),0)</f>
        <v>-0</v>
      </c>
      <c r="AZ84" s="100" t="n">
        <f aca="false">-IF(AND(50&gt;=Hipótesis!$D$78,MOD(50,12)=0,AZ96=0,AZ89=0,AZ101=0,AZ81=0),MIN(Hipótesis!$D$79*MAX(0,AZ112),MAX(0,AZ82+AZ83-Hipótesis!$D$80)),0)</f>
        <v>-0</v>
      </c>
      <c r="BA84" s="100" t="n">
        <f aca="false">-IF(AND(51&gt;=Hipótesis!$D$78,MOD(51,12)=0,BA96=0,BA89=0,BA101=0,BA81=0),MIN(Hipótesis!$D$79*MAX(0,BA112),MAX(0,BA82+BA83-Hipótesis!$D$80)),0)</f>
        <v>-0</v>
      </c>
      <c r="BB84" s="100" t="n">
        <f aca="false">-IF(AND(52&gt;=Hipótesis!$D$78,MOD(52,12)=0,BB96=0,BB89=0,BB101=0,BB81=0),MIN(Hipótesis!$D$79*MAX(0,BB112),MAX(0,BB82+BB83-Hipótesis!$D$80)),0)</f>
        <v>-0</v>
      </c>
      <c r="BC84" s="100" t="n">
        <f aca="false">-IF(AND(53&gt;=Hipótesis!$D$78,MOD(53,12)=0,BC96=0,BC89=0,BC101=0,BC81=0),MIN(Hipótesis!$D$79*MAX(0,BC112),MAX(0,BC82+BC83-Hipótesis!$D$80)),0)</f>
        <v>-0</v>
      </c>
      <c r="BD84" s="100" t="n">
        <f aca="false">-IF(AND(54&gt;=Hipótesis!$D$78,MOD(54,12)=0,BD96=0,BD89=0,BD101=0,BD81=0),MIN(Hipótesis!$D$79*MAX(0,BD112),MAX(0,BD82+BD83-Hipótesis!$D$80)),0)</f>
        <v>-0</v>
      </c>
      <c r="BE84" s="100" t="n">
        <f aca="false">-IF(AND(55&gt;=Hipótesis!$D$78,MOD(55,12)=0,BE96=0,BE89=0,BE101=0,BE81=0),MIN(Hipótesis!$D$79*MAX(0,BE112),MAX(0,BE82+BE83-Hipótesis!$D$80)),0)</f>
        <v>-0</v>
      </c>
      <c r="BF84" s="100" t="n">
        <f aca="false">-IF(AND(56&gt;=Hipótesis!$D$78,MOD(56,12)=0,BF96=0,BF89=0,BF101=0,BF81=0),MIN(Hipótesis!$D$79*MAX(0,BF112),MAX(0,BF82+BF83-Hipótesis!$D$80)),0)</f>
        <v>-0</v>
      </c>
      <c r="BG84" s="100" t="n">
        <f aca="false">-IF(AND(57&gt;=Hipótesis!$D$78,MOD(57,12)=0,BG96=0,BG89=0,BG101=0,BG81=0),MIN(Hipótesis!$D$79*MAX(0,BG112),MAX(0,BG82+BG83-Hipótesis!$D$80)),0)</f>
        <v>-0</v>
      </c>
      <c r="BH84" s="100" t="n">
        <f aca="false">-IF(AND(58&gt;=Hipótesis!$D$78,MOD(58,12)=0,BH96=0,BH89=0,BH101=0,BH81=0),MIN(Hipótesis!$D$79*MAX(0,BH112),MAX(0,BH82+BH83-Hipótesis!$D$80)),0)</f>
        <v>-0</v>
      </c>
      <c r="BI84" s="100" t="n">
        <f aca="false">-IF(AND(59&gt;=Hipótesis!$D$78,MOD(59,12)=0,BI96=0,BI89=0,BI101=0,BI81=0),MIN(Hipótesis!$D$79*MAX(0,BI112),MAX(0,BI82+BI83-Hipótesis!$D$80)),0)</f>
        <v>-0</v>
      </c>
      <c r="BJ84" s="100" t="n">
        <f aca="false">-IF(AND(60&gt;=Hipótesis!$D$78,MOD(60,12)=0,BJ96=0,BJ89=0,BJ101=0,BJ81=0),MIN(Hipótesis!$D$79*MAX(0,BJ112),MAX(0,BJ82+BJ83-Hipótesis!$D$80)),0)</f>
        <v>-0</v>
      </c>
      <c r="BK84" s="100" t="n">
        <f aca="false">-IF(AND(61&gt;=Hipótesis!$D$78,MOD(61,12)=0,BK96=0,BK89=0,BK101=0,BK81=0),MIN(Hipótesis!$D$79*MAX(0,BK112),MAX(0,BK82+BK83-Hipótesis!$D$80)),0)</f>
        <v>-0</v>
      </c>
      <c r="BL84" s="100" t="n">
        <f aca="false">-IF(AND(62&gt;=Hipótesis!$D$78,MOD(62,12)=0,BL96=0,BL89=0,BL101=0,BL81=0),MIN(Hipótesis!$D$79*MAX(0,BL112),MAX(0,BL82+BL83-Hipótesis!$D$80)),0)</f>
        <v>-0</v>
      </c>
      <c r="BM84" s="100" t="n">
        <f aca="false">-IF(AND(63&gt;=Hipótesis!$D$78,MOD(63,12)=0,BM96=0,BM89=0,BM101=0,BM81=0),MIN(Hipótesis!$D$79*MAX(0,BM112),MAX(0,BM82+BM83-Hipótesis!$D$80)),0)</f>
        <v>-0</v>
      </c>
      <c r="BN84" s="100" t="n">
        <f aca="false">-IF(AND(64&gt;=Hipótesis!$D$78,MOD(64,12)=0,BN96=0,BN89=0,BN101=0,BN81=0),MIN(Hipótesis!$D$79*MAX(0,BN112),MAX(0,BN82+BN83-Hipótesis!$D$80)),0)</f>
        <v>-0</v>
      </c>
      <c r="BO84" s="100" t="n">
        <f aca="false">-IF(AND(65&gt;=Hipótesis!$D$78,MOD(65,12)=0,BO96=0,BO89=0,BO101=0,BO81=0),MIN(Hipótesis!$D$79*MAX(0,BO112),MAX(0,BO82+BO83-Hipótesis!$D$80)),0)</f>
        <v>-0</v>
      </c>
      <c r="BP84" s="100" t="n">
        <f aca="false">-IF(AND(66&gt;=Hipótesis!$D$78,MOD(66,12)=0,BP96=0,BP89=0,BP101=0,BP81=0),MIN(Hipótesis!$D$79*MAX(0,BP112),MAX(0,BP82+BP83-Hipótesis!$D$80)),0)</f>
        <v>-0</v>
      </c>
      <c r="BQ84" s="100" t="n">
        <f aca="false">-IF(AND(67&gt;=Hipótesis!$D$78,MOD(67,12)=0,BQ96=0,BQ89=0,BQ101=0,BQ81=0),MIN(Hipótesis!$D$79*MAX(0,BQ112),MAX(0,BQ82+BQ83-Hipótesis!$D$80)),0)</f>
        <v>-0</v>
      </c>
      <c r="BR84" s="100" t="n">
        <f aca="false">-IF(AND(68&gt;=Hipótesis!$D$78,MOD(68,12)=0,BR96=0,BR89=0,BR101=0,BR81=0),MIN(Hipótesis!$D$79*MAX(0,BR112),MAX(0,BR82+BR83-Hipótesis!$D$80)),0)</f>
        <v>-0</v>
      </c>
      <c r="BS84" s="100" t="n">
        <f aca="false">-IF(AND(69&gt;=Hipótesis!$D$78,MOD(69,12)=0,BS96=0,BS89=0,BS101=0,BS81=0),MIN(Hipótesis!$D$79*MAX(0,BS112),MAX(0,BS82+BS83-Hipótesis!$D$80)),0)</f>
        <v>-0</v>
      </c>
      <c r="BT84" s="100" t="n">
        <f aca="false">-IF(AND(70&gt;=Hipótesis!$D$78,MOD(70,12)=0,BT96=0,BT89=0,BT101=0,BT81=0),MIN(Hipótesis!$D$79*MAX(0,BT112),MAX(0,BT82+BT83-Hipótesis!$D$80)),0)</f>
        <v>-0</v>
      </c>
      <c r="BU84" s="100" t="n">
        <f aca="false">-IF(AND(71&gt;=Hipótesis!$D$78,MOD(71,12)=0,BU96=0,BU89=0,BU101=0,BU81=0),MIN(Hipótesis!$D$79*MAX(0,BU112),MAX(0,BU82+BU83-Hipótesis!$D$80)),0)</f>
        <v>-0</v>
      </c>
      <c r="BV84" s="100" t="n">
        <f aca="false">-IF(AND(72&gt;=Hipótesis!$D$78,MOD(72,12)=0,BV96=0,BV89=0,BV101=0,BV81=0),MIN(Hipótesis!$D$79*MAX(0,BV112),MAX(0,BV82+BV83-Hipótesis!$D$80)),0)</f>
        <v>-0</v>
      </c>
      <c r="BW84" s="100" t="n">
        <f aca="false">-IF(AND(73&gt;=Hipótesis!$D$78,MOD(73,12)=0,BW96=0,BW89=0,BW101=0,BW81=0),MIN(Hipótesis!$D$79*MAX(0,BW112),MAX(0,BW82+BW83-Hipótesis!$D$80)),0)</f>
        <v>-0</v>
      </c>
      <c r="BX84" s="100" t="n">
        <f aca="false">-IF(AND(74&gt;=Hipótesis!$D$78,MOD(74,12)=0,BX96=0,BX89=0,BX101=0,BX81=0),MIN(Hipótesis!$D$79*MAX(0,BX112),MAX(0,BX82+BX83-Hipótesis!$D$80)),0)</f>
        <v>-0</v>
      </c>
      <c r="BY84" s="100" t="n">
        <f aca="false">-IF(AND(75&gt;=Hipótesis!$D$78,MOD(75,12)=0,BY96=0,BY89=0,BY101=0,BY81=0),MIN(Hipótesis!$D$79*MAX(0,BY112),MAX(0,BY82+BY83-Hipótesis!$D$80)),0)</f>
        <v>-0</v>
      </c>
      <c r="BZ84" s="100" t="n">
        <f aca="false">-IF(AND(76&gt;=Hipótesis!$D$78,MOD(76,12)=0,BZ96=0,BZ89=0,BZ101=0,BZ81=0),MIN(Hipótesis!$D$79*MAX(0,BZ112),MAX(0,BZ82+BZ83-Hipótesis!$D$80)),0)</f>
        <v>-0</v>
      </c>
      <c r="CA84" s="100" t="n">
        <f aca="false">-IF(AND(77&gt;=Hipótesis!$D$78,MOD(77,12)=0,CA96=0,CA89=0,CA101=0,CA81=0),MIN(Hipótesis!$D$79*MAX(0,CA112),MAX(0,CA82+CA83-Hipótesis!$D$80)),0)</f>
        <v>-0</v>
      </c>
      <c r="CB84" s="100" t="n">
        <f aca="false">-IF(AND(78&gt;=Hipótesis!$D$78,MOD(78,12)=0,CB96=0,CB89=0,CB101=0,CB81=0),MIN(Hipótesis!$D$79*MAX(0,CB112),MAX(0,CB82+CB83-Hipótesis!$D$80)),0)</f>
        <v>-0</v>
      </c>
      <c r="CC84" s="100" t="n">
        <f aca="false">-IF(AND(79&gt;=Hipótesis!$D$78,MOD(79,12)=0,CC96=0,CC89=0,CC101=0,CC81=0),MIN(Hipótesis!$D$79*MAX(0,CC112),MAX(0,CC82+CC83-Hipótesis!$D$80)),0)</f>
        <v>-0</v>
      </c>
      <c r="CD84" s="100" t="n">
        <f aca="false">-IF(AND(80&gt;=Hipótesis!$D$78,MOD(80,12)=0,CD96=0,CD89=0,CD101=0,CD81=0),MIN(Hipótesis!$D$79*MAX(0,CD112),MAX(0,CD82+CD83-Hipótesis!$D$80)),0)</f>
        <v>-0</v>
      </c>
      <c r="CE84" s="100" t="n">
        <f aca="false">-IF(AND(81&gt;=Hipótesis!$D$78,MOD(81,12)=0,CE96=0,CE89=0,CE101=0,CE81=0),MIN(Hipótesis!$D$79*MAX(0,CE112),MAX(0,CE82+CE83-Hipótesis!$D$80)),0)</f>
        <v>-0</v>
      </c>
      <c r="CF84" s="100" t="n">
        <f aca="false">-IF(AND(82&gt;=Hipótesis!$D$78,MOD(82,12)=0,CF96=0,CF89=0,CF101=0,CF81=0),MIN(Hipótesis!$D$79*MAX(0,CF112),MAX(0,CF82+CF83-Hipótesis!$D$80)),0)</f>
        <v>-0</v>
      </c>
      <c r="CG84" s="100" t="n">
        <f aca="false">-IF(AND(83&gt;=Hipótesis!$D$78,MOD(83,12)=0,CG96=0,CG89=0,CG101=0,CG81=0),MIN(Hipótesis!$D$79*MAX(0,CG112),MAX(0,CG82+CG83-Hipótesis!$D$80)),0)</f>
        <v>-0</v>
      </c>
      <c r="CH84" s="100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22" t="s">
        <v>559</v>
      </c>
      <c r="C85" s="100" t="n">
        <f aca="false">C78+C80+C83+C84</f>
        <v>158476.415856825</v>
      </c>
      <c r="D85" s="100" t="n">
        <f aca="false">D78+D80+D83+D84</f>
        <v>-26811.2656939867</v>
      </c>
      <c r="E85" s="100" t="n">
        <f aca="false">E78+E80+E83+E84</f>
        <v>-22105.2768554949</v>
      </c>
      <c r="F85" s="100" t="n">
        <f aca="false">F78+F80+F83+F84</f>
        <v>-20030.4589080545</v>
      </c>
      <c r="G85" s="100" t="n">
        <f aca="false">G78+G80+G83+G84</f>
        <v>-18358.0102196435</v>
      </c>
      <c r="H85" s="100" t="n">
        <f aca="false">H78+H80+H83+H84</f>
        <v>-16448.5930411288</v>
      </c>
      <c r="I85" s="100" t="n">
        <f aca="false">I78+I80+I83+I84</f>
        <v>-13834.1684078597</v>
      </c>
      <c r="J85" s="100" t="n">
        <f aca="false">J78+J80+J83+J84</f>
        <v>-10838.2811458738</v>
      </c>
      <c r="K85" s="100" t="n">
        <f aca="false">K78+K80+K83+K84</f>
        <v>-50.3615847834062</v>
      </c>
      <c r="L85" s="100" t="n">
        <f aca="false">L78+L80+L83+L84</f>
        <v>0</v>
      </c>
      <c r="M85" s="100" t="n">
        <f aca="false">M78+M80+M83+M84</f>
        <v>0</v>
      </c>
      <c r="N85" s="100" t="n">
        <f aca="false">N78+N80+N83+N84</f>
        <v>0</v>
      </c>
      <c r="O85" s="100" t="n">
        <f aca="false">O78+O80+O83+O84</f>
        <v>0</v>
      </c>
      <c r="P85" s="100" t="n">
        <f aca="false">P78+P80+P83+P84</f>
        <v>0</v>
      </c>
      <c r="Q85" s="100" t="n">
        <f aca="false">Q78+Q80+Q83+Q84</f>
        <v>0</v>
      </c>
      <c r="R85" s="100" t="n">
        <f aca="false">R78+R80+R83+R84</f>
        <v>0</v>
      </c>
      <c r="S85" s="100" t="n">
        <f aca="false">S78+S80+S83+S84</f>
        <v>0</v>
      </c>
      <c r="T85" s="100" t="n">
        <f aca="false">T78+T80+T83+T84</f>
        <v>0</v>
      </c>
      <c r="U85" s="100" t="n">
        <f aca="false">U78+U80+U83+U84</f>
        <v>0</v>
      </c>
      <c r="V85" s="100" t="n">
        <f aca="false">V78+V80+V83+V84</f>
        <v>0</v>
      </c>
      <c r="W85" s="100" t="n">
        <f aca="false">W78+W80+W83+W84</f>
        <v>0</v>
      </c>
      <c r="X85" s="100" t="n">
        <f aca="false">X78+X80+X83+X84</f>
        <v>0</v>
      </c>
      <c r="Y85" s="100" t="n">
        <f aca="false">Y78+Y80+Y83+Y84</f>
        <v>0</v>
      </c>
      <c r="Z85" s="100" t="n">
        <f aca="false">Z78+Z80+Z83+Z84</f>
        <v>0</v>
      </c>
      <c r="AA85" s="100" t="n">
        <f aca="false">AA78+AA80+AA83+AA84</f>
        <v>0</v>
      </c>
      <c r="AB85" s="100" t="n">
        <f aca="false">AB78+AB80+AB83+AB84</f>
        <v>-1.79056769411545E-012</v>
      </c>
      <c r="AC85" s="100" t="n">
        <f aca="false">AC78+AC80+AC83+AC84</f>
        <v>0</v>
      </c>
      <c r="AD85" s="100" t="n">
        <f aca="false">AD78+AD80+AD83+AD84</f>
        <v>0</v>
      </c>
      <c r="AE85" s="100" t="n">
        <f aca="false">AE78+AE80+AE83+AE84</f>
        <v>0</v>
      </c>
      <c r="AF85" s="100" t="n">
        <f aca="false">AF78+AF80+AF83+AF84</f>
        <v>0</v>
      </c>
      <c r="AG85" s="100" t="n">
        <f aca="false">AG78+AG80+AG83+AG84</f>
        <v>0</v>
      </c>
      <c r="AH85" s="100" t="n">
        <f aca="false">AH78+AH80+AH83+AH84</f>
        <v>0</v>
      </c>
      <c r="AI85" s="100" t="n">
        <f aca="false">AI78+AI80+AI83+AI84</f>
        <v>0</v>
      </c>
      <c r="AJ85" s="100" t="n">
        <f aca="false">AJ78+AJ80+AJ83+AJ84</f>
        <v>0</v>
      </c>
      <c r="AK85" s="100" t="n">
        <f aca="false">AK78+AK80+AK83+AK84</f>
        <v>0</v>
      </c>
      <c r="AL85" s="100" t="n">
        <f aca="false">AL78+AL80+AL83+AL84</f>
        <v>0</v>
      </c>
      <c r="AM85" s="100" t="n">
        <f aca="false">AM78+AM80+AM83+AM84</f>
        <v>0</v>
      </c>
      <c r="AN85" s="100" t="n">
        <f aca="false">AN78+AN80+AN83+AN84</f>
        <v>1594.48311232736</v>
      </c>
      <c r="AO85" s="100" t="n">
        <f aca="false">AO78+AO80+AO83+AO84</f>
        <v>3310.45204529488</v>
      </c>
      <c r="AP85" s="100" t="n">
        <f aca="false">AP78+AP80+AP83+AP84</f>
        <v>3992.04902110527</v>
      </c>
      <c r="AQ85" s="100" t="n">
        <f aca="false">AQ78+AQ80+AQ83+AQ84</f>
        <v>4673.64599691569</v>
      </c>
      <c r="AR85" s="100" t="n">
        <f aca="false">AR78+AR80+AR83+AR84</f>
        <v>5355.24297272608</v>
      </c>
      <c r="AS85" s="100" t="n">
        <f aca="false">AS78+AS80+AS83+AS84</f>
        <v>5740.87226810964</v>
      </c>
      <c r="AT85" s="100" t="n">
        <f aca="false">AT78+AT80+AT83+AT84</f>
        <v>5745.03893477631</v>
      </c>
      <c r="AU85" s="100" t="n">
        <f aca="false">AU78+AU80+AU83+AU84</f>
        <v>5749.20560144298</v>
      </c>
      <c r="AV85" s="100" t="n">
        <f aca="false">AV78+AV80+AV83+AV84</f>
        <v>5753.37226810964</v>
      </c>
      <c r="AW85" s="100" t="n">
        <f aca="false">AW78+AW80+AW83+AW84</f>
        <v>5757.53893477631</v>
      </c>
      <c r="AX85" s="100" t="n">
        <f aca="false">AX78+AX80+AX83+AX84</f>
        <v>-17671.9011555842</v>
      </c>
      <c r="AY85" s="100" t="n">
        <f aca="false">AY78+AY80+AY83+AY84</f>
        <v>3858.94251682924</v>
      </c>
      <c r="AZ85" s="100" t="n">
        <f aca="false">AZ78+AZ80+AZ83+AZ84</f>
        <v>3863.10918349591</v>
      </c>
      <c r="BA85" s="100" t="n">
        <f aca="false">BA78+BA80+BA83+BA84</f>
        <v>3867.27585016257</v>
      </c>
      <c r="BB85" s="100" t="n">
        <f aca="false">BB78+BB80+BB83+BB84</f>
        <v>3871.44251682924</v>
      </c>
      <c r="BC85" s="100" t="n">
        <f aca="false">BC78+BC80+BC83+BC84</f>
        <v>3875.60918349591</v>
      </c>
      <c r="BD85" s="100" t="n">
        <f aca="false">BD78+BD80+BD83+BD84</f>
        <v>3879.77585016257</v>
      </c>
      <c r="BE85" s="100" t="n">
        <f aca="false">BE78+BE80+BE83+BE84</f>
        <v>3883.94251682924</v>
      </c>
      <c r="BF85" s="100" t="n">
        <f aca="false">BF78+BF80+BF83+BF84</f>
        <v>3888.10918349591</v>
      </c>
      <c r="BG85" s="100" t="n">
        <f aca="false">BG78+BG80+BG83+BG84</f>
        <v>3892.27585016258</v>
      </c>
      <c r="BH85" s="100" t="n">
        <f aca="false">BH78+BH80+BH83+BH84</f>
        <v>3896.44251682924</v>
      </c>
      <c r="BI85" s="100" t="n">
        <f aca="false">BI78+BI80+BI83+BI84</f>
        <v>3900.60918349591</v>
      </c>
      <c r="BJ85" s="100" t="n">
        <f aca="false">BJ78+BJ80+BJ83+BJ84</f>
        <v>-24130.1953114265</v>
      </c>
      <c r="BK85" s="100" t="n">
        <f aca="false">BK78+BK80+BK83+BK84</f>
        <v>1988.46387301043</v>
      </c>
      <c r="BL85" s="100" t="n">
        <f aca="false">BL78+BL80+BL83+BL84</f>
        <v>1992.6305396771</v>
      </c>
      <c r="BM85" s="100" t="n">
        <f aca="false">BM78+BM80+BM83+BM84</f>
        <v>1996.79720634376</v>
      </c>
      <c r="BN85" s="100" t="n">
        <f aca="false">BN78+BN80+BN83+BN84</f>
        <v>2000.96387301043</v>
      </c>
      <c r="BO85" s="100" t="n">
        <f aca="false">BO78+BO80+BO83+BO84</f>
        <v>2005.1305396771</v>
      </c>
      <c r="BP85" s="100" t="n">
        <f aca="false">BP78+BP80+BP83+BP84</f>
        <v>2009.29720634376</v>
      </c>
      <c r="BQ85" s="100" t="n">
        <f aca="false">BQ78+BQ80+BQ83+BQ84</f>
        <v>2013.46387301043</v>
      </c>
      <c r="BR85" s="100" t="n">
        <f aca="false">BR78+BR80+BR83+BR84</f>
        <v>2017.6305396771</v>
      </c>
      <c r="BS85" s="100" t="n">
        <f aca="false">BS78+BS80+BS83+BS84</f>
        <v>2021.79720634376</v>
      </c>
      <c r="BT85" s="100" t="n">
        <f aca="false">BT78+BT80+BT83+BT84</f>
        <v>2025.96387301043</v>
      </c>
      <c r="BU85" s="100" t="n">
        <f aca="false">BU78+BU80+BU83+BU84</f>
        <v>2030.1305396771</v>
      </c>
      <c r="BV85" s="100" t="n">
        <f aca="false">BV78+BV80+BV83+BV84</f>
        <v>-17022.376464915</v>
      </c>
      <c r="BW85" s="100" t="n">
        <f aca="false">BW78+BW80+BW83+BW84</f>
        <v>104.029869877051</v>
      </c>
      <c r="BX85" s="100" t="n">
        <f aca="false">BX78+BX80+BX83+BX84</f>
        <v>108.196536543718</v>
      </c>
      <c r="BY85" s="100" t="n">
        <f aca="false">BY78+BY80+BY83+BY84</f>
        <v>112.363203210384</v>
      </c>
      <c r="BZ85" s="100" t="n">
        <f aca="false">BZ78+BZ80+BZ83+BZ84</f>
        <v>116.529869877051</v>
      </c>
      <c r="CA85" s="100" t="n">
        <f aca="false">CA78+CA80+CA83+CA84</f>
        <v>120.696536543718</v>
      </c>
      <c r="CB85" s="100" t="n">
        <f aca="false">CB78+CB80+CB83+CB84</f>
        <v>124.863203210384</v>
      </c>
      <c r="CC85" s="100" t="n">
        <f aca="false">CC78+CC80+CC83+CC84</f>
        <v>129.029869877051</v>
      </c>
      <c r="CD85" s="100" t="n">
        <f aca="false">CD78+CD80+CD83+CD84</f>
        <v>133.196536543718</v>
      </c>
      <c r="CE85" s="100" t="n">
        <f aca="false">CE78+CE80+CE83+CE84</f>
        <v>137.363203210384</v>
      </c>
      <c r="CF85" s="100" t="n">
        <f aca="false">CF78+CF80+CF83+CF84</f>
        <v>141.529869877051</v>
      </c>
      <c r="CG85" s="100" t="n">
        <f aca="false">CG78+CG80+CG83+CG84</f>
        <v>145.696536543718</v>
      </c>
      <c r="CH85" s="100" t="n">
        <f aca="false">CH78+CH80+CH83+CH84</f>
        <v>-9861.52725300812</v>
      </c>
    </row>
    <row r="86" customFormat="false" ht="13.5" hidden="false" customHeight="true" outlineLevel="0" collapsed="false">
      <c r="A86" s="46" t="s">
        <v>560</v>
      </c>
      <c r="C86" s="63" t="n">
        <f aca="false">C85</f>
        <v>158476.415856825</v>
      </c>
      <c r="D86" s="63" t="n">
        <f aca="false">C86+D85</f>
        <v>131665.150162839</v>
      </c>
      <c r="E86" s="63" t="n">
        <f aca="false">D86+E85</f>
        <v>109559.873307344</v>
      </c>
      <c r="F86" s="63" t="n">
        <f aca="false">E86+F85</f>
        <v>89529.4143992893</v>
      </c>
      <c r="G86" s="63" t="n">
        <f aca="false">F86+G85</f>
        <v>71171.4041796457</v>
      </c>
      <c r="H86" s="63" t="n">
        <f aca="false">G86+H85</f>
        <v>54722.8111385169</v>
      </c>
      <c r="I86" s="63" t="n">
        <f aca="false">H86+I85</f>
        <v>40888.6427306572</v>
      </c>
      <c r="J86" s="63" t="n">
        <f aca="false">I86+J85</f>
        <v>30050.3615847834</v>
      </c>
      <c r="K86" s="63" t="n">
        <f aca="false">J86+K85</f>
        <v>30000</v>
      </c>
      <c r="L86" s="63" t="n">
        <f aca="false">K86+L85</f>
        <v>30000</v>
      </c>
      <c r="M86" s="63" t="n">
        <f aca="false">L86+M85</f>
        <v>30000</v>
      </c>
      <c r="N86" s="63" t="n">
        <f aca="false">M86+N85</f>
        <v>30000</v>
      </c>
      <c r="O86" s="63" t="n">
        <f aca="false">N86+O85</f>
        <v>30000</v>
      </c>
      <c r="P86" s="63" t="n">
        <f aca="false">O86+P85</f>
        <v>30000</v>
      </c>
      <c r="Q86" s="63" t="n">
        <f aca="false">P86+Q85</f>
        <v>30000</v>
      </c>
      <c r="R86" s="63" t="n">
        <f aca="false">Q86+R85</f>
        <v>30000</v>
      </c>
      <c r="S86" s="63" t="n">
        <f aca="false">R86+S85</f>
        <v>30000</v>
      </c>
      <c r="T86" s="63" t="n">
        <f aca="false">S86+T85</f>
        <v>30000</v>
      </c>
      <c r="U86" s="63" t="n">
        <f aca="false">T86+U85</f>
        <v>30000</v>
      </c>
      <c r="V86" s="63" t="n">
        <f aca="false">U86+V85</f>
        <v>30000</v>
      </c>
      <c r="W86" s="63" t="n">
        <f aca="false">V86+W85</f>
        <v>30000</v>
      </c>
      <c r="X86" s="63" t="n">
        <f aca="false">W86+X85</f>
        <v>30000</v>
      </c>
      <c r="Y86" s="63" t="n">
        <f aca="false">X86+Y85</f>
        <v>30000</v>
      </c>
      <c r="Z86" s="63" t="n">
        <f aca="false">Y86+Z85</f>
        <v>30000</v>
      </c>
      <c r="AA86" s="63" t="n">
        <f aca="false">Z86+AA85</f>
        <v>30000</v>
      </c>
      <c r="AB86" s="63" t="n">
        <f aca="false">AA86+AB85</f>
        <v>30000</v>
      </c>
      <c r="AC86" s="63" t="n">
        <f aca="false">AB86+AC85</f>
        <v>30000</v>
      </c>
      <c r="AD86" s="63" t="n">
        <f aca="false">AC86+AD85</f>
        <v>30000</v>
      </c>
      <c r="AE86" s="63" t="n">
        <f aca="false">AD86+AE85</f>
        <v>30000</v>
      </c>
      <c r="AF86" s="63" t="n">
        <f aca="false">AE86+AF85</f>
        <v>30000</v>
      </c>
      <c r="AG86" s="63" t="n">
        <f aca="false">AF86+AG85</f>
        <v>30000</v>
      </c>
      <c r="AH86" s="63" t="n">
        <f aca="false">AG86+AH85</f>
        <v>30000</v>
      </c>
      <c r="AI86" s="63" t="n">
        <f aca="false">AH86+AI85</f>
        <v>30000</v>
      </c>
      <c r="AJ86" s="63" t="n">
        <f aca="false">AI86+AJ85</f>
        <v>30000</v>
      </c>
      <c r="AK86" s="63" t="n">
        <f aca="false">AJ86+AK85</f>
        <v>30000</v>
      </c>
      <c r="AL86" s="63" t="n">
        <f aca="false">AK86+AL85</f>
        <v>30000</v>
      </c>
      <c r="AM86" s="63" t="n">
        <f aca="false">AL86+AM85</f>
        <v>30000</v>
      </c>
      <c r="AN86" s="63" t="n">
        <f aca="false">AM86+AN85</f>
        <v>31594.4831123274</v>
      </c>
      <c r="AO86" s="63" t="n">
        <f aca="false">AN86+AO85</f>
        <v>34904.9351576222</v>
      </c>
      <c r="AP86" s="63" t="n">
        <f aca="false">AO86+AP85</f>
        <v>38896.9841787275</v>
      </c>
      <c r="AQ86" s="63" t="n">
        <f aca="false">AP86+AQ85</f>
        <v>43570.6301756432</v>
      </c>
      <c r="AR86" s="63" t="n">
        <f aca="false">AQ86+AR85</f>
        <v>48925.8731483693</v>
      </c>
      <c r="AS86" s="63" t="n">
        <f aca="false">AR86+AS85</f>
        <v>54666.7454164789</v>
      </c>
      <c r="AT86" s="63" t="n">
        <f aca="false">AS86+AT85</f>
        <v>60411.7843512552</v>
      </c>
      <c r="AU86" s="63" t="n">
        <f aca="false">AT86+AU85</f>
        <v>66160.9899526982</v>
      </c>
      <c r="AV86" s="63" t="n">
        <f aca="false">AU86+AV85</f>
        <v>71914.3622208079</v>
      </c>
      <c r="AW86" s="63" t="n">
        <f aca="false">AV86+AW85</f>
        <v>77671.9011555842</v>
      </c>
      <c r="AX86" s="63" t="n">
        <f aca="false">AW86+AX85</f>
        <v>60000</v>
      </c>
      <c r="AY86" s="63" t="n">
        <f aca="false">AX86+AY85</f>
        <v>63858.9425168292</v>
      </c>
      <c r="AZ86" s="63" t="n">
        <f aca="false">AY86+AZ85</f>
        <v>67722.0517003251</v>
      </c>
      <c r="BA86" s="63" t="n">
        <f aca="false">AZ86+BA85</f>
        <v>71589.3275504877</v>
      </c>
      <c r="BB86" s="63" t="n">
        <f aca="false">BA86+BB85</f>
        <v>75460.770067317</v>
      </c>
      <c r="BC86" s="63" t="n">
        <f aca="false">BB86+BC85</f>
        <v>79336.3792508129</v>
      </c>
      <c r="BD86" s="63" t="n">
        <f aca="false">BC86+BD85</f>
        <v>83216.1551009755</v>
      </c>
      <c r="BE86" s="63" t="n">
        <f aca="false">BD86+BE85</f>
        <v>87100.0976178047</v>
      </c>
      <c r="BF86" s="63" t="n">
        <f aca="false">BE86+BF85</f>
        <v>90988.2068013006</v>
      </c>
      <c r="BG86" s="63" t="n">
        <f aca="false">BF86+BG85</f>
        <v>94880.4826514632</v>
      </c>
      <c r="BH86" s="63" t="n">
        <f aca="false">BG86+BH85</f>
        <v>98776.9251682924</v>
      </c>
      <c r="BI86" s="63" t="n">
        <f aca="false">BH86+BI85</f>
        <v>102677.534351788</v>
      </c>
      <c r="BJ86" s="63" t="n">
        <f aca="false">BI86+BJ85</f>
        <v>78547.3390403618</v>
      </c>
      <c r="BK86" s="63" t="n">
        <f aca="false">BJ86+BK85</f>
        <v>80535.8029133722</v>
      </c>
      <c r="BL86" s="63" t="n">
        <f aca="false">BK86+BL85</f>
        <v>82528.4334530493</v>
      </c>
      <c r="BM86" s="63" t="n">
        <f aca="false">BL86+BM85</f>
        <v>84525.2306593931</v>
      </c>
      <c r="BN86" s="63" t="n">
        <f aca="false">BM86+BN85</f>
        <v>86526.1945324035</v>
      </c>
      <c r="BO86" s="63" t="n">
        <f aca="false">BN86+BO85</f>
        <v>88531.3250720806</v>
      </c>
      <c r="BP86" s="63" t="n">
        <f aca="false">BO86+BP85</f>
        <v>90540.6222784244</v>
      </c>
      <c r="BQ86" s="63" t="n">
        <f aca="false">BP86+BQ85</f>
        <v>92554.0861514348</v>
      </c>
      <c r="BR86" s="63" t="n">
        <f aca="false">BQ86+BR85</f>
        <v>94571.7166911119</v>
      </c>
      <c r="BS86" s="63" t="n">
        <f aca="false">BR86+BS85</f>
        <v>96593.5138974557</v>
      </c>
      <c r="BT86" s="63" t="n">
        <f aca="false">BS86+BT85</f>
        <v>98619.4777704661</v>
      </c>
      <c r="BU86" s="63" t="n">
        <f aca="false">BT86+BU85</f>
        <v>100649.608310143</v>
      </c>
      <c r="BV86" s="63" t="n">
        <f aca="false">BU86+BV85</f>
        <v>83627.2318452282</v>
      </c>
      <c r="BW86" s="63" t="n">
        <f aca="false">BV86+BW85</f>
        <v>83731.2617151052</v>
      </c>
      <c r="BX86" s="63" t="n">
        <f aca="false">BW86+BX85</f>
        <v>83839.458251649</v>
      </c>
      <c r="BY86" s="63" t="n">
        <f aca="false">BX86+BY85</f>
        <v>83951.8214548593</v>
      </c>
      <c r="BZ86" s="63" t="n">
        <f aca="false">BY86+BZ85</f>
        <v>84068.3513247364</v>
      </c>
      <c r="CA86" s="63" t="n">
        <f aca="false">BZ86+CA85</f>
        <v>84189.0478612801</v>
      </c>
      <c r="CB86" s="63" t="n">
        <f aca="false">CA86+CB85</f>
        <v>84313.9110644905</v>
      </c>
      <c r="CC86" s="63" t="n">
        <f aca="false">CB86+CC85</f>
        <v>84442.9409343675</v>
      </c>
      <c r="CD86" s="63" t="n">
        <f aca="false">CC86+CD85</f>
        <v>84576.1374709112</v>
      </c>
      <c r="CE86" s="63" t="n">
        <f aca="false">CD86+CE85</f>
        <v>84713.5006741216</v>
      </c>
      <c r="CF86" s="63" t="n">
        <f aca="false">CE86+CF85</f>
        <v>84855.0305439987</v>
      </c>
      <c r="CG86" s="63" t="n">
        <f aca="false">CF86+CG85</f>
        <v>85000.7270805424</v>
      </c>
      <c r="CH86" s="63" t="n">
        <f aca="false">CG86+CH85</f>
        <v>75139.1998275343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9" t="s">
        <v>561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</row>
    <row r="89" customFormat="false" ht="13.5" hidden="false" customHeight="true" outlineLevel="0" collapsed="false">
      <c r="A89" s="6" t="s">
        <v>562</v>
      </c>
      <c r="C89" s="100" t="n">
        <f aca="false">IF(Hipótesis!$D$94=5,0,Hipótesis!$D$93)</f>
        <v>0</v>
      </c>
      <c r="D89" s="100" t="n">
        <f aca="false">C89-C90</f>
        <v>0</v>
      </c>
      <c r="E89" s="100" t="n">
        <f aca="false">D89-D90</f>
        <v>0</v>
      </c>
      <c r="F89" s="100" t="n">
        <f aca="false">E89-E90</f>
        <v>0</v>
      </c>
      <c r="G89" s="100" t="n">
        <f aca="false">F89-F90</f>
        <v>0</v>
      </c>
      <c r="H89" s="100" t="n">
        <f aca="false">G89-G90</f>
        <v>0</v>
      </c>
      <c r="I89" s="100" t="n">
        <f aca="false">H89-H90</f>
        <v>0</v>
      </c>
      <c r="J89" s="100" t="n">
        <f aca="false">I89-I90</f>
        <v>0</v>
      </c>
      <c r="K89" s="100" t="n">
        <f aca="false">J89-J90</f>
        <v>0</v>
      </c>
      <c r="L89" s="100" t="n">
        <f aca="false">K89-K90</f>
        <v>0</v>
      </c>
      <c r="M89" s="100" t="n">
        <f aca="false">L89-L90</f>
        <v>0</v>
      </c>
      <c r="N89" s="100" t="n">
        <f aca="false">M89-M90</f>
        <v>0</v>
      </c>
      <c r="O89" s="100" t="n">
        <f aca="false">N89-N90</f>
        <v>0</v>
      </c>
      <c r="P89" s="100" t="n">
        <f aca="false">O89-O90</f>
        <v>0</v>
      </c>
      <c r="Q89" s="100" t="n">
        <f aca="false">P89-P90</f>
        <v>0</v>
      </c>
      <c r="R89" s="100" t="n">
        <f aca="false">Q89-Q90</f>
        <v>0</v>
      </c>
      <c r="S89" s="100" t="n">
        <f aca="false">R89-R90</f>
        <v>0</v>
      </c>
      <c r="T89" s="100" t="n">
        <f aca="false">S89-S90</f>
        <v>0</v>
      </c>
      <c r="U89" s="100" t="n">
        <f aca="false">T89-T90</f>
        <v>0</v>
      </c>
      <c r="V89" s="100" t="n">
        <f aca="false">U89-U90</f>
        <v>0</v>
      </c>
      <c r="W89" s="100" t="n">
        <f aca="false">V89-V90</f>
        <v>0</v>
      </c>
      <c r="X89" s="100" t="n">
        <f aca="false">W89-W90</f>
        <v>0</v>
      </c>
      <c r="Y89" s="100" t="n">
        <f aca="false">X89-X90</f>
        <v>0</v>
      </c>
      <c r="Z89" s="100" t="n">
        <f aca="false">Y89-Y90</f>
        <v>0</v>
      </c>
      <c r="AA89" s="100" t="n">
        <f aca="false">Z89-Z90</f>
        <v>0</v>
      </c>
      <c r="AB89" s="100" t="n">
        <f aca="false">AA89-AA90</f>
        <v>0</v>
      </c>
      <c r="AC89" s="100" t="n">
        <f aca="false">AB89-AB90</f>
        <v>0</v>
      </c>
      <c r="AD89" s="100" t="n">
        <f aca="false">AC89-AC90</f>
        <v>0</v>
      </c>
      <c r="AE89" s="100" t="n">
        <f aca="false">AD89-AD90</f>
        <v>0</v>
      </c>
      <c r="AF89" s="100" t="n">
        <f aca="false">AE89-AE90</f>
        <v>0</v>
      </c>
      <c r="AG89" s="100" t="n">
        <f aca="false">AF89-AF90</f>
        <v>0</v>
      </c>
      <c r="AH89" s="100" t="n">
        <f aca="false">AG89-AG90</f>
        <v>0</v>
      </c>
      <c r="AI89" s="100" t="n">
        <f aca="false">AH89-AH90</f>
        <v>0</v>
      </c>
      <c r="AJ89" s="100" t="n">
        <f aca="false">AI89-AI90</f>
        <v>0</v>
      </c>
      <c r="AK89" s="100" t="n">
        <f aca="false">AJ89-AJ90</f>
        <v>0</v>
      </c>
      <c r="AL89" s="100" t="n">
        <f aca="false">AK89-AK90</f>
        <v>0</v>
      </c>
      <c r="AM89" s="100" t="n">
        <f aca="false">AL89-AL90</f>
        <v>0</v>
      </c>
      <c r="AN89" s="100" t="n">
        <f aca="false">AM89-AM90</f>
        <v>0</v>
      </c>
      <c r="AO89" s="100" t="n">
        <f aca="false">AN89-AN90</f>
        <v>0</v>
      </c>
      <c r="AP89" s="100" t="n">
        <f aca="false">AO89-AO90</f>
        <v>0</v>
      </c>
      <c r="AQ89" s="100" t="n">
        <f aca="false">AP89-AP90</f>
        <v>0</v>
      </c>
      <c r="AR89" s="100" t="n">
        <f aca="false">AQ89-AQ90</f>
        <v>0</v>
      </c>
      <c r="AS89" s="100" t="n">
        <f aca="false">AR89-AR90</f>
        <v>0</v>
      </c>
      <c r="AT89" s="100" t="n">
        <f aca="false">AS89-AS90</f>
        <v>0</v>
      </c>
      <c r="AU89" s="100" t="n">
        <f aca="false">AT89-AT90</f>
        <v>0</v>
      </c>
      <c r="AV89" s="100" t="n">
        <f aca="false">AU89-AU90</f>
        <v>0</v>
      </c>
      <c r="AW89" s="100" t="n">
        <f aca="false">AV89-AV90</f>
        <v>0</v>
      </c>
      <c r="AX89" s="100" t="n">
        <f aca="false">AW89-AW90</f>
        <v>0</v>
      </c>
      <c r="AY89" s="100" t="n">
        <f aca="false">AX89-AX90</f>
        <v>0</v>
      </c>
      <c r="AZ89" s="100" t="n">
        <f aca="false">AY89-AY90</f>
        <v>0</v>
      </c>
      <c r="BA89" s="100" t="n">
        <f aca="false">AZ89-AZ90</f>
        <v>0</v>
      </c>
      <c r="BB89" s="100" t="n">
        <f aca="false">BA89-BA90</f>
        <v>0</v>
      </c>
      <c r="BC89" s="100" t="n">
        <f aca="false">BB89-BB90</f>
        <v>0</v>
      </c>
      <c r="BD89" s="100" t="n">
        <f aca="false">BC89-BC90</f>
        <v>0</v>
      </c>
      <c r="BE89" s="100" t="n">
        <f aca="false">BD89-BD90</f>
        <v>0</v>
      </c>
      <c r="BF89" s="100" t="n">
        <f aca="false">BE89-BE90</f>
        <v>0</v>
      </c>
      <c r="BG89" s="100" t="n">
        <f aca="false">BF89-BF90</f>
        <v>0</v>
      </c>
      <c r="BH89" s="100" t="n">
        <f aca="false">BG89-BG90</f>
        <v>0</v>
      </c>
      <c r="BI89" s="100" t="n">
        <f aca="false">BH89-BH90</f>
        <v>0</v>
      </c>
      <c r="BJ89" s="100" t="n">
        <f aca="false">BI89-BI90</f>
        <v>0</v>
      </c>
      <c r="BK89" s="100" t="n">
        <f aca="false">BJ89-BJ90</f>
        <v>0</v>
      </c>
      <c r="BL89" s="100" t="n">
        <f aca="false">BK89-BK90</f>
        <v>0</v>
      </c>
      <c r="BM89" s="100" t="n">
        <f aca="false">BL89-BL90</f>
        <v>0</v>
      </c>
      <c r="BN89" s="100" t="n">
        <f aca="false">BM89-BM90</f>
        <v>0</v>
      </c>
      <c r="BO89" s="100" t="n">
        <f aca="false">BN89-BN90</f>
        <v>0</v>
      </c>
      <c r="BP89" s="100" t="n">
        <f aca="false">BO89-BO90</f>
        <v>0</v>
      </c>
      <c r="BQ89" s="100" t="n">
        <f aca="false">BP89-BP90</f>
        <v>0</v>
      </c>
      <c r="BR89" s="100" t="n">
        <f aca="false">BQ89-BQ90</f>
        <v>0</v>
      </c>
      <c r="BS89" s="100" t="n">
        <f aca="false">BR89-BR90</f>
        <v>0</v>
      </c>
      <c r="BT89" s="100" t="n">
        <f aca="false">BS89-BS90</f>
        <v>0</v>
      </c>
      <c r="BU89" s="100" t="n">
        <f aca="false">BT89-BT90</f>
        <v>0</v>
      </c>
      <c r="BV89" s="100" t="n">
        <f aca="false">BU89-BU90</f>
        <v>0</v>
      </c>
      <c r="BW89" s="100" t="n">
        <f aca="false">BV89-BV90</f>
        <v>0</v>
      </c>
      <c r="BX89" s="100" t="n">
        <f aca="false">BW89-BW90</f>
        <v>0</v>
      </c>
      <c r="BY89" s="100" t="n">
        <f aca="false">BX89-BX90</f>
        <v>0</v>
      </c>
      <c r="BZ89" s="100" t="n">
        <f aca="false">BY89-BY90</f>
        <v>0</v>
      </c>
      <c r="CA89" s="100" t="n">
        <f aca="false">BZ89-BZ90</f>
        <v>0</v>
      </c>
      <c r="CB89" s="100" t="n">
        <f aca="false">CA89-CA90</f>
        <v>0</v>
      </c>
      <c r="CC89" s="100" t="n">
        <f aca="false">CB89-CB90</f>
        <v>0</v>
      </c>
      <c r="CD89" s="100" t="n">
        <f aca="false">CC89-CC90</f>
        <v>0</v>
      </c>
      <c r="CE89" s="100" t="n">
        <f aca="false">CD89-CD90</f>
        <v>0</v>
      </c>
      <c r="CF89" s="100" t="n">
        <f aca="false">CE89-CE90</f>
        <v>0</v>
      </c>
      <c r="CG89" s="100" t="n">
        <f aca="false">CF89-CF90</f>
        <v>0</v>
      </c>
      <c r="CH89" s="100" t="n">
        <f aca="false">CG89-CG90</f>
        <v>0</v>
      </c>
    </row>
    <row r="90" customFormat="false" ht="13.5" hidden="false" customHeight="true" outlineLevel="0" collapsed="false">
      <c r="A90" s="6" t="s">
        <v>563</v>
      </c>
      <c r="C90" s="100" t="n">
        <f aca="false">IF(1&lt;=Hipótesis!$D$97,0,IF(C89&gt;0,MIN(C89,Hipótesis!$D$93/MAX(Hipótesis!$D$96-Hipótesis!$D$97,1)),0))</f>
        <v>0</v>
      </c>
      <c r="D90" s="100" t="n">
        <f aca="false">IF(2&lt;=Hipótesis!$D$97,0,IF(D89&gt;0,MIN(D89,Hipótesis!$D$93/MAX(Hipótesis!$D$96-Hipótesis!$D$97,1)),0))</f>
        <v>0</v>
      </c>
      <c r="E90" s="100" t="n">
        <f aca="false">IF(3&lt;=Hipótesis!$D$97,0,IF(E89&gt;0,MIN(E89,Hipótesis!$D$93/MAX(Hipótesis!$D$96-Hipótesis!$D$97,1)),0))</f>
        <v>0</v>
      </c>
      <c r="F90" s="100" t="n">
        <f aca="false">IF(4&lt;=Hipótesis!$D$97,0,IF(F89&gt;0,MIN(F89,Hipótesis!$D$93/MAX(Hipótesis!$D$96-Hipótesis!$D$97,1)),0))</f>
        <v>0</v>
      </c>
      <c r="G90" s="100" t="n">
        <f aca="false">IF(5&lt;=Hipótesis!$D$97,0,IF(G89&gt;0,MIN(G89,Hipótesis!$D$93/MAX(Hipótesis!$D$96-Hipótesis!$D$97,1)),0))</f>
        <v>0</v>
      </c>
      <c r="H90" s="100" t="n">
        <f aca="false">IF(6&lt;=Hipótesis!$D$97,0,IF(H89&gt;0,MIN(H89,Hipótesis!$D$93/MAX(Hipótesis!$D$96-Hipótesis!$D$97,1)),0))</f>
        <v>0</v>
      </c>
      <c r="I90" s="100" t="n">
        <f aca="false">IF(7&lt;=Hipótesis!$D$97,0,IF(I89&gt;0,MIN(I89,Hipótesis!$D$93/MAX(Hipótesis!$D$96-Hipótesis!$D$97,1)),0))</f>
        <v>0</v>
      </c>
      <c r="J90" s="100" t="n">
        <f aca="false">IF(8&lt;=Hipótesis!$D$97,0,IF(J89&gt;0,MIN(J89,Hipótesis!$D$93/MAX(Hipótesis!$D$96-Hipótesis!$D$97,1)),0))</f>
        <v>0</v>
      </c>
      <c r="K90" s="100" t="n">
        <f aca="false">IF(9&lt;=Hipótesis!$D$97,0,IF(K89&gt;0,MIN(K89,Hipótesis!$D$93/MAX(Hipótesis!$D$96-Hipótesis!$D$97,1)),0))</f>
        <v>0</v>
      </c>
      <c r="L90" s="100" t="n">
        <f aca="false">IF(10&lt;=Hipótesis!$D$97,0,IF(L89&gt;0,MIN(L89,Hipótesis!$D$93/MAX(Hipótesis!$D$96-Hipótesis!$D$97,1)),0))</f>
        <v>0</v>
      </c>
      <c r="M90" s="100" t="n">
        <f aca="false">IF(11&lt;=Hipótesis!$D$97,0,IF(M89&gt;0,MIN(M89,Hipótesis!$D$93/MAX(Hipótesis!$D$96-Hipótesis!$D$97,1)),0))</f>
        <v>0</v>
      </c>
      <c r="N90" s="100" t="n">
        <f aca="false">IF(12&lt;=Hipótesis!$D$97,0,IF(N89&gt;0,MIN(N89,Hipótesis!$D$93/MAX(Hipótesis!$D$96-Hipótesis!$D$97,1)),0))</f>
        <v>0</v>
      </c>
      <c r="O90" s="100" t="n">
        <f aca="false">IF(13&lt;=Hipótesis!$D$97,0,IF(O89&gt;0,MIN(O89,Hipótesis!$D$93/MAX(Hipótesis!$D$96-Hipótesis!$D$97,1)),0))</f>
        <v>0</v>
      </c>
      <c r="P90" s="100" t="n">
        <f aca="false">IF(14&lt;=Hipótesis!$D$97,0,IF(P89&gt;0,MIN(P89,Hipótesis!$D$93/MAX(Hipótesis!$D$96-Hipótesis!$D$97,1)),0))</f>
        <v>0</v>
      </c>
      <c r="Q90" s="100" t="n">
        <f aca="false">IF(15&lt;=Hipótesis!$D$97,0,IF(Q89&gt;0,MIN(Q89,Hipótesis!$D$93/MAX(Hipótesis!$D$96-Hipótesis!$D$97,1)),0))</f>
        <v>0</v>
      </c>
      <c r="R90" s="100" t="n">
        <f aca="false">IF(16&lt;=Hipótesis!$D$97,0,IF(R89&gt;0,MIN(R89,Hipótesis!$D$93/MAX(Hipótesis!$D$96-Hipótesis!$D$97,1)),0))</f>
        <v>0</v>
      </c>
      <c r="S90" s="100" t="n">
        <f aca="false">IF(17&lt;=Hipótesis!$D$97,0,IF(S89&gt;0,MIN(S89,Hipótesis!$D$93/MAX(Hipótesis!$D$96-Hipótesis!$D$97,1)),0))</f>
        <v>0</v>
      </c>
      <c r="T90" s="100" t="n">
        <f aca="false">IF(18&lt;=Hipótesis!$D$97,0,IF(T89&gt;0,MIN(T89,Hipótesis!$D$93/MAX(Hipótesis!$D$96-Hipótesis!$D$97,1)),0))</f>
        <v>0</v>
      </c>
      <c r="U90" s="100" t="n">
        <f aca="false">IF(19&lt;=Hipótesis!$D$97,0,IF(U89&gt;0,MIN(U89,Hipótesis!$D$93/MAX(Hipótesis!$D$96-Hipótesis!$D$97,1)),0))</f>
        <v>0</v>
      </c>
      <c r="V90" s="100" t="n">
        <f aca="false">IF(20&lt;=Hipótesis!$D$97,0,IF(V89&gt;0,MIN(V89,Hipótesis!$D$93/MAX(Hipótesis!$D$96-Hipótesis!$D$97,1)),0))</f>
        <v>0</v>
      </c>
      <c r="W90" s="100" t="n">
        <f aca="false">IF(21&lt;=Hipótesis!$D$97,0,IF(W89&gt;0,MIN(W89,Hipótesis!$D$93/MAX(Hipótesis!$D$96-Hipótesis!$D$97,1)),0))</f>
        <v>0</v>
      </c>
      <c r="X90" s="100" t="n">
        <f aca="false">IF(22&lt;=Hipótesis!$D$97,0,IF(X89&gt;0,MIN(X89,Hipótesis!$D$93/MAX(Hipótesis!$D$96-Hipótesis!$D$97,1)),0))</f>
        <v>0</v>
      </c>
      <c r="Y90" s="100" t="n">
        <f aca="false">IF(23&lt;=Hipótesis!$D$97,0,IF(Y89&gt;0,MIN(Y89,Hipótesis!$D$93/MAX(Hipótesis!$D$96-Hipótesis!$D$97,1)),0))</f>
        <v>0</v>
      </c>
      <c r="Z90" s="100" t="n">
        <f aca="false">IF(24&lt;=Hipótesis!$D$97,0,IF(Z89&gt;0,MIN(Z89,Hipótesis!$D$93/MAX(Hipótesis!$D$96-Hipótesis!$D$97,1)),0))</f>
        <v>0</v>
      </c>
      <c r="AA90" s="100" t="n">
        <f aca="false">IF(25&lt;=Hipótesis!$D$97,0,IF(AA89&gt;0,MIN(AA89,Hipótesis!$D$93/MAX(Hipótesis!$D$96-Hipótesis!$D$97,1)),0))</f>
        <v>0</v>
      </c>
      <c r="AB90" s="100" t="n">
        <f aca="false">IF(26&lt;=Hipótesis!$D$97,0,IF(AB89&gt;0,MIN(AB89,Hipótesis!$D$93/MAX(Hipótesis!$D$96-Hipótesis!$D$97,1)),0))</f>
        <v>0</v>
      </c>
      <c r="AC90" s="100" t="n">
        <f aca="false">IF(27&lt;=Hipótesis!$D$97,0,IF(AC89&gt;0,MIN(AC89,Hipótesis!$D$93/MAX(Hipótesis!$D$96-Hipótesis!$D$97,1)),0))</f>
        <v>0</v>
      </c>
      <c r="AD90" s="100" t="n">
        <f aca="false">IF(28&lt;=Hipótesis!$D$97,0,IF(AD89&gt;0,MIN(AD89,Hipótesis!$D$93/MAX(Hipótesis!$D$96-Hipótesis!$D$97,1)),0))</f>
        <v>0</v>
      </c>
      <c r="AE90" s="100" t="n">
        <f aca="false">IF(29&lt;=Hipótesis!$D$97,0,IF(AE89&gt;0,MIN(AE89,Hipótesis!$D$93/MAX(Hipótesis!$D$96-Hipótesis!$D$97,1)),0))</f>
        <v>0</v>
      </c>
      <c r="AF90" s="100" t="n">
        <f aca="false">IF(30&lt;=Hipótesis!$D$97,0,IF(AF89&gt;0,MIN(AF89,Hipótesis!$D$93/MAX(Hipótesis!$D$96-Hipótesis!$D$97,1)),0))</f>
        <v>0</v>
      </c>
      <c r="AG90" s="100" t="n">
        <f aca="false">IF(31&lt;=Hipótesis!$D$97,0,IF(AG89&gt;0,MIN(AG89,Hipótesis!$D$93/MAX(Hipótesis!$D$96-Hipótesis!$D$97,1)),0))</f>
        <v>0</v>
      </c>
      <c r="AH90" s="100" t="n">
        <f aca="false">IF(32&lt;=Hipótesis!$D$97,0,IF(AH89&gt;0,MIN(AH89,Hipótesis!$D$93/MAX(Hipótesis!$D$96-Hipótesis!$D$97,1)),0))</f>
        <v>0</v>
      </c>
      <c r="AI90" s="100" t="n">
        <f aca="false">IF(33&lt;=Hipótesis!$D$97,0,IF(AI89&gt;0,MIN(AI89,Hipótesis!$D$93/MAX(Hipótesis!$D$96-Hipótesis!$D$97,1)),0))</f>
        <v>0</v>
      </c>
      <c r="AJ90" s="100" t="n">
        <f aca="false">IF(34&lt;=Hipótesis!$D$97,0,IF(AJ89&gt;0,MIN(AJ89,Hipótesis!$D$93/MAX(Hipótesis!$D$96-Hipótesis!$D$97,1)),0))</f>
        <v>0</v>
      </c>
      <c r="AK90" s="100" t="n">
        <f aca="false">IF(35&lt;=Hipótesis!$D$97,0,IF(AK89&gt;0,MIN(AK89,Hipótesis!$D$93/MAX(Hipótesis!$D$96-Hipótesis!$D$97,1)),0))</f>
        <v>0</v>
      </c>
      <c r="AL90" s="100" t="n">
        <f aca="false">IF(36&lt;=Hipótesis!$D$97,0,IF(AL89&gt;0,MIN(AL89,Hipótesis!$D$93/MAX(Hipótesis!$D$96-Hipótesis!$D$97,1)),0))</f>
        <v>0</v>
      </c>
      <c r="AM90" s="100" t="n">
        <f aca="false">IF(37&lt;=Hipótesis!$D$97,0,IF(AM89&gt;0,MIN(AM89,Hipótesis!$D$93/MAX(Hipótesis!$D$96-Hipótesis!$D$97,1)),0))</f>
        <v>0</v>
      </c>
      <c r="AN90" s="100" t="n">
        <f aca="false">IF(38&lt;=Hipótesis!$D$97,0,IF(AN89&gt;0,MIN(AN89,Hipótesis!$D$93/MAX(Hipótesis!$D$96-Hipótesis!$D$97,1)),0))</f>
        <v>0</v>
      </c>
      <c r="AO90" s="100" t="n">
        <f aca="false">IF(39&lt;=Hipótesis!$D$97,0,IF(AO89&gt;0,MIN(AO89,Hipótesis!$D$93/MAX(Hipótesis!$D$96-Hipótesis!$D$97,1)),0))</f>
        <v>0</v>
      </c>
      <c r="AP90" s="100" t="n">
        <f aca="false">IF(40&lt;=Hipótesis!$D$97,0,IF(AP89&gt;0,MIN(AP89,Hipótesis!$D$93/MAX(Hipótesis!$D$96-Hipótesis!$D$97,1)),0))</f>
        <v>0</v>
      </c>
      <c r="AQ90" s="100" t="n">
        <f aca="false">IF(41&lt;=Hipótesis!$D$97,0,IF(AQ89&gt;0,MIN(AQ89,Hipótesis!$D$93/MAX(Hipótesis!$D$96-Hipótesis!$D$97,1)),0))</f>
        <v>0</v>
      </c>
      <c r="AR90" s="100" t="n">
        <f aca="false">IF(42&lt;=Hipótesis!$D$97,0,IF(AR89&gt;0,MIN(AR89,Hipótesis!$D$93/MAX(Hipótesis!$D$96-Hipótesis!$D$97,1)),0))</f>
        <v>0</v>
      </c>
      <c r="AS90" s="100" t="n">
        <f aca="false">IF(43&lt;=Hipótesis!$D$97,0,IF(AS89&gt;0,MIN(AS89,Hipótesis!$D$93/MAX(Hipótesis!$D$96-Hipótesis!$D$97,1)),0))</f>
        <v>0</v>
      </c>
      <c r="AT90" s="100" t="n">
        <f aca="false">IF(44&lt;=Hipótesis!$D$97,0,IF(AT89&gt;0,MIN(AT89,Hipótesis!$D$93/MAX(Hipótesis!$D$96-Hipótesis!$D$97,1)),0))</f>
        <v>0</v>
      </c>
      <c r="AU90" s="100" t="n">
        <f aca="false">IF(45&lt;=Hipótesis!$D$97,0,IF(AU89&gt;0,MIN(AU89,Hipótesis!$D$93/MAX(Hipótesis!$D$96-Hipótesis!$D$97,1)),0))</f>
        <v>0</v>
      </c>
      <c r="AV90" s="100" t="n">
        <f aca="false">IF(46&lt;=Hipótesis!$D$97,0,IF(AV89&gt;0,MIN(AV89,Hipótesis!$D$93/MAX(Hipótesis!$D$96-Hipótesis!$D$97,1)),0))</f>
        <v>0</v>
      </c>
      <c r="AW90" s="100" t="n">
        <f aca="false">IF(47&lt;=Hipótesis!$D$97,0,IF(AW89&gt;0,MIN(AW89,Hipótesis!$D$93/MAX(Hipótesis!$D$96-Hipótesis!$D$97,1)),0))</f>
        <v>0</v>
      </c>
      <c r="AX90" s="100" t="n">
        <f aca="false">IF(48&lt;=Hipótesis!$D$97,0,IF(AX89&gt;0,MIN(AX89,Hipótesis!$D$93/MAX(Hipótesis!$D$96-Hipótesis!$D$97,1)),0))</f>
        <v>0</v>
      </c>
      <c r="AY90" s="100" t="n">
        <f aca="false">IF(49&lt;=Hipótesis!$D$97,0,IF(AY89&gt;0,MIN(AY89,Hipótesis!$D$93/MAX(Hipótesis!$D$96-Hipótesis!$D$97,1)),0))</f>
        <v>0</v>
      </c>
      <c r="AZ90" s="100" t="n">
        <f aca="false">IF(50&lt;=Hipótesis!$D$97,0,IF(AZ89&gt;0,MIN(AZ89,Hipótesis!$D$93/MAX(Hipótesis!$D$96-Hipótesis!$D$97,1)),0))</f>
        <v>0</v>
      </c>
      <c r="BA90" s="100" t="n">
        <f aca="false">IF(51&lt;=Hipótesis!$D$97,0,IF(BA89&gt;0,MIN(BA89,Hipótesis!$D$93/MAX(Hipótesis!$D$96-Hipótesis!$D$97,1)),0))</f>
        <v>0</v>
      </c>
      <c r="BB90" s="100" t="n">
        <f aca="false">IF(52&lt;=Hipótesis!$D$97,0,IF(BB89&gt;0,MIN(BB89,Hipótesis!$D$93/MAX(Hipótesis!$D$96-Hipótesis!$D$97,1)),0))</f>
        <v>0</v>
      </c>
      <c r="BC90" s="100" t="n">
        <f aca="false">IF(53&lt;=Hipótesis!$D$97,0,IF(BC89&gt;0,MIN(BC89,Hipótesis!$D$93/MAX(Hipótesis!$D$96-Hipótesis!$D$97,1)),0))</f>
        <v>0</v>
      </c>
      <c r="BD90" s="100" t="n">
        <f aca="false">IF(54&lt;=Hipótesis!$D$97,0,IF(BD89&gt;0,MIN(BD89,Hipótesis!$D$93/MAX(Hipótesis!$D$96-Hipótesis!$D$97,1)),0))</f>
        <v>0</v>
      </c>
      <c r="BE90" s="100" t="n">
        <f aca="false">IF(55&lt;=Hipótesis!$D$97,0,IF(BE89&gt;0,MIN(BE89,Hipótesis!$D$93/MAX(Hipótesis!$D$96-Hipótesis!$D$97,1)),0))</f>
        <v>0</v>
      </c>
      <c r="BF90" s="100" t="n">
        <f aca="false">IF(56&lt;=Hipótesis!$D$97,0,IF(BF89&gt;0,MIN(BF89,Hipótesis!$D$93/MAX(Hipótesis!$D$96-Hipótesis!$D$97,1)),0))</f>
        <v>0</v>
      </c>
      <c r="BG90" s="100" t="n">
        <f aca="false">IF(57&lt;=Hipótesis!$D$97,0,IF(BG89&gt;0,MIN(BG89,Hipótesis!$D$93/MAX(Hipótesis!$D$96-Hipótesis!$D$97,1)),0))</f>
        <v>0</v>
      </c>
      <c r="BH90" s="100" t="n">
        <f aca="false">IF(58&lt;=Hipótesis!$D$97,0,IF(BH89&gt;0,MIN(BH89,Hipótesis!$D$93/MAX(Hipótesis!$D$96-Hipótesis!$D$97,1)),0))</f>
        <v>0</v>
      </c>
      <c r="BI90" s="100" t="n">
        <f aca="false">IF(59&lt;=Hipótesis!$D$97,0,IF(BI89&gt;0,MIN(BI89,Hipótesis!$D$93/MAX(Hipótesis!$D$96-Hipótesis!$D$97,1)),0))</f>
        <v>0</v>
      </c>
      <c r="BJ90" s="100" t="n">
        <f aca="false">IF(60&lt;=Hipótesis!$D$97,0,IF(BJ89&gt;0,MIN(BJ89,Hipótesis!$D$93/MAX(Hipótesis!$D$96-Hipótesis!$D$97,1)),0))</f>
        <v>0</v>
      </c>
      <c r="BK90" s="100" t="n">
        <f aca="false">IF(61&lt;=Hipótesis!$D$97,0,IF(BK89&gt;0,MIN(BK89,Hipótesis!$D$93/MAX(Hipótesis!$D$96-Hipótesis!$D$97,1)),0))</f>
        <v>0</v>
      </c>
      <c r="BL90" s="100" t="n">
        <f aca="false">IF(62&lt;=Hipótesis!$D$97,0,IF(BL89&gt;0,MIN(BL89,Hipótesis!$D$93/MAX(Hipótesis!$D$96-Hipótesis!$D$97,1)),0))</f>
        <v>0</v>
      </c>
      <c r="BM90" s="100" t="n">
        <f aca="false">IF(63&lt;=Hipótesis!$D$97,0,IF(BM89&gt;0,MIN(BM89,Hipótesis!$D$93/MAX(Hipótesis!$D$96-Hipótesis!$D$97,1)),0))</f>
        <v>0</v>
      </c>
      <c r="BN90" s="100" t="n">
        <f aca="false">IF(64&lt;=Hipótesis!$D$97,0,IF(BN89&gt;0,MIN(BN89,Hipótesis!$D$93/MAX(Hipótesis!$D$96-Hipótesis!$D$97,1)),0))</f>
        <v>0</v>
      </c>
      <c r="BO90" s="100" t="n">
        <f aca="false">IF(65&lt;=Hipótesis!$D$97,0,IF(BO89&gt;0,MIN(BO89,Hipótesis!$D$93/MAX(Hipótesis!$D$96-Hipótesis!$D$97,1)),0))</f>
        <v>0</v>
      </c>
      <c r="BP90" s="100" t="n">
        <f aca="false">IF(66&lt;=Hipótesis!$D$97,0,IF(BP89&gt;0,MIN(BP89,Hipótesis!$D$93/MAX(Hipótesis!$D$96-Hipótesis!$D$97,1)),0))</f>
        <v>0</v>
      </c>
      <c r="BQ90" s="100" t="n">
        <f aca="false">IF(67&lt;=Hipótesis!$D$97,0,IF(BQ89&gt;0,MIN(BQ89,Hipótesis!$D$93/MAX(Hipótesis!$D$96-Hipótesis!$D$97,1)),0))</f>
        <v>0</v>
      </c>
      <c r="BR90" s="100" t="n">
        <f aca="false">IF(68&lt;=Hipótesis!$D$97,0,IF(BR89&gt;0,MIN(BR89,Hipótesis!$D$93/MAX(Hipótesis!$D$96-Hipótesis!$D$97,1)),0))</f>
        <v>0</v>
      </c>
      <c r="BS90" s="100" t="n">
        <f aca="false">IF(69&lt;=Hipótesis!$D$97,0,IF(BS89&gt;0,MIN(BS89,Hipótesis!$D$93/MAX(Hipótesis!$D$96-Hipótesis!$D$97,1)),0))</f>
        <v>0</v>
      </c>
      <c r="BT90" s="100" t="n">
        <f aca="false">IF(70&lt;=Hipótesis!$D$97,0,IF(BT89&gt;0,MIN(BT89,Hipótesis!$D$93/MAX(Hipótesis!$D$96-Hipótesis!$D$97,1)),0))</f>
        <v>0</v>
      </c>
      <c r="BU90" s="100" t="n">
        <f aca="false">IF(71&lt;=Hipótesis!$D$97,0,IF(BU89&gt;0,MIN(BU89,Hipótesis!$D$93/MAX(Hipótesis!$D$96-Hipótesis!$D$97,1)),0))</f>
        <v>0</v>
      </c>
      <c r="BV90" s="100" t="n">
        <f aca="false">IF(72&lt;=Hipótesis!$D$97,0,IF(BV89&gt;0,MIN(BV89,Hipótesis!$D$93/MAX(Hipótesis!$D$96-Hipótesis!$D$97,1)),0))</f>
        <v>0</v>
      </c>
      <c r="BW90" s="100" t="n">
        <f aca="false">IF(73&lt;=Hipótesis!$D$97,0,IF(BW89&gt;0,MIN(BW89,Hipótesis!$D$93/MAX(Hipótesis!$D$96-Hipótesis!$D$97,1)),0))</f>
        <v>0</v>
      </c>
      <c r="BX90" s="100" t="n">
        <f aca="false">IF(74&lt;=Hipótesis!$D$97,0,IF(BX89&gt;0,MIN(BX89,Hipótesis!$D$93/MAX(Hipótesis!$D$96-Hipótesis!$D$97,1)),0))</f>
        <v>0</v>
      </c>
      <c r="BY90" s="100" t="n">
        <f aca="false">IF(75&lt;=Hipótesis!$D$97,0,IF(BY89&gt;0,MIN(BY89,Hipótesis!$D$93/MAX(Hipótesis!$D$96-Hipótesis!$D$97,1)),0))</f>
        <v>0</v>
      </c>
      <c r="BZ90" s="100" t="n">
        <f aca="false">IF(76&lt;=Hipótesis!$D$97,0,IF(BZ89&gt;0,MIN(BZ89,Hipótesis!$D$93/MAX(Hipótesis!$D$96-Hipótesis!$D$97,1)),0))</f>
        <v>0</v>
      </c>
      <c r="CA90" s="100" t="n">
        <f aca="false">IF(77&lt;=Hipótesis!$D$97,0,IF(CA89&gt;0,MIN(CA89,Hipótesis!$D$93/MAX(Hipótesis!$D$96-Hipótesis!$D$97,1)),0))</f>
        <v>0</v>
      </c>
      <c r="CB90" s="100" t="n">
        <f aca="false">IF(78&lt;=Hipótesis!$D$97,0,IF(CB89&gt;0,MIN(CB89,Hipótesis!$D$93/MAX(Hipótesis!$D$96-Hipótesis!$D$97,1)),0))</f>
        <v>0</v>
      </c>
      <c r="CC90" s="100" t="n">
        <f aca="false">IF(79&lt;=Hipótesis!$D$97,0,IF(CC89&gt;0,MIN(CC89,Hipótesis!$D$93/MAX(Hipótesis!$D$96-Hipótesis!$D$97,1)),0))</f>
        <v>0</v>
      </c>
      <c r="CD90" s="100" t="n">
        <f aca="false">IF(80&lt;=Hipótesis!$D$97,0,IF(CD89&gt;0,MIN(CD89,Hipótesis!$D$93/MAX(Hipótesis!$D$96-Hipótesis!$D$97,1)),0))</f>
        <v>0</v>
      </c>
      <c r="CE90" s="100" t="n">
        <f aca="false">IF(81&lt;=Hipótesis!$D$97,0,IF(CE89&gt;0,MIN(CE89,Hipótesis!$D$93/MAX(Hipótesis!$D$96-Hipótesis!$D$97,1)),0))</f>
        <v>0</v>
      </c>
      <c r="CF90" s="100" t="n">
        <f aca="false">IF(82&lt;=Hipótesis!$D$97,0,IF(CF89&gt;0,MIN(CF89,Hipótesis!$D$93/MAX(Hipótesis!$D$96-Hipótesis!$D$97,1)),0))</f>
        <v>0</v>
      </c>
      <c r="CG90" s="100" t="n">
        <f aca="false">IF(83&lt;=Hipótesis!$D$97,0,IF(CG89&gt;0,MIN(CG89,Hipótesis!$D$93/MAX(Hipótesis!$D$96-Hipótesis!$D$97,1)),0))</f>
        <v>0</v>
      </c>
      <c r="CH90" s="100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6" t="s">
        <v>564</v>
      </c>
      <c r="C91" s="100" t="n">
        <f aca="false">C89*Hipótesis!$D$95/12</f>
        <v>0</v>
      </c>
      <c r="D91" s="100" t="n">
        <f aca="false">D89*Hipótesis!$D$95/12</f>
        <v>0</v>
      </c>
      <c r="E91" s="100" t="n">
        <f aca="false">E89*Hipótesis!$D$95/12</f>
        <v>0</v>
      </c>
      <c r="F91" s="100" t="n">
        <f aca="false">F89*Hipótesis!$D$95/12</f>
        <v>0</v>
      </c>
      <c r="G91" s="100" t="n">
        <f aca="false">G89*Hipótesis!$D$95/12</f>
        <v>0</v>
      </c>
      <c r="H91" s="100" t="n">
        <f aca="false">H89*Hipótesis!$D$95/12</f>
        <v>0</v>
      </c>
      <c r="I91" s="100" t="n">
        <f aca="false">I89*Hipótesis!$D$95/12</f>
        <v>0</v>
      </c>
      <c r="J91" s="100" t="n">
        <f aca="false">J89*Hipótesis!$D$95/12</f>
        <v>0</v>
      </c>
      <c r="K91" s="100" t="n">
        <f aca="false">K89*Hipótesis!$D$95/12</f>
        <v>0</v>
      </c>
      <c r="L91" s="100" t="n">
        <f aca="false">L89*Hipótesis!$D$95/12</f>
        <v>0</v>
      </c>
      <c r="M91" s="100" t="n">
        <f aca="false">M89*Hipótesis!$D$95/12</f>
        <v>0</v>
      </c>
      <c r="N91" s="100" t="n">
        <f aca="false">N89*Hipótesis!$D$95/12</f>
        <v>0</v>
      </c>
      <c r="O91" s="100" t="n">
        <f aca="false">O89*Hipótesis!$D$95/12</f>
        <v>0</v>
      </c>
      <c r="P91" s="100" t="n">
        <f aca="false">P89*Hipótesis!$D$95/12</f>
        <v>0</v>
      </c>
      <c r="Q91" s="100" t="n">
        <f aca="false">Q89*Hipótesis!$D$95/12</f>
        <v>0</v>
      </c>
      <c r="R91" s="100" t="n">
        <f aca="false">R89*Hipótesis!$D$95/12</f>
        <v>0</v>
      </c>
      <c r="S91" s="100" t="n">
        <f aca="false">S89*Hipótesis!$D$95/12</f>
        <v>0</v>
      </c>
      <c r="T91" s="100" t="n">
        <f aca="false">T89*Hipótesis!$D$95/12</f>
        <v>0</v>
      </c>
      <c r="U91" s="100" t="n">
        <f aca="false">U89*Hipótesis!$D$95/12</f>
        <v>0</v>
      </c>
      <c r="V91" s="100" t="n">
        <f aca="false">V89*Hipótesis!$D$95/12</f>
        <v>0</v>
      </c>
      <c r="W91" s="100" t="n">
        <f aca="false">W89*Hipótesis!$D$95/12</f>
        <v>0</v>
      </c>
      <c r="X91" s="100" t="n">
        <f aca="false">X89*Hipótesis!$D$95/12</f>
        <v>0</v>
      </c>
      <c r="Y91" s="100" t="n">
        <f aca="false">Y89*Hipótesis!$D$95/12</f>
        <v>0</v>
      </c>
      <c r="Z91" s="100" t="n">
        <f aca="false">Z89*Hipótesis!$D$95/12</f>
        <v>0</v>
      </c>
      <c r="AA91" s="100" t="n">
        <f aca="false">AA89*Hipótesis!$D$95/12</f>
        <v>0</v>
      </c>
      <c r="AB91" s="100" t="n">
        <f aca="false">AB89*Hipótesis!$D$95/12</f>
        <v>0</v>
      </c>
      <c r="AC91" s="100" t="n">
        <f aca="false">AC89*Hipótesis!$D$95/12</f>
        <v>0</v>
      </c>
      <c r="AD91" s="100" t="n">
        <f aca="false">AD89*Hipótesis!$D$95/12</f>
        <v>0</v>
      </c>
      <c r="AE91" s="100" t="n">
        <f aca="false">AE89*Hipótesis!$D$95/12</f>
        <v>0</v>
      </c>
      <c r="AF91" s="100" t="n">
        <f aca="false">AF89*Hipótesis!$D$95/12</f>
        <v>0</v>
      </c>
      <c r="AG91" s="100" t="n">
        <f aca="false">AG89*Hipótesis!$D$95/12</f>
        <v>0</v>
      </c>
      <c r="AH91" s="100" t="n">
        <f aca="false">AH89*Hipótesis!$D$95/12</f>
        <v>0</v>
      </c>
      <c r="AI91" s="100" t="n">
        <f aca="false">AI89*Hipótesis!$D$95/12</f>
        <v>0</v>
      </c>
      <c r="AJ91" s="100" t="n">
        <f aca="false">AJ89*Hipótesis!$D$95/12</f>
        <v>0</v>
      </c>
      <c r="AK91" s="100" t="n">
        <f aca="false">AK89*Hipótesis!$D$95/12</f>
        <v>0</v>
      </c>
      <c r="AL91" s="100" t="n">
        <f aca="false">AL89*Hipótesis!$D$95/12</f>
        <v>0</v>
      </c>
      <c r="AM91" s="100" t="n">
        <f aca="false">AM89*Hipótesis!$D$95/12</f>
        <v>0</v>
      </c>
      <c r="AN91" s="100" t="n">
        <f aca="false">AN89*Hipótesis!$D$95/12</f>
        <v>0</v>
      </c>
      <c r="AO91" s="100" t="n">
        <f aca="false">AO89*Hipótesis!$D$95/12</f>
        <v>0</v>
      </c>
      <c r="AP91" s="100" t="n">
        <f aca="false">AP89*Hipótesis!$D$95/12</f>
        <v>0</v>
      </c>
      <c r="AQ91" s="100" t="n">
        <f aca="false">AQ89*Hipótesis!$D$95/12</f>
        <v>0</v>
      </c>
      <c r="AR91" s="100" t="n">
        <f aca="false">AR89*Hipótesis!$D$95/12</f>
        <v>0</v>
      </c>
      <c r="AS91" s="100" t="n">
        <f aca="false">AS89*Hipótesis!$D$95/12</f>
        <v>0</v>
      </c>
      <c r="AT91" s="100" t="n">
        <f aca="false">AT89*Hipótesis!$D$95/12</f>
        <v>0</v>
      </c>
      <c r="AU91" s="100" t="n">
        <f aca="false">AU89*Hipótesis!$D$95/12</f>
        <v>0</v>
      </c>
      <c r="AV91" s="100" t="n">
        <f aca="false">AV89*Hipótesis!$D$95/12</f>
        <v>0</v>
      </c>
      <c r="AW91" s="100" t="n">
        <f aca="false">AW89*Hipótesis!$D$95/12</f>
        <v>0</v>
      </c>
      <c r="AX91" s="100" t="n">
        <f aca="false">AX89*Hipótesis!$D$95/12</f>
        <v>0</v>
      </c>
      <c r="AY91" s="100" t="n">
        <f aca="false">AY89*Hipótesis!$D$95/12</f>
        <v>0</v>
      </c>
      <c r="AZ91" s="100" t="n">
        <f aca="false">AZ89*Hipótesis!$D$95/12</f>
        <v>0</v>
      </c>
      <c r="BA91" s="100" t="n">
        <f aca="false">BA89*Hipótesis!$D$95/12</f>
        <v>0</v>
      </c>
      <c r="BB91" s="100" t="n">
        <f aca="false">BB89*Hipótesis!$D$95/12</f>
        <v>0</v>
      </c>
      <c r="BC91" s="100" t="n">
        <f aca="false">BC89*Hipótesis!$D$95/12</f>
        <v>0</v>
      </c>
      <c r="BD91" s="100" t="n">
        <f aca="false">BD89*Hipótesis!$D$95/12</f>
        <v>0</v>
      </c>
      <c r="BE91" s="100" t="n">
        <f aca="false">BE89*Hipótesis!$D$95/12</f>
        <v>0</v>
      </c>
      <c r="BF91" s="100" t="n">
        <f aca="false">BF89*Hipótesis!$D$95/12</f>
        <v>0</v>
      </c>
      <c r="BG91" s="100" t="n">
        <f aca="false">BG89*Hipótesis!$D$95/12</f>
        <v>0</v>
      </c>
      <c r="BH91" s="100" t="n">
        <f aca="false">BH89*Hipótesis!$D$95/12</f>
        <v>0</v>
      </c>
      <c r="BI91" s="100" t="n">
        <f aca="false">BI89*Hipótesis!$D$95/12</f>
        <v>0</v>
      </c>
      <c r="BJ91" s="100" t="n">
        <f aca="false">BJ89*Hipótesis!$D$95/12</f>
        <v>0</v>
      </c>
      <c r="BK91" s="100" t="n">
        <f aca="false">BK89*Hipótesis!$D$95/12</f>
        <v>0</v>
      </c>
      <c r="BL91" s="100" t="n">
        <f aca="false">BL89*Hipótesis!$D$95/12</f>
        <v>0</v>
      </c>
      <c r="BM91" s="100" t="n">
        <f aca="false">BM89*Hipótesis!$D$95/12</f>
        <v>0</v>
      </c>
      <c r="BN91" s="100" t="n">
        <f aca="false">BN89*Hipótesis!$D$95/12</f>
        <v>0</v>
      </c>
      <c r="BO91" s="100" t="n">
        <f aca="false">BO89*Hipótesis!$D$95/12</f>
        <v>0</v>
      </c>
      <c r="BP91" s="100" t="n">
        <f aca="false">BP89*Hipótesis!$D$95/12</f>
        <v>0</v>
      </c>
      <c r="BQ91" s="100" t="n">
        <f aca="false">BQ89*Hipótesis!$D$95/12</f>
        <v>0</v>
      </c>
      <c r="BR91" s="100" t="n">
        <f aca="false">BR89*Hipótesis!$D$95/12</f>
        <v>0</v>
      </c>
      <c r="BS91" s="100" t="n">
        <f aca="false">BS89*Hipótesis!$D$95/12</f>
        <v>0</v>
      </c>
      <c r="BT91" s="100" t="n">
        <f aca="false">BT89*Hipótesis!$D$95/12</f>
        <v>0</v>
      </c>
      <c r="BU91" s="100" t="n">
        <f aca="false">BU89*Hipótesis!$D$95/12</f>
        <v>0</v>
      </c>
      <c r="BV91" s="100" t="n">
        <f aca="false">BV89*Hipótesis!$D$95/12</f>
        <v>0</v>
      </c>
      <c r="BW91" s="100" t="n">
        <f aca="false">BW89*Hipótesis!$D$95/12</f>
        <v>0</v>
      </c>
      <c r="BX91" s="100" t="n">
        <f aca="false">BX89*Hipótesis!$D$95/12</f>
        <v>0</v>
      </c>
      <c r="BY91" s="100" t="n">
        <f aca="false">BY89*Hipótesis!$D$95/12</f>
        <v>0</v>
      </c>
      <c r="BZ91" s="100" t="n">
        <f aca="false">BZ89*Hipótesis!$D$95/12</f>
        <v>0</v>
      </c>
      <c r="CA91" s="100" t="n">
        <f aca="false">CA89*Hipótesis!$D$95/12</f>
        <v>0</v>
      </c>
      <c r="CB91" s="100" t="n">
        <f aca="false">CB89*Hipótesis!$D$95/12</f>
        <v>0</v>
      </c>
      <c r="CC91" s="100" t="n">
        <f aca="false">CC89*Hipótesis!$D$95/12</f>
        <v>0</v>
      </c>
      <c r="CD91" s="100" t="n">
        <f aca="false">CD89*Hipótesis!$D$95/12</f>
        <v>0</v>
      </c>
      <c r="CE91" s="100" t="n">
        <f aca="false">CE89*Hipótesis!$D$95/12</f>
        <v>0</v>
      </c>
      <c r="CF91" s="100" t="n">
        <f aca="false">CF89*Hipótesis!$D$95/12</f>
        <v>0</v>
      </c>
      <c r="CG91" s="100" t="n">
        <f aca="false">CG89*Hipótesis!$D$95/12</f>
        <v>0</v>
      </c>
      <c r="CH91" s="100" t="n">
        <f aca="false">CH89*Hipótesis!$D$95/12</f>
        <v>0</v>
      </c>
    </row>
    <row r="92" customFormat="false" ht="13.5" hidden="false" customHeight="true" outlineLevel="0" collapsed="false">
      <c r="A92" s="6" t="s">
        <v>565</v>
      </c>
      <c r="C92" s="100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00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00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00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00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00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00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00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00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00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00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00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00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00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00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00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00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00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00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00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00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00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00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00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00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00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00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00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00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00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00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00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00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00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00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00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00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00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00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00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00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00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00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00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00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00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00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00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00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00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00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00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00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00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00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00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00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00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00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00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00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00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00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00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00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00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00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00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00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00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00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00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00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00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00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00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00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00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00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00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00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00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00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00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6" t="s">
        <v>566</v>
      </c>
      <c r="C93" s="100" t="n">
        <f aca="false">IF(Hipótesis!$D$94&lt;=2,C92,MIN(C92,MAX(0,Hipótesis!$D$101*Hipótesis!$D$93-0)))</f>
        <v>0</v>
      </c>
      <c r="D93" s="100" t="n">
        <f aca="false">IF(Hipótesis!$D$94&lt;=2,D92,MIN(D92,MAX(0,Hipótesis!$D$101*Hipótesis!$D$93-C94)))</f>
        <v>0</v>
      </c>
      <c r="E93" s="100" t="n">
        <f aca="false">IF(Hipótesis!$D$94&lt;=2,E92,MIN(E92,MAX(0,Hipótesis!$D$101*Hipótesis!$D$93-D94)))</f>
        <v>0</v>
      </c>
      <c r="F93" s="100" t="n">
        <f aca="false">IF(Hipótesis!$D$94&lt;=2,F92,MIN(F92,MAX(0,Hipótesis!$D$101*Hipótesis!$D$93-E94)))</f>
        <v>0</v>
      </c>
      <c r="G93" s="100" t="n">
        <f aca="false">IF(Hipótesis!$D$94&lt;=2,G92,MIN(G92,MAX(0,Hipótesis!$D$101*Hipótesis!$D$93-F94)))</f>
        <v>0</v>
      </c>
      <c r="H93" s="100" t="n">
        <f aca="false">IF(Hipótesis!$D$94&lt;=2,H92,MIN(H92,MAX(0,Hipótesis!$D$101*Hipótesis!$D$93-G94)))</f>
        <v>0</v>
      </c>
      <c r="I93" s="100" t="n">
        <f aca="false">IF(Hipótesis!$D$94&lt;=2,I92,MIN(I92,MAX(0,Hipótesis!$D$101*Hipótesis!$D$93-H94)))</f>
        <v>0</v>
      </c>
      <c r="J93" s="100" t="n">
        <f aca="false">IF(Hipótesis!$D$94&lt;=2,J92,MIN(J92,MAX(0,Hipótesis!$D$101*Hipótesis!$D$93-I94)))</f>
        <v>0</v>
      </c>
      <c r="K93" s="100" t="n">
        <f aca="false">IF(Hipótesis!$D$94&lt;=2,K92,MIN(K92,MAX(0,Hipótesis!$D$101*Hipótesis!$D$93-J94)))</f>
        <v>0</v>
      </c>
      <c r="L93" s="100" t="n">
        <f aca="false">IF(Hipótesis!$D$94&lt;=2,L92,MIN(L92,MAX(0,Hipótesis!$D$101*Hipótesis!$D$93-K94)))</f>
        <v>0</v>
      </c>
      <c r="M93" s="100" t="n">
        <f aca="false">IF(Hipótesis!$D$94&lt;=2,M92,MIN(M92,MAX(0,Hipótesis!$D$101*Hipótesis!$D$93-L94)))</f>
        <v>0</v>
      </c>
      <c r="N93" s="100" t="n">
        <f aca="false">IF(Hipótesis!$D$94&lt;=2,N92,MIN(N92,MAX(0,Hipótesis!$D$101*Hipótesis!$D$93-M94)))</f>
        <v>0</v>
      </c>
      <c r="O93" s="100" t="n">
        <f aca="false">IF(Hipótesis!$D$94&lt;=2,O92,MIN(O92,MAX(0,Hipótesis!$D$101*Hipótesis!$D$93-N94)))</f>
        <v>0</v>
      </c>
      <c r="P93" s="100" t="n">
        <f aca="false">IF(Hipótesis!$D$94&lt;=2,P92,MIN(P92,MAX(0,Hipótesis!$D$101*Hipótesis!$D$93-O94)))</f>
        <v>0</v>
      </c>
      <c r="Q93" s="100" t="n">
        <f aca="false">IF(Hipótesis!$D$94&lt;=2,Q92,MIN(Q92,MAX(0,Hipótesis!$D$101*Hipótesis!$D$93-P94)))</f>
        <v>0</v>
      </c>
      <c r="R93" s="100" t="n">
        <f aca="false">IF(Hipótesis!$D$94&lt;=2,R92,MIN(R92,MAX(0,Hipótesis!$D$101*Hipótesis!$D$93-Q94)))</f>
        <v>0</v>
      </c>
      <c r="S93" s="100" t="n">
        <f aca="false">IF(Hipótesis!$D$94&lt;=2,S92,MIN(S92,MAX(0,Hipótesis!$D$101*Hipótesis!$D$93-R94)))</f>
        <v>0</v>
      </c>
      <c r="T93" s="100" t="n">
        <f aca="false">IF(Hipótesis!$D$94&lt;=2,T92,MIN(T92,MAX(0,Hipótesis!$D$101*Hipótesis!$D$93-S94)))</f>
        <v>0</v>
      </c>
      <c r="U93" s="100" t="n">
        <f aca="false">IF(Hipótesis!$D$94&lt;=2,U92,MIN(U92,MAX(0,Hipótesis!$D$101*Hipótesis!$D$93-T94)))</f>
        <v>0</v>
      </c>
      <c r="V93" s="100" t="n">
        <f aca="false">IF(Hipótesis!$D$94&lt;=2,V92,MIN(V92,MAX(0,Hipótesis!$D$101*Hipótesis!$D$93-U94)))</f>
        <v>0</v>
      </c>
      <c r="W93" s="100" t="n">
        <f aca="false">IF(Hipótesis!$D$94&lt;=2,W92,MIN(W92,MAX(0,Hipótesis!$D$101*Hipótesis!$D$93-V94)))</f>
        <v>0</v>
      </c>
      <c r="X93" s="100" t="n">
        <f aca="false">IF(Hipótesis!$D$94&lt;=2,X92,MIN(X92,MAX(0,Hipótesis!$D$101*Hipótesis!$D$93-W94)))</f>
        <v>0</v>
      </c>
      <c r="Y93" s="100" t="n">
        <f aca="false">IF(Hipótesis!$D$94&lt;=2,Y92,MIN(Y92,MAX(0,Hipótesis!$D$101*Hipótesis!$D$93-X94)))</f>
        <v>0</v>
      </c>
      <c r="Z93" s="100" t="n">
        <f aca="false">IF(Hipótesis!$D$94&lt;=2,Z92,MIN(Z92,MAX(0,Hipótesis!$D$101*Hipótesis!$D$93-Y94)))</f>
        <v>0</v>
      </c>
      <c r="AA93" s="100" t="n">
        <f aca="false">IF(Hipótesis!$D$94&lt;=2,AA92,MIN(AA92,MAX(0,Hipótesis!$D$101*Hipótesis!$D$93-Z94)))</f>
        <v>0</v>
      </c>
      <c r="AB93" s="100" t="n">
        <f aca="false">IF(Hipótesis!$D$94&lt;=2,AB92,MIN(AB92,MAX(0,Hipótesis!$D$101*Hipótesis!$D$93-AA94)))</f>
        <v>0</v>
      </c>
      <c r="AC93" s="100" t="n">
        <f aca="false">IF(Hipótesis!$D$94&lt;=2,AC92,MIN(AC92,MAX(0,Hipótesis!$D$101*Hipótesis!$D$93-AB94)))</f>
        <v>0</v>
      </c>
      <c r="AD93" s="100" t="n">
        <f aca="false">IF(Hipótesis!$D$94&lt;=2,AD92,MIN(AD92,MAX(0,Hipótesis!$D$101*Hipótesis!$D$93-AC94)))</f>
        <v>0</v>
      </c>
      <c r="AE93" s="100" t="n">
        <f aca="false">IF(Hipótesis!$D$94&lt;=2,AE92,MIN(AE92,MAX(0,Hipótesis!$D$101*Hipótesis!$D$93-AD94)))</f>
        <v>0</v>
      </c>
      <c r="AF93" s="100" t="n">
        <f aca="false">IF(Hipótesis!$D$94&lt;=2,AF92,MIN(AF92,MAX(0,Hipótesis!$D$101*Hipótesis!$D$93-AE94)))</f>
        <v>0</v>
      </c>
      <c r="AG93" s="100" t="n">
        <f aca="false">IF(Hipótesis!$D$94&lt;=2,AG92,MIN(AG92,MAX(0,Hipótesis!$D$101*Hipótesis!$D$93-AF94)))</f>
        <v>0</v>
      </c>
      <c r="AH93" s="100" t="n">
        <f aca="false">IF(Hipótesis!$D$94&lt;=2,AH92,MIN(AH92,MAX(0,Hipótesis!$D$101*Hipótesis!$D$93-AG94)))</f>
        <v>0</v>
      </c>
      <c r="AI93" s="100" t="n">
        <f aca="false">IF(Hipótesis!$D$94&lt;=2,AI92,MIN(AI92,MAX(0,Hipótesis!$D$101*Hipótesis!$D$93-AH94)))</f>
        <v>0</v>
      </c>
      <c r="AJ93" s="100" t="n">
        <f aca="false">IF(Hipótesis!$D$94&lt;=2,AJ92,MIN(AJ92,MAX(0,Hipótesis!$D$101*Hipótesis!$D$93-AI94)))</f>
        <v>0</v>
      </c>
      <c r="AK93" s="100" t="n">
        <f aca="false">IF(Hipótesis!$D$94&lt;=2,AK92,MIN(AK92,MAX(0,Hipótesis!$D$101*Hipótesis!$D$93-AJ94)))</f>
        <v>0</v>
      </c>
      <c r="AL93" s="100" t="n">
        <f aca="false">IF(Hipótesis!$D$94&lt;=2,AL92,MIN(AL92,MAX(0,Hipótesis!$D$101*Hipótesis!$D$93-AK94)))</f>
        <v>0</v>
      </c>
      <c r="AM93" s="100" t="n">
        <f aca="false">IF(Hipótesis!$D$94&lt;=2,AM92,MIN(AM92,MAX(0,Hipótesis!$D$101*Hipótesis!$D$93-AL94)))</f>
        <v>0</v>
      </c>
      <c r="AN93" s="100" t="n">
        <f aca="false">IF(Hipótesis!$D$94&lt;=2,AN92,MIN(AN92,MAX(0,Hipótesis!$D$101*Hipótesis!$D$93-AM94)))</f>
        <v>0</v>
      </c>
      <c r="AO93" s="100" t="n">
        <f aca="false">IF(Hipótesis!$D$94&lt;=2,AO92,MIN(AO92,MAX(0,Hipótesis!$D$101*Hipótesis!$D$93-AN94)))</f>
        <v>0</v>
      </c>
      <c r="AP93" s="100" t="n">
        <f aca="false">IF(Hipótesis!$D$94&lt;=2,AP92,MIN(AP92,MAX(0,Hipótesis!$D$101*Hipótesis!$D$93-AO94)))</f>
        <v>0</v>
      </c>
      <c r="AQ93" s="100" t="n">
        <f aca="false">IF(Hipótesis!$D$94&lt;=2,AQ92,MIN(AQ92,MAX(0,Hipótesis!$D$101*Hipótesis!$D$93-AP94)))</f>
        <v>0</v>
      </c>
      <c r="AR93" s="100" t="n">
        <f aca="false">IF(Hipótesis!$D$94&lt;=2,AR92,MIN(AR92,MAX(0,Hipótesis!$D$101*Hipótesis!$D$93-AQ94)))</f>
        <v>0</v>
      </c>
      <c r="AS93" s="100" t="n">
        <f aca="false">IF(Hipótesis!$D$94&lt;=2,AS92,MIN(AS92,MAX(0,Hipótesis!$D$101*Hipótesis!$D$93-AR94)))</f>
        <v>0</v>
      </c>
      <c r="AT93" s="100" t="n">
        <f aca="false">IF(Hipótesis!$D$94&lt;=2,AT92,MIN(AT92,MAX(0,Hipótesis!$D$101*Hipótesis!$D$93-AS94)))</f>
        <v>0</v>
      </c>
      <c r="AU93" s="100" t="n">
        <f aca="false">IF(Hipótesis!$D$94&lt;=2,AU92,MIN(AU92,MAX(0,Hipótesis!$D$101*Hipótesis!$D$93-AT94)))</f>
        <v>0</v>
      </c>
      <c r="AV93" s="100" t="n">
        <f aca="false">IF(Hipótesis!$D$94&lt;=2,AV92,MIN(AV92,MAX(0,Hipótesis!$D$101*Hipótesis!$D$93-AU94)))</f>
        <v>0</v>
      </c>
      <c r="AW93" s="100" t="n">
        <f aca="false">IF(Hipótesis!$D$94&lt;=2,AW92,MIN(AW92,MAX(0,Hipótesis!$D$101*Hipótesis!$D$93-AV94)))</f>
        <v>0</v>
      </c>
      <c r="AX93" s="100" t="n">
        <f aca="false">IF(Hipótesis!$D$94&lt;=2,AX92,MIN(AX92,MAX(0,Hipótesis!$D$101*Hipótesis!$D$93-AW94)))</f>
        <v>0</v>
      </c>
      <c r="AY93" s="100" t="n">
        <f aca="false">IF(Hipótesis!$D$94&lt;=2,AY92,MIN(AY92,MAX(0,Hipótesis!$D$101*Hipótesis!$D$93-AX94)))</f>
        <v>0</v>
      </c>
      <c r="AZ93" s="100" t="n">
        <f aca="false">IF(Hipótesis!$D$94&lt;=2,AZ92,MIN(AZ92,MAX(0,Hipótesis!$D$101*Hipótesis!$D$93-AY94)))</f>
        <v>0</v>
      </c>
      <c r="BA93" s="100" t="n">
        <f aca="false">IF(Hipótesis!$D$94&lt;=2,BA92,MIN(BA92,MAX(0,Hipótesis!$D$101*Hipótesis!$D$93-AZ94)))</f>
        <v>0</v>
      </c>
      <c r="BB93" s="100" t="n">
        <f aca="false">IF(Hipótesis!$D$94&lt;=2,BB92,MIN(BB92,MAX(0,Hipótesis!$D$101*Hipótesis!$D$93-BA94)))</f>
        <v>0</v>
      </c>
      <c r="BC93" s="100" t="n">
        <f aca="false">IF(Hipótesis!$D$94&lt;=2,BC92,MIN(BC92,MAX(0,Hipótesis!$D$101*Hipótesis!$D$93-BB94)))</f>
        <v>0</v>
      </c>
      <c r="BD93" s="100" t="n">
        <f aca="false">IF(Hipótesis!$D$94&lt;=2,BD92,MIN(BD92,MAX(0,Hipótesis!$D$101*Hipótesis!$D$93-BC94)))</f>
        <v>0</v>
      </c>
      <c r="BE93" s="100" t="n">
        <f aca="false">IF(Hipótesis!$D$94&lt;=2,BE92,MIN(BE92,MAX(0,Hipótesis!$D$101*Hipótesis!$D$93-BD94)))</f>
        <v>0</v>
      </c>
      <c r="BF93" s="100" t="n">
        <f aca="false">IF(Hipótesis!$D$94&lt;=2,BF92,MIN(BF92,MAX(0,Hipótesis!$D$101*Hipótesis!$D$93-BE94)))</f>
        <v>0</v>
      </c>
      <c r="BG93" s="100" t="n">
        <f aca="false">IF(Hipótesis!$D$94&lt;=2,BG92,MIN(BG92,MAX(0,Hipótesis!$D$101*Hipótesis!$D$93-BF94)))</f>
        <v>0</v>
      </c>
      <c r="BH93" s="100" t="n">
        <f aca="false">IF(Hipótesis!$D$94&lt;=2,BH92,MIN(BH92,MAX(0,Hipótesis!$D$101*Hipótesis!$D$93-BG94)))</f>
        <v>0</v>
      </c>
      <c r="BI93" s="100" t="n">
        <f aca="false">IF(Hipótesis!$D$94&lt;=2,BI92,MIN(BI92,MAX(0,Hipótesis!$D$101*Hipótesis!$D$93-BH94)))</f>
        <v>0</v>
      </c>
      <c r="BJ93" s="100" t="n">
        <f aca="false">IF(Hipótesis!$D$94&lt;=2,BJ92,MIN(BJ92,MAX(0,Hipótesis!$D$101*Hipótesis!$D$93-BI94)))</f>
        <v>0</v>
      </c>
      <c r="BK93" s="100" t="n">
        <f aca="false">IF(Hipótesis!$D$94&lt;=2,BK92,MIN(BK92,MAX(0,Hipótesis!$D$101*Hipótesis!$D$93-BJ94)))</f>
        <v>0</v>
      </c>
      <c r="BL93" s="100" t="n">
        <f aca="false">IF(Hipótesis!$D$94&lt;=2,BL92,MIN(BL92,MAX(0,Hipótesis!$D$101*Hipótesis!$D$93-BK94)))</f>
        <v>0</v>
      </c>
      <c r="BM93" s="100" t="n">
        <f aca="false">IF(Hipótesis!$D$94&lt;=2,BM92,MIN(BM92,MAX(0,Hipótesis!$D$101*Hipótesis!$D$93-BL94)))</f>
        <v>0</v>
      </c>
      <c r="BN93" s="100" t="n">
        <f aca="false">IF(Hipótesis!$D$94&lt;=2,BN92,MIN(BN92,MAX(0,Hipótesis!$D$101*Hipótesis!$D$93-BM94)))</f>
        <v>0</v>
      </c>
      <c r="BO93" s="100" t="n">
        <f aca="false">IF(Hipótesis!$D$94&lt;=2,BO92,MIN(BO92,MAX(0,Hipótesis!$D$101*Hipótesis!$D$93-BN94)))</f>
        <v>0</v>
      </c>
      <c r="BP93" s="100" t="n">
        <f aca="false">IF(Hipótesis!$D$94&lt;=2,BP92,MIN(BP92,MAX(0,Hipótesis!$D$101*Hipótesis!$D$93-BO94)))</f>
        <v>0</v>
      </c>
      <c r="BQ93" s="100" t="n">
        <f aca="false">IF(Hipótesis!$D$94&lt;=2,BQ92,MIN(BQ92,MAX(0,Hipótesis!$D$101*Hipótesis!$D$93-BP94)))</f>
        <v>0</v>
      </c>
      <c r="BR93" s="100" t="n">
        <f aca="false">IF(Hipótesis!$D$94&lt;=2,BR92,MIN(BR92,MAX(0,Hipótesis!$D$101*Hipótesis!$D$93-BQ94)))</f>
        <v>0</v>
      </c>
      <c r="BS93" s="100" t="n">
        <f aca="false">IF(Hipótesis!$D$94&lt;=2,BS92,MIN(BS92,MAX(0,Hipótesis!$D$101*Hipótesis!$D$93-BR94)))</f>
        <v>0</v>
      </c>
      <c r="BT93" s="100" t="n">
        <f aca="false">IF(Hipótesis!$D$94&lt;=2,BT92,MIN(BT92,MAX(0,Hipótesis!$D$101*Hipótesis!$D$93-BS94)))</f>
        <v>0</v>
      </c>
      <c r="BU93" s="100" t="n">
        <f aca="false">IF(Hipótesis!$D$94&lt;=2,BU92,MIN(BU92,MAX(0,Hipótesis!$D$101*Hipótesis!$D$93-BT94)))</f>
        <v>0</v>
      </c>
      <c r="BV93" s="100" t="n">
        <f aca="false">IF(Hipótesis!$D$94&lt;=2,BV92,MIN(BV92,MAX(0,Hipótesis!$D$101*Hipótesis!$D$93-BU94)))</f>
        <v>0</v>
      </c>
      <c r="BW93" s="100" t="n">
        <f aca="false">IF(Hipótesis!$D$94&lt;=2,BW92,MIN(BW92,MAX(0,Hipótesis!$D$101*Hipótesis!$D$93-BV94)))</f>
        <v>0</v>
      </c>
      <c r="BX93" s="100" t="n">
        <f aca="false">IF(Hipótesis!$D$94&lt;=2,BX92,MIN(BX92,MAX(0,Hipótesis!$D$101*Hipótesis!$D$93-BW94)))</f>
        <v>0</v>
      </c>
      <c r="BY93" s="100" t="n">
        <f aca="false">IF(Hipótesis!$D$94&lt;=2,BY92,MIN(BY92,MAX(0,Hipótesis!$D$101*Hipótesis!$D$93-BX94)))</f>
        <v>0</v>
      </c>
      <c r="BZ93" s="100" t="n">
        <f aca="false">IF(Hipótesis!$D$94&lt;=2,BZ92,MIN(BZ92,MAX(0,Hipótesis!$D$101*Hipótesis!$D$93-BY94)))</f>
        <v>0</v>
      </c>
      <c r="CA93" s="100" t="n">
        <f aca="false">IF(Hipótesis!$D$94&lt;=2,CA92,MIN(CA92,MAX(0,Hipótesis!$D$101*Hipótesis!$D$93-BZ94)))</f>
        <v>0</v>
      </c>
      <c r="CB93" s="100" t="n">
        <f aca="false">IF(Hipótesis!$D$94&lt;=2,CB92,MIN(CB92,MAX(0,Hipótesis!$D$101*Hipótesis!$D$93-CA94)))</f>
        <v>0</v>
      </c>
      <c r="CC93" s="100" t="n">
        <f aca="false">IF(Hipótesis!$D$94&lt;=2,CC92,MIN(CC92,MAX(0,Hipótesis!$D$101*Hipótesis!$D$93-CB94)))</f>
        <v>0</v>
      </c>
      <c r="CD93" s="100" t="n">
        <f aca="false">IF(Hipótesis!$D$94&lt;=2,CD92,MIN(CD92,MAX(0,Hipótesis!$D$101*Hipótesis!$D$93-CC94)))</f>
        <v>0</v>
      </c>
      <c r="CE93" s="100" t="n">
        <f aca="false">IF(Hipótesis!$D$94&lt;=2,CE92,MIN(CE92,MAX(0,Hipótesis!$D$101*Hipótesis!$D$93-CD94)))</f>
        <v>0</v>
      </c>
      <c r="CF93" s="100" t="n">
        <f aca="false">IF(Hipótesis!$D$94&lt;=2,CF92,MIN(CF92,MAX(0,Hipótesis!$D$101*Hipótesis!$D$93-CE94)))</f>
        <v>0</v>
      </c>
      <c r="CG93" s="100" t="n">
        <f aca="false">IF(Hipótesis!$D$94&lt;=2,CG92,MIN(CG92,MAX(0,Hipótesis!$D$101*Hipótesis!$D$93-CF94)))</f>
        <v>0</v>
      </c>
      <c r="CH93" s="100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6" t="s">
        <v>567</v>
      </c>
      <c r="C94" s="100" t="n">
        <f aca="false">C121</f>
        <v>0</v>
      </c>
      <c r="D94" s="100" t="n">
        <f aca="false">C94+D121</f>
        <v>0</v>
      </c>
      <c r="E94" s="100" t="n">
        <f aca="false">D94+E121</f>
        <v>0</v>
      </c>
      <c r="F94" s="100" t="n">
        <f aca="false">E94+F121</f>
        <v>0</v>
      </c>
      <c r="G94" s="100" t="n">
        <f aca="false">F94+G121</f>
        <v>0</v>
      </c>
      <c r="H94" s="100" t="n">
        <f aca="false">G94+H121</f>
        <v>0</v>
      </c>
      <c r="I94" s="100" t="n">
        <f aca="false">H94+I121</f>
        <v>0</v>
      </c>
      <c r="J94" s="100" t="n">
        <f aca="false">I94+J121</f>
        <v>0</v>
      </c>
      <c r="K94" s="100" t="n">
        <f aca="false">J94+K121</f>
        <v>0</v>
      </c>
      <c r="L94" s="100" t="n">
        <f aca="false">K94+L121</f>
        <v>0</v>
      </c>
      <c r="M94" s="100" t="n">
        <f aca="false">L94+M121</f>
        <v>0</v>
      </c>
      <c r="N94" s="100" t="n">
        <f aca="false">M94+N121</f>
        <v>0</v>
      </c>
      <c r="O94" s="100" t="n">
        <f aca="false">N94+O121</f>
        <v>0</v>
      </c>
      <c r="P94" s="100" t="n">
        <f aca="false">O94+P121</f>
        <v>0</v>
      </c>
      <c r="Q94" s="100" t="n">
        <f aca="false">P94+Q121</f>
        <v>0</v>
      </c>
      <c r="R94" s="100" t="n">
        <f aca="false">Q94+R121</f>
        <v>0</v>
      </c>
      <c r="S94" s="100" t="n">
        <f aca="false">R94+S121</f>
        <v>0</v>
      </c>
      <c r="T94" s="100" t="n">
        <f aca="false">S94+T121</f>
        <v>0</v>
      </c>
      <c r="U94" s="100" t="n">
        <f aca="false">T94+U121</f>
        <v>0</v>
      </c>
      <c r="V94" s="100" t="n">
        <f aca="false">U94+V121</f>
        <v>0</v>
      </c>
      <c r="W94" s="100" t="n">
        <f aca="false">V94+W121</f>
        <v>0</v>
      </c>
      <c r="X94" s="100" t="n">
        <f aca="false">W94+X121</f>
        <v>0</v>
      </c>
      <c r="Y94" s="100" t="n">
        <f aca="false">X94+Y121</f>
        <v>0</v>
      </c>
      <c r="Z94" s="100" t="n">
        <f aca="false">Y94+Z121</f>
        <v>0</v>
      </c>
      <c r="AA94" s="100" t="n">
        <f aca="false">Z94+AA121</f>
        <v>0</v>
      </c>
      <c r="AB94" s="100" t="n">
        <f aca="false">AA94+AB121</f>
        <v>0</v>
      </c>
      <c r="AC94" s="100" t="n">
        <f aca="false">AB94+AC121</f>
        <v>0</v>
      </c>
      <c r="AD94" s="100" t="n">
        <f aca="false">AC94+AD121</f>
        <v>0</v>
      </c>
      <c r="AE94" s="100" t="n">
        <f aca="false">AD94+AE121</f>
        <v>0</v>
      </c>
      <c r="AF94" s="100" t="n">
        <f aca="false">AE94+AF121</f>
        <v>0</v>
      </c>
      <c r="AG94" s="100" t="n">
        <f aca="false">AF94+AG121</f>
        <v>0</v>
      </c>
      <c r="AH94" s="100" t="n">
        <f aca="false">AG94+AH121</f>
        <v>0</v>
      </c>
      <c r="AI94" s="100" t="n">
        <f aca="false">AH94+AI121</f>
        <v>0</v>
      </c>
      <c r="AJ94" s="100" t="n">
        <f aca="false">AI94+AJ121</f>
        <v>0</v>
      </c>
      <c r="AK94" s="100" t="n">
        <f aca="false">AJ94+AK121</f>
        <v>0</v>
      </c>
      <c r="AL94" s="100" t="n">
        <f aca="false">AK94+AL121</f>
        <v>0</v>
      </c>
      <c r="AM94" s="100" t="n">
        <f aca="false">AL94+AM121</f>
        <v>0</v>
      </c>
      <c r="AN94" s="100" t="n">
        <f aca="false">AM94+AN121</f>
        <v>0</v>
      </c>
      <c r="AO94" s="100" t="n">
        <f aca="false">AN94+AO121</f>
        <v>0</v>
      </c>
      <c r="AP94" s="100" t="n">
        <f aca="false">AO94+AP121</f>
        <v>0</v>
      </c>
      <c r="AQ94" s="100" t="n">
        <f aca="false">AP94+AQ121</f>
        <v>0</v>
      </c>
      <c r="AR94" s="100" t="n">
        <f aca="false">AQ94+AR121</f>
        <v>0</v>
      </c>
      <c r="AS94" s="100" t="n">
        <f aca="false">AR94+AS121</f>
        <v>0</v>
      </c>
      <c r="AT94" s="100" t="n">
        <f aca="false">AS94+AT121</f>
        <v>0</v>
      </c>
      <c r="AU94" s="100" t="n">
        <f aca="false">AT94+AU121</f>
        <v>0</v>
      </c>
      <c r="AV94" s="100" t="n">
        <f aca="false">AU94+AV121</f>
        <v>0</v>
      </c>
      <c r="AW94" s="100" t="n">
        <f aca="false">AV94+AW121</f>
        <v>0</v>
      </c>
      <c r="AX94" s="100" t="n">
        <f aca="false">AW94+AX121</f>
        <v>150000</v>
      </c>
      <c r="AY94" s="100" t="n">
        <f aca="false">AX94+AY121</f>
        <v>150000</v>
      </c>
      <c r="AZ94" s="100" t="n">
        <f aca="false">AY94+AZ121</f>
        <v>150000</v>
      </c>
      <c r="BA94" s="100" t="n">
        <f aca="false">AZ94+BA121</f>
        <v>150000</v>
      </c>
      <c r="BB94" s="100" t="n">
        <f aca="false">BA94+BB121</f>
        <v>150000</v>
      </c>
      <c r="BC94" s="100" t="n">
        <f aca="false">BB94+BC121</f>
        <v>150000</v>
      </c>
      <c r="BD94" s="100" t="n">
        <f aca="false">BC94+BD121</f>
        <v>150000</v>
      </c>
      <c r="BE94" s="100" t="n">
        <f aca="false">BD94+BE121</f>
        <v>150000</v>
      </c>
      <c r="BF94" s="100" t="n">
        <f aca="false">BE94+BF121</f>
        <v>150000</v>
      </c>
      <c r="BG94" s="100" t="n">
        <f aca="false">BF94+BG121</f>
        <v>150000</v>
      </c>
      <c r="BH94" s="100" t="n">
        <f aca="false">BG94+BH121</f>
        <v>150000</v>
      </c>
      <c r="BI94" s="100" t="n">
        <f aca="false">BH94+BI121</f>
        <v>150000</v>
      </c>
      <c r="BJ94" s="100" t="n">
        <f aca="false">BI94+BJ121</f>
        <v>150000</v>
      </c>
      <c r="BK94" s="100" t="n">
        <f aca="false">BJ94+BK121</f>
        <v>150000</v>
      </c>
      <c r="BL94" s="100" t="n">
        <f aca="false">BK94+BL121</f>
        <v>150000</v>
      </c>
      <c r="BM94" s="100" t="n">
        <f aca="false">BL94+BM121</f>
        <v>150000</v>
      </c>
      <c r="BN94" s="100" t="n">
        <f aca="false">BM94+BN121</f>
        <v>150000</v>
      </c>
      <c r="BO94" s="100" t="n">
        <f aca="false">BN94+BO121</f>
        <v>150000</v>
      </c>
      <c r="BP94" s="100" t="n">
        <f aca="false">BO94+BP121</f>
        <v>150000</v>
      </c>
      <c r="BQ94" s="100" t="n">
        <f aca="false">BP94+BQ121</f>
        <v>150000</v>
      </c>
      <c r="BR94" s="100" t="n">
        <f aca="false">BQ94+BR121</f>
        <v>150000</v>
      </c>
      <c r="BS94" s="100" t="n">
        <f aca="false">BR94+BS121</f>
        <v>150000</v>
      </c>
      <c r="BT94" s="100" t="n">
        <f aca="false">BS94+BT121</f>
        <v>150000</v>
      </c>
      <c r="BU94" s="100" t="n">
        <f aca="false">BT94+BU121</f>
        <v>150000</v>
      </c>
      <c r="BV94" s="100" t="n">
        <f aca="false">BU94+BV121</f>
        <v>150000</v>
      </c>
      <c r="BW94" s="100" t="n">
        <f aca="false">BV94+BW121</f>
        <v>150000</v>
      </c>
      <c r="BX94" s="100" t="n">
        <f aca="false">BW94+BX121</f>
        <v>150000</v>
      </c>
      <c r="BY94" s="100" t="n">
        <f aca="false">BX94+BY121</f>
        <v>150000</v>
      </c>
      <c r="BZ94" s="100" t="n">
        <f aca="false">BY94+BZ121</f>
        <v>150000</v>
      </c>
      <c r="CA94" s="100" t="n">
        <f aca="false">BZ94+CA121</f>
        <v>150000</v>
      </c>
      <c r="CB94" s="100" t="n">
        <f aca="false">CA94+CB121</f>
        <v>150000</v>
      </c>
      <c r="CC94" s="100" t="n">
        <f aca="false">CB94+CC121</f>
        <v>150000</v>
      </c>
      <c r="CD94" s="100" t="n">
        <f aca="false">CC94+CD121</f>
        <v>150000</v>
      </c>
      <c r="CE94" s="100" t="n">
        <f aca="false">CD94+CE121</f>
        <v>150000</v>
      </c>
      <c r="CF94" s="100" t="n">
        <f aca="false">CE94+CF121</f>
        <v>150000</v>
      </c>
      <c r="CG94" s="100" t="n">
        <f aca="false">CF94+CG121</f>
        <v>150000</v>
      </c>
      <c r="CH94" s="100" t="n">
        <f aca="false">CG94+CH121</f>
        <v>150000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6" t="s">
        <v>568</v>
      </c>
      <c r="C96" s="100" t="n">
        <f aca="false">Hipótesis!$D$105</f>
        <v>100000</v>
      </c>
      <c r="D96" s="100" t="n">
        <f aca="false">C96-C97</f>
        <v>100000</v>
      </c>
      <c r="E96" s="100" t="n">
        <f aca="false">D96-D97</f>
        <v>100000</v>
      </c>
      <c r="F96" s="100" t="n">
        <f aca="false">E96-E97</f>
        <v>100000</v>
      </c>
      <c r="G96" s="100" t="n">
        <f aca="false">F96-F97</f>
        <v>100000</v>
      </c>
      <c r="H96" s="100" t="n">
        <f aca="false">G96-G97</f>
        <v>100000</v>
      </c>
      <c r="I96" s="100" t="n">
        <f aca="false">H96-H97</f>
        <v>100000</v>
      </c>
      <c r="J96" s="100" t="n">
        <f aca="false">I96-I97</f>
        <v>100000</v>
      </c>
      <c r="K96" s="100" t="n">
        <f aca="false">J96-J97</f>
        <v>100000</v>
      </c>
      <c r="L96" s="100" t="n">
        <f aca="false">K96-K97</f>
        <v>100000</v>
      </c>
      <c r="M96" s="100" t="n">
        <f aca="false">L96-L97</f>
        <v>100000</v>
      </c>
      <c r="N96" s="100" t="n">
        <f aca="false">M96-M97</f>
        <v>100000</v>
      </c>
      <c r="O96" s="100" t="n">
        <f aca="false">N96-N97</f>
        <v>100000</v>
      </c>
      <c r="P96" s="100" t="n">
        <f aca="false">O96-O97</f>
        <v>100000</v>
      </c>
      <c r="Q96" s="100" t="n">
        <f aca="false">P96-P97</f>
        <v>100000</v>
      </c>
      <c r="R96" s="100" t="n">
        <f aca="false">Q96-Q97</f>
        <v>100000</v>
      </c>
      <c r="S96" s="100" t="n">
        <f aca="false">R96-R97</f>
        <v>100000</v>
      </c>
      <c r="T96" s="100" t="n">
        <f aca="false">S96-S97</f>
        <v>100000</v>
      </c>
      <c r="U96" s="100" t="n">
        <f aca="false">T96-T97</f>
        <v>100000</v>
      </c>
      <c r="V96" s="100" t="n">
        <f aca="false">U96-U97</f>
        <v>100000</v>
      </c>
      <c r="W96" s="100" t="n">
        <f aca="false">V96-V97</f>
        <v>100000</v>
      </c>
      <c r="X96" s="100" t="n">
        <f aca="false">W96-W97</f>
        <v>100000</v>
      </c>
      <c r="Y96" s="100" t="n">
        <f aca="false">X96-X97</f>
        <v>100000</v>
      </c>
      <c r="Z96" s="100" t="n">
        <f aca="false">Y96-Y97</f>
        <v>100000</v>
      </c>
      <c r="AA96" s="100" t="n">
        <f aca="false">Z96-Z97</f>
        <v>100000</v>
      </c>
      <c r="AB96" s="100" t="n">
        <f aca="false">AA96-AA97</f>
        <v>98333.3333333333</v>
      </c>
      <c r="AC96" s="100" t="n">
        <f aca="false">AB96-AB97</f>
        <v>96666.6666666667</v>
      </c>
      <c r="AD96" s="100" t="n">
        <f aca="false">AC96-AC97</f>
        <v>95000</v>
      </c>
      <c r="AE96" s="100" t="n">
        <f aca="false">AD96-AD97</f>
        <v>93333.3333333333</v>
      </c>
      <c r="AF96" s="100" t="n">
        <f aca="false">AE96-AE97</f>
        <v>91666.6666666666</v>
      </c>
      <c r="AG96" s="100" t="n">
        <f aca="false">AF96-AF97</f>
        <v>90000</v>
      </c>
      <c r="AH96" s="100" t="n">
        <f aca="false">AG96-AG97</f>
        <v>88333.3333333333</v>
      </c>
      <c r="AI96" s="100" t="n">
        <f aca="false">AH96-AH97</f>
        <v>86666.6666666666</v>
      </c>
      <c r="AJ96" s="100" t="n">
        <f aca="false">AI96-AI97</f>
        <v>85000</v>
      </c>
      <c r="AK96" s="100" t="n">
        <f aca="false">AJ96-AJ97</f>
        <v>83333.3333333333</v>
      </c>
      <c r="AL96" s="100" t="n">
        <f aca="false">AK96-AK97</f>
        <v>81666.6666666666</v>
      </c>
      <c r="AM96" s="100" t="n">
        <f aca="false">AL96-AL97</f>
        <v>79999.9999999999</v>
      </c>
      <c r="AN96" s="100" t="n">
        <f aca="false">AM96-AM97</f>
        <v>78333.3333333333</v>
      </c>
      <c r="AO96" s="100" t="n">
        <f aca="false">AN96-AN97</f>
        <v>76666.6666666666</v>
      </c>
      <c r="AP96" s="100" t="n">
        <f aca="false">AO96-AO97</f>
        <v>74999.9999999999</v>
      </c>
      <c r="AQ96" s="100" t="n">
        <f aca="false">AP96-AP97</f>
        <v>73333.3333333333</v>
      </c>
      <c r="AR96" s="100" t="n">
        <f aca="false">AQ96-AQ97</f>
        <v>71666.6666666666</v>
      </c>
      <c r="AS96" s="100" t="n">
        <f aca="false">AR96-AR97</f>
        <v>69999.9999999999</v>
      </c>
      <c r="AT96" s="100" t="n">
        <f aca="false">AS96-AS97</f>
        <v>68333.3333333332</v>
      </c>
      <c r="AU96" s="100" t="n">
        <f aca="false">AT96-AT97</f>
        <v>66666.6666666666</v>
      </c>
      <c r="AV96" s="100" t="n">
        <f aca="false">AU96-AU97</f>
        <v>64999.9999999999</v>
      </c>
      <c r="AW96" s="100" t="n">
        <f aca="false">AV96-AV97</f>
        <v>63333.3333333332</v>
      </c>
      <c r="AX96" s="100" t="n">
        <f aca="false">AW96-AW97</f>
        <v>61666.6666666666</v>
      </c>
      <c r="AY96" s="100" t="n">
        <f aca="false">AX96-AX97</f>
        <v>59999.9999999999</v>
      </c>
      <c r="AZ96" s="100" t="n">
        <f aca="false">AY96-AY97</f>
        <v>58333.3333333333</v>
      </c>
      <c r="BA96" s="100" t="n">
        <f aca="false">AZ96-AZ97</f>
        <v>56666.6666666666</v>
      </c>
      <c r="BB96" s="100" t="n">
        <f aca="false">BA96-BA97</f>
        <v>54999.9999999999</v>
      </c>
      <c r="BC96" s="100" t="n">
        <f aca="false">BB96-BB97</f>
        <v>53333.3333333333</v>
      </c>
      <c r="BD96" s="100" t="n">
        <f aca="false">BC96-BC97</f>
        <v>51666.6666666666</v>
      </c>
      <c r="BE96" s="100" t="n">
        <f aca="false">BD96-BD97</f>
        <v>49999.9999999999</v>
      </c>
      <c r="BF96" s="100" t="n">
        <f aca="false">BE96-BE97</f>
        <v>48333.3333333333</v>
      </c>
      <c r="BG96" s="100" t="n">
        <f aca="false">BF96-BF97</f>
        <v>46666.6666666666</v>
      </c>
      <c r="BH96" s="100" t="n">
        <f aca="false">BG96-BG97</f>
        <v>44999.9999999999</v>
      </c>
      <c r="BI96" s="100" t="n">
        <f aca="false">BH96-BH97</f>
        <v>43333.3333333333</v>
      </c>
      <c r="BJ96" s="100" t="n">
        <f aca="false">BI96-BI97</f>
        <v>41666.6666666666</v>
      </c>
      <c r="BK96" s="100" t="n">
        <f aca="false">BJ96-BJ97</f>
        <v>39999.9999999999</v>
      </c>
      <c r="BL96" s="100" t="n">
        <f aca="false">BK96-BK97</f>
        <v>38333.3333333333</v>
      </c>
      <c r="BM96" s="100" t="n">
        <f aca="false">BL96-BL97</f>
        <v>36666.6666666666</v>
      </c>
      <c r="BN96" s="100" t="n">
        <f aca="false">BM96-BM97</f>
        <v>35000</v>
      </c>
      <c r="BO96" s="100" t="n">
        <f aca="false">BN96-BN97</f>
        <v>33333.3333333333</v>
      </c>
      <c r="BP96" s="100" t="n">
        <f aca="false">BO96-BO97</f>
        <v>31666.6666666666</v>
      </c>
      <c r="BQ96" s="100" t="n">
        <f aca="false">BP96-BP97</f>
        <v>30000</v>
      </c>
      <c r="BR96" s="100" t="n">
        <f aca="false">BQ96-BQ97</f>
        <v>28333.3333333333</v>
      </c>
      <c r="BS96" s="100" t="n">
        <f aca="false">BR96-BR97</f>
        <v>26666.6666666666</v>
      </c>
      <c r="BT96" s="100" t="n">
        <f aca="false">BS96-BS97</f>
        <v>24999.9999999999</v>
      </c>
      <c r="BU96" s="100" t="n">
        <f aca="false">BT96-BT97</f>
        <v>23333.3333333333</v>
      </c>
      <c r="BV96" s="100" t="n">
        <f aca="false">BU96-BU97</f>
        <v>21666.6666666666</v>
      </c>
      <c r="BW96" s="100" t="n">
        <f aca="false">BV96-BV97</f>
        <v>19999.9999999999</v>
      </c>
      <c r="BX96" s="100" t="n">
        <f aca="false">BW96-BW97</f>
        <v>18333.3333333333</v>
      </c>
      <c r="BY96" s="100" t="n">
        <f aca="false">BX96-BX97</f>
        <v>16666.6666666666</v>
      </c>
      <c r="BZ96" s="100" t="n">
        <f aca="false">BY96-BY97</f>
        <v>14999.9999999999</v>
      </c>
      <c r="CA96" s="100" t="n">
        <f aca="false">BZ96-BZ97</f>
        <v>13333.3333333333</v>
      </c>
      <c r="CB96" s="100" t="n">
        <f aca="false">CA96-CA97</f>
        <v>11666.6666666666</v>
      </c>
      <c r="CC96" s="100" t="n">
        <f aca="false">CB96-CB97</f>
        <v>9999.99999999994</v>
      </c>
      <c r="CD96" s="100" t="n">
        <f aca="false">CC96-CC97</f>
        <v>8333.33333333328</v>
      </c>
      <c r="CE96" s="100" t="n">
        <f aca="false">CD96-CD97</f>
        <v>6666.66666666661</v>
      </c>
      <c r="CF96" s="100" t="n">
        <f aca="false">CE96-CE97</f>
        <v>4999.99999999994</v>
      </c>
      <c r="CG96" s="100" t="n">
        <f aca="false">CF96-CF97</f>
        <v>3333.33333333328</v>
      </c>
      <c r="CH96" s="100" t="n">
        <f aca="false">CG96-CG97</f>
        <v>1666.66666666661</v>
      </c>
    </row>
    <row r="97" customFormat="false" ht="13.5" hidden="false" customHeight="true" outlineLevel="0" collapsed="false">
      <c r="A97" s="6" t="s">
        <v>569</v>
      </c>
      <c r="C97" s="100" t="n">
        <f aca="false">IF(1&lt;=Hipótesis!$D$109,0,IF(C96&gt;0,MIN(C96,Hipótesis!$D$105/MAX(Hipótesis!$D$108-Hipótesis!$D$109,1)),0))</f>
        <v>0</v>
      </c>
      <c r="D97" s="100" t="n">
        <f aca="false">IF(2&lt;=Hipótesis!$D$109,0,IF(D96&gt;0,MIN(D96,Hipótesis!$D$105/MAX(Hipótesis!$D$108-Hipótesis!$D$109,1)),0))</f>
        <v>0</v>
      </c>
      <c r="E97" s="100" t="n">
        <f aca="false">IF(3&lt;=Hipótesis!$D$109,0,IF(E96&gt;0,MIN(E96,Hipótesis!$D$105/MAX(Hipótesis!$D$108-Hipótesis!$D$109,1)),0))</f>
        <v>0</v>
      </c>
      <c r="F97" s="100" t="n">
        <f aca="false">IF(4&lt;=Hipótesis!$D$109,0,IF(F96&gt;0,MIN(F96,Hipótesis!$D$105/MAX(Hipótesis!$D$108-Hipótesis!$D$109,1)),0))</f>
        <v>0</v>
      </c>
      <c r="G97" s="100" t="n">
        <f aca="false">IF(5&lt;=Hipótesis!$D$109,0,IF(G96&gt;0,MIN(G96,Hipótesis!$D$105/MAX(Hipótesis!$D$108-Hipótesis!$D$109,1)),0))</f>
        <v>0</v>
      </c>
      <c r="H97" s="100" t="n">
        <f aca="false">IF(6&lt;=Hipótesis!$D$109,0,IF(H96&gt;0,MIN(H96,Hipótesis!$D$105/MAX(Hipótesis!$D$108-Hipótesis!$D$109,1)),0))</f>
        <v>0</v>
      </c>
      <c r="I97" s="100" t="n">
        <f aca="false">IF(7&lt;=Hipótesis!$D$109,0,IF(I96&gt;0,MIN(I96,Hipótesis!$D$105/MAX(Hipótesis!$D$108-Hipótesis!$D$109,1)),0))</f>
        <v>0</v>
      </c>
      <c r="J97" s="100" t="n">
        <f aca="false">IF(8&lt;=Hipótesis!$D$109,0,IF(J96&gt;0,MIN(J96,Hipótesis!$D$105/MAX(Hipótesis!$D$108-Hipótesis!$D$109,1)),0))</f>
        <v>0</v>
      </c>
      <c r="K97" s="100" t="n">
        <f aca="false">IF(9&lt;=Hipótesis!$D$109,0,IF(K96&gt;0,MIN(K96,Hipótesis!$D$105/MAX(Hipótesis!$D$108-Hipótesis!$D$109,1)),0))</f>
        <v>0</v>
      </c>
      <c r="L97" s="100" t="n">
        <f aca="false">IF(10&lt;=Hipótesis!$D$109,0,IF(L96&gt;0,MIN(L96,Hipótesis!$D$105/MAX(Hipótesis!$D$108-Hipótesis!$D$109,1)),0))</f>
        <v>0</v>
      </c>
      <c r="M97" s="100" t="n">
        <f aca="false">IF(11&lt;=Hipótesis!$D$109,0,IF(M96&gt;0,MIN(M96,Hipótesis!$D$105/MAX(Hipótesis!$D$108-Hipótesis!$D$109,1)),0))</f>
        <v>0</v>
      </c>
      <c r="N97" s="100" t="n">
        <f aca="false">IF(12&lt;=Hipótesis!$D$109,0,IF(N96&gt;0,MIN(N96,Hipótesis!$D$105/MAX(Hipótesis!$D$108-Hipótesis!$D$109,1)),0))</f>
        <v>0</v>
      </c>
      <c r="O97" s="100" t="n">
        <f aca="false">IF(13&lt;=Hipótesis!$D$109,0,IF(O96&gt;0,MIN(O96,Hipótesis!$D$105/MAX(Hipótesis!$D$108-Hipótesis!$D$109,1)),0))</f>
        <v>0</v>
      </c>
      <c r="P97" s="100" t="n">
        <f aca="false">IF(14&lt;=Hipótesis!$D$109,0,IF(P96&gt;0,MIN(P96,Hipótesis!$D$105/MAX(Hipótesis!$D$108-Hipótesis!$D$109,1)),0))</f>
        <v>0</v>
      </c>
      <c r="Q97" s="100" t="n">
        <f aca="false">IF(15&lt;=Hipótesis!$D$109,0,IF(Q96&gt;0,MIN(Q96,Hipótesis!$D$105/MAX(Hipótesis!$D$108-Hipótesis!$D$109,1)),0))</f>
        <v>0</v>
      </c>
      <c r="R97" s="100" t="n">
        <f aca="false">IF(16&lt;=Hipótesis!$D$109,0,IF(R96&gt;0,MIN(R96,Hipótesis!$D$105/MAX(Hipótesis!$D$108-Hipótesis!$D$109,1)),0))</f>
        <v>0</v>
      </c>
      <c r="S97" s="100" t="n">
        <f aca="false">IF(17&lt;=Hipótesis!$D$109,0,IF(S96&gt;0,MIN(S96,Hipótesis!$D$105/MAX(Hipótesis!$D$108-Hipótesis!$D$109,1)),0))</f>
        <v>0</v>
      </c>
      <c r="T97" s="100" t="n">
        <f aca="false">IF(18&lt;=Hipótesis!$D$109,0,IF(T96&gt;0,MIN(T96,Hipótesis!$D$105/MAX(Hipótesis!$D$108-Hipótesis!$D$109,1)),0))</f>
        <v>0</v>
      </c>
      <c r="U97" s="100" t="n">
        <f aca="false">IF(19&lt;=Hipótesis!$D$109,0,IF(U96&gt;0,MIN(U96,Hipótesis!$D$105/MAX(Hipótesis!$D$108-Hipótesis!$D$109,1)),0))</f>
        <v>0</v>
      </c>
      <c r="V97" s="100" t="n">
        <f aca="false">IF(20&lt;=Hipótesis!$D$109,0,IF(V96&gt;0,MIN(V96,Hipótesis!$D$105/MAX(Hipótesis!$D$108-Hipótesis!$D$109,1)),0))</f>
        <v>0</v>
      </c>
      <c r="W97" s="100" t="n">
        <f aca="false">IF(21&lt;=Hipótesis!$D$109,0,IF(W96&gt;0,MIN(W96,Hipótesis!$D$105/MAX(Hipótesis!$D$108-Hipótesis!$D$109,1)),0))</f>
        <v>0</v>
      </c>
      <c r="X97" s="100" t="n">
        <f aca="false">IF(22&lt;=Hipótesis!$D$109,0,IF(X96&gt;0,MIN(X96,Hipótesis!$D$105/MAX(Hipótesis!$D$108-Hipótesis!$D$109,1)),0))</f>
        <v>0</v>
      </c>
      <c r="Y97" s="100" t="n">
        <f aca="false">IF(23&lt;=Hipótesis!$D$109,0,IF(Y96&gt;0,MIN(Y96,Hipótesis!$D$105/MAX(Hipótesis!$D$108-Hipótesis!$D$109,1)),0))</f>
        <v>0</v>
      </c>
      <c r="Z97" s="100" t="n">
        <f aca="false">IF(24&lt;=Hipótesis!$D$109,0,IF(Z96&gt;0,MIN(Z96,Hipótesis!$D$105/MAX(Hipótesis!$D$108-Hipótesis!$D$109,1)),0))</f>
        <v>0</v>
      </c>
      <c r="AA97" s="100" t="n">
        <f aca="false">IF(25&lt;=Hipótesis!$D$109,0,IF(AA96&gt;0,MIN(AA96,Hipótesis!$D$105/MAX(Hipótesis!$D$108-Hipótesis!$D$109,1)),0))</f>
        <v>1666.66666666667</v>
      </c>
      <c r="AB97" s="100" t="n">
        <f aca="false">IF(26&lt;=Hipótesis!$D$109,0,IF(AB96&gt;0,MIN(AB96,Hipótesis!$D$105/MAX(Hipótesis!$D$108-Hipótesis!$D$109,1)),0))</f>
        <v>1666.66666666667</v>
      </c>
      <c r="AC97" s="100" t="n">
        <f aca="false">IF(27&lt;=Hipótesis!$D$109,0,IF(AC96&gt;0,MIN(AC96,Hipótesis!$D$105/MAX(Hipótesis!$D$108-Hipótesis!$D$109,1)),0))</f>
        <v>1666.66666666667</v>
      </c>
      <c r="AD97" s="100" t="n">
        <f aca="false">IF(28&lt;=Hipótesis!$D$109,0,IF(AD96&gt;0,MIN(AD96,Hipótesis!$D$105/MAX(Hipótesis!$D$108-Hipótesis!$D$109,1)),0))</f>
        <v>1666.66666666667</v>
      </c>
      <c r="AE97" s="100" t="n">
        <f aca="false">IF(29&lt;=Hipótesis!$D$109,0,IF(AE96&gt;0,MIN(AE96,Hipótesis!$D$105/MAX(Hipótesis!$D$108-Hipótesis!$D$109,1)),0))</f>
        <v>1666.66666666667</v>
      </c>
      <c r="AF97" s="100" t="n">
        <f aca="false">IF(30&lt;=Hipótesis!$D$109,0,IF(AF96&gt;0,MIN(AF96,Hipótesis!$D$105/MAX(Hipótesis!$D$108-Hipótesis!$D$109,1)),0))</f>
        <v>1666.66666666667</v>
      </c>
      <c r="AG97" s="100" t="n">
        <f aca="false">IF(31&lt;=Hipótesis!$D$109,0,IF(AG96&gt;0,MIN(AG96,Hipótesis!$D$105/MAX(Hipótesis!$D$108-Hipótesis!$D$109,1)),0))</f>
        <v>1666.66666666667</v>
      </c>
      <c r="AH97" s="100" t="n">
        <f aca="false">IF(32&lt;=Hipótesis!$D$109,0,IF(AH96&gt;0,MIN(AH96,Hipótesis!$D$105/MAX(Hipótesis!$D$108-Hipótesis!$D$109,1)),0))</f>
        <v>1666.66666666667</v>
      </c>
      <c r="AI97" s="100" t="n">
        <f aca="false">IF(33&lt;=Hipótesis!$D$109,0,IF(AI96&gt;0,MIN(AI96,Hipótesis!$D$105/MAX(Hipótesis!$D$108-Hipótesis!$D$109,1)),0))</f>
        <v>1666.66666666667</v>
      </c>
      <c r="AJ97" s="100" t="n">
        <f aca="false">IF(34&lt;=Hipótesis!$D$109,0,IF(AJ96&gt;0,MIN(AJ96,Hipótesis!$D$105/MAX(Hipótesis!$D$108-Hipótesis!$D$109,1)),0))</f>
        <v>1666.66666666667</v>
      </c>
      <c r="AK97" s="100" t="n">
        <f aca="false">IF(35&lt;=Hipótesis!$D$109,0,IF(AK96&gt;0,MIN(AK96,Hipótesis!$D$105/MAX(Hipótesis!$D$108-Hipótesis!$D$109,1)),0))</f>
        <v>1666.66666666667</v>
      </c>
      <c r="AL97" s="100" t="n">
        <f aca="false">IF(36&lt;=Hipótesis!$D$109,0,IF(AL96&gt;0,MIN(AL96,Hipótesis!$D$105/MAX(Hipótesis!$D$108-Hipótesis!$D$109,1)),0))</f>
        <v>1666.66666666667</v>
      </c>
      <c r="AM97" s="100" t="n">
        <f aca="false">IF(37&lt;=Hipótesis!$D$109,0,IF(AM96&gt;0,MIN(AM96,Hipótesis!$D$105/MAX(Hipótesis!$D$108-Hipótesis!$D$109,1)),0))</f>
        <v>1666.66666666667</v>
      </c>
      <c r="AN97" s="100" t="n">
        <f aca="false">IF(38&lt;=Hipótesis!$D$109,0,IF(AN96&gt;0,MIN(AN96,Hipótesis!$D$105/MAX(Hipótesis!$D$108-Hipótesis!$D$109,1)),0))</f>
        <v>1666.66666666667</v>
      </c>
      <c r="AO97" s="100" t="n">
        <f aca="false">IF(39&lt;=Hipótesis!$D$109,0,IF(AO96&gt;0,MIN(AO96,Hipótesis!$D$105/MAX(Hipótesis!$D$108-Hipótesis!$D$109,1)),0))</f>
        <v>1666.66666666667</v>
      </c>
      <c r="AP97" s="100" t="n">
        <f aca="false">IF(40&lt;=Hipótesis!$D$109,0,IF(AP96&gt;0,MIN(AP96,Hipótesis!$D$105/MAX(Hipótesis!$D$108-Hipótesis!$D$109,1)),0))</f>
        <v>1666.66666666667</v>
      </c>
      <c r="AQ97" s="100" t="n">
        <f aca="false">IF(41&lt;=Hipótesis!$D$109,0,IF(AQ96&gt;0,MIN(AQ96,Hipótesis!$D$105/MAX(Hipótesis!$D$108-Hipótesis!$D$109,1)),0))</f>
        <v>1666.66666666667</v>
      </c>
      <c r="AR97" s="100" t="n">
        <f aca="false">IF(42&lt;=Hipótesis!$D$109,0,IF(AR96&gt;0,MIN(AR96,Hipótesis!$D$105/MAX(Hipótesis!$D$108-Hipótesis!$D$109,1)),0))</f>
        <v>1666.66666666667</v>
      </c>
      <c r="AS97" s="100" t="n">
        <f aca="false">IF(43&lt;=Hipótesis!$D$109,0,IF(AS96&gt;0,MIN(AS96,Hipótesis!$D$105/MAX(Hipótesis!$D$108-Hipótesis!$D$109,1)),0))</f>
        <v>1666.66666666667</v>
      </c>
      <c r="AT97" s="100" t="n">
        <f aca="false">IF(44&lt;=Hipótesis!$D$109,0,IF(AT96&gt;0,MIN(AT96,Hipótesis!$D$105/MAX(Hipótesis!$D$108-Hipótesis!$D$109,1)),0))</f>
        <v>1666.66666666667</v>
      </c>
      <c r="AU97" s="100" t="n">
        <f aca="false">IF(45&lt;=Hipótesis!$D$109,0,IF(AU96&gt;0,MIN(AU96,Hipótesis!$D$105/MAX(Hipótesis!$D$108-Hipótesis!$D$109,1)),0))</f>
        <v>1666.66666666667</v>
      </c>
      <c r="AV97" s="100" t="n">
        <f aca="false">IF(46&lt;=Hipótesis!$D$109,0,IF(AV96&gt;0,MIN(AV96,Hipótesis!$D$105/MAX(Hipótesis!$D$108-Hipótesis!$D$109,1)),0))</f>
        <v>1666.66666666667</v>
      </c>
      <c r="AW97" s="100" t="n">
        <f aca="false">IF(47&lt;=Hipótesis!$D$109,0,IF(AW96&gt;0,MIN(AW96,Hipótesis!$D$105/MAX(Hipótesis!$D$108-Hipótesis!$D$109,1)),0))</f>
        <v>1666.66666666667</v>
      </c>
      <c r="AX97" s="100" t="n">
        <f aca="false">IF(48&lt;=Hipótesis!$D$109,0,IF(AX96&gt;0,MIN(AX96,Hipótesis!$D$105/MAX(Hipótesis!$D$108-Hipótesis!$D$109,1)),0))</f>
        <v>1666.66666666667</v>
      </c>
      <c r="AY97" s="100" t="n">
        <f aca="false">IF(49&lt;=Hipótesis!$D$109,0,IF(AY96&gt;0,MIN(AY96,Hipótesis!$D$105/MAX(Hipótesis!$D$108-Hipótesis!$D$109,1)),0))</f>
        <v>1666.66666666667</v>
      </c>
      <c r="AZ97" s="100" t="n">
        <f aca="false">IF(50&lt;=Hipótesis!$D$109,0,IF(AZ96&gt;0,MIN(AZ96,Hipótesis!$D$105/MAX(Hipótesis!$D$108-Hipótesis!$D$109,1)),0))</f>
        <v>1666.66666666667</v>
      </c>
      <c r="BA97" s="100" t="n">
        <f aca="false">IF(51&lt;=Hipótesis!$D$109,0,IF(BA96&gt;0,MIN(BA96,Hipótesis!$D$105/MAX(Hipótesis!$D$108-Hipótesis!$D$109,1)),0))</f>
        <v>1666.66666666667</v>
      </c>
      <c r="BB97" s="100" t="n">
        <f aca="false">IF(52&lt;=Hipótesis!$D$109,0,IF(BB96&gt;0,MIN(BB96,Hipótesis!$D$105/MAX(Hipótesis!$D$108-Hipótesis!$D$109,1)),0))</f>
        <v>1666.66666666667</v>
      </c>
      <c r="BC97" s="100" t="n">
        <f aca="false">IF(53&lt;=Hipótesis!$D$109,0,IF(BC96&gt;0,MIN(BC96,Hipótesis!$D$105/MAX(Hipótesis!$D$108-Hipótesis!$D$109,1)),0))</f>
        <v>1666.66666666667</v>
      </c>
      <c r="BD97" s="100" t="n">
        <f aca="false">IF(54&lt;=Hipótesis!$D$109,0,IF(BD96&gt;0,MIN(BD96,Hipótesis!$D$105/MAX(Hipótesis!$D$108-Hipótesis!$D$109,1)),0))</f>
        <v>1666.66666666667</v>
      </c>
      <c r="BE97" s="100" t="n">
        <f aca="false">IF(55&lt;=Hipótesis!$D$109,0,IF(BE96&gt;0,MIN(BE96,Hipótesis!$D$105/MAX(Hipótesis!$D$108-Hipótesis!$D$109,1)),0))</f>
        <v>1666.66666666667</v>
      </c>
      <c r="BF97" s="100" t="n">
        <f aca="false">IF(56&lt;=Hipótesis!$D$109,0,IF(BF96&gt;0,MIN(BF96,Hipótesis!$D$105/MAX(Hipótesis!$D$108-Hipótesis!$D$109,1)),0))</f>
        <v>1666.66666666667</v>
      </c>
      <c r="BG97" s="100" t="n">
        <f aca="false">IF(57&lt;=Hipótesis!$D$109,0,IF(BG96&gt;0,MIN(BG96,Hipótesis!$D$105/MAX(Hipótesis!$D$108-Hipótesis!$D$109,1)),0))</f>
        <v>1666.66666666667</v>
      </c>
      <c r="BH97" s="100" t="n">
        <f aca="false">IF(58&lt;=Hipótesis!$D$109,0,IF(BH96&gt;0,MIN(BH96,Hipótesis!$D$105/MAX(Hipótesis!$D$108-Hipótesis!$D$109,1)),0))</f>
        <v>1666.66666666667</v>
      </c>
      <c r="BI97" s="100" t="n">
        <f aca="false">IF(59&lt;=Hipótesis!$D$109,0,IF(BI96&gt;0,MIN(BI96,Hipótesis!$D$105/MAX(Hipótesis!$D$108-Hipótesis!$D$109,1)),0))</f>
        <v>1666.66666666667</v>
      </c>
      <c r="BJ97" s="100" t="n">
        <f aca="false">IF(60&lt;=Hipótesis!$D$109,0,IF(BJ96&gt;0,MIN(BJ96,Hipótesis!$D$105/MAX(Hipótesis!$D$108-Hipótesis!$D$109,1)),0))</f>
        <v>1666.66666666667</v>
      </c>
      <c r="BK97" s="100" t="n">
        <f aca="false">IF(61&lt;=Hipótesis!$D$109,0,IF(BK96&gt;0,MIN(BK96,Hipótesis!$D$105/MAX(Hipótesis!$D$108-Hipótesis!$D$109,1)),0))</f>
        <v>1666.66666666667</v>
      </c>
      <c r="BL97" s="100" t="n">
        <f aca="false">IF(62&lt;=Hipótesis!$D$109,0,IF(BL96&gt;0,MIN(BL96,Hipótesis!$D$105/MAX(Hipótesis!$D$108-Hipótesis!$D$109,1)),0))</f>
        <v>1666.66666666667</v>
      </c>
      <c r="BM97" s="100" t="n">
        <f aca="false">IF(63&lt;=Hipótesis!$D$109,0,IF(BM96&gt;0,MIN(BM96,Hipótesis!$D$105/MAX(Hipótesis!$D$108-Hipótesis!$D$109,1)),0))</f>
        <v>1666.66666666667</v>
      </c>
      <c r="BN97" s="100" t="n">
        <f aca="false">IF(64&lt;=Hipótesis!$D$109,0,IF(BN96&gt;0,MIN(BN96,Hipótesis!$D$105/MAX(Hipótesis!$D$108-Hipótesis!$D$109,1)),0))</f>
        <v>1666.66666666667</v>
      </c>
      <c r="BO97" s="100" t="n">
        <f aca="false">IF(65&lt;=Hipótesis!$D$109,0,IF(BO96&gt;0,MIN(BO96,Hipótesis!$D$105/MAX(Hipótesis!$D$108-Hipótesis!$D$109,1)),0))</f>
        <v>1666.66666666667</v>
      </c>
      <c r="BP97" s="100" t="n">
        <f aca="false">IF(66&lt;=Hipótesis!$D$109,0,IF(BP96&gt;0,MIN(BP96,Hipótesis!$D$105/MAX(Hipótesis!$D$108-Hipótesis!$D$109,1)),0))</f>
        <v>1666.66666666667</v>
      </c>
      <c r="BQ97" s="100" t="n">
        <f aca="false">IF(67&lt;=Hipótesis!$D$109,0,IF(BQ96&gt;0,MIN(BQ96,Hipótesis!$D$105/MAX(Hipótesis!$D$108-Hipótesis!$D$109,1)),0))</f>
        <v>1666.66666666667</v>
      </c>
      <c r="BR97" s="100" t="n">
        <f aca="false">IF(68&lt;=Hipótesis!$D$109,0,IF(BR96&gt;0,MIN(BR96,Hipótesis!$D$105/MAX(Hipótesis!$D$108-Hipótesis!$D$109,1)),0))</f>
        <v>1666.66666666667</v>
      </c>
      <c r="BS97" s="100" t="n">
        <f aca="false">IF(69&lt;=Hipótesis!$D$109,0,IF(BS96&gt;0,MIN(BS96,Hipótesis!$D$105/MAX(Hipótesis!$D$108-Hipótesis!$D$109,1)),0))</f>
        <v>1666.66666666667</v>
      </c>
      <c r="BT97" s="100" t="n">
        <f aca="false">IF(70&lt;=Hipótesis!$D$109,0,IF(BT96&gt;0,MIN(BT96,Hipótesis!$D$105/MAX(Hipótesis!$D$108-Hipótesis!$D$109,1)),0))</f>
        <v>1666.66666666667</v>
      </c>
      <c r="BU97" s="100" t="n">
        <f aca="false">IF(71&lt;=Hipótesis!$D$109,0,IF(BU96&gt;0,MIN(BU96,Hipótesis!$D$105/MAX(Hipótesis!$D$108-Hipótesis!$D$109,1)),0))</f>
        <v>1666.66666666667</v>
      </c>
      <c r="BV97" s="100" t="n">
        <f aca="false">IF(72&lt;=Hipótesis!$D$109,0,IF(BV96&gt;0,MIN(BV96,Hipótesis!$D$105/MAX(Hipótesis!$D$108-Hipótesis!$D$109,1)),0))</f>
        <v>1666.66666666667</v>
      </c>
      <c r="BW97" s="100" t="n">
        <f aca="false">IF(73&lt;=Hipótesis!$D$109,0,IF(BW96&gt;0,MIN(BW96,Hipótesis!$D$105/MAX(Hipótesis!$D$108-Hipótesis!$D$109,1)),0))</f>
        <v>1666.66666666667</v>
      </c>
      <c r="BX97" s="100" t="n">
        <f aca="false">IF(74&lt;=Hipótesis!$D$109,0,IF(BX96&gt;0,MIN(BX96,Hipótesis!$D$105/MAX(Hipótesis!$D$108-Hipótesis!$D$109,1)),0))</f>
        <v>1666.66666666667</v>
      </c>
      <c r="BY97" s="100" t="n">
        <f aca="false">IF(75&lt;=Hipótesis!$D$109,0,IF(BY96&gt;0,MIN(BY96,Hipótesis!$D$105/MAX(Hipótesis!$D$108-Hipótesis!$D$109,1)),0))</f>
        <v>1666.66666666667</v>
      </c>
      <c r="BZ97" s="100" t="n">
        <f aca="false">IF(76&lt;=Hipótesis!$D$109,0,IF(BZ96&gt;0,MIN(BZ96,Hipótesis!$D$105/MAX(Hipótesis!$D$108-Hipótesis!$D$109,1)),0))</f>
        <v>1666.66666666667</v>
      </c>
      <c r="CA97" s="100" t="n">
        <f aca="false">IF(77&lt;=Hipótesis!$D$109,0,IF(CA96&gt;0,MIN(CA96,Hipótesis!$D$105/MAX(Hipótesis!$D$108-Hipótesis!$D$109,1)),0))</f>
        <v>1666.66666666667</v>
      </c>
      <c r="CB97" s="100" t="n">
        <f aca="false">IF(78&lt;=Hipótesis!$D$109,0,IF(CB96&gt;0,MIN(CB96,Hipótesis!$D$105/MAX(Hipótesis!$D$108-Hipótesis!$D$109,1)),0))</f>
        <v>1666.66666666667</v>
      </c>
      <c r="CC97" s="100" t="n">
        <f aca="false">IF(79&lt;=Hipótesis!$D$109,0,IF(CC96&gt;0,MIN(CC96,Hipótesis!$D$105/MAX(Hipótesis!$D$108-Hipótesis!$D$109,1)),0))</f>
        <v>1666.66666666667</v>
      </c>
      <c r="CD97" s="100" t="n">
        <f aca="false">IF(80&lt;=Hipótesis!$D$109,0,IF(CD96&gt;0,MIN(CD96,Hipótesis!$D$105/MAX(Hipótesis!$D$108-Hipótesis!$D$109,1)),0))</f>
        <v>1666.66666666667</v>
      </c>
      <c r="CE97" s="100" t="n">
        <f aca="false">IF(81&lt;=Hipótesis!$D$109,0,IF(CE96&gt;0,MIN(CE96,Hipótesis!$D$105/MAX(Hipótesis!$D$108-Hipótesis!$D$109,1)),0))</f>
        <v>1666.66666666667</v>
      </c>
      <c r="CF97" s="100" t="n">
        <f aca="false">IF(82&lt;=Hipótesis!$D$109,0,IF(CF96&gt;0,MIN(CF96,Hipótesis!$D$105/MAX(Hipótesis!$D$108-Hipótesis!$D$109,1)),0))</f>
        <v>1666.66666666667</v>
      </c>
      <c r="CG97" s="100" t="n">
        <f aca="false">IF(83&lt;=Hipótesis!$D$109,0,IF(CG96&gt;0,MIN(CG96,Hipótesis!$D$105/MAX(Hipótesis!$D$108-Hipótesis!$D$109,1)),0))</f>
        <v>1666.66666666667</v>
      </c>
      <c r="CH97" s="100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6" t="s">
        <v>570</v>
      </c>
      <c r="C98" s="100" t="n">
        <f aca="false">C96*Hipótesis!$D$106/12+IF(C96&gt;0,Hipótesis!$D$107*MAX(0,C56),0)</f>
        <v>333.333333333333</v>
      </c>
      <c r="D98" s="100" t="n">
        <f aca="false">D96*Hipótesis!$D$106/12+IF(D96&gt;0,Hipótesis!$D$107*MAX(0,D56),0)</f>
        <v>333.333333333333</v>
      </c>
      <c r="E98" s="100" t="n">
        <f aca="false">E96*Hipótesis!$D$106/12+IF(E96&gt;0,Hipótesis!$D$107*MAX(0,E56),0)</f>
        <v>333.333333333333</v>
      </c>
      <c r="F98" s="100" t="n">
        <f aca="false">F96*Hipótesis!$D$106/12+IF(F96&gt;0,Hipótesis!$D$107*MAX(0,F56),0)</f>
        <v>333.333333333333</v>
      </c>
      <c r="G98" s="100" t="n">
        <f aca="false">G96*Hipótesis!$D$106/12+IF(G96&gt;0,Hipótesis!$D$107*MAX(0,G56),0)</f>
        <v>333.333333333333</v>
      </c>
      <c r="H98" s="100" t="n">
        <f aca="false">H96*Hipótesis!$D$106/12+IF(H96&gt;0,Hipótesis!$D$107*MAX(0,H56),0)</f>
        <v>333.333333333333</v>
      </c>
      <c r="I98" s="100" t="n">
        <f aca="false">I96*Hipótesis!$D$106/12+IF(I96&gt;0,Hipótesis!$D$107*MAX(0,I56),0)</f>
        <v>333.333333333333</v>
      </c>
      <c r="J98" s="100" t="n">
        <f aca="false">J96*Hipótesis!$D$106/12+IF(J96&gt;0,Hipótesis!$D$107*MAX(0,J56),0)</f>
        <v>333.333333333333</v>
      </c>
      <c r="K98" s="100" t="n">
        <f aca="false">K96*Hipótesis!$D$106/12+IF(K96&gt;0,Hipótesis!$D$107*MAX(0,K56),0)</f>
        <v>333.333333333333</v>
      </c>
      <c r="L98" s="100" t="n">
        <f aca="false">L96*Hipótesis!$D$106/12+IF(L96&gt;0,Hipótesis!$D$107*MAX(0,L56),0)</f>
        <v>333.333333333333</v>
      </c>
      <c r="M98" s="100" t="n">
        <f aca="false">M96*Hipótesis!$D$106/12+IF(M96&gt;0,Hipótesis!$D$107*MAX(0,M56),0)</f>
        <v>333.333333333333</v>
      </c>
      <c r="N98" s="100" t="n">
        <f aca="false">N96*Hipótesis!$D$106/12+IF(N96&gt;0,Hipótesis!$D$107*MAX(0,N56),0)</f>
        <v>343.940172297105</v>
      </c>
      <c r="O98" s="100" t="n">
        <f aca="false">O96*Hipótesis!$D$106/12+IF(O96&gt;0,Hipótesis!$D$107*MAX(0,O56),0)</f>
        <v>333.333333333333</v>
      </c>
      <c r="P98" s="100" t="n">
        <f aca="false">P96*Hipótesis!$D$106/12+IF(P96&gt;0,Hipótesis!$D$107*MAX(0,P56),0)</f>
        <v>333.333333333333</v>
      </c>
      <c r="Q98" s="100" t="n">
        <f aca="false">Q96*Hipótesis!$D$106/12+IF(Q96&gt;0,Hipótesis!$D$107*MAX(0,Q56),0)</f>
        <v>333.333333333333</v>
      </c>
      <c r="R98" s="100" t="n">
        <f aca="false">R96*Hipótesis!$D$106/12+IF(R96&gt;0,Hipótesis!$D$107*MAX(0,R56),0)</f>
        <v>334.554213434584</v>
      </c>
      <c r="S98" s="100" t="n">
        <f aca="false">S96*Hipótesis!$D$106/12+IF(S96&gt;0,Hipótesis!$D$107*MAX(0,S56),0)</f>
        <v>369.10551218216</v>
      </c>
      <c r="T98" s="100" t="n">
        <f aca="false">T96*Hipótesis!$D$106/12+IF(T96&gt;0,Hipótesis!$D$107*MAX(0,T56),0)</f>
        <v>357.430410929735</v>
      </c>
      <c r="U98" s="100" t="n">
        <f aca="false">U96*Hipótesis!$D$106/12+IF(U96&gt;0,Hipótesis!$D$107*MAX(0,U56),0)</f>
        <v>391.981709677311</v>
      </c>
      <c r="V98" s="100" t="n">
        <f aca="false">V96*Hipótesis!$D$106/12+IF(V96&gt;0,Hipótesis!$D$107*MAX(0,V56),0)</f>
        <v>372.149008424886</v>
      </c>
      <c r="W98" s="100" t="n">
        <f aca="false">W96*Hipótesis!$D$106/12+IF(W96&gt;0,Hipótesis!$D$107*MAX(0,W56),0)</f>
        <v>406.700307172461</v>
      </c>
      <c r="X98" s="100" t="n">
        <f aca="false">X96*Hipótesis!$D$106/12+IF(X96&gt;0,Hipótesis!$D$107*MAX(0,X56),0)</f>
        <v>383.726501929853</v>
      </c>
      <c r="Y98" s="100" t="n">
        <f aca="false">Y96*Hipótesis!$D$106/12+IF(Y96&gt;0,Hipótesis!$D$107*MAX(0,Y56),0)</f>
        <v>406.979096687246</v>
      </c>
      <c r="Z98" s="100" t="n">
        <f aca="false">Z96*Hipótesis!$D$106/12+IF(Z96&gt;0,Hipótesis!$D$107*MAX(0,Z56),0)</f>
        <v>426.182009848565</v>
      </c>
      <c r="AA98" s="100" t="n">
        <f aca="false">AA96*Hipótesis!$D$106/12+IF(AA96&gt;0,Hipótesis!$D$107*MAX(0,AA56),0)</f>
        <v>396.974715009884</v>
      </c>
      <c r="AB98" s="100" t="n">
        <f aca="false">AB96*Hipótesis!$D$106/12+IF(AB96&gt;0,Hipótesis!$D$107*MAX(0,AB56),0)</f>
        <v>410.622072615647</v>
      </c>
      <c r="AC98" s="100" t="n">
        <f aca="false">AC96*Hipótesis!$D$106/12+IF(AC96&gt;0,Hipótesis!$D$107*MAX(0,AC56),0)</f>
        <v>424.269430221411</v>
      </c>
      <c r="AD98" s="100" t="n">
        <f aca="false">AD96*Hipótesis!$D$106/12+IF(AD96&gt;0,Hipótesis!$D$107*MAX(0,AD56),0)</f>
        <v>437.916787827174</v>
      </c>
      <c r="AE98" s="100" t="n">
        <f aca="false">AE96*Hipótesis!$D$106/12+IF(AE96&gt;0,Hipótesis!$D$107*MAX(0,AE56),0)</f>
        <v>403.950953432938</v>
      </c>
      <c r="AF98" s="100" t="n">
        <f aca="false">AF96*Hipótesis!$D$106/12+IF(AF96&gt;0,Hipótesis!$D$107*MAX(0,AF56),0)</f>
        <v>417.598311038701</v>
      </c>
      <c r="AG98" s="100" t="n">
        <f aca="false">AG96*Hipótesis!$D$106/12+IF(AG96&gt;0,Hipótesis!$D$107*MAX(0,AG56),0)</f>
        <v>431.245668644464</v>
      </c>
      <c r="AH98" s="100" t="n">
        <f aca="false">AH96*Hipótesis!$D$106/12+IF(AH96&gt;0,Hipótesis!$D$107*MAX(0,AH56),0)</f>
        <v>444.893026250228</v>
      </c>
      <c r="AI98" s="100" t="n">
        <f aca="false">AI96*Hipótesis!$D$106/12+IF(AI96&gt;0,Hipótesis!$D$107*MAX(0,AI56),0)</f>
        <v>458.540383855991</v>
      </c>
      <c r="AJ98" s="100" t="n">
        <f aca="false">AJ96*Hipótesis!$D$106/12+IF(AJ96&gt;0,Hipótesis!$D$107*MAX(0,AJ56),0)</f>
        <v>472.187741461754</v>
      </c>
      <c r="AK98" s="100" t="n">
        <f aca="false">AK96*Hipótesis!$D$106/12+IF(AK96&gt;0,Hipótesis!$D$107*MAX(0,AK56),0)</f>
        <v>485.835099067518</v>
      </c>
      <c r="AL98" s="100" t="n">
        <f aca="false">AL96*Hipótesis!$D$106/12+IF(AL96&gt;0,Hipótesis!$D$107*MAX(0,AL56),0)</f>
        <v>499.482456673281</v>
      </c>
      <c r="AM98" s="100" t="n">
        <f aca="false">AM96*Hipótesis!$D$106/12+IF(AM96&gt;0,Hipótesis!$D$107*MAX(0,AM56),0)</f>
        <v>413.985316519045</v>
      </c>
      <c r="AN98" s="100" t="n">
        <f aca="false">AN96*Hipótesis!$D$106/12+IF(AN96&gt;0,Hipótesis!$D$107*MAX(0,AN56),0)</f>
        <v>427.632674124808</v>
      </c>
      <c r="AO98" s="100" t="n">
        <f aca="false">AO96*Hipótesis!$D$106/12+IF(AO96&gt;0,Hipótesis!$D$107*MAX(0,AO56),0)</f>
        <v>441.280031730572</v>
      </c>
      <c r="AP98" s="100" t="n">
        <f aca="false">AP96*Hipótesis!$D$106/12+IF(AP96&gt;0,Hipótesis!$D$107*MAX(0,AP56),0)</f>
        <v>454.927389336335</v>
      </c>
      <c r="AQ98" s="100" t="n">
        <f aca="false">AQ96*Hipótesis!$D$106/12+IF(AQ96&gt;0,Hipótesis!$D$107*MAX(0,AQ56),0)</f>
        <v>468.574746942098</v>
      </c>
      <c r="AR98" s="100" t="n">
        <f aca="false">AR96*Hipótesis!$D$106/12+IF(AR96&gt;0,Hipótesis!$D$107*MAX(0,AR56),0)</f>
        <v>482.222104547862</v>
      </c>
      <c r="AS98" s="100" t="n">
        <f aca="false">AS96*Hipótesis!$D$106/12+IF(AS96&gt;0,Hipótesis!$D$107*MAX(0,AS56),0)</f>
        <v>476.666548992306</v>
      </c>
      <c r="AT98" s="100" t="n">
        <f aca="false">AT96*Hipótesis!$D$106/12+IF(AT96&gt;0,Hipótesis!$D$107*MAX(0,AT56),0)</f>
        <v>471.110993436751</v>
      </c>
      <c r="AU98" s="100" t="n">
        <f aca="false">AU96*Hipótesis!$D$106/12+IF(AU96&gt;0,Hipótesis!$D$107*MAX(0,AU56),0)</f>
        <v>465.555437881195</v>
      </c>
      <c r="AV98" s="100" t="n">
        <f aca="false">AV96*Hipótesis!$D$106/12+IF(AV96&gt;0,Hipótesis!$D$107*MAX(0,AV56),0)</f>
        <v>459.99988232564</v>
      </c>
      <c r="AW98" s="100" t="n">
        <f aca="false">AW96*Hipótesis!$D$106/12+IF(AW96&gt;0,Hipótesis!$D$107*MAX(0,AW56),0)</f>
        <v>454.444326770084</v>
      </c>
      <c r="AX98" s="100" t="n">
        <f aca="false">AX96*Hipótesis!$D$106/12+IF(AX96&gt;0,Hipótesis!$D$107*MAX(0,AX56),0)</f>
        <v>448.888771214529</v>
      </c>
      <c r="AY98" s="100" t="n">
        <f aca="false">AY96*Hipótesis!$D$106/12+IF(AY96&gt;0,Hipótesis!$D$107*MAX(0,AY56),0)</f>
        <v>391.443970726173</v>
      </c>
      <c r="AZ98" s="100" t="n">
        <f aca="false">AZ96*Hipótesis!$D$106/12+IF(AZ96&gt;0,Hipótesis!$D$107*MAX(0,AZ56),0)</f>
        <v>385.888415170617</v>
      </c>
      <c r="BA98" s="100" t="n">
        <f aca="false">BA96*Hipótesis!$D$106/12+IF(BA96&gt;0,Hipótesis!$D$107*MAX(0,BA56),0)</f>
        <v>380.332859615062</v>
      </c>
      <c r="BB98" s="100" t="n">
        <f aca="false">BB96*Hipótesis!$D$106/12+IF(BB96&gt;0,Hipótesis!$D$107*MAX(0,BB56),0)</f>
        <v>374.777304059506</v>
      </c>
      <c r="BC98" s="100" t="n">
        <f aca="false">BC96*Hipótesis!$D$106/12+IF(BC96&gt;0,Hipótesis!$D$107*MAX(0,BC56),0)</f>
        <v>369.221748503951</v>
      </c>
      <c r="BD98" s="100" t="n">
        <f aca="false">BD96*Hipótesis!$D$106/12+IF(BD96&gt;0,Hipótesis!$D$107*MAX(0,BD56),0)</f>
        <v>363.666192948395</v>
      </c>
      <c r="BE98" s="100" t="n">
        <f aca="false">BE96*Hipótesis!$D$106/12+IF(BE96&gt;0,Hipótesis!$D$107*MAX(0,BE56),0)</f>
        <v>358.11063739284</v>
      </c>
      <c r="BF98" s="100" t="n">
        <f aca="false">BF96*Hipótesis!$D$106/12+IF(BF96&gt;0,Hipótesis!$D$107*MAX(0,BF56),0)</f>
        <v>352.555081837284</v>
      </c>
      <c r="BG98" s="100" t="n">
        <f aca="false">BG96*Hipótesis!$D$106/12+IF(BG96&gt;0,Hipótesis!$D$107*MAX(0,BG56),0)</f>
        <v>346.999526281729</v>
      </c>
      <c r="BH98" s="100" t="n">
        <f aca="false">BH96*Hipótesis!$D$106/12+IF(BH96&gt;0,Hipótesis!$D$107*MAX(0,BH56),0)</f>
        <v>341.443970726173</v>
      </c>
      <c r="BI98" s="100" t="n">
        <f aca="false">BI96*Hipótesis!$D$106/12+IF(BI96&gt;0,Hipótesis!$D$107*MAX(0,BI56),0)</f>
        <v>335.888415170618</v>
      </c>
      <c r="BJ98" s="100" t="n">
        <f aca="false">BJ96*Hipótesis!$D$106/12+IF(BJ96&gt;0,Hipótesis!$D$107*MAX(0,BJ56),0)</f>
        <v>330.332859615062</v>
      </c>
      <c r="BK98" s="100" t="n">
        <f aca="false">BK96*Hipótesis!$D$106/12+IF(BK96&gt;0,Hipótesis!$D$107*MAX(0,BK56),0)</f>
        <v>272.519381778723</v>
      </c>
      <c r="BL98" s="100" t="n">
        <f aca="false">BL96*Hipótesis!$D$106/12+IF(BL96&gt;0,Hipótesis!$D$107*MAX(0,BL56),0)</f>
        <v>266.963826223167</v>
      </c>
      <c r="BM98" s="100" t="n">
        <f aca="false">BM96*Hipótesis!$D$106/12+IF(BM96&gt;0,Hipótesis!$D$107*MAX(0,BM56),0)</f>
        <v>261.408270667611</v>
      </c>
      <c r="BN98" s="100" t="n">
        <f aca="false">BN96*Hipótesis!$D$106/12+IF(BN96&gt;0,Hipótesis!$D$107*MAX(0,BN56),0)</f>
        <v>255.852715112056</v>
      </c>
      <c r="BO98" s="100" t="n">
        <f aca="false">BO96*Hipótesis!$D$106/12+IF(BO96&gt;0,Hipótesis!$D$107*MAX(0,BO56),0)</f>
        <v>250.2971595565</v>
      </c>
      <c r="BP98" s="100" t="n">
        <f aca="false">BP96*Hipótesis!$D$106/12+IF(BP96&gt;0,Hipótesis!$D$107*MAX(0,BP56),0)</f>
        <v>244.741604000945</v>
      </c>
      <c r="BQ98" s="100" t="n">
        <f aca="false">BQ96*Hipótesis!$D$106/12+IF(BQ96&gt;0,Hipótesis!$D$107*MAX(0,BQ56),0)</f>
        <v>239.186048445389</v>
      </c>
      <c r="BR98" s="100" t="n">
        <f aca="false">BR96*Hipótesis!$D$106/12+IF(BR96&gt;0,Hipótesis!$D$107*MAX(0,BR56),0)</f>
        <v>233.630492889834</v>
      </c>
      <c r="BS98" s="100" t="n">
        <f aca="false">BS96*Hipótesis!$D$106/12+IF(BS96&gt;0,Hipótesis!$D$107*MAX(0,BS56),0)</f>
        <v>228.074937334278</v>
      </c>
      <c r="BT98" s="100" t="n">
        <f aca="false">BT96*Hipótesis!$D$106/12+IF(BT96&gt;0,Hipótesis!$D$107*MAX(0,BT56),0)</f>
        <v>222.519381778723</v>
      </c>
      <c r="BU98" s="100" t="n">
        <f aca="false">BU96*Hipótesis!$D$106/12+IF(BU96&gt;0,Hipótesis!$D$107*MAX(0,BU56),0)</f>
        <v>216.963826223167</v>
      </c>
      <c r="BV98" s="100" t="n">
        <f aca="false">BV96*Hipótesis!$D$106/12+IF(BV96&gt;0,Hipótesis!$D$107*MAX(0,BV56),0)</f>
        <v>211.408270667611</v>
      </c>
      <c r="BW98" s="100" t="n">
        <f aca="false">BW96*Hipótesis!$D$106/12+IF(BW96&gt;0,Hipótesis!$D$107*MAX(0,BW56),0)</f>
        <v>153.215055162848</v>
      </c>
      <c r="BX98" s="100" t="n">
        <f aca="false">BX96*Hipótesis!$D$106/12+IF(BX96&gt;0,Hipótesis!$D$107*MAX(0,BX56),0)</f>
        <v>147.659499607293</v>
      </c>
      <c r="BY98" s="100" t="n">
        <f aca="false">BY96*Hipótesis!$D$106/12+IF(BY96&gt;0,Hipótesis!$D$107*MAX(0,BY56),0)</f>
        <v>142.103944051737</v>
      </c>
      <c r="BZ98" s="100" t="n">
        <f aca="false">BZ96*Hipótesis!$D$106/12+IF(BZ96&gt;0,Hipótesis!$D$107*MAX(0,BZ56),0)</f>
        <v>136.548388496182</v>
      </c>
      <c r="CA98" s="100" t="n">
        <f aca="false">CA96*Hipótesis!$D$106/12+IF(CA96&gt;0,Hipótesis!$D$107*MAX(0,CA56),0)</f>
        <v>130.992832940626</v>
      </c>
      <c r="CB98" s="100" t="n">
        <f aca="false">CB96*Hipótesis!$D$106/12+IF(CB96&gt;0,Hipótesis!$D$107*MAX(0,CB56),0)</f>
        <v>125.43727738507</v>
      </c>
      <c r="CC98" s="100" t="n">
        <f aca="false">CC96*Hipótesis!$D$106/12+IF(CC96&gt;0,Hipótesis!$D$107*MAX(0,CC56),0)</f>
        <v>119.881721829515</v>
      </c>
      <c r="CD98" s="100" t="n">
        <f aca="false">CD96*Hipótesis!$D$106/12+IF(CD96&gt;0,Hipótesis!$D$107*MAX(0,CD56),0)</f>
        <v>114.326166273959</v>
      </c>
      <c r="CE98" s="100" t="n">
        <f aca="false">CE96*Hipótesis!$D$106/12+IF(CE96&gt;0,Hipótesis!$D$107*MAX(0,CE56),0)</f>
        <v>108.770610718404</v>
      </c>
      <c r="CF98" s="100" t="n">
        <f aca="false">CF96*Hipótesis!$D$106/12+IF(CF96&gt;0,Hipótesis!$D$107*MAX(0,CF56),0)</f>
        <v>103.215055162848</v>
      </c>
      <c r="CG98" s="100" t="n">
        <f aca="false">CG96*Hipótesis!$D$106/12+IF(CG96&gt;0,Hipótesis!$D$107*MAX(0,CG56),0)</f>
        <v>97.6594996072926</v>
      </c>
      <c r="CH98" s="100" t="n">
        <f aca="false">CH96*Hipótesis!$D$106/12+IF(CH96&gt;0,Hipótesis!$D$107*MAX(0,CH56),0)</f>
        <v>92.1039440517371</v>
      </c>
    </row>
    <row r="99" customFormat="false" ht="13.5" hidden="false" customHeight="true" outlineLevel="0" collapsed="false">
      <c r="A99" s="6" t="s">
        <v>571</v>
      </c>
      <c r="C99" s="100" t="n">
        <f aca="false">C97+C98</f>
        <v>333.333333333333</v>
      </c>
      <c r="D99" s="100" t="n">
        <f aca="false">D97+D98</f>
        <v>333.333333333333</v>
      </c>
      <c r="E99" s="100" t="n">
        <f aca="false">E97+E98</f>
        <v>333.333333333333</v>
      </c>
      <c r="F99" s="100" t="n">
        <f aca="false">F97+F98</f>
        <v>333.333333333333</v>
      </c>
      <c r="G99" s="100" t="n">
        <f aca="false">G97+G98</f>
        <v>333.333333333333</v>
      </c>
      <c r="H99" s="100" t="n">
        <f aca="false">H97+H98</f>
        <v>333.333333333333</v>
      </c>
      <c r="I99" s="100" t="n">
        <f aca="false">I97+I98</f>
        <v>333.333333333333</v>
      </c>
      <c r="J99" s="100" t="n">
        <f aca="false">J97+J98</f>
        <v>333.333333333333</v>
      </c>
      <c r="K99" s="100" t="n">
        <f aca="false">K97+K98</f>
        <v>333.333333333333</v>
      </c>
      <c r="L99" s="100" t="n">
        <f aca="false">L97+L98</f>
        <v>333.333333333333</v>
      </c>
      <c r="M99" s="100" t="n">
        <f aca="false">M97+M98</f>
        <v>333.333333333333</v>
      </c>
      <c r="N99" s="100" t="n">
        <f aca="false">N97+N98</f>
        <v>343.940172297105</v>
      </c>
      <c r="O99" s="100" t="n">
        <f aca="false">O97+O98</f>
        <v>333.333333333333</v>
      </c>
      <c r="P99" s="100" t="n">
        <f aca="false">P97+P98</f>
        <v>333.333333333333</v>
      </c>
      <c r="Q99" s="100" t="n">
        <f aca="false">Q97+Q98</f>
        <v>333.333333333333</v>
      </c>
      <c r="R99" s="100" t="n">
        <f aca="false">R97+R98</f>
        <v>334.554213434584</v>
      </c>
      <c r="S99" s="100" t="n">
        <f aca="false">S97+S98</f>
        <v>369.10551218216</v>
      </c>
      <c r="T99" s="100" t="n">
        <f aca="false">T97+T98</f>
        <v>357.430410929735</v>
      </c>
      <c r="U99" s="100" t="n">
        <f aca="false">U97+U98</f>
        <v>391.981709677311</v>
      </c>
      <c r="V99" s="100" t="n">
        <f aca="false">V97+V98</f>
        <v>372.149008424886</v>
      </c>
      <c r="W99" s="100" t="n">
        <f aca="false">W97+W98</f>
        <v>406.700307172461</v>
      </c>
      <c r="X99" s="100" t="n">
        <f aca="false">X97+X98</f>
        <v>383.726501929853</v>
      </c>
      <c r="Y99" s="100" t="n">
        <f aca="false">Y97+Y98</f>
        <v>406.979096687246</v>
      </c>
      <c r="Z99" s="100" t="n">
        <f aca="false">Z97+Z98</f>
        <v>426.182009848565</v>
      </c>
      <c r="AA99" s="100" t="n">
        <f aca="false">AA97+AA98</f>
        <v>2063.64138167655</v>
      </c>
      <c r="AB99" s="100" t="n">
        <f aca="false">AB97+AB98</f>
        <v>2077.28873928231</v>
      </c>
      <c r="AC99" s="100" t="n">
        <f aca="false">AC97+AC98</f>
        <v>2090.93609688808</v>
      </c>
      <c r="AD99" s="100" t="n">
        <f aca="false">AD97+AD98</f>
        <v>2104.58345449384</v>
      </c>
      <c r="AE99" s="100" t="n">
        <f aca="false">AE97+AE98</f>
        <v>2070.6176200996</v>
      </c>
      <c r="AF99" s="100" t="n">
        <f aca="false">AF97+AF98</f>
        <v>2084.26497770537</v>
      </c>
      <c r="AG99" s="100" t="n">
        <f aca="false">AG97+AG98</f>
        <v>2097.91233531113</v>
      </c>
      <c r="AH99" s="100" t="n">
        <f aca="false">AH97+AH98</f>
        <v>2111.55969291689</v>
      </c>
      <c r="AI99" s="100" t="n">
        <f aca="false">AI97+AI98</f>
        <v>2125.20705052266</v>
      </c>
      <c r="AJ99" s="100" t="n">
        <f aca="false">AJ97+AJ98</f>
        <v>2138.85440812842</v>
      </c>
      <c r="AK99" s="100" t="n">
        <f aca="false">AK97+AK98</f>
        <v>2152.50176573418</v>
      </c>
      <c r="AL99" s="100" t="n">
        <f aca="false">AL97+AL98</f>
        <v>2166.14912333995</v>
      </c>
      <c r="AM99" s="100" t="n">
        <f aca="false">AM97+AM98</f>
        <v>2080.65198318571</v>
      </c>
      <c r="AN99" s="100" t="n">
        <f aca="false">AN97+AN98</f>
        <v>2094.29934079147</v>
      </c>
      <c r="AO99" s="100" t="n">
        <f aca="false">AO97+AO98</f>
        <v>2107.94669839724</v>
      </c>
      <c r="AP99" s="100" t="n">
        <f aca="false">AP97+AP98</f>
        <v>2121.594056003</v>
      </c>
      <c r="AQ99" s="100" t="n">
        <f aca="false">AQ97+AQ98</f>
        <v>2135.24141360877</v>
      </c>
      <c r="AR99" s="100" t="n">
        <f aca="false">AR97+AR98</f>
        <v>2148.88877121453</v>
      </c>
      <c r="AS99" s="100" t="n">
        <f aca="false">AS97+AS98</f>
        <v>2143.33321565897</v>
      </c>
      <c r="AT99" s="100" t="n">
        <f aca="false">AT97+AT98</f>
        <v>2137.77766010342</v>
      </c>
      <c r="AU99" s="100" t="n">
        <f aca="false">AU97+AU98</f>
        <v>2132.22210454786</v>
      </c>
      <c r="AV99" s="100" t="n">
        <f aca="false">AV97+AV98</f>
        <v>2126.66654899231</v>
      </c>
      <c r="AW99" s="100" t="n">
        <f aca="false">AW97+AW98</f>
        <v>2121.11099343675</v>
      </c>
      <c r="AX99" s="100" t="n">
        <f aca="false">AX97+AX98</f>
        <v>2115.5554378812</v>
      </c>
      <c r="AY99" s="100" t="n">
        <f aca="false">AY97+AY98</f>
        <v>2058.11063739284</v>
      </c>
      <c r="AZ99" s="100" t="n">
        <f aca="false">AZ97+AZ98</f>
        <v>2052.55508183728</v>
      </c>
      <c r="BA99" s="100" t="n">
        <f aca="false">BA97+BA98</f>
        <v>2046.99952628173</v>
      </c>
      <c r="BB99" s="100" t="n">
        <f aca="false">BB97+BB98</f>
        <v>2041.44397072617</v>
      </c>
      <c r="BC99" s="100" t="n">
        <f aca="false">BC97+BC98</f>
        <v>2035.88841517062</v>
      </c>
      <c r="BD99" s="100" t="n">
        <f aca="false">BD97+BD98</f>
        <v>2030.33285961506</v>
      </c>
      <c r="BE99" s="100" t="n">
        <f aca="false">BE97+BE98</f>
        <v>2024.77730405951</v>
      </c>
      <c r="BF99" s="100" t="n">
        <f aca="false">BF97+BF98</f>
        <v>2019.22174850395</v>
      </c>
      <c r="BG99" s="100" t="n">
        <f aca="false">BG97+BG98</f>
        <v>2013.6661929484</v>
      </c>
      <c r="BH99" s="100" t="n">
        <f aca="false">BH97+BH98</f>
        <v>2008.11063739284</v>
      </c>
      <c r="BI99" s="100" t="n">
        <f aca="false">BI97+BI98</f>
        <v>2002.55508183728</v>
      </c>
      <c r="BJ99" s="100" t="n">
        <f aca="false">BJ97+BJ98</f>
        <v>1996.99952628173</v>
      </c>
      <c r="BK99" s="100" t="n">
        <f aca="false">BK97+BK98</f>
        <v>1939.18604844539</v>
      </c>
      <c r="BL99" s="100" t="n">
        <f aca="false">BL97+BL98</f>
        <v>1933.63049288983</v>
      </c>
      <c r="BM99" s="100" t="n">
        <f aca="false">BM97+BM98</f>
        <v>1928.07493733428</v>
      </c>
      <c r="BN99" s="100" t="n">
        <f aca="false">BN97+BN98</f>
        <v>1922.51938177872</v>
      </c>
      <c r="BO99" s="100" t="n">
        <f aca="false">BO97+BO98</f>
        <v>1916.96382622317</v>
      </c>
      <c r="BP99" s="100" t="n">
        <f aca="false">BP97+BP98</f>
        <v>1911.40827066761</v>
      </c>
      <c r="BQ99" s="100" t="n">
        <f aca="false">BQ97+BQ98</f>
        <v>1905.85271511206</v>
      </c>
      <c r="BR99" s="100" t="n">
        <f aca="false">BR97+BR98</f>
        <v>1900.2971595565</v>
      </c>
      <c r="BS99" s="100" t="n">
        <f aca="false">BS97+BS98</f>
        <v>1894.74160400094</v>
      </c>
      <c r="BT99" s="100" t="n">
        <f aca="false">BT97+BT98</f>
        <v>1889.18604844539</v>
      </c>
      <c r="BU99" s="100" t="n">
        <f aca="false">BU97+BU98</f>
        <v>1883.63049288983</v>
      </c>
      <c r="BV99" s="100" t="n">
        <f aca="false">BV97+BV98</f>
        <v>1878.07493733428</v>
      </c>
      <c r="BW99" s="100" t="n">
        <f aca="false">BW97+BW98</f>
        <v>1819.88172182951</v>
      </c>
      <c r="BX99" s="100" t="n">
        <f aca="false">BX97+BX98</f>
        <v>1814.32616627396</v>
      </c>
      <c r="BY99" s="100" t="n">
        <f aca="false">BY97+BY98</f>
        <v>1808.7706107184</v>
      </c>
      <c r="BZ99" s="100" t="n">
        <f aca="false">BZ97+BZ98</f>
        <v>1803.21505516285</v>
      </c>
      <c r="CA99" s="100" t="n">
        <f aca="false">CA97+CA98</f>
        <v>1797.65949960729</v>
      </c>
      <c r="CB99" s="100" t="n">
        <f aca="false">CB97+CB98</f>
        <v>1792.10394405174</v>
      </c>
      <c r="CC99" s="100" t="n">
        <f aca="false">CC97+CC98</f>
        <v>1786.54838849618</v>
      </c>
      <c r="CD99" s="100" t="n">
        <f aca="false">CD97+CD98</f>
        <v>1780.99283294063</v>
      </c>
      <c r="CE99" s="100" t="n">
        <f aca="false">CE97+CE98</f>
        <v>1775.43727738507</v>
      </c>
      <c r="CF99" s="100" t="n">
        <f aca="false">CF97+CF98</f>
        <v>1769.88172182951</v>
      </c>
      <c r="CG99" s="100" t="n">
        <f aca="false">CG97+CG98</f>
        <v>1764.32616627396</v>
      </c>
      <c r="CH99" s="100" t="n">
        <f aca="false">CH97+CH98</f>
        <v>1758.77061071835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6" t="s">
        <v>572</v>
      </c>
      <c r="C101" s="100" t="n">
        <f aca="false">Hipótesis!$D$113*(1-Hipótesis!$D$117)</f>
        <v>0</v>
      </c>
      <c r="D101" s="100" t="n">
        <f aca="false">C101-C102</f>
        <v>0</v>
      </c>
      <c r="E101" s="100" t="n">
        <f aca="false">D101-D102</f>
        <v>0</v>
      </c>
      <c r="F101" s="100" t="n">
        <f aca="false">E101-E102</f>
        <v>0</v>
      </c>
      <c r="G101" s="100" t="n">
        <f aca="false">F101-F102</f>
        <v>0</v>
      </c>
      <c r="H101" s="100" t="n">
        <f aca="false">G101-G102</f>
        <v>0</v>
      </c>
      <c r="I101" s="100" t="n">
        <f aca="false">H101-H102</f>
        <v>0</v>
      </c>
      <c r="J101" s="100" t="n">
        <f aca="false">I101-I102</f>
        <v>0</v>
      </c>
      <c r="K101" s="100" t="n">
        <f aca="false">J101-J102</f>
        <v>0</v>
      </c>
      <c r="L101" s="100" t="n">
        <f aca="false">K101-K102</f>
        <v>0</v>
      </c>
      <c r="M101" s="100" t="n">
        <f aca="false">L101-L102</f>
        <v>0</v>
      </c>
      <c r="N101" s="100" t="n">
        <f aca="false">M101-M102</f>
        <v>0</v>
      </c>
      <c r="O101" s="100" t="n">
        <f aca="false">N101-N102</f>
        <v>0</v>
      </c>
      <c r="P101" s="100" t="n">
        <f aca="false">O101-O102</f>
        <v>0</v>
      </c>
      <c r="Q101" s="100" t="n">
        <f aca="false">P101-P102</f>
        <v>0</v>
      </c>
      <c r="R101" s="100" t="n">
        <f aca="false">Q101-Q102</f>
        <v>0</v>
      </c>
      <c r="S101" s="100" t="n">
        <f aca="false">R101-R102</f>
        <v>0</v>
      </c>
      <c r="T101" s="100" t="n">
        <f aca="false">S101-S102</f>
        <v>0</v>
      </c>
      <c r="U101" s="100" t="n">
        <f aca="false">T101-T102</f>
        <v>0</v>
      </c>
      <c r="V101" s="100" t="n">
        <f aca="false">U101-U102</f>
        <v>0</v>
      </c>
      <c r="W101" s="100" t="n">
        <f aca="false">V101-V102</f>
        <v>0</v>
      </c>
      <c r="X101" s="100" t="n">
        <f aca="false">W101-W102</f>
        <v>0</v>
      </c>
      <c r="Y101" s="100" t="n">
        <f aca="false">X101-X102</f>
        <v>0</v>
      </c>
      <c r="Z101" s="100" t="n">
        <f aca="false">Y101-Y102</f>
        <v>0</v>
      </c>
      <c r="AA101" s="100" t="n">
        <f aca="false">Z101-Z102</f>
        <v>0</v>
      </c>
      <c r="AB101" s="100" t="n">
        <f aca="false">AA101-AA102</f>
        <v>0</v>
      </c>
      <c r="AC101" s="100" t="n">
        <f aca="false">AB101-AB102</f>
        <v>0</v>
      </c>
      <c r="AD101" s="100" t="n">
        <f aca="false">AC101-AC102</f>
        <v>0</v>
      </c>
      <c r="AE101" s="100" t="n">
        <f aca="false">AD101-AD102</f>
        <v>0</v>
      </c>
      <c r="AF101" s="100" t="n">
        <f aca="false">AE101-AE102</f>
        <v>0</v>
      </c>
      <c r="AG101" s="100" t="n">
        <f aca="false">AF101-AF102</f>
        <v>0</v>
      </c>
      <c r="AH101" s="100" t="n">
        <f aca="false">AG101-AG102</f>
        <v>0</v>
      </c>
      <c r="AI101" s="100" t="n">
        <f aca="false">AH101-AH102</f>
        <v>0</v>
      </c>
      <c r="AJ101" s="100" t="n">
        <f aca="false">AI101-AI102</f>
        <v>0</v>
      </c>
      <c r="AK101" s="100" t="n">
        <f aca="false">AJ101-AJ102</f>
        <v>0</v>
      </c>
      <c r="AL101" s="100" t="n">
        <f aca="false">AK101-AK102</f>
        <v>0</v>
      </c>
      <c r="AM101" s="100" t="n">
        <f aca="false">AL101-AL102</f>
        <v>0</v>
      </c>
      <c r="AN101" s="100" t="n">
        <f aca="false">AM101-AM102</f>
        <v>0</v>
      </c>
      <c r="AO101" s="100" t="n">
        <f aca="false">AN101-AN102</f>
        <v>0</v>
      </c>
      <c r="AP101" s="100" t="n">
        <f aca="false">AO101-AO102</f>
        <v>0</v>
      </c>
      <c r="AQ101" s="100" t="n">
        <f aca="false">AP101-AP102</f>
        <v>0</v>
      </c>
      <c r="AR101" s="100" t="n">
        <f aca="false">AQ101-AQ102</f>
        <v>0</v>
      </c>
      <c r="AS101" s="100" t="n">
        <f aca="false">AR101-AR102</f>
        <v>0</v>
      </c>
      <c r="AT101" s="100" t="n">
        <f aca="false">AS101-AS102</f>
        <v>0</v>
      </c>
      <c r="AU101" s="100" t="n">
        <f aca="false">AT101-AT102</f>
        <v>0</v>
      </c>
      <c r="AV101" s="100" t="n">
        <f aca="false">AU101-AU102</f>
        <v>0</v>
      </c>
      <c r="AW101" s="100" t="n">
        <f aca="false">AV101-AV102</f>
        <v>0</v>
      </c>
      <c r="AX101" s="100" t="n">
        <f aca="false">AW101-AW102</f>
        <v>0</v>
      </c>
      <c r="AY101" s="100" t="n">
        <f aca="false">AX101-AX102</f>
        <v>0</v>
      </c>
      <c r="AZ101" s="100" t="n">
        <f aca="false">AY101-AY102</f>
        <v>0</v>
      </c>
      <c r="BA101" s="100" t="n">
        <f aca="false">AZ101-AZ102</f>
        <v>0</v>
      </c>
      <c r="BB101" s="100" t="n">
        <f aca="false">BA101-BA102</f>
        <v>0</v>
      </c>
      <c r="BC101" s="100" t="n">
        <f aca="false">BB101-BB102</f>
        <v>0</v>
      </c>
      <c r="BD101" s="100" t="n">
        <f aca="false">BC101-BC102</f>
        <v>0</v>
      </c>
      <c r="BE101" s="100" t="n">
        <f aca="false">BD101-BD102</f>
        <v>0</v>
      </c>
      <c r="BF101" s="100" t="n">
        <f aca="false">BE101-BE102</f>
        <v>0</v>
      </c>
      <c r="BG101" s="100" t="n">
        <f aca="false">BF101-BF102</f>
        <v>0</v>
      </c>
      <c r="BH101" s="100" t="n">
        <f aca="false">BG101-BG102</f>
        <v>0</v>
      </c>
      <c r="BI101" s="100" t="n">
        <f aca="false">BH101-BH102</f>
        <v>0</v>
      </c>
      <c r="BJ101" s="100" t="n">
        <f aca="false">BI101-BI102</f>
        <v>0</v>
      </c>
      <c r="BK101" s="100" t="n">
        <f aca="false">BJ101-BJ102</f>
        <v>0</v>
      </c>
      <c r="BL101" s="100" t="n">
        <f aca="false">BK101-BK102</f>
        <v>0</v>
      </c>
      <c r="BM101" s="100" t="n">
        <f aca="false">BL101-BL102</f>
        <v>0</v>
      </c>
      <c r="BN101" s="100" t="n">
        <f aca="false">BM101-BM102</f>
        <v>0</v>
      </c>
      <c r="BO101" s="100" t="n">
        <f aca="false">BN101-BN102</f>
        <v>0</v>
      </c>
      <c r="BP101" s="100" t="n">
        <f aca="false">BO101-BO102</f>
        <v>0</v>
      </c>
      <c r="BQ101" s="100" t="n">
        <f aca="false">BP101-BP102</f>
        <v>0</v>
      </c>
      <c r="BR101" s="100" t="n">
        <f aca="false">BQ101-BQ102</f>
        <v>0</v>
      </c>
      <c r="BS101" s="100" t="n">
        <f aca="false">BR101-BR102</f>
        <v>0</v>
      </c>
      <c r="BT101" s="100" t="n">
        <f aca="false">BS101-BS102</f>
        <v>0</v>
      </c>
      <c r="BU101" s="100" t="n">
        <f aca="false">BT101-BT102</f>
        <v>0</v>
      </c>
      <c r="BV101" s="100" t="n">
        <f aca="false">BU101-BU102</f>
        <v>0</v>
      </c>
      <c r="BW101" s="100" t="n">
        <f aca="false">BV101-BV102</f>
        <v>0</v>
      </c>
      <c r="BX101" s="100" t="n">
        <f aca="false">BW101-BW102</f>
        <v>0</v>
      </c>
      <c r="BY101" s="100" t="n">
        <f aca="false">BX101-BX102</f>
        <v>0</v>
      </c>
      <c r="BZ101" s="100" t="n">
        <f aca="false">BY101-BY102</f>
        <v>0</v>
      </c>
      <c r="CA101" s="100" t="n">
        <f aca="false">BZ101-BZ102</f>
        <v>0</v>
      </c>
      <c r="CB101" s="100" t="n">
        <f aca="false">CA101-CA102</f>
        <v>0</v>
      </c>
      <c r="CC101" s="100" t="n">
        <f aca="false">CB101-CB102</f>
        <v>0</v>
      </c>
      <c r="CD101" s="100" t="n">
        <f aca="false">CC101-CC102</f>
        <v>0</v>
      </c>
      <c r="CE101" s="100" t="n">
        <f aca="false">CD101-CD102</f>
        <v>0</v>
      </c>
      <c r="CF101" s="100" t="n">
        <f aca="false">CE101-CE102</f>
        <v>0</v>
      </c>
      <c r="CG101" s="100" t="n">
        <f aca="false">CF101-CF102</f>
        <v>0</v>
      </c>
      <c r="CH101" s="100" t="n">
        <f aca="false">CG101-CG102</f>
        <v>0</v>
      </c>
    </row>
    <row r="102" customFormat="false" ht="13.5" hidden="false" customHeight="true" outlineLevel="0" collapsed="false">
      <c r="A102" s="6" t="s">
        <v>573</v>
      </c>
      <c r="C102" s="100" t="n">
        <f aca="false">IF(1&lt;=Hipótesis!$D$116,0,IF(C101&gt;0,MIN(C101,Hipótesis!$D$113*(1-Hipótesis!$D$117)/MAX(Hipótesis!$D$115-Hipótesis!$D$116,1)),0))</f>
        <v>0</v>
      </c>
      <c r="D102" s="100" t="n">
        <f aca="false">IF(2&lt;=Hipótesis!$D$116,0,IF(D101&gt;0,MIN(D101,Hipótesis!$D$113*(1-Hipótesis!$D$117)/MAX(Hipótesis!$D$115-Hipótesis!$D$116,1)),0))</f>
        <v>0</v>
      </c>
      <c r="E102" s="100" t="n">
        <f aca="false">IF(3&lt;=Hipótesis!$D$116,0,IF(E101&gt;0,MIN(E101,Hipótesis!$D$113*(1-Hipótesis!$D$117)/MAX(Hipótesis!$D$115-Hipótesis!$D$116,1)),0))</f>
        <v>0</v>
      </c>
      <c r="F102" s="100" t="n">
        <f aca="false">IF(4&lt;=Hipótesis!$D$116,0,IF(F101&gt;0,MIN(F101,Hipótesis!$D$113*(1-Hipótesis!$D$117)/MAX(Hipótesis!$D$115-Hipótesis!$D$116,1)),0))</f>
        <v>0</v>
      </c>
      <c r="G102" s="100" t="n">
        <f aca="false">IF(5&lt;=Hipótesis!$D$116,0,IF(G101&gt;0,MIN(G101,Hipótesis!$D$113*(1-Hipótesis!$D$117)/MAX(Hipótesis!$D$115-Hipótesis!$D$116,1)),0))</f>
        <v>0</v>
      </c>
      <c r="H102" s="100" t="n">
        <f aca="false">IF(6&lt;=Hipótesis!$D$116,0,IF(H101&gt;0,MIN(H101,Hipótesis!$D$113*(1-Hipótesis!$D$117)/MAX(Hipótesis!$D$115-Hipótesis!$D$116,1)),0))</f>
        <v>0</v>
      </c>
      <c r="I102" s="100" t="n">
        <f aca="false">IF(7&lt;=Hipótesis!$D$116,0,IF(I101&gt;0,MIN(I101,Hipótesis!$D$113*(1-Hipótesis!$D$117)/MAX(Hipótesis!$D$115-Hipótesis!$D$116,1)),0))</f>
        <v>0</v>
      </c>
      <c r="J102" s="100" t="n">
        <f aca="false">IF(8&lt;=Hipótesis!$D$116,0,IF(J101&gt;0,MIN(J101,Hipótesis!$D$113*(1-Hipótesis!$D$117)/MAX(Hipótesis!$D$115-Hipótesis!$D$116,1)),0))</f>
        <v>0</v>
      </c>
      <c r="K102" s="100" t="n">
        <f aca="false">IF(9&lt;=Hipótesis!$D$116,0,IF(K101&gt;0,MIN(K101,Hipótesis!$D$113*(1-Hipótesis!$D$117)/MAX(Hipótesis!$D$115-Hipótesis!$D$116,1)),0))</f>
        <v>0</v>
      </c>
      <c r="L102" s="100" t="n">
        <f aca="false">IF(10&lt;=Hipótesis!$D$116,0,IF(L101&gt;0,MIN(L101,Hipótesis!$D$113*(1-Hipótesis!$D$117)/MAX(Hipótesis!$D$115-Hipótesis!$D$116,1)),0))</f>
        <v>0</v>
      </c>
      <c r="M102" s="100" t="n">
        <f aca="false">IF(11&lt;=Hipótesis!$D$116,0,IF(M101&gt;0,MIN(M101,Hipótesis!$D$113*(1-Hipótesis!$D$117)/MAX(Hipótesis!$D$115-Hipótesis!$D$116,1)),0))</f>
        <v>0</v>
      </c>
      <c r="N102" s="100" t="n">
        <f aca="false">IF(12&lt;=Hipótesis!$D$116,0,IF(N101&gt;0,MIN(N101,Hipótesis!$D$113*(1-Hipótesis!$D$117)/MAX(Hipótesis!$D$115-Hipótesis!$D$116,1)),0))</f>
        <v>0</v>
      </c>
      <c r="O102" s="100" t="n">
        <f aca="false">IF(13&lt;=Hipótesis!$D$116,0,IF(O101&gt;0,MIN(O101,Hipótesis!$D$113*(1-Hipótesis!$D$117)/MAX(Hipótesis!$D$115-Hipótesis!$D$116,1)),0))</f>
        <v>0</v>
      </c>
      <c r="P102" s="100" t="n">
        <f aca="false">IF(14&lt;=Hipótesis!$D$116,0,IF(P101&gt;0,MIN(P101,Hipótesis!$D$113*(1-Hipótesis!$D$117)/MAX(Hipótesis!$D$115-Hipótesis!$D$116,1)),0))</f>
        <v>0</v>
      </c>
      <c r="Q102" s="100" t="n">
        <f aca="false">IF(15&lt;=Hipótesis!$D$116,0,IF(Q101&gt;0,MIN(Q101,Hipótesis!$D$113*(1-Hipótesis!$D$117)/MAX(Hipótesis!$D$115-Hipótesis!$D$116,1)),0))</f>
        <v>0</v>
      </c>
      <c r="R102" s="100" t="n">
        <f aca="false">IF(16&lt;=Hipótesis!$D$116,0,IF(R101&gt;0,MIN(R101,Hipótesis!$D$113*(1-Hipótesis!$D$117)/MAX(Hipótesis!$D$115-Hipótesis!$D$116,1)),0))</f>
        <v>0</v>
      </c>
      <c r="S102" s="100" t="n">
        <f aca="false">IF(17&lt;=Hipótesis!$D$116,0,IF(S101&gt;0,MIN(S101,Hipótesis!$D$113*(1-Hipótesis!$D$117)/MAX(Hipótesis!$D$115-Hipótesis!$D$116,1)),0))</f>
        <v>0</v>
      </c>
      <c r="T102" s="100" t="n">
        <f aca="false">IF(18&lt;=Hipótesis!$D$116,0,IF(T101&gt;0,MIN(T101,Hipótesis!$D$113*(1-Hipótesis!$D$117)/MAX(Hipótesis!$D$115-Hipótesis!$D$116,1)),0))</f>
        <v>0</v>
      </c>
      <c r="U102" s="100" t="n">
        <f aca="false">IF(19&lt;=Hipótesis!$D$116,0,IF(U101&gt;0,MIN(U101,Hipótesis!$D$113*(1-Hipótesis!$D$117)/MAX(Hipótesis!$D$115-Hipótesis!$D$116,1)),0))</f>
        <v>0</v>
      </c>
      <c r="V102" s="100" t="n">
        <f aca="false">IF(20&lt;=Hipótesis!$D$116,0,IF(V101&gt;0,MIN(V101,Hipótesis!$D$113*(1-Hipótesis!$D$117)/MAX(Hipótesis!$D$115-Hipótesis!$D$116,1)),0))</f>
        <v>0</v>
      </c>
      <c r="W102" s="100" t="n">
        <f aca="false">IF(21&lt;=Hipótesis!$D$116,0,IF(W101&gt;0,MIN(W101,Hipótesis!$D$113*(1-Hipótesis!$D$117)/MAX(Hipótesis!$D$115-Hipótesis!$D$116,1)),0))</f>
        <v>0</v>
      </c>
      <c r="X102" s="100" t="n">
        <f aca="false">IF(22&lt;=Hipótesis!$D$116,0,IF(X101&gt;0,MIN(X101,Hipótesis!$D$113*(1-Hipótesis!$D$117)/MAX(Hipótesis!$D$115-Hipótesis!$D$116,1)),0))</f>
        <v>0</v>
      </c>
      <c r="Y102" s="100" t="n">
        <f aca="false">IF(23&lt;=Hipótesis!$D$116,0,IF(Y101&gt;0,MIN(Y101,Hipótesis!$D$113*(1-Hipótesis!$D$117)/MAX(Hipótesis!$D$115-Hipótesis!$D$116,1)),0))</f>
        <v>0</v>
      </c>
      <c r="Z102" s="100" t="n">
        <f aca="false">IF(24&lt;=Hipótesis!$D$116,0,IF(Z101&gt;0,MIN(Z101,Hipótesis!$D$113*(1-Hipótesis!$D$117)/MAX(Hipótesis!$D$115-Hipótesis!$D$116,1)),0))</f>
        <v>0</v>
      </c>
      <c r="AA102" s="100" t="n">
        <f aca="false">IF(25&lt;=Hipótesis!$D$116,0,IF(AA101&gt;0,MIN(AA101,Hipótesis!$D$113*(1-Hipótesis!$D$117)/MAX(Hipótesis!$D$115-Hipótesis!$D$116,1)),0))</f>
        <v>0</v>
      </c>
      <c r="AB102" s="100" t="n">
        <f aca="false">IF(26&lt;=Hipótesis!$D$116,0,IF(AB101&gt;0,MIN(AB101,Hipótesis!$D$113*(1-Hipótesis!$D$117)/MAX(Hipótesis!$D$115-Hipótesis!$D$116,1)),0))</f>
        <v>0</v>
      </c>
      <c r="AC102" s="100" t="n">
        <f aca="false">IF(27&lt;=Hipótesis!$D$116,0,IF(AC101&gt;0,MIN(AC101,Hipótesis!$D$113*(1-Hipótesis!$D$117)/MAX(Hipótesis!$D$115-Hipótesis!$D$116,1)),0))</f>
        <v>0</v>
      </c>
      <c r="AD102" s="100" t="n">
        <f aca="false">IF(28&lt;=Hipótesis!$D$116,0,IF(AD101&gt;0,MIN(AD101,Hipótesis!$D$113*(1-Hipótesis!$D$117)/MAX(Hipótesis!$D$115-Hipótesis!$D$116,1)),0))</f>
        <v>0</v>
      </c>
      <c r="AE102" s="100" t="n">
        <f aca="false">IF(29&lt;=Hipótesis!$D$116,0,IF(AE101&gt;0,MIN(AE101,Hipótesis!$D$113*(1-Hipótesis!$D$117)/MAX(Hipótesis!$D$115-Hipótesis!$D$116,1)),0))</f>
        <v>0</v>
      </c>
      <c r="AF102" s="100" t="n">
        <f aca="false">IF(30&lt;=Hipótesis!$D$116,0,IF(AF101&gt;0,MIN(AF101,Hipótesis!$D$113*(1-Hipótesis!$D$117)/MAX(Hipótesis!$D$115-Hipótesis!$D$116,1)),0))</f>
        <v>0</v>
      </c>
      <c r="AG102" s="100" t="n">
        <f aca="false">IF(31&lt;=Hipótesis!$D$116,0,IF(AG101&gt;0,MIN(AG101,Hipótesis!$D$113*(1-Hipótesis!$D$117)/MAX(Hipótesis!$D$115-Hipótesis!$D$116,1)),0))</f>
        <v>0</v>
      </c>
      <c r="AH102" s="100" t="n">
        <f aca="false">IF(32&lt;=Hipótesis!$D$116,0,IF(AH101&gt;0,MIN(AH101,Hipótesis!$D$113*(1-Hipótesis!$D$117)/MAX(Hipótesis!$D$115-Hipótesis!$D$116,1)),0))</f>
        <v>0</v>
      </c>
      <c r="AI102" s="100" t="n">
        <f aca="false">IF(33&lt;=Hipótesis!$D$116,0,IF(AI101&gt;0,MIN(AI101,Hipótesis!$D$113*(1-Hipótesis!$D$117)/MAX(Hipótesis!$D$115-Hipótesis!$D$116,1)),0))</f>
        <v>0</v>
      </c>
      <c r="AJ102" s="100" t="n">
        <f aca="false">IF(34&lt;=Hipótesis!$D$116,0,IF(AJ101&gt;0,MIN(AJ101,Hipótesis!$D$113*(1-Hipótesis!$D$117)/MAX(Hipótesis!$D$115-Hipótesis!$D$116,1)),0))</f>
        <v>0</v>
      </c>
      <c r="AK102" s="100" t="n">
        <f aca="false">IF(35&lt;=Hipótesis!$D$116,0,IF(AK101&gt;0,MIN(AK101,Hipótesis!$D$113*(1-Hipótesis!$D$117)/MAX(Hipótesis!$D$115-Hipótesis!$D$116,1)),0))</f>
        <v>0</v>
      </c>
      <c r="AL102" s="100" t="n">
        <f aca="false">IF(36&lt;=Hipótesis!$D$116,0,IF(AL101&gt;0,MIN(AL101,Hipótesis!$D$113*(1-Hipótesis!$D$117)/MAX(Hipótesis!$D$115-Hipótesis!$D$116,1)),0))</f>
        <v>0</v>
      </c>
      <c r="AM102" s="100" t="n">
        <f aca="false">IF(37&lt;=Hipótesis!$D$116,0,IF(AM101&gt;0,MIN(AM101,Hipótesis!$D$113*(1-Hipótesis!$D$117)/MAX(Hipótesis!$D$115-Hipótesis!$D$116,1)),0))</f>
        <v>0</v>
      </c>
      <c r="AN102" s="100" t="n">
        <f aca="false">IF(38&lt;=Hipótesis!$D$116,0,IF(AN101&gt;0,MIN(AN101,Hipótesis!$D$113*(1-Hipótesis!$D$117)/MAX(Hipótesis!$D$115-Hipótesis!$D$116,1)),0))</f>
        <v>0</v>
      </c>
      <c r="AO102" s="100" t="n">
        <f aca="false">IF(39&lt;=Hipótesis!$D$116,0,IF(AO101&gt;0,MIN(AO101,Hipótesis!$D$113*(1-Hipótesis!$D$117)/MAX(Hipótesis!$D$115-Hipótesis!$D$116,1)),0))</f>
        <v>0</v>
      </c>
      <c r="AP102" s="100" t="n">
        <f aca="false">IF(40&lt;=Hipótesis!$D$116,0,IF(AP101&gt;0,MIN(AP101,Hipótesis!$D$113*(1-Hipótesis!$D$117)/MAX(Hipótesis!$D$115-Hipótesis!$D$116,1)),0))</f>
        <v>0</v>
      </c>
      <c r="AQ102" s="100" t="n">
        <f aca="false">IF(41&lt;=Hipótesis!$D$116,0,IF(AQ101&gt;0,MIN(AQ101,Hipótesis!$D$113*(1-Hipótesis!$D$117)/MAX(Hipótesis!$D$115-Hipótesis!$D$116,1)),0))</f>
        <v>0</v>
      </c>
      <c r="AR102" s="100" t="n">
        <f aca="false">IF(42&lt;=Hipótesis!$D$116,0,IF(AR101&gt;0,MIN(AR101,Hipótesis!$D$113*(1-Hipótesis!$D$117)/MAX(Hipótesis!$D$115-Hipótesis!$D$116,1)),0))</f>
        <v>0</v>
      </c>
      <c r="AS102" s="100" t="n">
        <f aca="false">IF(43&lt;=Hipótesis!$D$116,0,IF(AS101&gt;0,MIN(AS101,Hipótesis!$D$113*(1-Hipótesis!$D$117)/MAX(Hipótesis!$D$115-Hipótesis!$D$116,1)),0))</f>
        <v>0</v>
      </c>
      <c r="AT102" s="100" t="n">
        <f aca="false">IF(44&lt;=Hipótesis!$D$116,0,IF(AT101&gt;0,MIN(AT101,Hipótesis!$D$113*(1-Hipótesis!$D$117)/MAX(Hipótesis!$D$115-Hipótesis!$D$116,1)),0))</f>
        <v>0</v>
      </c>
      <c r="AU102" s="100" t="n">
        <f aca="false">IF(45&lt;=Hipótesis!$D$116,0,IF(AU101&gt;0,MIN(AU101,Hipótesis!$D$113*(1-Hipótesis!$D$117)/MAX(Hipótesis!$D$115-Hipótesis!$D$116,1)),0))</f>
        <v>0</v>
      </c>
      <c r="AV102" s="100" t="n">
        <f aca="false">IF(46&lt;=Hipótesis!$D$116,0,IF(AV101&gt;0,MIN(AV101,Hipótesis!$D$113*(1-Hipótesis!$D$117)/MAX(Hipótesis!$D$115-Hipótesis!$D$116,1)),0))</f>
        <v>0</v>
      </c>
      <c r="AW102" s="100" t="n">
        <f aca="false">IF(47&lt;=Hipótesis!$D$116,0,IF(AW101&gt;0,MIN(AW101,Hipótesis!$D$113*(1-Hipótesis!$D$117)/MAX(Hipótesis!$D$115-Hipótesis!$D$116,1)),0))</f>
        <v>0</v>
      </c>
      <c r="AX102" s="100" t="n">
        <f aca="false">IF(48&lt;=Hipótesis!$D$116,0,IF(AX101&gt;0,MIN(AX101,Hipótesis!$D$113*(1-Hipótesis!$D$117)/MAX(Hipótesis!$D$115-Hipótesis!$D$116,1)),0))</f>
        <v>0</v>
      </c>
      <c r="AY102" s="100" t="n">
        <f aca="false">IF(49&lt;=Hipótesis!$D$116,0,IF(AY101&gt;0,MIN(AY101,Hipótesis!$D$113*(1-Hipótesis!$D$117)/MAX(Hipótesis!$D$115-Hipótesis!$D$116,1)),0))</f>
        <v>0</v>
      </c>
      <c r="AZ102" s="100" t="n">
        <f aca="false">IF(50&lt;=Hipótesis!$D$116,0,IF(AZ101&gt;0,MIN(AZ101,Hipótesis!$D$113*(1-Hipótesis!$D$117)/MAX(Hipótesis!$D$115-Hipótesis!$D$116,1)),0))</f>
        <v>0</v>
      </c>
      <c r="BA102" s="100" t="n">
        <f aca="false">IF(51&lt;=Hipótesis!$D$116,0,IF(BA101&gt;0,MIN(BA101,Hipótesis!$D$113*(1-Hipótesis!$D$117)/MAX(Hipótesis!$D$115-Hipótesis!$D$116,1)),0))</f>
        <v>0</v>
      </c>
      <c r="BB102" s="100" t="n">
        <f aca="false">IF(52&lt;=Hipótesis!$D$116,0,IF(BB101&gt;0,MIN(BB101,Hipótesis!$D$113*(1-Hipótesis!$D$117)/MAX(Hipótesis!$D$115-Hipótesis!$D$116,1)),0))</f>
        <v>0</v>
      </c>
      <c r="BC102" s="100" t="n">
        <f aca="false">IF(53&lt;=Hipótesis!$D$116,0,IF(BC101&gt;0,MIN(BC101,Hipótesis!$D$113*(1-Hipótesis!$D$117)/MAX(Hipótesis!$D$115-Hipótesis!$D$116,1)),0))</f>
        <v>0</v>
      </c>
      <c r="BD102" s="100" t="n">
        <f aca="false">IF(54&lt;=Hipótesis!$D$116,0,IF(BD101&gt;0,MIN(BD101,Hipótesis!$D$113*(1-Hipótesis!$D$117)/MAX(Hipótesis!$D$115-Hipótesis!$D$116,1)),0))</f>
        <v>0</v>
      </c>
      <c r="BE102" s="100" t="n">
        <f aca="false">IF(55&lt;=Hipótesis!$D$116,0,IF(BE101&gt;0,MIN(BE101,Hipótesis!$D$113*(1-Hipótesis!$D$117)/MAX(Hipótesis!$D$115-Hipótesis!$D$116,1)),0))</f>
        <v>0</v>
      </c>
      <c r="BF102" s="100" t="n">
        <f aca="false">IF(56&lt;=Hipótesis!$D$116,0,IF(BF101&gt;0,MIN(BF101,Hipótesis!$D$113*(1-Hipótesis!$D$117)/MAX(Hipótesis!$D$115-Hipótesis!$D$116,1)),0))</f>
        <v>0</v>
      </c>
      <c r="BG102" s="100" t="n">
        <f aca="false">IF(57&lt;=Hipótesis!$D$116,0,IF(BG101&gt;0,MIN(BG101,Hipótesis!$D$113*(1-Hipótesis!$D$117)/MAX(Hipótesis!$D$115-Hipótesis!$D$116,1)),0))</f>
        <v>0</v>
      </c>
      <c r="BH102" s="100" t="n">
        <f aca="false">IF(58&lt;=Hipótesis!$D$116,0,IF(BH101&gt;0,MIN(BH101,Hipótesis!$D$113*(1-Hipótesis!$D$117)/MAX(Hipótesis!$D$115-Hipótesis!$D$116,1)),0))</f>
        <v>0</v>
      </c>
      <c r="BI102" s="100" t="n">
        <f aca="false">IF(59&lt;=Hipótesis!$D$116,0,IF(BI101&gt;0,MIN(BI101,Hipótesis!$D$113*(1-Hipótesis!$D$117)/MAX(Hipótesis!$D$115-Hipótesis!$D$116,1)),0))</f>
        <v>0</v>
      </c>
      <c r="BJ102" s="100" t="n">
        <f aca="false">IF(60&lt;=Hipótesis!$D$116,0,IF(BJ101&gt;0,MIN(BJ101,Hipótesis!$D$113*(1-Hipótesis!$D$117)/MAX(Hipótesis!$D$115-Hipótesis!$D$116,1)),0))</f>
        <v>0</v>
      </c>
      <c r="BK102" s="100" t="n">
        <f aca="false">IF(61&lt;=Hipótesis!$D$116,0,IF(BK101&gt;0,MIN(BK101,Hipótesis!$D$113*(1-Hipótesis!$D$117)/MAX(Hipótesis!$D$115-Hipótesis!$D$116,1)),0))</f>
        <v>0</v>
      </c>
      <c r="BL102" s="100" t="n">
        <f aca="false">IF(62&lt;=Hipótesis!$D$116,0,IF(BL101&gt;0,MIN(BL101,Hipótesis!$D$113*(1-Hipótesis!$D$117)/MAX(Hipótesis!$D$115-Hipótesis!$D$116,1)),0))</f>
        <v>0</v>
      </c>
      <c r="BM102" s="100" t="n">
        <f aca="false">IF(63&lt;=Hipótesis!$D$116,0,IF(BM101&gt;0,MIN(BM101,Hipótesis!$D$113*(1-Hipótesis!$D$117)/MAX(Hipótesis!$D$115-Hipótesis!$D$116,1)),0))</f>
        <v>0</v>
      </c>
      <c r="BN102" s="100" t="n">
        <f aca="false">IF(64&lt;=Hipótesis!$D$116,0,IF(BN101&gt;0,MIN(BN101,Hipótesis!$D$113*(1-Hipótesis!$D$117)/MAX(Hipótesis!$D$115-Hipótesis!$D$116,1)),0))</f>
        <v>0</v>
      </c>
      <c r="BO102" s="100" t="n">
        <f aca="false">IF(65&lt;=Hipótesis!$D$116,0,IF(BO101&gt;0,MIN(BO101,Hipótesis!$D$113*(1-Hipótesis!$D$117)/MAX(Hipótesis!$D$115-Hipótesis!$D$116,1)),0))</f>
        <v>0</v>
      </c>
      <c r="BP102" s="100" t="n">
        <f aca="false">IF(66&lt;=Hipótesis!$D$116,0,IF(BP101&gt;0,MIN(BP101,Hipótesis!$D$113*(1-Hipótesis!$D$117)/MAX(Hipótesis!$D$115-Hipótesis!$D$116,1)),0))</f>
        <v>0</v>
      </c>
      <c r="BQ102" s="100" t="n">
        <f aca="false">IF(67&lt;=Hipótesis!$D$116,0,IF(BQ101&gt;0,MIN(BQ101,Hipótesis!$D$113*(1-Hipótesis!$D$117)/MAX(Hipótesis!$D$115-Hipótesis!$D$116,1)),0))</f>
        <v>0</v>
      </c>
      <c r="BR102" s="100" t="n">
        <f aca="false">IF(68&lt;=Hipótesis!$D$116,0,IF(BR101&gt;0,MIN(BR101,Hipótesis!$D$113*(1-Hipótesis!$D$117)/MAX(Hipótesis!$D$115-Hipótesis!$D$116,1)),0))</f>
        <v>0</v>
      </c>
      <c r="BS102" s="100" t="n">
        <f aca="false">IF(69&lt;=Hipótesis!$D$116,0,IF(BS101&gt;0,MIN(BS101,Hipótesis!$D$113*(1-Hipótesis!$D$117)/MAX(Hipótesis!$D$115-Hipótesis!$D$116,1)),0))</f>
        <v>0</v>
      </c>
      <c r="BT102" s="100" t="n">
        <f aca="false">IF(70&lt;=Hipótesis!$D$116,0,IF(BT101&gt;0,MIN(BT101,Hipótesis!$D$113*(1-Hipótesis!$D$117)/MAX(Hipótesis!$D$115-Hipótesis!$D$116,1)),0))</f>
        <v>0</v>
      </c>
      <c r="BU102" s="100" t="n">
        <f aca="false">IF(71&lt;=Hipótesis!$D$116,0,IF(BU101&gt;0,MIN(BU101,Hipótesis!$D$113*(1-Hipótesis!$D$117)/MAX(Hipótesis!$D$115-Hipótesis!$D$116,1)),0))</f>
        <v>0</v>
      </c>
      <c r="BV102" s="100" t="n">
        <f aca="false">IF(72&lt;=Hipótesis!$D$116,0,IF(BV101&gt;0,MIN(BV101,Hipótesis!$D$113*(1-Hipótesis!$D$117)/MAX(Hipótesis!$D$115-Hipótesis!$D$116,1)),0))</f>
        <v>0</v>
      </c>
      <c r="BW102" s="100" t="n">
        <f aca="false">IF(73&lt;=Hipótesis!$D$116,0,IF(BW101&gt;0,MIN(BW101,Hipótesis!$D$113*(1-Hipótesis!$D$117)/MAX(Hipótesis!$D$115-Hipótesis!$D$116,1)),0))</f>
        <v>0</v>
      </c>
      <c r="BX102" s="100" t="n">
        <f aca="false">IF(74&lt;=Hipótesis!$D$116,0,IF(BX101&gt;0,MIN(BX101,Hipótesis!$D$113*(1-Hipótesis!$D$117)/MAX(Hipótesis!$D$115-Hipótesis!$D$116,1)),0))</f>
        <v>0</v>
      </c>
      <c r="BY102" s="100" t="n">
        <f aca="false">IF(75&lt;=Hipótesis!$D$116,0,IF(BY101&gt;0,MIN(BY101,Hipótesis!$D$113*(1-Hipótesis!$D$117)/MAX(Hipótesis!$D$115-Hipótesis!$D$116,1)),0))</f>
        <v>0</v>
      </c>
      <c r="BZ102" s="100" t="n">
        <f aca="false">IF(76&lt;=Hipótesis!$D$116,0,IF(BZ101&gt;0,MIN(BZ101,Hipótesis!$D$113*(1-Hipótesis!$D$117)/MAX(Hipótesis!$D$115-Hipótesis!$D$116,1)),0))</f>
        <v>0</v>
      </c>
      <c r="CA102" s="100" t="n">
        <f aca="false">IF(77&lt;=Hipótesis!$D$116,0,IF(CA101&gt;0,MIN(CA101,Hipótesis!$D$113*(1-Hipótesis!$D$117)/MAX(Hipótesis!$D$115-Hipótesis!$D$116,1)),0))</f>
        <v>0</v>
      </c>
      <c r="CB102" s="100" t="n">
        <f aca="false">IF(78&lt;=Hipótesis!$D$116,0,IF(CB101&gt;0,MIN(CB101,Hipótesis!$D$113*(1-Hipótesis!$D$117)/MAX(Hipótesis!$D$115-Hipótesis!$D$116,1)),0))</f>
        <v>0</v>
      </c>
      <c r="CC102" s="100" t="n">
        <f aca="false">IF(79&lt;=Hipótesis!$D$116,0,IF(CC101&gt;0,MIN(CC101,Hipótesis!$D$113*(1-Hipótesis!$D$117)/MAX(Hipótesis!$D$115-Hipótesis!$D$116,1)),0))</f>
        <v>0</v>
      </c>
      <c r="CD102" s="100" t="n">
        <f aca="false">IF(80&lt;=Hipótesis!$D$116,0,IF(CD101&gt;0,MIN(CD101,Hipótesis!$D$113*(1-Hipótesis!$D$117)/MAX(Hipótesis!$D$115-Hipótesis!$D$116,1)),0))</f>
        <v>0</v>
      </c>
      <c r="CE102" s="100" t="n">
        <f aca="false">IF(81&lt;=Hipótesis!$D$116,0,IF(CE101&gt;0,MIN(CE101,Hipótesis!$D$113*(1-Hipótesis!$D$117)/MAX(Hipótesis!$D$115-Hipótesis!$D$116,1)),0))</f>
        <v>0</v>
      </c>
      <c r="CF102" s="100" t="n">
        <f aca="false">IF(82&lt;=Hipótesis!$D$116,0,IF(CF101&gt;0,MIN(CF101,Hipótesis!$D$113*(1-Hipótesis!$D$117)/MAX(Hipótesis!$D$115-Hipótesis!$D$116,1)),0))</f>
        <v>0</v>
      </c>
      <c r="CG102" s="100" t="n">
        <f aca="false">IF(83&lt;=Hipótesis!$D$116,0,IF(CG101&gt;0,MIN(CG101,Hipótesis!$D$113*(1-Hipótesis!$D$117)/MAX(Hipótesis!$D$115-Hipótesis!$D$116,1)),0))</f>
        <v>0</v>
      </c>
      <c r="CH102" s="100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6" t="s">
        <v>574</v>
      </c>
      <c r="C103" s="100" t="n">
        <f aca="false">C101*Hipótesis!$D$114/12</f>
        <v>0</v>
      </c>
      <c r="D103" s="100" t="n">
        <f aca="false">D101*Hipótesis!$D$114/12</f>
        <v>0</v>
      </c>
      <c r="E103" s="100" t="n">
        <f aca="false">E101*Hipótesis!$D$114/12</f>
        <v>0</v>
      </c>
      <c r="F103" s="100" t="n">
        <f aca="false">F101*Hipótesis!$D$114/12</f>
        <v>0</v>
      </c>
      <c r="G103" s="100" t="n">
        <f aca="false">G101*Hipótesis!$D$114/12</f>
        <v>0</v>
      </c>
      <c r="H103" s="100" t="n">
        <f aca="false">H101*Hipótesis!$D$114/12</f>
        <v>0</v>
      </c>
      <c r="I103" s="100" t="n">
        <f aca="false">I101*Hipótesis!$D$114/12</f>
        <v>0</v>
      </c>
      <c r="J103" s="100" t="n">
        <f aca="false">J101*Hipótesis!$D$114/12</f>
        <v>0</v>
      </c>
      <c r="K103" s="100" t="n">
        <f aca="false">K101*Hipótesis!$D$114/12</f>
        <v>0</v>
      </c>
      <c r="L103" s="100" t="n">
        <f aca="false">L101*Hipótesis!$D$114/12</f>
        <v>0</v>
      </c>
      <c r="M103" s="100" t="n">
        <f aca="false">M101*Hipótesis!$D$114/12</f>
        <v>0</v>
      </c>
      <c r="N103" s="100" t="n">
        <f aca="false">N101*Hipótesis!$D$114/12</f>
        <v>0</v>
      </c>
      <c r="O103" s="100" t="n">
        <f aca="false">O101*Hipótesis!$D$114/12</f>
        <v>0</v>
      </c>
      <c r="P103" s="100" t="n">
        <f aca="false">P101*Hipótesis!$D$114/12</f>
        <v>0</v>
      </c>
      <c r="Q103" s="100" t="n">
        <f aca="false">Q101*Hipótesis!$D$114/12</f>
        <v>0</v>
      </c>
      <c r="R103" s="100" t="n">
        <f aca="false">R101*Hipótesis!$D$114/12</f>
        <v>0</v>
      </c>
      <c r="S103" s="100" t="n">
        <f aca="false">S101*Hipótesis!$D$114/12</f>
        <v>0</v>
      </c>
      <c r="T103" s="100" t="n">
        <f aca="false">T101*Hipótesis!$D$114/12</f>
        <v>0</v>
      </c>
      <c r="U103" s="100" t="n">
        <f aca="false">U101*Hipótesis!$D$114/12</f>
        <v>0</v>
      </c>
      <c r="V103" s="100" t="n">
        <f aca="false">V101*Hipótesis!$D$114/12</f>
        <v>0</v>
      </c>
      <c r="W103" s="100" t="n">
        <f aca="false">W101*Hipótesis!$D$114/12</f>
        <v>0</v>
      </c>
      <c r="X103" s="100" t="n">
        <f aca="false">X101*Hipótesis!$D$114/12</f>
        <v>0</v>
      </c>
      <c r="Y103" s="100" t="n">
        <f aca="false">Y101*Hipótesis!$D$114/12</f>
        <v>0</v>
      </c>
      <c r="Z103" s="100" t="n">
        <f aca="false">Z101*Hipótesis!$D$114/12</f>
        <v>0</v>
      </c>
      <c r="AA103" s="100" t="n">
        <f aca="false">AA101*Hipótesis!$D$114/12</f>
        <v>0</v>
      </c>
      <c r="AB103" s="100" t="n">
        <f aca="false">AB101*Hipótesis!$D$114/12</f>
        <v>0</v>
      </c>
      <c r="AC103" s="100" t="n">
        <f aca="false">AC101*Hipótesis!$D$114/12</f>
        <v>0</v>
      </c>
      <c r="AD103" s="100" t="n">
        <f aca="false">AD101*Hipótesis!$D$114/12</f>
        <v>0</v>
      </c>
      <c r="AE103" s="100" t="n">
        <f aca="false">AE101*Hipótesis!$D$114/12</f>
        <v>0</v>
      </c>
      <c r="AF103" s="100" t="n">
        <f aca="false">AF101*Hipótesis!$D$114/12</f>
        <v>0</v>
      </c>
      <c r="AG103" s="100" t="n">
        <f aca="false">AG101*Hipótesis!$D$114/12</f>
        <v>0</v>
      </c>
      <c r="AH103" s="100" t="n">
        <f aca="false">AH101*Hipótesis!$D$114/12</f>
        <v>0</v>
      </c>
      <c r="AI103" s="100" t="n">
        <f aca="false">AI101*Hipótesis!$D$114/12</f>
        <v>0</v>
      </c>
      <c r="AJ103" s="100" t="n">
        <f aca="false">AJ101*Hipótesis!$D$114/12</f>
        <v>0</v>
      </c>
      <c r="AK103" s="100" t="n">
        <f aca="false">AK101*Hipótesis!$D$114/12</f>
        <v>0</v>
      </c>
      <c r="AL103" s="100" t="n">
        <f aca="false">AL101*Hipótesis!$D$114/12</f>
        <v>0</v>
      </c>
      <c r="AM103" s="100" t="n">
        <f aca="false">AM101*Hipótesis!$D$114/12</f>
        <v>0</v>
      </c>
      <c r="AN103" s="100" t="n">
        <f aca="false">AN101*Hipótesis!$D$114/12</f>
        <v>0</v>
      </c>
      <c r="AO103" s="100" t="n">
        <f aca="false">AO101*Hipótesis!$D$114/12</f>
        <v>0</v>
      </c>
      <c r="AP103" s="100" t="n">
        <f aca="false">AP101*Hipótesis!$D$114/12</f>
        <v>0</v>
      </c>
      <c r="AQ103" s="100" t="n">
        <f aca="false">AQ101*Hipótesis!$D$114/12</f>
        <v>0</v>
      </c>
      <c r="AR103" s="100" t="n">
        <f aca="false">AR101*Hipótesis!$D$114/12</f>
        <v>0</v>
      </c>
      <c r="AS103" s="100" t="n">
        <f aca="false">AS101*Hipótesis!$D$114/12</f>
        <v>0</v>
      </c>
      <c r="AT103" s="100" t="n">
        <f aca="false">AT101*Hipótesis!$D$114/12</f>
        <v>0</v>
      </c>
      <c r="AU103" s="100" t="n">
        <f aca="false">AU101*Hipótesis!$D$114/12</f>
        <v>0</v>
      </c>
      <c r="AV103" s="100" t="n">
        <f aca="false">AV101*Hipótesis!$D$114/12</f>
        <v>0</v>
      </c>
      <c r="AW103" s="100" t="n">
        <f aca="false">AW101*Hipótesis!$D$114/12</f>
        <v>0</v>
      </c>
      <c r="AX103" s="100" t="n">
        <f aca="false">AX101*Hipótesis!$D$114/12</f>
        <v>0</v>
      </c>
      <c r="AY103" s="100" t="n">
        <f aca="false">AY101*Hipótesis!$D$114/12</f>
        <v>0</v>
      </c>
      <c r="AZ103" s="100" t="n">
        <f aca="false">AZ101*Hipótesis!$D$114/12</f>
        <v>0</v>
      </c>
      <c r="BA103" s="100" t="n">
        <f aca="false">BA101*Hipótesis!$D$114/12</f>
        <v>0</v>
      </c>
      <c r="BB103" s="100" t="n">
        <f aca="false">BB101*Hipótesis!$D$114/12</f>
        <v>0</v>
      </c>
      <c r="BC103" s="100" t="n">
        <f aca="false">BC101*Hipótesis!$D$114/12</f>
        <v>0</v>
      </c>
      <c r="BD103" s="100" t="n">
        <f aca="false">BD101*Hipótesis!$D$114/12</f>
        <v>0</v>
      </c>
      <c r="BE103" s="100" t="n">
        <f aca="false">BE101*Hipótesis!$D$114/12</f>
        <v>0</v>
      </c>
      <c r="BF103" s="100" t="n">
        <f aca="false">BF101*Hipótesis!$D$114/12</f>
        <v>0</v>
      </c>
      <c r="BG103" s="100" t="n">
        <f aca="false">BG101*Hipótesis!$D$114/12</f>
        <v>0</v>
      </c>
      <c r="BH103" s="100" t="n">
        <f aca="false">BH101*Hipótesis!$D$114/12</f>
        <v>0</v>
      </c>
      <c r="BI103" s="100" t="n">
        <f aca="false">BI101*Hipótesis!$D$114/12</f>
        <v>0</v>
      </c>
      <c r="BJ103" s="100" t="n">
        <f aca="false">BJ101*Hipótesis!$D$114/12</f>
        <v>0</v>
      </c>
      <c r="BK103" s="100" t="n">
        <f aca="false">BK101*Hipótesis!$D$114/12</f>
        <v>0</v>
      </c>
      <c r="BL103" s="100" t="n">
        <f aca="false">BL101*Hipótesis!$D$114/12</f>
        <v>0</v>
      </c>
      <c r="BM103" s="100" t="n">
        <f aca="false">BM101*Hipótesis!$D$114/12</f>
        <v>0</v>
      </c>
      <c r="BN103" s="100" t="n">
        <f aca="false">BN101*Hipótesis!$D$114/12</f>
        <v>0</v>
      </c>
      <c r="BO103" s="100" t="n">
        <f aca="false">BO101*Hipótesis!$D$114/12</f>
        <v>0</v>
      </c>
      <c r="BP103" s="100" t="n">
        <f aca="false">BP101*Hipótesis!$D$114/12</f>
        <v>0</v>
      </c>
      <c r="BQ103" s="100" t="n">
        <f aca="false">BQ101*Hipótesis!$D$114/12</f>
        <v>0</v>
      </c>
      <c r="BR103" s="100" t="n">
        <f aca="false">BR101*Hipótesis!$D$114/12</f>
        <v>0</v>
      </c>
      <c r="BS103" s="100" t="n">
        <f aca="false">BS101*Hipótesis!$D$114/12</f>
        <v>0</v>
      </c>
      <c r="BT103" s="100" t="n">
        <f aca="false">BT101*Hipótesis!$D$114/12</f>
        <v>0</v>
      </c>
      <c r="BU103" s="100" t="n">
        <f aca="false">BU101*Hipótesis!$D$114/12</f>
        <v>0</v>
      </c>
      <c r="BV103" s="100" t="n">
        <f aca="false">BV101*Hipótesis!$D$114/12</f>
        <v>0</v>
      </c>
      <c r="BW103" s="100" t="n">
        <f aca="false">BW101*Hipótesis!$D$114/12</f>
        <v>0</v>
      </c>
      <c r="BX103" s="100" t="n">
        <f aca="false">BX101*Hipótesis!$D$114/12</f>
        <v>0</v>
      </c>
      <c r="BY103" s="100" t="n">
        <f aca="false">BY101*Hipótesis!$D$114/12</f>
        <v>0</v>
      </c>
      <c r="BZ103" s="100" t="n">
        <f aca="false">BZ101*Hipótesis!$D$114/12</f>
        <v>0</v>
      </c>
      <c r="CA103" s="100" t="n">
        <f aca="false">CA101*Hipótesis!$D$114/12</f>
        <v>0</v>
      </c>
      <c r="CB103" s="100" t="n">
        <f aca="false">CB101*Hipótesis!$D$114/12</f>
        <v>0</v>
      </c>
      <c r="CC103" s="100" t="n">
        <f aca="false">CC101*Hipótesis!$D$114/12</f>
        <v>0</v>
      </c>
      <c r="CD103" s="100" t="n">
        <f aca="false">CD101*Hipótesis!$D$114/12</f>
        <v>0</v>
      </c>
      <c r="CE103" s="100" t="n">
        <f aca="false">CE101*Hipótesis!$D$114/12</f>
        <v>0</v>
      </c>
      <c r="CF103" s="100" t="n">
        <f aca="false">CF101*Hipótesis!$D$114/12</f>
        <v>0</v>
      </c>
      <c r="CG103" s="100" t="n">
        <f aca="false">CG101*Hipótesis!$D$114/12</f>
        <v>0</v>
      </c>
      <c r="CH103" s="100" t="n">
        <f aca="false">CH101*Hipótesis!$D$114/12</f>
        <v>0</v>
      </c>
    </row>
    <row r="104" customFormat="false" ht="13.5" hidden="false" customHeight="true" outlineLevel="0" collapsed="false">
      <c r="A104" s="6" t="s">
        <v>575</v>
      </c>
      <c r="C104" s="100" t="n">
        <f aca="false">C102+C103</f>
        <v>0</v>
      </c>
      <c r="D104" s="100" t="n">
        <f aca="false">D102+D103</f>
        <v>0</v>
      </c>
      <c r="E104" s="100" t="n">
        <f aca="false">E102+E103</f>
        <v>0</v>
      </c>
      <c r="F104" s="100" t="n">
        <f aca="false">F102+F103</f>
        <v>0</v>
      </c>
      <c r="G104" s="100" t="n">
        <f aca="false">G102+G103</f>
        <v>0</v>
      </c>
      <c r="H104" s="100" t="n">
        <f aca="false">H102+H103</f>
        <v>0</v>
      </c>
      <c r="I104" s="100" t="n">
        <f aca="false">I102+I103</f>
        <v>0</v>
      </c>
      <c r="J104" s="100" t="n">
        <f aca="false">J102+J103</f>
        <v>0</v>
      </c>
      <c r="K104" s="100" t="n">
        <f aca="false">K102+K103</f>
        <v>0</v>
      </c>
      <c r="L104" s="100" t="n">
        <f aca="false">L102+L103</f>
        <v>0</v>
      </c>
      <c r="M104" s="100" t="n">
        <f aca="false">M102+M103</f>
        <v>0</v>
      </c>
      <c r="N104" s="100" t="n">
        <f aca="false">N102+N103</f>
        <v>0</v>
      </c>
      <c r="O104" s="100" t="n">
        <f aca="false">O102+O103</f>
        <v>0</v>
      </c>
      <c r="P104" s="100" t="n">
        <f aca="false">P102+P103</f>
        <v>0</v>
      </c>
      <c r="Q104" s="100" t="n">
        <f aca="false">Q102+Q103</f>
        <v>0</v>
      </c>
      <c r="R104" s="100" t="n">
        <f aca="false">R102+R103</f>
        <v>0</v>
      </c>
      <c r="S104" s="100" t="n">
        <f aca="false">S102+S103</f>
        <v>0</v>
      </c>
      <c r="T104" s="100" t="n">
        <f aca="false">T102+T103</f>
        <v>0</v>
      </c>
      <c r="U104" s="100" t="n">
        <f aca="false">U102+U103</f>
        <v>0</v>
      </c>
      <c r="V104" s="100" t="n">
        <f aca="false">V102+V103</f>
        <v>0</v>
      </c>
      <c r="W104" s="100" t="n">
        <f aca="false">W102+W103</f>
        <v>0</v>
      </c>
      <c r="X104" s="100" t="n">
        <f aca="false">X102+X103</f>
        <v>0</v>
      </c>
      <c r="Y104" s="100" t="n">
        <f aca="false">Y102+Y103</f>
        <v>0</v>
      </c>
      <c r="Z104" s="100" t="n">
        <f aca="false">Z102+Z103</f>
        <v>0</v>
      </c>
      <c r="AA104" s="100" t="n">
        <f aca="false">AA102+AA103</f>
        <v>0</v>
      </c>
      <c r="AB104" s="100" t="n">
        <f aca="false">AB102+AB103</f>
        <v>0</v>
      </c>
      <c r="AC104" s="100" t="n">
        <f aca="false">AC102+AC103</f>
        <v>0</v>
      </c>
      <c r="AD104" s="100" t="n">
        <f aca="false">AD102+AD103</f>
        <v>0</v>
      </c>
      <c r="AE104" s="100" t="n">
        <f aca="false">AE102+AE103</f>
        <v>0</v>
      </c>
      <c r="AF104" s="100" t="n">
        <f aca="false">AF102+AF103</f>
        <v>0</v>
      </c>
      <c r="AG104" s="100" t="n">
        <f aca="false">AG102+AG103</f>
        <v>0</v>
      </c>
      <c r="AH104" s="100" t="n">
        <f aca="false">AH102+AH103</f>
        <v>0</v>
      </c>
      <c r="AI104" s="100" t="n">
        <f aca="false">AI102+AI103</f>
        <v>0</v>
      </c>
      <c r="AJ104" s="100" t="n">
        <f aca="false">AJ102+AJ103</f>
        <v>0</v>
      </c>
      <c r="AK104" s="100" t="n">
        <f aca="false">AK102+AK103</f>
        <v>0</v>
      </c>
      <c r="AL104" s="100" t="n">
        <f aca="false">AL102+AL103</f>
        <v>0</v>
      </c>
      <c r="AM104" s="100" t="n">
        <f aca="false">AM102+AM103</f>
        <v>0</v>
      </c>
      <c r="AN104" s="100" t="n">
        <f aca="false">AN102+AN103</f>
        <v>0</v>
      </c>
      <c r="AO104" s="100" t="n">
        <f aca="false">AO102+AO103</f>
        <v>0</v>
      </c>
      <c r="AP104" s="100" t="n">
        <f aca="false">AP102+AP103</f>
        <v>0</v>
      </c>
      <c r="AQ104" s="100" t="n">
        <f aca="false">AQ102+AQ103</f>
        <v>0</v>
      </c>
      <c r="AR104" s="100" t="n">
        <f aca="false">AR102+AR103</f>
        <v>0</v>
      </c>
      <c r="AS104" s="100" t="n">
        <f aca="false">AS102+AS103</f>
        <v>0</v>
      </c>
      <c r="AT104" s="100" t="n">
        <f aca="false">AT102+AT103</f>
        <v>0</v>
      </c>
      <c r="AU104" s="100" t="n">
        <f aca="false">AU102+AU103</f>
        <v>0</v>
      </c>
      <c r="AV104" s="100" t="n">
        <f aca="false">AV102+AV103</f>
        <v>0</v>
      </c>
      <c r="AW104" s="100" t="n">
        <f aca="false">AW102+AW103</f>
        <v>0</v>
      </c>
      <c r="AX104" s="100" t="n">
        <f aca="false">AX102+AX103</f>
        <v>0</v>
      </c>
      <c r="AY104" s="100" t="n">
        <f aca="false">AY102+AY103</f>
        <v>0</v>
      </c>
      <c r="AZ104" s="100" t="n">
        <f aca="false">AZ102+AZ103</f>
        <v>0</v>
      </c>
      <c r="BA104" s="100" t="n">
        <f aca="false">BA102+BA103</f>
        <v>0</v>
      </c>
      <c r="BB104" s="100" t="n">
        <f aca="false">BB102+BB103</f>
        <v>0</v>
      </c>
      <c r="BC104" s="100" t="n">
        <f aca="false">BC102+BC103</f>
        <v>0</v>
      </c>
      <c r="BD104" s="100" t="n">
        <f aca="false">BD102+BD103</f>
        <v>0</v>
      </c>
      <c r="BE104" s="100" t="n">
        <f aca="false">BE102+BE103</f>
        <v>0</v>
      </c>
      <c r="BF104" s="100" t="n">
        <f aca="false">BF102+BF103</f>
        <v>0</v>
      </c>
      <c r="BG104" s="100" t="n">
        <f aca="false">BG102+BG103</f>
        <v>0</v>
      </c>
      <c r="BH104" s="100" t="n">
        <f aca="false">BH102+BH103</f>
        <v>0</v>
      </c>
      <c r="BI104" s="100" t="n">
        <f aca="false">BI102+BI103</f>
        <v>0</v>
      </c>
      <c r="BJ104" s="100" t="n">
        <f aca="false">BJ102+BJ103</f>
        <v>0</v>
      </c>
      <c r="BK104" s="100" t="n">
        <f aca="false">BK102+BK103</f>
        <v>0</v>
      </c>
      <c r="BL104" s="100" t="n">
        <f aca="false">BL102+BL103</f>
        <v>0</v>
      </c>
      <c r="BM104" s="100" t="n">
        <f aca="false">BM102+BM103</f>
        <v>0</v>
      </c>
      <c r="BN104" s="100" t="n">
        <f aca="false">BN102+BN103</f>
        <v>0</v>
      </c>
      <c r="BO104" s="100" t="n">
        <f aca="false">BO102+BO103</f>
        <v>0</v>
      </c>
      <c r="BP104" s="100" t="n">
        <f aca="false">BP102+BP103</f>
        <v>0</v>
      </c>
      <c r="BQ104" s="100" t="n">
        <f aca="false">BQ102+BQ103</f>
        <v>0</v>
      </c>
      <c r="BR104" s="100" t="n">
        <f aca="false">BR102+BR103</f>
        <v>0</v>
      </c>
      <c r="BS104" s="100" t="n">
        <f aca="false">BS102+BS103</f>
        <v>0</v>
      </c>
      <c r="BT104" s="100" t="n">
        <f aca="false">BT102+BT103</f>
        <v>0</v>
      </c>
      <c r="BU104" s="100" t="n">
        <f aca="false">BU102+BU103</f>
        <v>0</v>
      </c>
      <c r="BV104" s="100" t="n">
        <f aca="false">BV102+BV103</f>
        <v>0</v>
      </c>
      <c r="BW104" s="100" t="n">
        <f aca="false">BW102+BW103</f>
        <v>0</v>
      </c>
      <c r="BX104" s="100" t="n">
        <f aca="false">BX102+BX103</f>
        <v>0</v>
      </c>
      <c r="BY104" s="100" t="n">
        <f aca="false">BY102+BY103</f>
        <v>0</v>
      </c>
      <c r="BZ104" s="100" t="n">
        <f aca="false">BZ102+BZ103</f>
        <v>0</v>
      </c>
      <c r="CA104" s="100" t="n">
        <f aca="false">CA102+CA103</f>
        <v>0</v>
      </c>
      <c r="CB104" s="100" t="n">
        <f aca="false">CB102+CB103</f>
        <v>0</v>
      </c>
      <c r="CC104" s="100" t="n">
        <f aca="false">CC102+CC103</f>
        <v>0</v>
      </c>
      <c r="CD104" s="100" t="n">
        <f aca="false">CD102+CD103</f>
        <v>0</v>
      </c>
      <c r="CE104" s="100" t="n">
        <f aca="false">CE102+CE103</f>
        <v>0</v>
      </c>
      <c r="CF104" s="100" t="n">
        <f aca="false">CF102+CF103</f>
        <v>0</v>
      </c>
      <c r="CG104" s="100" t="n">
        <f aca="false">CG102+CG103</f>
        <v>0</v>
      </c>
      <c r="CH104" s="100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46" t="s">
        <v>576</v>
      </c>
      <c r="C106" s="63" t="n">
        <f aca="false">C93+C99+C104</f>
        <v>333.333333333333</v>
      </c>
      <c r="D106" s="63" t="n">
        <f aca="false">D93+D99+D104</f>
        <v>333.333333333333</v>
      </c>
      <c r="E106" s="63" t="n">
        <f aca="false">E93+E99+E104</f>
        <v>333.333333333333</v>
      </c>
      <c r="F106" s="63" t="n">
        <f aca="false">F93+F99+F104</f>
        <v>333.333333333333</v>
      </c>
      <c r="G106" s="63" t="n">
        <f aca="false">G93+G99+G104</f>
        <v>333.333333333333</v>
      </c>
      <c r="H106" s="63" t="n">
        <f aca="false">H93+H99+H104</f>
        <v>333.333333333333</v>
      </c>
      <c r="I106" s="63" t="n">
        <f aca="false">I93+I99+I104</f>
        <v>333.333333333333</v>
      </c>
      <c r="J106" s="63" t="n">
        <f aca="false">J93+J99+J104</f>
        <v>333.333333333333</v>
      </c>
      <c r="K106" s="63" t="n">
        <f aca="false">K93+K99+K104</f>
        <v>333.333333333333</v>
      </c>
      <c r="L106" s="63" t="n">
        <f aca="false">L93+L99+L104</f>
        <v>333.333333333333</v>
      </c>
      <c r="M106" s="63" t="n">
        <f aca="false">M93+M99+M104</f>
        <v>333.333333333333</v>
      </c>
      <c r="N106" s="63" t="n">
        <f aca="false">N93+N99+N104</f>
        <v>343.940172297105</v>
      </c>
      <c r="O106" s="63" t="n">
        <f aca="false">O93+O99+O104</f>
        <v>333.333333333333</v>
      </c>
      <c r="P106" s="63" t="n">
        <f aca="false">P93+P99+P104</f>
        <v>333.333333333333</v>
      </c>
      <c r="Q106" s="63" t="n">
        <f aca="false">Q93+Q99+Q104</f>
        <v>333.333333333333</v>
      </c>
      <c r="R106" s="63" t="n">
        <f aca="false">R93+R99+R104</f>
        <v>334.554213434584</v>
      </c>
      <c r="S106" s="63" t="n">
        <f aca="false">S93+S99+S104</f>
        <v>369.10551218216</v>
      </c>
      <c r="T106" s="63" t="n">
        <f aca="false">T93+T99+T104</f>
        <v>357.430410929735</v>
      </c>
      <c r="U106" s="63" t="n">
        <f aca="false">U93+U99+U104</f>
        <v>391.981709677311</v>
      </c>
      <c r="V106" s="63" t="n">
        <f aca="false">V93+V99+V104</f>
        <v>372.149008424886</v>
      </c>
      <c r="W106" s="63" t="n">
        <f aca="false">W93+W99+W104</f>
        <v>406.700307172461</v>
      </c>
      <c r="X106" s="63" t="n">
        <f aca="false">X93+X99+X104</f>
        <v>383.726501929853</v>
      </c>
      <c r="Y106" s="63" t="n">
        <f aca="false">Y93+Y99+Y104</f>
        <v>406.979096687246</v>
      </c>
      <c r="Z106" s="63" t="n">
        <f aca="false">Z93+Z99+Z104</f>
        <v>426.182009848565</v>
      </c>
      <c r="AA106" s="63" t="n">
        <f aca="false">AA93+AA99+AA104</f>
        <v>2063.64138167655</v>
      </c>
      <c r="AB106" s="63" t="n">
        <f aca="false">AB93+AB99+AB104</f>
        <v>2077.28873928231</v>
      </c>
      <c r="AC106" s="63" t="n">
        <f aca="false">AC93+AC99+AC104</f>
        <v>2090.93609688808</v>
      </c>
      <c r="AD106" s="63" t="n">
        <f aca="false">AD93+AD99+AD104</f>
        <v>2104.58345449384</v>
      </c>
      <c r="AE106" s="63" t="n">
        <f aca="false">AE93+AE99+AE104</f>
        <v>2070.6176200996</v>
      </c>
      <c r="AF106" s="63" t="n">
        <f aca="false">AF93+AF99+AF104</f>
        <v>2084.26497770537</v>
      </c>
      <c r="AG106" s="63" t="n">
        <f aca="false">AG93+AG99+AG104</f>
        <v>2097.91233531113</v>
      </c>
      <c r="AH106" s="63" t="n">
        <f aca="false">AH93+AH99+AH104</f>
        <v>2111.55969291689</v>
      </c>
      <c r="AI106" s="63" t="n">
        <f aca="false">AI93+AI99+AI104</f>
        <v>2125.20705052266</v>
      </c>
      <c r="AJ106" s="63" t="n">
        <f aca="false">AJ93+AJ99+AJ104</f>
        <v>2138.85440812842</v>
      </c>
      <c r="AK106" s="63" t="n">
        <f aca="false">AK93+AK99+AK104</f>
        <v>2152.50176573418</v>
      </c>
      <c r="AL106" s="63" t="n">
        <f aca="false">AL93+AL99+AL104</f>
        <v>2166.14912333995</v>
      </c>
      <c r="AM106" s="63" t="n">
        <f aca="false">AM93+AM99+AM104</f>
        <v>2080.65198318571</v>
      </c>
      <c r="AN106" s="63" t="n">
        <f aca="false">AN93+AN99+AN104</f>
        <v>2094.29934079147</v>
      </c>
      <c r="AO106" s="63" t="n">
        <f aca="false">AO93+AO99+AO104</f>
        <v>2107.94669839724</v>
      </c>
      <c r="AP106" s="63" t="n">
        <f aca="false">AP93+AP99+AP104</f>
        <v>2121.594056003</v>
      </c>
      <c r="AQ106" s="63" t="n">
        <f aca="false">AQ93+AQ99+AQ104</f>
        <v>2135.24141360877</v>
      </c>
      <c r="AR106" s="63" t="n">
        <f aca="false">AR93+AR99+AR104</f>
        <v>2148.88877121453</v>
      </c>
      <c r="AS106" s="63" t="n">
        <f aca="false">AS93+AS99+AS104</f>
        <v>2143.33321565897</v>
      </c>
      <c r="AT106" s="63" t="n">
        <f aca="false">AT93+AT99+AT104</f>
        <v>2137.77766010342</v>
      </c>
      <c r="AU106" s="63" t="n">
        <f aca="false">AU93+AU99+AU104</f>
        <v>2132.22210454786</v>
      </c>
      <c r="AV106" s="63" t="n">
        <f aca="false">AV93+AV99+AV104</f>
        <v>2126.66654899231</v>
      </c>
      <c r="AW106" s="63" t="n">
        <f aca="false">AW93+AW99+AW104</f>
        <v>2121.11099343675</v>
      </c>
      <c r="AX106" s="63" t="n">
        <f aca="false">AX93+AX99+AX104</f>
        <v>2115.5554378812</v>
      </c>
      <c r="AY106" s="63" t="n">
        <f aca="false">AY93+AY99+AY104</f>
        <v>2058.11063739284</v>
      </c>
      <c r="AZ106" s="63" t="n">
        <f aca="false">AZ93+AZ99+AZ104</f>
        <v>2052.55508183728</v>
      </c>
      <c r="BA106" s="63" t="n">
        <f aca="false">BA93+BA99+BA104</f>
        <v>2046.99952628173</v>
      </c>
      <c r="BB106" s="63" t="n">
        <f aca="false">BB93+BB99+BB104</f>
        <v>2041.44397072617</v>
      </c>
      <c r="BC106" s="63" t="n">
        <f aca="false">BC93+BC99+BC104</f>
        <v>2035.88841517062</v>
      </c>
      <c r="BD106" s="63" t="n">
        <f aca="false">BD93+BD99+BD104</f>
        <v>2030.33285961506</v>
      </c>
      <c r="BE106" s="63" t="n">
        <f aca="false">BE93+BE99+BE104</f>
        <v>2024.77730405951</v>
      </c>
      <c r="BF106" s="63" t="n">
        <f aca="false">BF93+BF99+BF104</f>
        <v>2019.22174850395</v>
      </c>
      <c r="BG106" s="63" t="n">
        <f aca="false">BG93+BG99+BG104</f>
        <v>2013.6661929484</v>
      </c>
      <c r="BH106" s="63" t="n">
        <f aca="false">BH93+BH99+BH104</f>
        <v>2008.11063739284</v>
      </c>
      <c r="BI106" s="63" t="n">
        <f aca="false">BI93+BI99+BI104</f>
        <v>2002.55508183728</v>
      </c>
      <c r="BJ106" s="63" t="n">
        <f aca="false">BJ93+BJ99+BJ104</f>
        <v>1996.99952628173</v>
      </c>
      <c r="BK106" s="63" t="n">
        <f aca="false">BK93+BK99+BK104</f>
        <v>1939.18604844539</v>
      </c>
      <c r="BL106" s="63" t="n">
        <f aca="false">BL93+BL99+BL104</f>
        <v>1933.63049288983</v>
      </c>
      <c r="BM106" s="63" t="n">
        <f aca="false">BM93+BM99+BM104</f>
        <v>1928.07493733428</v>
      </c>
      <c r="BN106" s="63" t="n">
        <f aca="false">BN93+BN99+BN104</f>
        <v>1922.51938177872</v>
      </c>
      <c r="BO106" s="63" t="n">
        <f aca="false">BO93+BO99+BO104</f>
        <v>1916.96382622317</v>
      </c>
      <c r="BP106" s="63" t="n">
        <f aca="false">BP93+BP99+BP104</f>
        <v>1911.40827066761</v>
      </c>
      <c r="BQ106" s="63" t="n">
        <f aca="false">BQ93+BQ99+BQ104</f>
        <v>1905.85271511206</v>
      </c>
      <c r="BR106" s="63" t="n">
        <f aca="false">BR93+BR99+BR104</f>
        <v>1900.2971595565</v>
      </c>
      <c r="BS106" s="63" t="n">
        <f aca="false">BS93+BS99+BS104</f>
        <v>1894.74160400094</v>
      </c>
      <c r="BT106" s="63" t="n">
        <f aca="false">BT93+BT99+BT104</f>
        <v>1889.18604844539</v>
      </c>
      <c r="BU106" s="63" t="n">
        <f aca="false">BU93+BU99+BU104</f>
        <v>1883.63049288983</v>
      </c>
      <c r="BV106" s="63" t="n">
        <f aca="false">BV93+BV99+BV104</f>
        <v>1878.07493733428</v>
      </c>
      <c r="BW106" s="63" t="n">
        <f aca="false">BW93+BW99+BW104</f>
        <v>1819.88172182951</v>
      </c>
      <c r="BX106" s="63" t="n">
        <f aca="false">BX93+BX99+BX104</f>
        <v>1814.32616627396</v>
      </c>
      <c r="BY106" s="63" t="n">
        <f aca="false">BY93+BY99+BY104</f>
        <v>1808.7706107184</v>
      </c>
      <c r="BZ106" s="63" t="n">
        <f aca="false">BZ93+BZ99+BZ104</f>
        <v>1803.21505516285</v>
      </c>
      <c r="CA106" s="63" t="n">
        <f aca="false">CA93+CA99+CA104</f>
        <v>1797.65949960729</v>
      </c>
      <c r="CB106" s="63" t="n">
        <f aca="false">CB93+CB99+CB104</f>
        <v>1792.10394405174</v>
      </c>
      <c r="CC106" s="63" t="n">
        <f aca="false">CC93+CC99+CC104</f>
        <v>1786.54838849618</v>
      </c>
      <c r="CD106" s="63" t="n">
        <f aca="false">CD93+CD99+CD104</f>
        <v>1780.99283294063</v>
      </c>
      <c r="CE106" s="63" t="n">
        <f aca="false">CE93+CE99+CE104</f>
        <v>1775.43727738507</v>
      </c>
      <c r="CF106" s="63" t="n">
        <f aca="false">CF93+CF99+CF104</f>
        <v>1769.88172182951</v>
      </c>
      <c r="CG106" s="63" t="n">
        <f aca="false">CG93+CG99+CG104</f>
        <v>1764.32616627396</v>
      </c>
      <c r="CH106" s="63" t="n">
        <f aca="false">CH93+CH99+CH104</f>
        <v>1758.77061071835</v>
      </c>
    </row>
    <row r="107" customFormat="false" ht="13.5" hidden="false" customHeight="true" outlineLevel="0" collapsed="false">
      <c r="A107" s="6" t="s">
        <v>577</v>
      </c>
      <c r="C107" s="100" t="n">
        <f aca="false">C106</f>
        <v>333.333333333333</v>
      </c>
      <c r="D107" s="100" t="n">
        <f aca="false">C107+D106</f>
        <v>666.666666666667</v>
      </c>
      <c r="E107" s="100" t="n">
        <f aca="false">D107+E106</f>
        <v>1000</v>
      </c>
      <c r="F107" s="100" t="n">
        <f aca="false">E107+F106</f>
        <v>1333.33333333333</v>
      </c>
      <c r="G107" s="100" t="n">
        <f aca="false">F107+G106</f>
        <v>1666.66666666667</v>
      </c>
      <c r="H107" s="100" t="n">
        <f aca="false">G107+H106</f>
        <v>2000</v>
      </c>
      <c r="I107" s="100" t="n">
        <f aca="false">H107+I106</f>
        <v>2333.33333333333</v>
      </c>
      <c r="J107" s="100" t="n">
        <f aca="false">I107+J106</f>
        <v>2666.66666666667</v>
      </c>
      <c r="K107" s="100" t="n">
        <f aca="false">J107+K106</f>
        <v>3000</v>
      </c>
      <c r="L107" s="100" t="n">
        <f aca="false">K107+L106</f>
        <v>3333.33333333333</v>
      </c>
      <c r="M107" s="100" t="n">
        <f aca="false">L107+M106</f>
        <v>3666.66666666667</v>
      </c>
      <c r="N107" s="100" t="n">
        <f aca="false">M107+N106</f>
        <v>4010.60683896377</v>
      </c>
      <c r="O107" s="100" t="n">
        <f aca="false">N107+O106</f>
        <v>4343.94017229711</v>
      </c>
      <c r="P107" s="100" t="n">
        <f aca="false">O107+P106</f>
        <v>4677.27350563044</v>
      </c>
      <c r="Q107" s="100" t="n">
        <f aca="false">P107+Q106</f>
        <v>5010.60683896377</v>
      </c>
      <c r="R107" s="100" t="n">
        <f aca="false">Q107+R106</f>
        <v>5345.16105239836</v>
      </c>
      <c r="S107" s="100" t="n">
        <f aca="false">R107+S106</f>
        <v>5714.26656458052</v>
      </c>
      <c r="T107" s="100" t="n">
        <f aca="false">S107+T106</f>
        <v>6071.69697551025</v>
      </c>
      <c r="U107" s="100" t="n">
        <f aca="false">T107+U106</f>
        <v>6463.67868518756</v>
      </c>
      <c r="V107" s="100" t="n">
        <f aca="false">U107+V106</f>
        <v>6835.82769361245</v>
      </c>
      <c r="W107" s="100" t="n">
        <f aca="false">V107+W106</f>
        <v>7242.52800078491</v>
      </c>
      <c r="X107" s="100" t="n">
        <f aca="false">W107+X106</f>
        <v>7626.25450271476</v>
      </c>
      <c r="Y107" s="100" t="n">
        <f aca="false">X107+Y106</f>
        <v>8033.23359940201</v>
      </c>
      <c r="Z107" s="100" t="n">
        <f aca="false">Y107+Z106</f>
        <v>8459.41560925057</v>
      </c>
      <c r="AA107" s="100" t="n">
        <f aca="false">Z107+AA106</f>
        <v>10523.0569909271</v>
      </c>
      <c r="AB107" s="100" t="n">
        <f aca="false">AA107+AB106</f>
        <v>12600.3457302094</v>
      </c>
      <c r="AC107" s="100" t="n">
        <f aca="false">AB107+AC106</f>
        <v>14691.2818270975</v>
      </c>
      <c r="AD107" s="100" t="n">
        <f aca="false">AC107+AD106</f>
        <v>16795.8652815914</v>
      </c>
      <c r="AE107" s="100" t="n">
        <f aca="false">AD107+AE106</f>
        <v>18866.482901691</v>
      </c>
      <c r="AF107" s="100" t="n">
        <f aca="false">AE107+AF106</f>
        <v>20950.7478793963</v>
      </c>
      <c r="AG107" s="100" t="n">
        <f aca="false">AF107+AG106</f>
        <v>23048.6602147075</v>
      </c>
      <c r="AH107" s="100" t="n">
        <f aca="false">AG107+AH106</f>
        <v>25160.2199076244</v>
      </c>
      <c r="AI107" s="100" t="n">
        <f aca="false">AH107+AI106</f>
        <v>27285.426958147</v>
      </c>
      <c r="AJ107" s="100" t="n">
        <f aca="false">AI107+AJ106</f>
        <v>29424.2813662754</v>
      </c>
      <c r="AK107" s="100" t="n">
        <f aca="false">AJ107+AK106</f>
        <v>31576.7831320096</v>
      </c>
      <c r="AL107" s="100" t="n">
        <f aca="false">AK107+AL106</f>
        <v>33742.9322553496</v>
      </c>
      <c r="AM107" s="100" t="n">
        <f aca="false">AL107+AM106</f>
        <v>35823.5842385353</v>
      </c>
      <c r="AN107" s="100" t="n">
        <f aca="false">AM107+AN106</f>
        <v>37917.8835793268</v>
      </c>
      <c r="AO107" s="100" t="n">
        <f aca="false">AN107+AO106</f>
        <v>40025.830277724</v>
      </c>
      <c r="AP107" s="100" t="n">
        <f aca="false">AO107+AP106</f>
        <v>42147.424333727</v>
      </c>
      <c r="AQ107" s="100" t="n">
        <f aca="false">AP107+AQ106</f>
        <v>44282.6657473358</v>
      </c>
      <c r="AR107" s="100" t="n">
        <f aca="false">AQ107+AR106</f>
        <v>46431.5545185503</v>
      </c>
      <c r="AS107" s="100" t="n">
        <f aca="false">AR107+AS106</f>
        <v>48574.8877342093</v>
      </c>
      <c r="AT107" s="100" t="n">
        <f aca="false">AS107+AT106</f>
        <v>50712.6653943127</v>
      </c>
      <c r="AU107" s="100" t="n">
        <f aca="false">AT107+AU106</f>
        <v>52844.8874988605</v>
      </c>
      <c r="AV107" s="100" t="n">
        <f aca="false">AU107+AV106</f>
        <v>54971.5540478528</v>
      </c>
      <c r="AW107" s="100" t="n">
        <f aca="false">AV107+AW106</f>
        <v>57092.6650412896</v>
      </c>
      <c r="AX107" s="100" t="n">
        <f aca="false">AW107+AX106</f>
        <v>59208.2204791708</v>
      </c>
      <c r="AY107" s="100" t="n">
        <f aca="false">AX107+AY106</f>
        <v>61266.3311165636</v>
      </c>
      <c r="AZ107" s="100" t="n">
        <f aca="false">AY107+AZ106</f>
        <v>63318.8861984009</v>
      </c>
      <c r="BA107" s="100" t="n">
        <f aca="false">AZ107+BA106</f>
        <v>65365.8857246826</v>
      </c>
      <c r="BB107" s="100" t="n">
        <f aca="false">BA107+BB106</f>
        <v>67407.3296954088</v>
      </c>
      <c r="BC107" s="100" t="n">
        <f aca="false">BB107+BC106</f>
        <v>69443.2181105794</v>
      </c>
      <c r="BD107" s="100" t="n">
        <f aca="false">BC107+BD106</f>
        <v>71473.5509701945</v>
      </c>
      <c r="BE107" s="100" t="n">
        <f aca="false">BD107+BE106</f>
        <v>73498.328274254</v>
      </c>
      <c r="BF107" s="100" t="n">
        <f aca="false">BE107+BF106</f>
        <v>75517.550022758</v>
      </c>
      <c r="BG107" s="100" t="n">
        <f aca="false">BF107+BG106</f>
        <v>77531.2162157064</v>
      </c>
      <c r="BH107" s="100" t="n">
        <f aca="false">BG107+BH106</f>
        <v>79539.3268530992</v>
      </c>
      <c r="BI107" s="100" t="n">
        <f aca="false">BH107+BI106</f>
        <v>81541.8819349365</v>
      </c>
      <c r="BJ107" s="100" t="n">
        <f aca="false">BI107+BJ106</f>
        <v>83538.8814612182</v>
      </c>
      <c r="BK107" s="100" t="n">
        <f aca="false">BJ107+BK106</f>
        <v>85478.0675096636</v>
      </c>
      <c r="BL107" s="100" t="n">
        <f aca="false">BK107+BL106</f>
        <v>87411.6980025534</v>
      </c>
      <c r="BM107" s="100" t="n">
        <f aca="false">BL107+BM106</f>
        <v>89339.7729398877</v>
      </c>
      <c r="BN107" s="100" t="n">
        <f aca="false">BM107+BN106</f>
        <v>91262.2923216664</v>
      </c>
      <c r="BO107" s="100" t="n">
        <f aca="false">BN107+BO106</f>
        <v>93179.2561478896</v>
      </c>
      <c r="BP107" s="100" t="n">
        <f aca="false">BO107+BP106</f>
        <v>95090.6644185572</v>
      </c>
      <c r="BQ107" s="100" t="n">
        <f aca="false">BP107+BQ106</f>
        <v>96996.5171336693</v>
      </c>
      <c r="BR107" s="100" t="n">
        <f aca="false">BQ107+BR106</f>
        <v>98896.8142932258</v>
      </c>
      <c r="BS107" s="100" t="n">
        <f aca="false">BR107+BS106</f>
        <v>100791.555897227</v>
      </c>
      <c r="BT107" s="100" t="n">
        <f aca="false">BS107+BT106</f>
        <v>102680.741945672</v>
      </c>
      <c r="BU107" s="100" t="n">
        <f aca="false">BT107+BU106</f>
        <v>104564.372438562</v>
      </c>
      <c r="BV107" s="100" t="n">
        <f aca="false">BU107+BV106</f>
        <v>106442.447375896</v>
      </c>
      <c r="BW107" s="100" t="n">
        <f aca="false">BV107+BW106</f>
        <v>108262.329097726</v>
      </c>
      <c r="BX107" s="100" t="n">
        <f aca="false">BW107+BX106</f>
        <v>110076.655264</v>
      </c>
      <c r="BY107" s="100" t="n">
        <f aca="false">BX107+BY106</f>
        <v>111885.425874718</v>
      </c>
      <c r="BZ107" s="100" t="n">
        <f aca="false">BY107+BZ106</f>
        <v>113688.640929881</v>
      </c>
      <c r="CA107" s="100" t="n">
        <f aca="false">BZ107+CA106</f>
        <v>115486.300429488</v>
      </c>
      <c r="CB107" s="100" t="n">
        <f aca="false">CA107+CB106</f>
        <v>117278.40437354</v>
      </c>
      <c r="CC107" s="100" t="n">
        <f aca="false">CB107+CC106</f>
        <v>119064.952762036</v>
      </c>
      <c r="CD107" s="100" t="n">
        <f aca="false">CC107+CD106</f>
        <v>120845.945594977</v>
      </c>
      <c r="CE107" s="100" t="n">
        <f aca="false">CD107+CE106</f>
        <v>122621.382872362</v>
      </c>
      <c r="CF107" s="100" t="n">
        <f aca="false">CE107+CF106</f>
        <v>124391.264594191</v>
      </c>
      <c r="CG107" s="100" t="n">
        <f aca="false">CF107+CG106</f>
        <v>126155.590760465</v>
      </c>
      <c r="CH107" s="100" t="n">
        <f aca="false">CG107+CH106</f>
        <v>127914.361371184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9" t="s">
        <v>578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</row>
    <row r="110" customFormat="false" ht="13.5" hidden="false" customHeight="true" outlineLevel="0" collapsed="false">
      <c r="A110" s="6" t="s">
        <v>579</v>
      </c>
      <c r="C110" s="100" t="n">
        <f aca="false">C63</f>
        <v>-16021.1578259128</v>
      </c>
      <c r="D110" s="100" t="n">
        <f aca="false">C113+D63</f>
        <v>-31239.2407871964</v>
      </c>
      <c r="E110" s="100" t="n">
        <f aca="false">D113+E63</f>
        <v>-44856.3885874435</v>
      </c>
      <c r="F110" s="100" t="n">
        <f aca="false">E113+F63</f>
        <v>-57624.5148293128</v>
      </c>
      <c r="G110" s="100" t="n">
        <f aca="false">F113+G63</f>
        <v>-69594.7807747748</v>
      </c>
      <c r="H110" s="100" t="n">
        <f aca="false">G113+H63</f>
        <v>-80341.6499116669</v>
      </c>
      <c r="I110" s="100" t="n">
        <f aca="false">H113+I63</f>
        <v>-88911.7180586336</v>
      </c>
      <c r="J110" s="100" t="n">
        <f aca="false">I113+J63</f>
        <v>-95304.9852156747</v>
      </c>
      <c r="K110" s="100" t="n">
        <f aca="false">J113+K63</f>
        <v>-99521.4513827902</v>
      </c>
      <c r="L110" s="100" t="n">
        <f aca="false">K113+L63</f>
        <v>-101596.830041351</v>
      </c>
      <c r="M110" s="100" t="n">
        <f aca="false">L113+M63</f>
        <v>-104559.644848534</v>
      </c>
      <c r="N110" s="100" t="n">
        <f aca="false">M113+N63</f>
        <v>-105614.612418702</v>
      </c>
      <c r="O110" s="100" t="n">
        <f aca="false">N113+O63</f>
        <v>-110027.420084516</v>
      </c>
      <c r="P110" s="100" t="n">
        <f aca="false">O113+P63</f>
        <v>-112746.477884533</v>
      </c>
      <c r="Q110" s="100" t="n">
        <f aca="false">P113+Q63</f>
        <v>-116075.130327925</v>
      </c>
      <c r="R110" s="100" t="n">
        <f aca="false">Q113+R63</f>
        <v>-117706.274188839</v>
      </c>
      <c r="S110" s="100" t="n">
        <f aca="false">R113+S63</f>
        <v>-117671.753451651</v>
      </c>
      <c r="T110" s="100" t="n">
        <f aca="false">S113+T63</f>
        <v>-118217.045549287</v>
      </c>
      <c r="U110" s="100" t="n">
        <f aca="false">T113+U63</f>
        <v>-117255.663777435</v>
      </c>
      <c r="V110" s="100" t="n">
        <f aca="false">U113+V63</f>
        <v>-117128.797431265</v>
      </c>
      <c r="W110" s="100" t="n">
        <f aca="false">V113+W63</f>
        <v>-115574.775674601</v>
      </c>
      <c r="X110" s="100" t="n">
        <f aca="false">W113+X63</f>
        <v>-114980.387041071</v>
      </c>
      <c r="Y110" s="100" t="n">
        <f aca="false">X113+Y63</f>
        <v>-113423.389463716</v>
      </c>
      <c r="Z110" s="100" t="n">
        <f aca="false">Y113+Z63</f>
        <v>-111067.416890586</v>
      </c>
      <c r="AA110" s="100" t="n">
        <f aca="false">Z113+AA63</f>
        <v>-109925.47563971</v>
      </c>
      <c r="AB110" s="100" t="n">
        <f aca="false">AA113+AB63</f>
        <v>-107987.871508666</v>
      </c>
      <c r="AC110" s="100" t="n">
        <f aca="false">AB113+AC63</f>
        <v>-105251.595191234</v>
      </c>
      <c r="AD110" s="100" t="n">
        <f aca="false">AC113+AD63</f>
        <v>-101713.625657439</v>
      </c>
      <c r="AE110" s="100" t="n">
        <f aca="false">AD113+AE63</f>
        <v>-99354.0195546778</v>
      </c>
      <c r="AF110" s="100" t="n">
        <f aca="false">AE113+AF63</f>
        <v>-96194.3686074337</v>
      </c>
      <c r="AG110" s="100" t="n">
        <f aca="false">AF113+AG63</f>
        <v>-92231.6464380849</v>
      </c>
      <c r="AH110" s="100" t="n">
        <f aca="false">AG113+AH63</f>
        <v>-87462.8148787464</v>
      </c>
      <c r="AI110" s="100" t="n">
        <f aca="false">AH113+AI63</f>
        <v>-81884.8239253376</v>
      </c>
      <c r="AJ110" s="100" t="n">
        <f aca="false">AI113+AJ63</f>
        <v>-75494.6116914702</v>
      </c>
      <c r="AK110" s="100" t="n">
        <f aca="false">AJ113+AK63</f>
        <v>-68289.1043621569</v>
      </c>
      <c r="AL110" s="100" t="n">
        <f aca="false">AK113+AL63</f>
        <v>-60265.2161473394</v>
      </c>
      <c r="AM110" s="100" t="n">
        <f aca="false">AL113+AM63</f>
        <v>-56104.0409293397</v>
      </c>
      <c r="AN110" s="100" t="n">
        <f aca="false">AM113+AN63</f>
        <v>-51231.3894635593</v>
      </c>
      <c r="AO110" s="100" t="n">
        <f aca="false">AN113+AO63</f>
        <v>-45650.3769070518</v>
      </c>
      <c r="AP110" s="100" t="n">
        <f aca="false">AO113+AP63</f>
        <v>-39364.5467327319</v>
      </c>
      <c r="AQ110" s="100" t="n">
        <f aca="false">AP113+AQ63</f>
        <v>-32373.8989405995</v>
      </c>
      <c r="AR110" s="100" t="n">
        <f aca="false">AQ113+AR63</f>
        <v>-24678.4335306547</v>
      </c>
      <c r="AS110" s="100" t="n">
        <f aca="false">AR113+AS63</f>
        <v>-16978.8014540433</v>
      </c>
      <c r="AT110" s="100" t="n">
        <f aca="false">AS113+AT63</f>
        <v>-9275.00271076514</v>
      </c>
      <c r="AU110" s="100" t="n">
        <f aca="false">AT113+AU63</f>
        <v>-1567.03730082034</v>
      </c>
      <c r="AV110" s="100" t="n">
        <f aca="false">AU113+AV63</f>
        <v>6145.09477579112</v>
      </c>
      <c r="AW110" s="100" t="n">
        <f aca="false">AV113+AW63</f>
        <v>13861.3935190692</v>
      </c>
      <c r="AX110" s="100" t="n">
        <f aca="false">AW113+AX63</f>
        <v>21581.858929014</v>
      </c>
      <c r="AY110" s="100" t="n">
        <f aca="false">AX113+AY63</f>
        <v>27399.5612543451</v>
      </c>
      <c r="AZ110" s="100" t="n">
        <f aca="false">AY113+AZ63</f>
        <v>33221.4302463428</v>
      </c>
      <c r="BA110" s="100" t="n">
        <f aca="false">AZ113+BA63</f>
        <v>39047.4659050072</v>
      </c>
      <c r="BB110" s="100" t="n">
        <f aca="false">BA113+BB63</f>
        <v>44877.6682303383</v>
      </c>
      <c r="BC110" s="100" t="n">
        <f aca="false">BB113+BC63</f>
        <v>50712.037222336</v>
      </c>
      <c r="BD110" s="100" t="n">
        <f aca="false">BC113+BD63</f>
        <v>56550.5728810004</v>
      </c>
      <c r="BE110" s="100" t="n">
        <f aca="false">BD113+BE63</f>
        <v>62393.2752063314</v>
      </c>
      <c r="BF110" s="100" t="n">
        <f aca="false">BE113+BF63</f>
        <v>68240.1441983292</v>
      </c>
      <c r="BG110" s="100" t="n">
        <f aca="false">BF113+BG63</f>
        <v>74091.1798569936</v>
      </c>
      <c r="BH110" s="100" t="n">
        <f aca="false">BG113+BH63</f>
        <v>79946.3821823246</v>
      </c>
      <c r="BI110" s="100" t="n">
        <f aca="false">BH113+BI63</f>
        <v>85805.7511743223</v>
      </c>
      <c r="BJ110" s="100" t="n">
        <f aca="false">BI113+BJ63</f>
        <v>91669.2868329867</v>
      </c>
      <c r="BK110" s="100" t="n">
        <f aca="false">BJ113+BK63</f>
        <v>95616.510514499</v>
      </c>
      <c r="BL110" s="100" t="n">
        <f aca="false">BK113+BL63</f>
        <v>99567.9008626779</v>
      </c>
      <c r="BM110" s="100" t="n">
        <f aca="false">BL113+BM63</f>
        <v>103523.457877523</v>
      </c>
      <c r="BN110" s="100" t="n">
        <f aca="false">BM113+BN63</f>
        <v>107483.181559036</v>
      </c>
      <c r="BO110" s="100" t="n">
        <f aca="false">BN113+BO63</f>
        <v>111447.071907215</v>
      </c>
      <c r="BP110" s="100" t="n">
        <f aca="false">BO113+BP63</f>
        <v>115415.12892206</v>
      </c>
      <c r="BQ110" s="100" t="n">
        <f aca="false">BP113+BQ63</f>
        <v>119387.352603572</v>
      </c>
      <c r="BR110" s="100" t="n">
        <f aca="false">BQ113+BR63</f>
        <v>123363.742951751</v>
      </c>
      <c r="BS110" s="100" t="n">
        <f aca="false">BR113+BS63</f>
        <v>127344.299966597</v>
      </c>
      <c r="BT110" s="100" t="n">
        <f aca="false">BS113+BT63</f>
        <v>131329.023648109</v>
      </c>
      <c r="BU110" s="100" t="n">
        <f aca="false">BT113+BU63</f>
        <v>135317.913996288</v>
      </c>
      <c r="BV110" s="100" t="n">
        <f aca="false">BU113+BV63</f>
        <v>139310.971011134</v>
      </c>
      <c r="BW110" s="100" t="n">
        <f aca="false">BV113+BW63</f>
        <v>141373.760689513</v>
      </c>
      <c r="BX110" s="100" t="n">
        <f aca="false">BW113+BX63</f>
        <v>143440.717034558</v>
      </c>
      <c r="BY110" s="100" t="n">
        <f aca="false">BX113+BY63</f>
        <v>145511.84004627</v>
      </c>
      <c r="BZ110" s="100" t="n">
        <f aca="false">BY113+BZ63</f>
        <v>147587.129724649</v>
      </c>
      <c r="CA110" s="100" t="n">
        <f aca="false">BZ113+CA63</f>
        <v>149666.586069695</v>
      </c>
      <c r="CB110" s="100" t="n">
        <f aca="false">CA113+CB63</f>
        <v>151750.209081407</v>
      </c>
      <c r="CC110" s="100" t="n">
        <f aca="false">CB113+CC63</f>
        <v>153837.998759786</v>
      </c>
      <c r="CD110" s="100" t="n">
        <f aca="false">CC113+CD63</f>
        <v>155929.955104831</v>
      </c>
      <c r="CE110" s="100" t="n">
        <f aca="false">CD113+CE63</f>
        <v>158026.078116543</v>
      </c>
      <c r="CF110" s="100" t="n">
        <f aca="false">CE113+CF63</f>
        <v>160126.367794922</v>
      </c>
      <c r="CG110" s="100" t="n">
        <f aca="false">CF113+CG63</f>
        <v>162230.824139968</v>
      </c>
      <c r="CH110" s="100" t="n">
        <f aca="false">CG113+CH63</f>
        <v>164339.44715168</v>
      </c>
    </row>
    <row r="111" customFormat="false" ht="13.5" hidden="false" customHeight="true" outlineLevel="0" collapsed="false">
      <c r="A111" s="6" t="s">
        <v>580</v>
      </c>
      <c r="C111" s="100" t="n">
        <f aca="false">MIN(0.2*Hipótesis!$D$81,MAX(0,C110)*0.1)</f>
        <v>0</v>
      </c>
      <c r="D111" s="100" t="n">
        <f aca="false">MIN(0.2*Hipótesis!$D$81,MAX(0,D110)*0.1)</f>
        <v>0</v>
      </c>
      <c r="E111" s="100" t="n">
        <f aca="false">MIN(0.2*Hipótesis!$D$81,MAX(0,E110)*0.1)</f>
        <v>0</v>
      </c>
      <c r="F111" s="100" t="n">
        <f aca="false">MIN(0.2*Hipótesis!$D$81,MAX(0,F110)*0.1)</f>
        <v>0</v>
      </c>
      <c r="G111" s="100" t="n">
        <f aca="false">MIN(0.2*Hipótesis!$D$81,MAX(0,G110)*0.1)</f>
        <v>0</v>
      </c>
      <c r="H111" s="100" t="n">
        <f aca="false">MIN(0.2*Hipótesis!$D$81,MAX(0,H110)*0.1)</f>
        <v>0</v>
      </c>
      <c r="I111" s="100" t="n">
        <f aca="false">MIN(0.2*Hipótesis!$D$81,MAX(0,I110)*0.1)</f>
        <v>0</v>
      </c>
      <c r="J111" s="100" t="n">
        <f aca="false">MIN(0.2*Hipótesis!$D$81,MAX(0,J110)*0.1)</f>
        <v>0</v>
      </c>
      <c r="K111" s="100" t="n">
        <f aca="false">MIN(0.2*Hipótesis!$D$81,MAX(0,K110)*0.1)</f>
        <v>0</v>
      </c>
      <c r="L111" s="100" t="n">
        <f aca="false">MIN(0.2*Hipótesis!$D$81,MAX(0,L110)*0.1)</f>
        <v>0</v>
      </c>
      <c r="M111" s="100" t="n">
        <f aca="false">MIN(0.2*Hipótesis!$D$81,MAX(0,M110)*0.1)</f>
        <v>0</v>
      </c>
      <c r="N111" s="100" t="n">
        <f aca="false">MIN(0.2*Hipótesis!$D$81,MAX(0,N110)*0.1)</f>
        <v>0</v>
      </c>
      <c r="O111" s="100" t="n">
        <f aca="false">MIN(0.2*Hipótesis!$D$81,MAX(0,O110)*0.1)</f>
        <v>0</v>
      </c>
      <c r="P111" s="100" t="n">
        <f aca="false">MIN(0.2*Hipótesis!$D$81,MAX(0,P110)*0.1)</f>
        <v>0</v>
      </c>
      <c r="Q111" s="100" t="n">
        <f aca="false">MIN(0.2*Hipótesis!$D$81,MAX(0,Q110)*0.1)</f>
        <v>0</v>
      </c>
      <c r="R111" s="100" t="n">
        <f aca="false">MIN(0.2*Hipótesis!$D$81,MAX(0,R110)*0.1)</f>
        <v>0</v>
      </c>
      <c r="S111" s="100" t="n">
        <f aca="false">MIN(0.2*Hipótesis!$D$81,MAX(0,S110)*0.1)</f>
        <v>0</v>
      </c>
      <c r="T111" s="100" t="n">
        <f aca="false">MIN(0.2*Hipótesis!$D$81,MAX(0,T110)*0.1)</f>
        <v>0</v>
      </c>
      <c r="U111" s="100" t="n">
        <f aca="false">MIN(0.2*Hipótesis!$D$81,MAX(0,U110)*0.1)</f>
        <v>0</v>
      </c>
      <c r="V111" s="100" t="n">
        <f aca="false">MIN(0.2*Hipótesis!$D$81,MAX(0,V110)*0.1)</f>
        <v>0</v>
      </c>
      <c r="W111" s="100" t="n">
        <f aca="false">MIN(0.2*Hipótesis!$D$81,MAX(0,W110)*0.1)</f>
        <v>0</v>
      </c>
      <c r="X111" s="100" t="n">
        <f aca="false">MIN(0.2*Hipótesis!$D$81,MAX(0,X110)*0.1)</f>
        <v>0</v>
      </c>
      <c r="Y111" s="100" t="n">
        <f aca="false">MIN(0.2*Hipótesis!$D$81,MAX(0,Y110)*0.1)</f>
        <v>0</v>
      </c>
      <c r="Z111" s="100" t="n">
        <f aca="false">MIN(0.2*Hipótesis!$D$81,MAX(0,Z110)*0.1)</f>
        <v>0</v>
      </c>
      <c r="AA111" s="100" t="n">
        <f aca="false">MIN(0.2*Hipótesis!$D$81,MAX(0,AA110)*0.1)</f>
        <v>0</v>
      </c>
      <c r="AB111" s="100" t="n">
        <f aca="false">MIN(0.2*Hipótesis!$D$81,MAX(0,AB110)*0.1)</f>
        <v>0</v>
      </c>
      <c r="AC111" s="100" t="n">
        <f aca="false">MIN(0.2*Hipótesis!$D$81,MAX(0,AC110)*0.1)</f>
        <v>0</v>
      </c>
      <c r="AD111" s="100" t="n">
        <f aca="false">MIN(0.2*Hipótesis!$D$81,MAX(0,AD110)*0.1)</f>
        <v>0</v>
      </c>
      <c r="AE111" s="100" t="n">
        <f aca="false">MIN(0.2*Hipótesis!$D$81,MAX(0,AE110)*0.1)</f>
        <v>0</v>
      </c>
      <c r="AF111" s="100" t="n">
        <f aca="false">MIN(0.2*Hipótesis!$D$81,MAX(0,AF110)*0.1)</f>
        <v>0</v>
      </c>
      <c r="AG111" s="100" t="n">
        <f aca="false">MIN(0.2*Hipótesis!$D$81,MAX(0,AG110)*0.1)</f>
        <v>0</v>
      </c>
      <c r="AH111" s="100" t="n">
        <f aca="false">MIN(0.2*Hipótesis!$D$81,MAX(0,AH110)*0.1)</f>
        <v>0</v>
      </c>
      <c r="AI111" s="100" t="n">
        <f aca="false">MIN(0.2*Hipótesis!$D$81,MAX(0,AI110)*0.1)</f>
        <v>0</v>
      </c>
      <c r="AJ111" s="100" t="n">
        <f aca="false">MIN(0.2*Hipótesis!$D$81,MAX(0,AJ110)*0.1)</f>
        <v>0</v>
      </c>
      <c r="AK111" s="100" t="n">
        <f aca="false">MIN(0.2*Hipótesis!$D$81,MAX(0,AK110)*0.1)</f>
        <v>0</v>
      </c>
      <c r="AL111" s="100" t="n">
        <f aca="false">MIN(0.2*Hipótesis!$D$81,MAX(0,AL110)*0.1)</f>
        <v>0</v>
      </c>
      <c r="AM111" s="100" t="n">
        <f aca="false">MIN(0.2*Hipótesis!$D$81,MAX(0,AM110)*0.1)</f>
        <v>0</v>
      </c>
      <c r="AN111" s="100" t="n">
        <f aca="false">MIN(0.2*Hipótesis!$D$81,MAX(0,AN110)*0.1)</f>
        <v>0</v>
      </c>
      <c r="AO111" s="100" t="n">
        <f aca="false">MIN(0.2*Hipótesis!$D$81,MAX(0,AO110)*0.1)</f>
        <v>0</v>
      </c>
      <c r="AP111" s="100" t="n">
        <f aca="false">MIN(0.2*Hipótesis!$D$81,MAX(0,AP110)*0.1)</f>
        <v>0</v>
      </c>
      <c r="AQ111" s="100" t="n">
        <f aca="false">MIN(0.2*Hipótesis!$D$81,MAX(0,AQ110)*0.1)</f>
        <v>0</v>
      </c>
      <c r="AR111" s="100" t="n">
        <f aca="false">MIN(0.2*Hipótesis!$D$81,MAX(0,AR110)*0.1)</f>
        <v>0</v>
      </c>
      <c r="AS111" s="100" t="n">
        <f aca="false">MIN(0.2*Hipótesis!$D$81,MAX(0,AS110)*0.1)</f>
        <v>0</v>
      </c>
      <c r="AT111" s="100" t="n">
        <f aca="false">MIN(0.2*Hipótesis!$D$81,MAX(0,AT110)*0.1)</f>
        <v>0</v>
      </c>
      <c r="AU111" s="100" t="n">
        <f aca="false">MIN(0.2*Hipótesis!$D$81,MAX(0,AU110)*0.1)</f>
        <v>0</v>
      </c>
      <c r="AV111" s="100" t="n">
        <f aca="false">MIN(0.2*Hipótesis!$D$81,MAX(0,AV110)*0.1)</f>
        <v>614.509477579112</v>
      </c>
      <c r="AW111" s="100" t="n">
        <f aca="false">MIN(0.2*Hipótesis!$D$81,MAX(0,AW110)*0.1)</f>
        <v>1386.13935190692</v>
      </c>
      <c r="AX111" s="100" t="n">
        <f aca="false">MIN(0.2*Hipótesis!$D$81,MAX(0,AX110)*0.1)</f>
        <v>2158.1858929014</v>
      </c>
      <c r="AY111" s="100" t="n">
        <f aca="false">MIN(0.2*Hipótesis!$D$81,MAX(0,AY110)*0.1)</f>
        <v>2739.95612543451</v>
      </c>
      <c r="AZ111" s="100" t="n">
        <f aca="false">MIN(0.2*Hipótesis!$D$81,MAX(0,AZ110)*0.1)</f>
        <v>3322.14302463428</v>
      </c>
      <c r="BA111" s="100" t="n">
        <f aca="false">MIN(0.2*Hipótesis!$D$81,MAX(0,BA110)*0.1)</f>
        <v>3904.74659050072</v>
      </c>
      <c r="BB111" s="100" t="n">
        <f aca="false">MIN(0.2*Hipótesis!$D$81,MAX(0,BB110)*0.1)</f>
        <v>4487.76682303383</v>
      </c>
      <c r="BC111" s="100" t="n">
        <f aca="false">MIN(0.2*Hipótesis!$D$81,MAX(0,BC110)*0.1)</f>
        <v>5071.2037222336</v>
      </c>
      <c r="BD111" s="100" t="n">
        <f aca="false">MIN(0.2*Hipótesis!$D$81,MAX(0,BD110)*0.1)</f>
        <v>5655.05728810004</v>
      </c>
      <c r="BE111" s="100" t="n">
        <f aca="false">MIN(0.2*Hipótesis!$D$81,MAX(0,BE110)*0.1)</f>
        <v>6239.32752063315</v>
      </c>
      <c r="BF111" s="100" t="n">
        <f aca="false">MIN(0.2*Hipótesis!$D$81,MAX(0,BF110)*0.1)</f>
        <v>6824.01441983292</v>
      </c>
      <c r="BG111" s="100" t="n">
        <f aca="false">MIN(0.2*Hipótesis!$D$81,MAX(0,BG110)*0.1)</f>
        <v>7409.11798569936</v>
      </c>
      <c r="BH111" s="100" t="n">
        <f aca="false">MIN(0.2*Hipótesis!$D$81,MAX(0,BH110)*0.1)</f>
        <v>7994.63821823246</v>
      </c>
      <c r="BI111" s="100" t="n">
        <f aca="false">MIN(0.2*Hipótesis!$D$81,MAX(0,BI110)*0.1)</f>
        <v>8580.57511743223</v>
      </c>
      <c r="BJ111" s="100" t="n">
        <f aca="false">MIN(0.2*Hipótesis!$D$81,MAX(0,BJ110)*0.1)</f>
        <v>9166.92868329867</v>
      </c>
      <c r="BK111" s="100" t="n">
        <f aca="false">MIN(0.2*Hipótesis!$D$81,MAX(0,BK110)*0.1)</f>
        <v>9561.6510514499</v>
      </c>
      <c r="BL111" s="100" t="n">
        <f aca="false">MIN(0.2*Hipótesis!$D$81,MAX(0,BL110)*0.1)</f>
        <v>9956.79008626779</v>
      </c>
      <c r="BM111" s="100" t="n">
        <f aca="false">MIN(0.2*Hipótesis!$D$81,MAX(0,BM110)*0.1)</f>
        <v>10352.3457877523</v>
      </c>
      <c r="BN111" s="100" t="n">
        <f aca="false">MIN(0.2*Hipótesis!$D$81,MAX(0,BN110)*0.1)</f>
        <v>10748.3181559036</v>
      </c>
      <c r="BO111" s="100" t="n">
        <f aca="false">MIN(0.2*Hipótesis!$D$81,MAX(0,BO110)*0.1)</f>
        <v>11144.7071907215</v>
      </c>
      <c r="BP111" s="100" t="n">
        <f aca="false">MIN(0.2*Hipótesis!$D$81,MAX(0,BP110)*0.1)</f>
        <v>11541.512892206</v>
      </c>
      <c r="BQ111" s="100" t="n">
        <f aca="false">MIN(0.2*Hipótesis!$D$81,MAX(0,BQ110)*0.1)</f>
        <v>11938.7352603572</v>
      </c>
      <c r="BR111" s="100" t="n">
        <f aca="false">MIN(0.2*Hipótesis!$D$81,MAX(0,BR110)*0.1)</f>
        <v>12336.3742951751</v>
      </c>
      <c r="BS111" s="100" t="n">
        <f aca="false">MIN(0.2*Hipótesis!$D$81,MAX(0,BS110)*0.1)</f>
        <v>12734.4299966597</v>
      </c>
      <c r="BT111" s="100" t="n">
        <f aca="false">MIN(0.2*Hipótesis!$D$81,MAX(0,BT110)*0.1)</f>
        <v>13132.9023648109</v>
      </c>
      <c r="BU111" s="100" t="n">
        <f aca="false">MIN(0.2*Hipótesis!$D$81,MAX(0,BU110)*0.1)</f>
        <v>13531.7913996288</v>
      </c>
      <c r="BV111" s="100" t="n">
        <f aca="false">MIN(0.2*Hipótesis!$D$81,MAX(0,BV110)*0.1)</f>
        <v>13931.0971011134</v>
      </c>
      <c r="BW111" s="100" t="n">
        <f aca="false">MIN(0.2*Hipótesis!$D$81,MAX(0,BW110)*0.1)</f>
        <v>14137.3760689513</v>
      </c>
      <c r="BX111" s="100" t="n">
        <f aca="false">MIN(0.2*Hipótesis!$D$81,MAX(0,BX110)*0.1)</f>
        <v>14344.0717034558</v>
      </c>
      <c r="BY111" s="100" t="n">
        <f aca="false">MIN(0.2*Hipótesis!$D$81,MAX(0,BY110)*0.1)</f>
        <v>14551.184004627</v>
      </c>
      <c r="BZ111" s="100" t="n">
        <f aca="false">MIN(0.2*Hipótesis!$D$81,MAX(0,BZ110)*0.1)</f>
        <v>14758.7129724649</v>
      </c>
      <c r="CA111" s="100" t="n">
        <f aca="false">MIN(0.2*Hipótesis!$D$81,MAX(0,CA110)*0.1)</f>
        <v>14966.6586069695</v>
      </c>
      <c r="CB111" s="100" t="n">
        <f aca="false">MIN(0.2*Hipótesis!$D$81,MAX(0,CB110)*0.1)</f>
        <v>15175.0209081407</v>
      </c>
      <c r="CC111" s="100" t="n">
        <f aca="false">MIN(0.2*Hipótesis!$D$81,MAX(0,CC110)*0.1)</f>
        <v>15383.7998759786</v>
      </c>
      <c r="CD111" s="100" t="n">
        <f aca="false">MIN(0.2*Hipótesis!$D$81,MAX(0,CD110)*0.1)</f>
        <v>15592.9955104831</v>
      </c>
      <c r="CE111" s="100" t="n">
        <f aca="false">MIN(0.2*Hipótesis!$D$81,MAX(0,CE110)*0.1)</f>
        <v>15802.6078116543</v>
      </c>
      <c r="CF111" s="100" t="n">
        <f aca="false">MIN(0.2*Hipótesis!$D$81,MAX(0,CF110)*0.1)</f>
        <v>16012.6367794922</v>
      </c>
      <c r="CG111" s="100" t="n">
        <f aca="false">MIN(0.2*Hipótesis!$D$81,MAX(0,CG110)*0.1)</f>
        <v>16223.0824139968</v>
      </c>
      <c r="CH111" s="100" t="n">
        <f aca="false">MIN(0.2*Hipótesis!$D$81,MAX(0,CH110)*0.1)</f>
        <v>16433.944715168</v>
      </c>
    </row>
    <row r="112" customFormat="false" ht="13.5" hidden="false" customHeight="true" outlineLevel="0" collapsed="false">
      <c r="A112" s="22" t="s">
        <v>581</v>
      </c>
      <c r="C112" s="100" t="n">
        <f aca="false">MAX(0,C110-C111)</f>
        <v>0</v>
      </c>
      <c r="D112" s="100" t="n">
        <f aca="false">MAX(0,D110-D111)</f>
        <v>0</v>
      </c>
      <c r="E112" s="100" t="n">
        <f aca="false">MAX(0,E110-E111)</f>
        <v>0</v>
      </c>
      <c r="F112" s="100" t="n">
        <f aca="false">MAX(0,F110-F111)</f>
        <v>0</v>
      </c>
      <c r="G112" s="100" t="n">
        <f aca="false">MAX(0,G110-G111)</f>
        <v>0</v>
      </c>
      <c r="H112" s="100" t="n">
        <f aca="false">MAX(0,H110-H111)</f>
        <v>0</v>
      </c>
      <c r="I112" s="100" t="n">
        <f aca="false">MAX(0,I110-I111)</f>
        <v>0</v>
      </c>
      <c r="J112" s="100" t="n">
        <f aca="false">MAX(0,J110-J111)</f>
        <v>0</v>
      </c>
      <c r="K112" s="100" t="n">
        <f aca="false">MAX(0,K110-K111)</f>
        <v>0</v>
      </c>
      <c r="L112" s="100" t="n">
        <f aca="false">MAX(0,L110-L111)</f>
        <v>0</v>
      </c>
      <c r="M112" s="100" t="n">
        <f aca="false">MAX(0,M110-M111)</f>
        <v>0</v>
      </c>
      <c r="N112" s="100" t="n">
        <f aca="false">MAX(0,N110-N111)</f>
        <v>0</v>
      </c>
      <c r="O112" s="100" t="n">
        <f aca="false">MAX(0,O110-O111)</f>
        <v>0</v>
      </c>
      <c r="P112" s="100" t="n">
        <f aca="false">MAX(0,P110-P111)</f>
        <v>0</v>
      </c>
      <c r="Q112" s="100" t="n">
        <f aca="false">MAX(0,Q110-Q111)</f>
        <v>0</v>
      </c>
      <c r="R112" s="100" t="n">
        <f aca="false">MAX(0,R110-R111)</f>
        <v>0</v>
      </c>
      <c r="S112" s="100" t="n">
        <f aca="false">MAX(0,S110-S111)</f>
        <v>0</v>
      </c>
      <c r="T112" s="100" t="n">
        <f aca="false">MAX(0,T110-T111)</f>
        <v>0</v>
      </c>
      <c r="U112" s="100" t="n">
        <f aca="false">MAX(0,U110-U111)</f>
        <v>0</v>
      </c>
      <c r="V112" s="100" t="n">
        <f aca="false">MAX(0,V110-V111)</f>
        <v>0</v>
      </c>
      <c r="W112" s="100" t="n">
        <f aca="false">MAX(0,W110-W111)</f>
        <v>0</v>
      </c>
      <c r="X112" s="100" t="n">
        <f aca="false">MAX(0,X110-X111)</f>
        <v>0</v>
      </c>
      <c r="Y112" s="100" t="n">
        <f aca="false">MAX(0,Y110-Y111)</f>
        <v>0</v>
      </c>
      <c r="Z112" s="100" t="n">
        <f aca="false">MAX(0,Z110-Z111)</f>
        <v>0</v>
      </c>
      <c r="AA112" s="100" t="n">
        <f aca="false">MAX(0,AA110-AA111)</f>
        <v>0</v>
      </c>
      <c r="AB112" s="100" t="n">
        <f aca="false">MAX(0,AB110-AB111)</f>
        <v>0</v>
      </c>
      <c r="AC112" s="100" t="n">
        <f aca="false">MAX(0,AC110-AC111)</f>
        <v>0</v>
      </c>
      <c r="AD112" s="100" t="n">
        <f aca="false">MAX(0,AD110-AD111)</f>
        <v>0</v>
      </c>
      <c r="AE112" s="100" t="n">
        <f aca="false">MAX(0,AE110-AE111)</f>
        <v>0</v>
      </c>
      <c r="AF112" s="100" t="n">
        <f aca="false">MAX(0,AF110-AF111)</f>
        <v>0</v>
      </c>
      <c r="AG112" s="100" t="n">
        <f aca="false">MAX(0,AG110-AG111)</f>
        <v>0</v>
      </c>
      <c r="AH112" s="100" t="n">
        <f aca="false">MAX(0,AH110-AH111)</f>
        <v>0</v>
      </c>
      <c r="AI112" s="100" t="n">
        <f aca="false">MAX(0,AI110-AI111)</f>
        <v>0</v>
      </c>
      <c r="AJ112" s="100" t="n">
        <f aca="false">MAX(0,AJ110-AJ111)</f>
        <v>0</v>
      </c>
      <c r="AK112" s="100" t="n">
        <f aca="false">MAX(0,AK110-AK111)</f>
        <v>0</v>
      </c>
      <c r="AL112" s="100" t="n">
        <f aca="false">MAX(0,AL110-AL111)</f>
        <v>0</v>
      </c>
      <c r="AM112" s="100" t="n">
        <f aca="false">MAX(0,AM110-AM111)</f>
        <v>0</v>
      </c>
      <c r="AN112" s="100" t="n">
        <f aca="false">MAX(0,AN110-AN111)</f>
        <v>0</v>
      </c>
      <c r="AO112" s="100" t="n">
        <f aca="false">MAX(0,AO110-AO111)</f>
        <v>0</v>
      </c>
      <c r="AP112" s="100" t="n">
        <f aca="false">MAX(0,AP110-AP111)</f>
        <v>0</v>
      </c>
      <c r="AQ112" s="100" t="n">
        <f aca="false">MAX(0,AQ110-AQ111)</f>
        <v>0</v>
      </c>
      <c r="AR112" s="100" t="n">
        <f aca="false">MAX(0,AR110-AR111)</f>
        <v>0</v>
      </c>
      <c r="AS112" s="100" t="n">
        <f aca="false">MAX(0,AS110-AS111)</f>
        <v>0</v>
      </c>
      <c r="AT112" s="100" t="n">
        <f aca="false">MAX(0,AT110-AT111)</f>
        <v>0</v>
      </c>
      <c r="AU112" s="100" t="n">
        <f aca="false">MAX(0,AU110-AU111)</f>
        <v>0</v>
      </c>
      <c r="AV112" s="100" t="n">
        <f aca="false">MAX(0,AV110-AV111)</f>
        <v>5530.58529821201</v>
      </c>
      <c r="AW112" s="100" t="n">
        <f aca="false">MAX(0,AW110-AW111)</f>
        <v>12475.2541671623</v>
      </c>
      <c r="AX112" s="100" t="n">
        <f aca="false">MAX(0,AX110-AX111)</f>
        <v>19423.6730361126</v>
      </c>
      <c r="AY112" s="100" t="n">
        <f aca="false">MAX(0,AY110-AY111)</f>
        <v>24659.6051289106</v>
      </c>
      <c r="AZ112" s="100" t="n">
        <f aca="false">MAX(0,AZ110-AZ111)</f>
        <v>29899.2872217085</v>
      </c>
      <c r="BA112" s="100" t="n">
        <f aca="false">MAX(0,BA110-BA111)</f>
        <v>35142.7193145065</v>
      </c>
      <c r="BB112" s="100" t="n">
        <f aca="false">MAX(0,BB110-BB111)</f>
        <v>40389.9014073044</v>
      </c>
      <c r="BC112" s="100" t="n">
        <f aca="false">MAX(0,BC110-BC111)</f>
        <v>45640.8335001024</v>
      </c>
      <c r="BD112" s="100" t="n">
        <f aca="false">MAX(0,BD110-BD111)</f>
        <v>50895.5155929003</v>
      </c>
      <c r="BE112" s="100" t="n">
        <f aca="false">MAX(0,BE110-BE111)</f>
        <v>56153.9476856983</v>
      </c>
      <c r="BF112" s="100" t="n">
        <f aca="false">MAX(0,BF110-BF111)</f>
        <v>61416.1297784962</v>
      </c>
      <c r="BG112" s="100" t="n">
        <f aca="false">MAX(0,BG110-BG111)</f>
        <v>66682.0618712942</v>
      </c>
      <c r="BH112" s="100" t="n">
        <f aca="false">MAX(0,BH110-BH111)</f>
        <v>71951.7439640922</v>
      </c>
      <c r="BI112" s="100" t="n">
        <f aca="false">MAX(0,BI110-BI111)</f>
        <v>77225.1760568901</v>
      </c>
      <c r="BJ112" s="100" t="n">
        <f aca="false">MAX(0,BJ110-BJ111)</f>
        <v>82502.3581496881</v>
      </c>
      <c r="BK112" s="100" t="n">
        <f aca="false">MAX(0,BK110-BK111)</f>
        <v>86054.8594630491</v>
      </c>
      <c r="BL112" s="100" t="n">
        <f aca="false">MAX(0,BL110-BL111)</f>
        <v>89611.1107764101</v>
      </c>
      <c r="BM112" s="100" t="n">
        <f aca="false">MAX(0,BM110-BM111)</f>
        <v>93171.1120897711</v>
      </c>
      <c r="BN112" s="100" t="n">
        <f aca="false">MAX(0,BN110-BN111)</f>
        <v>96734.8634031321</v>
      </c>
      <c r="BO112" s="100" t="n">
        <f aca="false">MAX(0,BO110-BO111)</f>
        <v>100302.364716493</v>
      </c>
      <c r="BP112" s="100" t="n">
        <f aca="false">MAX(0,BP110-BP111)</f>
        <v>103873.616029854</v>
      </c>
      <c r="BQ112" s="100" t="n">
        <f aca="false">MAX(0,BQ110-BQ111)</f>
        <v>107448.617343215</v>
      </c>
      <c r="BR112" s="100" t="n">
        <f aca="false">MAX(0,BR110-BR111)</f>
        <v>111027.368656576</v>
      </c>
      <c r="BS112" s="100" t="n">
        <f aca="false">MAX(0,BS110-BS111)</f>
        <v>114609.869969937</v>
      </c>
      <c r="BT112" s="100" t="n">
        <f aca="false">MAX(0,BT110-BT111)</f>
        <v>118196.121283298</v>
      </c>
      <c r="BU112" s="100" t="n">
        <f aca="false">MAX(0,BU110-BU111)</f>
        <v>121786.122596659</v>
      </c>
      <c r="BV112" s="100" t="n">
        <f aca="false">MAX(0,BV110-BV111)</f>
        <v>125379.87391002</v>
      </c>
      <c r="BW112" s="100" t="n">
        <f aca="false">MAX(0,BW110-BW111)</f>
        <v>127236.384620561</v>
      </c>
      <c r="BX112" s="100" t="n">
        <f aca="false">MAX(0,BX110-BX111)</f>
        <v>129096.645331102</v>
      </c>
      <c r="BY112" s="100" t="n">
        <f aca="false">MAX(0,BY110-BY111)</f>
        <v>130960.656041643</v>
      </c>
      <c r="BZ112" s="100" t="n">
        <f aca="false">MAX(0,BZ110-BZ111)</f>
        <v>132828.416752184</v>
      </c>
      <c r="CA112" s="100" t="n">
        <f aca="false">MAX(0,CA110-CA111)</f>
        <v>134699.927462725</v>
      </c>
      <c r="CB112" s="100" t="n">
        <f aca="false">MAX(0,CB110-CB111)</f>
        <v>136575.188173266</v>
      </c>
      <c r="CC112" s="100" t="n">
        <f aca="false">MAX(0,CC110-CC111)</f>
        <v>138454.198883807</v>
      </c>
      <c r="CD112" s="100" t="n">
        <f aca="false">MAX(0,CD110-CD111)</f>
        <v>140336.959594348</v>
      </c>
      <c r="CE112" s="100" t="n">
        <f aca="false">MAX(0,CE110-CE111)</f>
        <v>142223.470304889</v>
      </c>
      <c r="CF112" s="100" t="n">
        <f aca="false">MAX(0,CF110-CF111)</f>
        <v>144113.73101543</v>
      </c>
      <c r="CG112" s="100" t="n">
        <f aca="false">MAX(0,CG110-CG111)</f>
        <v>146007.741725971</v>
      </c>
      <c r="CH112" s="100" t="n">
        <f aca="false">MAX(0,CH110-CH111)</f>
        <v>147905.502436512</v>
      </c>
    </row>
    <row r="113" customFormat="false" ht="13.5" hidden="false" customHeight="true" outlineLevel="0" collapsed="false">
      <c r="A113" s="6" t="s">
        <v>582</v>
      </c>
      <c r="C113" s="100" t="n">
        <f aca="false">C110+C84</f>
        <v>-16021.1578259128</v>
      </c>
      <c r="D113" s="100" t="n">
        <f aca="false">D110+D84</f>
        <v>-31239.2407871964</v>
      </c>
      <c r="E113" s="100" t="n">
        <f aca="false">E110+E84</f>
        <v>-44856.3885874435</v>
      </c>
      <c r="F113" s="100" t="n">
        <f aca="false">F110+F84</f>
        <v>-57624.5148293128</v>
      </c>
      <c r="G113" s="100" t="n">
        <f aca="false">G110+G84</f>
        <v>-69594.7807747748</v>
      </c>
      <c r="H113" s="100" t="n">
        <f aca="false">H110+H84</f>
        <v>-80341.6499116669</v>
      </c>
      <c r="I113" s="100" t="n">
        <f aca="false">I110+I84</f>
        <v>-88911.7180586336</v>
      </c>
      <c r="J113" s="100" t="n">
        <f aca="false">J110+J84</f>
        <v>-95304.9852156747</v>
      </c>
      <c r="K113" s="100" t="n">
        <f aca="false">K110+K84</f>
        <v>-99521.4513827902</v>
      </c>
      <c r="L113" s="100" t="n">
        <f aca="false">L110+L84</f>
        <v>-101596.830041351</v>
      </c>
      <c r="M113" s="100" t="n">
        <f aca="false">M110+M84</f>
        <v>-104559.644848534</v>
      </c>
      <c r="N113" s="100" t="n">
        <f aca="false">N110+N84</f>
        <v>-105614.612418702</v>
      </c>
      <c r="O113" s="100" t="n">
        <f aca="false">O110+O84</f>
        <v>-110027.420084516</v>
      </c>
      <c r="P113" s="100" t="n">
        <f aca="false">P110+P84</f>
        <v>-112746.477884533</v>
      </c>
      <c r="Q113" s="100" t="n">
        <f aca="false">Q110+Q84</f>
        <v>-116075.130327925</v>
      </c>
      <c r="R113" s="100" t="n">
        <f aca="false">R110+R84</f>
        <v>-117706.274188839</v>
      </c>
      <c r="S113" s="100" t="n">
        <f aca="false">S110+S84</f>
        <v>-117671.753451651</v>
      </c>
      <c r="T113" s="100" t="n">
        <f aca="false">T110+T84</f>
        <v>-118217.045549287</v>
      </c>
      <c r="U113" s="100" t="n">
        <f aca="false">U110+U84</f>
        <v>-117255.663777435</v>
      </c>
      <c r="V113" s="100" t="n">
        <f aca="false">V110+V84</f>
        <v>-117128.797431265</v>
      </c>
      <c r="W113" s="100" t="n">
        <f aca="false">W110+W84</f>
        <v>-115574.775674601</v>
      </c>
      <c r="X113" s="100" t="n">
        <f aca="false">X110+X84</f>
        <v>-114980.387041071</v>
      </c>
      <c r="Y113" s="100" t="n">
        <f aca="false">Y110+Y84</f>
        <v>-113423.389463716</v>
      </c>
      <c r="Z113" s="100" t="n">
        <f aca="false">Z110+Z84</f>
        <v>-111067.416890586</v>
      </c>
      <c r="AA113" s="100" t="n">
        <f aca="false">AA110+AA84</f>
        <v>-109925.47563971</v>
      </c>
      <c r="AB113" s="100" t="n">
        <f aca="false">AB110+AB84</f>
        <v>-107987.871508666</v>
      </c>
      <c r="AC113" s="100" t="n">
        <f aca="false">AC110+AC84</f>
        <v>-105251.595191234</v>
      </c>
      <c r="AD113" s="100" t="n">
        <f aca="false">AD110+AD84</f>
        <v>-101713.625657439</v>
      </c>
      <c r="AE113" s="100" t="n">
        <f aca="false">AE110+AE84</f>
        <v>-99354.0195546778</v>
      </c>
      <c r="AF113" s="100" t="n">
        <f aca="false">AF110+AF84</f>
        <v>-96194.3686074337</v>
      </c>
      <c r="AG113" s="100" t="n">
        <f aca="false">AG110+AG84</f>
        <v>-92231.6464380849</v>
      </c>
      <c r="AH113" s="100" t="n">
        <f aca="false">AH110+AH84</f>
        <v>-87462.8148787464</v>
      </c>
      <c r="AI113" s="100" t="n">
        <f aca="false">AI110+AI84</f>
        <v>-81884.8239253376</v>
      </c>
      <c r="AJ113" s="100" t="n">
        <f aca="false">AJ110+AJ84</f>
        <v>-75494.6116914702</v>
      </c>
      <c r="AK113" s="100" t="n">
        <f aca="false">AK110+AK84</f>
        <v>-68289.1043621569</v>
      </c>
      <c r="AL113" s="100" t="n">
        <f aca="false">AL110+AL84</f>
        <v>-60265.2161473394</v>
      </c>
      <c r="AM113" s="100" t="n">
        <f aca="false">AM110+AM84</f>
        <v>-56104.0409293397</v>
      </c>
      <c r="AN113" s="100" t="n">
        <f aca="false">AN110+AN84</f>
        <v>-51231.3894635593</v>
      </c>
      <c r="AO113" s="100" t="n">
        <f aca="false">AO110+AO84</f>
        <v>-45650.3769070518</v>
      </c>
      <c r="AP113" s="100" t="n">
        <f aca="false">AP110+AP84</f>
        <v>-39364.5467327319</v>
      </c>
      <c r="AQ113" s="100" t="n">
        <f aca="false">AQ110+AQ84</f>
        <v>-32373.8989405995</v>
      </c>
      <c r="AR113" s="100" t="n">
        <f aca="false">AR110+AR84</f>
        <v>-24678.4335306547</v>
      </c>
      <c r="AS113" s="100" t="n">
        <f aca="false">AS110+AS84</f>
        <v>-16978.8014540433</v>
      </c>
      <c r="AT113" s="100" t="n">
        <f aca="false">AT110+AT84</f>
        <v>-9275.00271076514</v>
      </c>
      <c r="AU113" s="100" t="n">
        <f aca="false">AU110+AU84</f>
        <v>-1567.03730082034</v>
      </c>
      <c r="AV113" s="100" t="n">
        <f aca="false">AV110+AV84</f>
        <v>6145.09477579112</v>
      </c>
      <c r="AW113" s="100" t="n">
        <f aca="false">AW110+AW84</f>
        <v>13861.3935190692</v>
      </c>
      <c r="AX113" s="100" t="n">
        <f aca="false">AX110+AX84</f>
        <v>21581.858929014</v>
      </c>
      <c r="AY113" s="100" t="n">
        <f aca="false">AY110+AY84</f>
        <v>27399.5612543451</v>
      </c>
      <c r="AZ113" s="100" t="n">
        <f aca="false">AZ110+AZ84</f>
        <v>33221.4302463428</v>
      </c>
      <c r="BA113" s="100" t="n">
        <f aca="false">BA110+BA84</f>
        <v>39047.4659050072</v>
      </c>
      <c r="BB113" s="100" t="n">
        <f aca="false">BB110+BB84</f>
        <v>44877.6682303383</v>
      </c>
      <c r="BC113" s="100" t="n">
        <f aca="false">BC110+BC84</f>
        <v>50712.037222336</v>
      </c>
      <c r="BD113" s="100" t="n">
        <f aca="false">BD110+BD84</f>
        <v>56550.5728810004</v>
      </c>
      <c r="BE113" s="100" t="n">
        <f aca="false">BE110+BE84</f>
        <v>62393.2752063314</v>
      </c>
      <c r="BF113" s="100" t="n">
        <f aca="false">BF110+BF84</f>
        <v>68240.1441983292</v>
      </c>
      <c r="BG113" s="100" t="n">
        <f aca="false">BG110+BG84</f>
        <v>74091.1798569936</v>
      </c>
      <c r="BH113" s="100" t="n">
        <f aca="false">BH110+BH84</f>
        <v>79946.3821823246</v>
      </c>
      <c r="BI113" s="100" t="n">
        <f aca="false">BI110+BI84</f>
        <v>85805.7511743223</v>
      </c>
      <c r="BJ113" s="100" t="n">
        <f aca="false">BJ110+BJ84</f>
        <v>91669.2868329867</v>
      </c>
      <c r="BK113" s="100" t="n">
        <f aca="false">BK110+BK84</f>
        <v>95616.510514499</v>
      </c>
      <c r="BL113" s="100" t="n">
        <f aca="false">BL110+BL84</f>
        <v>99567.9008626779</v>
      </c>
      <c r="BM113" s="100" t="n">
        <f aca="false">BM110+BM84</f>
        <v>103523.457877523</v>
      </c>
      <c r="BN113" s="100" t="n">
        <f aca="false">BN110+BN84</f>
        <v>107483.181559036</v>
      </c>
      <c r="BO113" s="100" t="n">
        <f aca="false">BO110+BO84</f>
        <v>111447.071907215</v>
      </c>
      <c r="BP113" s="100" t="n">
        <f aca="false">BP110+BP84</f>
        <v>115415.12892206</v>
      </c>
      <c r="BQ113" s="100" t="n">
        <f aca="false">BQ110+BQ84</f>
        <v>119387.352603572</v>
      </c>
      <c r="BR113" s="100" t="n">
        <f aca="false">BR110+BR84</f>
        <v>123363.742951751</v>
      </c>
      <c r="BS113" s="100" t="n">
        <f aca="false">BS110+BS84</f>
        <v>127344.299966597</v>
      </c>
      <c r="BT113" s="100" t="n">
        <f aca="false">BT110+BT84</f>
        <v>131329.023648109</v>
      </c>
      <c r="BU113" s="100" t="n">
        <f aca="false">BU110+BU84</f>
        <v>135317.913996288</v>
      </c>
      <c r="BV113" s="100" t="n">
        <f aca="false">BV110+BV84</f>
        <v>139310.971011134</v>
      </c>
      <c r="BW113" s="100" t="n">
        <f aca="false">BW110+BW84</f>
        <v>141373.760689513</v>
      </c>
      <c r="BX113" s="100" t="n">
        <f aca="false">BX110+BX84</f>
        <v>143440.717034558</v>
      </c>
      <c r="BY113" s="100" t="n">
        <f aca="false">BY110+BY84</f>
        <v>145511.84004627</v>
      </c>
      <c r="BZ113" s="100" t="n">
        <f aca="false">BZ110+BZ84</f>
        <v>147587.129724649</v>
      </c>
      <c r="CA113" s="100" t="n">
        <f aca="false">CA110+CA84</f>
        <v>149666.586069695</v>
      </c>
      <c r="CB113" s="100" t="n">
        <f aca="false">CB110+CB84</f>
        <v>151750.209081407</v>
      </c>
      <c r="CC113" s="100" t="n">
        <f aca="false">CC110+CC84</f>
        <v>153837.998759786</v>
      </c>
      <c r="CD113" s="100" t="n">
        <f aca="false">CD110+CD84</f>
        <v>155929.955104831</v>
      </c>
      <c r="CE113" s="100" t="n">
        <f aca="false">CE110+CE84</f>
        <v>158026.078116543</v>
      </c>
      <c r="CF113" s="100" t="n">
        <f aca="false">CF110+CF84</f>
        <v>160126.367794922</v>
      </c>
      <c r="CG113" s="100" t="n">
        <f aca="false">CG110+CG84</f>
        <v>162230.824139968</v>
      </c>
      <c r="CH113" s="100" t="n">
        <f aca="false">CH110+CH84</f>
        <v>164339.44715168</v>
      </c>
    </row>
    <row r="114" customFormat="false" ht="13.5" hidden="false" customHeight="true" outlineLevel="0" collapsed="false">
      <c r="A114" s="6" t="s">
        <v>583</v>
      </c>
      <c r="C114" s="100" t="n">
        <f aca="false">-C84</f>
        <v>0</v>
      </c>
      <c r="D114" s="100" t="n">
        <f aca="false">C114-D84</f>
        <v>0</v>
      </c>
      <c r="E114" s="100" t="n">
        <f aca="false">D114-E84</f>
        <v>0</v>
      </c>
      <c r="F114" s="100" t="n">
        <f aca="false">E114-F84</f>
        <v>0</v>
      </c>
      <c r="G114" s="100" t="n">
        <f aca="false">F114-G84</f>
        <v>0</v>
      </c>
      <c r="H114" s="100" t="n">
        <f aca="false">G114-H84</f>
        <v>0</v>
      </c>
      <c r="I114" s="100" t="n">
        <f aca="false">H114-I84</f>
        <v>0</v>
      </c>
      <c r="J114" s="100" t="n">
        <f aca="false">I114-J84</f>
        <v>0</v>
      </c>
      <c r="K114" s="100" t="n">
        <f aca="false">J114-K84</f>
        <v>0</v>
      </c>
      <c r="L114" s="100" t="n">
        <f aca="false">K114-L84</f>
        <v>0</v>
      </c>
      <c r="M114" s="100" t="n">
        <f aca="false">L114-M84</f>
        <v>0</v>
      </c>
      <c r="N114" s="100" t="n">
        <f aca="false">M114-N84</f>
        <v>0</v>
      </c>
      <c r="O114" s="100" t="n">
        <f aca="false">N114-O84</f>
        <v>0</v>
      </c>
      <c r="P114" s="100" t="n">
        <f aca="false">O114-P84</f>
        <v>0</v>
      </c>
      <c r="Q114" s="100" t="n">
        <f aca="false">P114-Q84</f>
        <v>0</v>
      </c>
      <c r="R114" s="100" t="n">
        <f aca="false">Q114-R84</f>
        <v>0</v>
      </c>
      <c r="S114" s="100" t="n">
        <f aca="false">R114-S84</f>
        <v>0</v>
      </c>
      <c r="T114" s="100" t="n">
        <f aca="false">S114-T84</f>
        <v>0</v>
      </c>
      <c r="U114" s="100" t="n">
        <f aca="false">T114-U84</f>
        <v>0</v>
      </c>
      <c r="V114" s="100" t="n">
        <f aca="false">U114-V84</f>
        <v>0</v>
      </c>
      <c r="W114" s="100" t="n">
        <f aca="false">V114-W84</f>
        <v>0</v>
      </c>
      <c r="X114" s="100" t="n">
        <f aca="false">W114-X84</f>
        <v>0</v>
      </c>
      <c r="Y114" s="100" t="n">
        <f aca="false">X114-Y84</f>
        <v>0</v>
      </c>
      <c r="Z114" s="100" t="n">
        <f aca="false">Y114-Z84</f>
        <v>0</v>
      </c>
      <c r="AA114" s="100" t="n">
        <f aca="false">Z114-AA84</f>
        <v>0</v>
      </c>
      <c r="AB114" s="100" t="n">
        <f aca="false">AA114-AB84</f>
        <v>0</v>
      </c>
      <c r="AC114" s="100" t="n">
        <f aca="false">AB114-AC84</f>
        <v>0</v>
      </c>
      <c r="AD114" s="100" t="n">
        <f aca="false">AC114-AD84</f>
        <v>0</v>
      </c>
      <c r="AE114" s="100" t="n">
        <f aca="false">AD114-AE84</f>
        <v>0</v>
      </c>
      <c r="AF114" s="100" t="n">
        <f aca="false">AE114-AF84</f>
        <v>0</v>
      </c>
      <c r="AG114" s="100" t="n">
        <f aca="false">AF114-AG84</f>
        <v>0</v>
      </c>
      <c r="AH114" s="100" t="n">
        <f aca="false">AG114-AH84</f>
        <v>0</v>
      </c>
      <c r="AI114" s="100" t="n">
        <f aca="false">AH114-AI84</f>
        <v>0</v>
      </c>
      <c r="AJ114" s="100" t="n">
        <f aca="false">AI114-AJ84</f>
        <v>0</v>
      </c>
      <c r="AK114" s="100" t="n">
        <f aca="false">AJ114-AK84</f>
        <v>0</v>
      </c>
      <c r="AL114" s="100" t="n">
        <f aca="false">AK114-AL84</f>
        <v>0</v>
      </c>
      <c r="AM114" s="100" t="n">
        <f aca="false">AL114-AM84</f>
        <v>0</v>
      </c>
      <c r="AN114" s="100" t="n">
        <f aca="false">AM114-AN84</f>
        <v>0</v>
      </c>
      <c r="AO114" s="100" t="n">
        <f aca="false">AN114-AO84</f>
        <v>0</v>
      </c>
      <c r="AP114" s="100" t="n">
        <f aca="false">AO114-AP84</f>
        <v>0</v>
      </c>
      <c r="AQ114" s="100" t="n">
        <f aca="false">AP114-AQ84</f>
        <v>0</v>
      </c>
      <c r="AR114" s="100" t="n">
        <f aca="false">AQ114-AR84</f>
        <v>0</v>
      </c>
      <c r="AS114" s="100" t="n">
        <f aca="false">AR114-AS84</f>
        <v>0</v>
      </c>
      <c r="AT114" s="100" t="n">
        <f aca="false">AS114-AT84</f>
        <v>0</v>
      </c>
      <c r="AU114" s="100" t="n">
        <f aca="false">AT114-AU84</f>
        <v>0</v>
      </c>
      <c r="AV114" s="100" t="n">
        <f aca="false">AU114-AV84</f>
        <v>0</v>
      </c>
      <c r="AW114" s="100" t="n">
        <f aca="false">AV114-AW84</f>
        <v>0</v>
      </c>
      <c r="AX114" s="100" t="n">
        <f aca="false">AW114-AX84</f>
        <v>0</v>
      </c>
      <c r="AY114" s="100" t="n">
        <f aca="false">AX114-AY84</f>
        <v>0</v>
      </c>
      <c r="AZ114" s="100" t="n">
        <f aca="false">AY114-AZ84</f>
        <v>0</v>
      </c>
      <c r="BA114" s="100" t="n">
        <f aca="false">AZ114-BA84</f>
        <v>0</v>
      </c>
      <c r="BB114" s="100" t="n">
        <f aca="false">BA114-BB84</f>
        <v>0</v>
      </c>
      <c r="BC114" s="100" t="n">
        <f aca="false">BB114-BC84</f>
        <v>0</v>
      </c>
      <c r="BD114" s="100" t="n">
        <f aca="false">BC114-BD84</f>
        <v>0</v>
      </c>
      <c r="BE114" s="100" t="n">
        <f aca="false">BD114-BE84</f>
        <v>0</v>
      </c>
      <c r="BF114" s="100" t="n">
        <f aca="false">BE114-BF84</f>
        <v>0</v>
      </c>
      <c r="BG114" s="100" t="n">
        <f aca="false">BF114-BG84</f>
        <v>0</v>
      </c>
      <c r="BH114" s="100" t="n">
        <f aca="false">BG114-BH84</f>
        <v>0</v>
      </c>
      <c r="BI114" s="100" t="n">
        <f aca="false">BH114-BI84</f>
        <v>0</v>
      </c>
      <c r="BJ114" s="100" t="n">
        <f aca="false">BI114-BJ84</f>
        <v>0</v>
      </c>
      <c r="BK114" s="100" t="n">
        <f aca="false">BJ114-BK84</f>
        <v>0</v>
      </c>
      <c r="BL114" s="100" t="n">
        <f aca="false">BK114-BL84</f>
        <v>0</v>
      </c>
      <c r="BM114" s="100" t="n">
        <f aca="false">BL114-BM84</f>
        <v>0</v>
      </c>
      <c r="BN114" s="100" t="n">
        <f aca="false">BM114-BN84</f>
        <v>0</v>
      </c>
      <c r="BO114" s="100" t="n">
        <f aca="false">BN114-BO84</f>
        <v>0</v>
      </c>
      <c r="BP114" s="100" t="n">
        <f aca="false">BO114-BP84</f>
        <v>0</v>
      </c>
      <c r="BQ114" s="100" t="n">
        <f aca="false">BP114-BQ84</f>
        <v>0</v>
      </c>
      <c r="BR114" s="100" t="n">
        <f aca="false">BQ114-BR84</f>
        <v>0</v>
      </c>
      <c r="BS114" s="100" t="n">
        <f aca="false">BR114-BS84</f>
        <v>0</v>
      </c>
      <c r="BT114" s="100" t="n">
        <f aca="false">BS114-BT84</f>
        <v>0</v>
      </c>
      <c r="BU114" s="100" t="n">
        <f aca="false">BT114-BU84</f>
        <v>0</v>
      </c>
      <c r="BV114" s="100" t="n">
        <f aca="false">BU114-BV84</f>
        <v>0</v>
      </c>
      <c r="BW114" s="100" t="n">
        <f aca="false">BV114-BW84</f>
        <v>0</v>
      </c>
      <c r="BX114" s="100" t="n">
        <f aca="false">BW114-BX84</f>
        <v>0</v>
      </c>
      <c r="BY114" s="100" t="n">
        <f aca="false">BX114-BY84</f>
        <v>0</v>
      </c>
      <c r="BZ114" s="100" t="n">
        <f aca="false">BY114-BZ84</f>
        <v>0</v>
      </c>
      <c r="CA114" s="100" t="n">
        <f aca="false">BZ114-CA84</f>
        <v>0</v>
      </c>
      <c r="CB114" s="100" t="n">
        <f aca="false">CA114-CB84</f>
        <v>0</v>
      </c>
      <c r="CC114" s="100" t="n">
        <f aca="false">CB114-CC84</f>
        <v>0</v>
      </c>
      <c r="CD114" s="100" t="n">
        <f aca="false">CC114-CD84</f>
        <v>0</v>
      </c>
      <c r="CE114" s="100" t="n">
        <f aca="false">CD114-CE84</f>
        <v>0</v>
      </c>
      <c r="CF114" s="100" t="n">
        <f aca="false">CE114-CF84</f>
        <v>0</v>
      </c>
      <c r="CG114" s="100" t="n">
        <f aca="false">CF114-CG84</f>
        <v>0</v>
      </c>
      <c r="CH114" s="100" t="n">
        <f aca="false">CG114-CH84</f>
        <v>0</v>
      </c>
    </row>
    <row r="115" customFormat="false" ht="13.5" hidden="false" customHeight="true" outlineLevel="0" collapsed="false">
      <c r="A115" s="6" t="s">
        <v>584</v>
      </c>
      <c r="C115" s="100" t="n">
        <f aca="false">-C83</f>
        <v>0</v>
      </c>
      <c r="D115" s="100" t="n">
        <f aca="false">C115-D83</f>
        <v>0</v>
      </c>
      <c r="E115" s="100" t="n">
        <f aca="false">D115-E83</f>
        <v>0</v>
      </c>
      <c r="F115" s="100" t="n">
        <f aca="false">E115-F83</f>
        <v>0</v>
      </c>
      <c r="G115" s="100" t="n">
        <f aca="false">F115-G83</f>
        <v>0</v>
      </c>
      <c r="H115" s="100" t="n">
        <f aca="false">G115-H83</f>
        <v>0</v>
      </c>
      <c r="I115" s="100" t="n">
        <f aca="false">H115-I83</f>
        <v>0</v>
      </c>
      <c r="J115" s="100" t="n">
        <f aca="false">I115-J83</f>
        <v>0</v>
      </c>
      <c r="K115" s="100" t="n">
        <f aca="false">J115-K83</f>
        <v>0</v>
      </c>
      <c r="L115" s="100" t="n">
        <f aca="false">K115-L83</f>
        <v>0</v>
      </c>
      <c r="M115" s="100" t="n">
        <f aca="false">L115-M83</f>
        <v>0</v>
      </c>
      <c r="N115" s="100" t="n">
        <f aca="false">M115-N83</f>
        <v>0</v>
      </c>
      <c r="O115" s="100" t="n">
        <f aca="false">N115-O83</f>
        <v>0</v>
      </c>
      <c r="P115" s="100" t="n">
        <f aca="false">O115-P83</f>
        <v>0</v>
      </c>
      <c r="Q115" s="100" t="n">
        <f aca="false">P115-Q83</f>
        <v>0</v>
      </c>
      <c r="R115" s="100" t="n">
        <f aca="false">Q115-R83</f>
        <v>0</v>
      </c>
      <c r="S115" s="100" t="n">
        <f aca="false">R115-S83</f>
        <v>0</v>
      </c>
      <c r="T115" s="100" t="n">
        <f aca="false">S115-T83</f>
        <v>0</v>
      </c>
      <c r="U115" s="100" t="n">
        <f aca="false">T115-U83</f>
        <v>0</v>
      </c>
      <c r="V115" s="100" t="n">
        <f aca="false">U115-V83</f>
        <v>0</v>
      </c>
      <c r="W115" s="100" t="n">
        <f aca="false">V115-W83</f>
        <v>0</v>
      </c>
      <c r="X115" s="100" t="n">
        <f aca="false">W115-X83</f>
        <v>0</v>
      </c>
      <c r="Y115" s="100" t="n">
        <f aca="false">X115-Y83</f>
        <v>0</v>
      </c>
      <c r="Z115" s="100" t="n">
        <f aca="false">Y115-Z83</f>
        <v>0</v>
      </c>
      <c r="AA115" s="100" t="n">
        <f aca="false">Z115-AA83</f>
        <v>0</v>
      </c>
      <c r="AB115" s="100" t="n">
        <f aca="false">AA115-AB83</f>
        <v>0</v>
      </c>
      <c r="AC115" s="100" t="n">
        <f aca="false">AB115-AC83</f>
        <v>0</v>
      </c>
      <c r="AD115" s="100" t="n">
        <f aca="false">AC115-AD83</f>
        <v>0</v>
      </c>
      <c r="AE115" s="100" t="n">
        <f aca="false">AD115-AE83</f>
        <v>0</v>
      </c>
      <c r="AF115" s="100" t="n">
        <f aca="false">AE115-AF83</f>
        <v>0</v>
      </c>
      <c r="AG115" s="100" t="n">
        <f aca="false">AF115-AG83</f>
        <v>0</v>
      </c>
      <c r="AH115" s="100" t="n">
        <f aca="false">AG115-AH83</f>
        <v>0</v>
      </c>
      <c r="AI115" s="100" t="n">
        <f aca="false">AH115-AI83</f>
        <v>0</v>
      </c>
      <c r="AJ115" s="100" t="n">
        <f aca="false">AI115-AJ83</f>
        <v>0</v>
      </c>
      <c r="AK115" s="100" t="n">
        <f aca="false">AJ115-AK83</f>
        <v>0</v>
      </c>
      <c r="AL115" s="100" t="n">
        <f aca="false">AK115-AL83</f>
        <v>0</v>
      </c>
      <c r="AM115" s="100" t="n">
        <f aca="false">AL115-AM83</f>
        <v>0</v>
      </c>
      <c r="AN115" s="100" t="n">
        <f aca="false">AM115-AN83</f>
        <v>0</v>
      </c>
      <c r="AO115" s="100" t="n">
        <f aca="false">AN115-AO83</f>
        <v>0</v>
      </c>
      <c r="AP115" s="100" t="n">
        <f aca="false">AO115-AP83</f>
        <v>0</v>
      </c>
      <c r="AQ115" s="100" t="n">
        <f aca="false">AP115-AQ83</f>
        <v>0</v>
      </c>
      <c r="AR115" s="100" t="n">
        <f aca="false">AQ115-AR83</f>
        <v>0</v>
      </c>
      <c r="AS115" s="100" t="n">
        <f aca="false">AR115-AS83</f>
        <v>0</v>
      </c>
      <c r="AT115" s="100" t="n">
        <f aca="false">AS115-AT83</f>
        <v>0</v>
      </c>
      <c r="AU115" s="100" t="n">
        <f aca="false">AT115-AU83</f>
        <v>0</v>
      </c>
      <c r="AV115" s="100" t="n">
        <f aca="false">AU115-AV83</f>
        <v>0</v>
      </c>
      <c r="AW115" s="100" t="n">
        <f aca="false">AV115-AW83</f>
        <v>0</v>
      </c>
      <c r="AX115" s="100" t="n">
        <f aca="false">AW115-AX83</f>
        <v>23433.6067570272</v>
      </c>
      <c r="AY115" s="100" t="n">
        <f aca="false">AX115-AY83</f>
        <v>23433.6067570272</v>
      </c>
      <c r="AZ115" s="100" t="n">
        <f aca="false">AY115-AZ83</f>
        <v>23433.6067570272</v>
      </c>
      <c r="BA115" s="100" t="n">
        <f aca="false">AZ115-BA83</f>
        <v>23433.6067570272</v>
      </c>
      <c r="BB115" s="100" t="n">
        <f aca="false">BA115-BB83</f>
        <v>23433.6067570272</v>
      </c>
      <c r="BC115" s="100" t="n">
        <f aca="false">BB115-BC83</f>
        <v>23433.6067570272</v>
      </c>
      <c r="BD115" s="100" t="n">
        <f aca="false">BC115-BD83</f>
        <v>23433.6067570272</v>
      </c>
      <c r="BE115" s="100" t="n">
        <f aca="false">BD115-BE83</f>
        <v>23433.6067570272</v>
      </c>
      <c r="BF115" s="100" t="n">
        <f aca="false">BE115-BF83</f>
        <v>23433.6067570272</v>
      </c>
      <c r="BG115" s="100" t="n">
        <f aca="false">BF115-BG83</f>
        <v>23433.6067570272</v>
      </c>
      <c r="BH115" s="100" t="n">
        <f aca="false">BG115-BH83</f>
        <v>23433.6067570272</v>
      </c>
      <c r="BI115" s="100" t="n">
        <f aca="false">BH115-BI83</f>
        <v>23433.6067570272</v>
      </c>
      <c r="BJ115" s="100" t="n">
        <f aca="false">BI115-BJ83</f>
        <v>51468.5779186162</v>
      </c>
      <c r="BK115" s="100" t="n">
        <f aca="false">BJ115-BK83</f>
        <v>51468.5779186162</v>
      </c>
      <c r="BL115" s="100" t="n">
        <f aca="false">BK115-BL83</f>
        <v>51468.5779186162</v>
      </c>
      <c r="BM115" s="100" t="n">
        <f aca="false">BL115-BM83</f>
        <v>51468.5779186162</v>
      </c>
      <c r="BN115" s="100" t="n">
        <f aca="false">BM115-BN83</f>
        <v>51468.5779186162</v>
      </c>
      <c r="BO115" s="100" t="n">
        <f aca="false">BN115-BO83</f>
        <v>51468.5779186162</v>
      </c>
      <c r="BP115" s="100" t="n">
        <f aca="false">BO115-BP83</f>
        <v>51468.5779186162</v>
      </c>
      <c r="BQ115" s="100" t="n">
        <f aca="false">BP115-BQ83</f>
        <v>51468.5779186162</v>
      </c>
      <c r="BR115" s="100" t="n">
        <f aca="false">BQ115-BR83</f>
        <v>51468.5779186162</v>
      </c>
      <c r="BS115" s="100" t="n">
        <f aca="false">BR115-BS83</f>
        <v>51468.5779186162</v>
      </c>
      <c r="BT115" s="100" t="n">
        <f aca="false">BS115-BT83</f>
        <v>51468.5779186162</v>
      </c>
      <c r="BU115" s="100" t="n">
        <f aca="false">BT115-BU83</f>
        <v>51468.5779186162</v>
      </c>
      <c r="BV115" s="100" t="n">
        <f aca="false">BU115-BV83</f>
        <v>70525.251589875</v>
      </c>
      <c r="BW115" s="100" t="n">
        <f aca="false">BV115-BW83</f>
        <v>70525.251589875</v>
      </c>
      <c r="BX115" s="100" t="n">
        <f aca="false">BW115-BX83</f>
        <v>70525.251589875</v>
      </c>
      <c r="BY115" s="100" t="n">
        <f aca="false">BX115-BY83</f>
        <v>70525.251589875</v>
      </c>
      <c r="BZ115" s="100" t="n">
        <f aca="false">BY115-BZ83</f>
        <v>70525.251589875</v>
      </c>
      <c r="CA115" s="100" t="n">
        <f aca="false">BZ115-CA83</f>
        <v>70525.251589875</v>
      </c>
      <c r="CB115" s="100" t="n">
        <f aca="false">CA115-CB83</f>
        <v>70525.251589875</v>
      </c>
      <c r="CC115" s="100" t="n">
        <f aca="false">CB115-CC83</f>
        <v>70525.251589875</v>
      </c>
      <c r="CD115" s="100" t="n">
        <f aca="false">CC115-CD83</f>
        <v>70525.251589875</v>
      </c>
      <c r="CE115" s="100" t="n">
        <f aca="false">CD115-CE83</f>
        <v>70525.251589875</v>
      </c>
      <c r="CF115" s="100" t="n">
        <f aca="false">CE115-CF83</f>
        <v>70525.251589875</v>
      </c>
      <c r="CG115" s="100" t="n">
        <f aca="false">CF115-CG83</f>
        <v>70525.251589875</v>
      </c>
      <c r="CH115" s="100" t="n">
        <f aca="false">CG115-CH83</f>
        <v>80536.6420460936</v>
      </c>
    </row>
    <row r="116" customFormat="false" ht="13.5" hidden="false" customHeight="true" outlineLevel="0" collapsed="false">
      <c r="A116" s="6" t="s">
        <v>585</v>
      </c>
      <c r="C116" s="100" t="n">
        <f aca="false">Hipótesis!$C$44*(1-Hipótesis!$D$83)</f>
        <v>1540</v>
      </c>
      <c r="D116" s="100" t="n">
        <f aca="false">Hipótesis!$C$44*(1-Hipótesis!$D$83)</f>
        <v>1540</v>
      </c>
      <c r="E116" s="100" t="n">
        <f aca="false">Hipótesis!$C$44*(1-Hipótesis!$D$83)</f>
        <v>1540</v>
      </c>
      <c r="F116" s="100" t="n">
        <f aca="false">Hipótesis!$C$44*(1-Hipótesis!$D$83)</f>
        <v>1540</v>
      </c>
      <c r="G116" s="100" t="n">
        <f aca="false">Hipótesis!$C$44*(1-Hipótesis!$D$83)</f>
        <v>1540</v>
      </c>
      <c r="H116" s="100" t="n">
        <f aca="false">Hipótesis!$C$44*(1-Hipótesis!$D$83)</f>
        <v>1540</v>
      </c>
      <c r="I116" s="100" t="n">
        <f aca="false">Hipótesis!$C$44*(1-Hipótesis!$D$83)</f>
        <v>1540</v>
      </c>
      <c r="J116" s="100" t="n">
        <f aca="false">Hipótesis!$C$44*(1-Hipótesis!$D$83)</f>
        <v>1540</v>
      </c>
      <c r="K116" s="100" t="n">
        <f aca="false">Hipótesis!$C$44*(1-Hipótesis!$D$83)</f>
        <v>1540</v>
      </c>
      <c r="L116" s="100" t="n">
        <f aca="false">Hipótesis!$C$44*(1-Hipótesis!$D$83)</f>
        <v>1540</v>
      </c>
      <c r="M116" s="100" t="n">
        <f aca="false">Hipótesis!$C$44*(1-Hipótesis!$D$83)</f>
        <v>1540</v>
      </c>
      <c r="N116" s="100" t="n">
        <f aca="false">Hipótesis!$C$44*(1-Hipótesis!$D$83)</f>
        <v>1540</v>
      </c>
      <c r="O116" s="100" t="n">
        <f aca="false">Hipótesis!$D$44*(1-Hipótesis!$D$83)</f>
        <v>2450</v>
      </c>
      <c r="P116" s="100" t="n">
        <f aca="false">Hipótesis!$D$44*(1-Hipótesis!$D$83)</f>
        <v>2450</v>
      </c>
      <c r="Q116" s="100" t="n">
        <f aca="false">Hipótesis!$D$44*(1-Hipótesis!$D$83)</f>
        <v>2450</v>
      </c>
      <c r="R116" s="100" t="n">
        <f aca="false">Hipótesis!$D$44*(1-Hipótesis!$D$83)</f>
        <v>2450</v>
      </c>
      <c r="S116" s="100" t="n">
        <f aca="false">Hipótesis!$D$44*(1-Hipótesis!$D$83)</f>
        <v>2450</v>
      </c>
      <c r="T116" s="100" t="n">
        <f aca="false">Hipótesis!$D$44*(1-Hipótesis!$D$83)</f>
        <v>2450</v>
      </c>
      <c r="U116" s="100" t="n">
        <f aca="false">Hipótesis!$D$44*(1-Hipótesis!$D$83)</f>
        <v>2450</v>
      </c>
      <c r="V116" s="100" t="n">
        <f aca="false">Hipótesis!$D$44*(1-Hipótesis!$D$83)</f>
        <v>2450</v>
      </c>
      <c r="W116" s="100" t="n">
        <f aca="false">Hipótesis!$D$44*(1-Hipótesis!$D$83)</f>
        <v>2450</v>
      </c>
      <c r="X116" s="100" t="n">
        <f aca="false">Hipótesis!$D$44*(1-Hipótesis!$D$83)</f>
        <v>2450</v>
      </c>
      <c r="Y116" s="100" t="n">
        <f aca="false">Hipótesis!$D$44*(1-Hipótesis!$D$83)</f>
        <v>2450</v>
      </c>
      <c r="Z116" s="100" t="n">
        <f aca="false">Hipótesis!$D$44*(1-Hipótesis!$D$83)</f>
        <v>2450</v>
      </c>
      <c r="AA116" s="100" t="n">
        <f aca="false">Hipótesis!$E$44*(1-Hipótesis!$D$83)</f>
        <v>2800</v>
      </c>
      <c r="AB116" s="100" t="n">
        <f aca="false">Hipótesis!$E$44*(1-Hipótesis!$D$83)</f>
        <v>2800</v>
      </c>
      <c r="AC116" s="100" t="n">
        <f aca="false">Hipótesis!$E$44*(1-Hipótesis!$D$83)</f>
        <v>2800</v>
      </c>
      <c r="AD116" s="100" t="n">
        <f aca="false">Hipótesis!$E$44*(1-Hipótesis!$D$83)</f>
        <v>2800</v>
      </c>
      <c r="AE116" s="100" t="n">
        <f aca="false">Hipótesis!$E$44*(1-Hipótesis!$D$83)</f>
        <v>2800</v>
      </c>
      <c r="AF116" s="100" t="n">
        <f aca="false">Hipótesis!$E$44*(1-Hipótesis!$D$83)</f>
        <v>2800</v>
      </c>
      <c r="AG116" s="100" t="n">
        <f aca="false">Hipótesis!$E$44*(1-Hipótesis!$D$83)</f>
        <v>2800</v>
      </c>
      <c r="AH116" s="100" t="n">
        <f aca="false">Hipótesis!$E$44*(1-Hipótesis!$D$83)</f>
        <v>2800</v>
      </c>
      <c r="AI116" s="100" t="n">
        <f aca="false">Hipótesis!$E$44*(1-Hipótesis!$D$83)</f>
        <v>2800</v>
      </c>
      <c r="AJ116" s="100" t="n">
        <f aca="false">Hipótesis!$E$44*(1-Hipótesis!$D$83)</f>
        <v>2800</v>
      </c>
      <c r="AK116" s="100" t="n">
        <f aca="false">Hipótesis!$E$44*(1-Hipótesis!$D$83)</f>
        <v>2800</v>
      </c>
      <c r="AL116" s="100" t="n">
        <f aca="false">Hipótesis!$E$44*(1-Hipótesis!$D$83)</f>
        <v>2800</v>
      </c>
      <c r="AM116" s="100" t="n">
        <f aca="false">Hipótesis!$F$44*(1-Hipótesis!$D$83)</f>
        <v>3150</v>
      </c>
      <c r="AN116" s="100" t="n">
        <f aca="false">Hipótesis!$F$44*(1-Hipótesis!$D$83)</f>
        <v>3150</v>
      </c>
      <c r="AO116" s="100" t="n">
        <f aca="false">Hipótesis!$F$44*(1-Hipótesis!$D$83)</f>
        <v>3150</v>
      </c>
      <c r="AP116" s="100" t="n">
        <f aca="false">Hipótesis!$F$44*(1-Hipótesis!$D$83)</f>
        <v>3150</v>
      </c>
      <c r="AQ116" s="100" t="n">
        <f aca="false">Hipótesis!$F$44*(1-Hipótesis!$D$83)</f>
        <v>3150</v>
      </c>
      <c r="AR116" s="100" t="n">
        <f aca="false">Hipótesis!$F$44*(1-Hipótesis!$D$83)</f>
        <v>3150</v>
      </c>
      <c r="AS116" s="100" t="n">
        <f aca="false">Hipótesis!$F$44*(1-Hipótesis!$D$83)</f>
        <v>3150</v>
      </c>
      <c r="AT116" s="100" t="n">
        <f aca="false">Hipótesis!$F$44*(1-Hipótesis!$D$83)</f>
        <v>3150</v>
      </c>
      <c r="AU116" s="100" t="n">
        <f aca="false">Hipótesis!$F$44*(1-Hipótesis!$D$83)</f>
        <v>3150</v>
      </c>
      <c r="AV116" s="100" t="n">
        <f aca="false">Hipótesis!$F$44*(1-Hipótesis!$D$83)</f>
        <v>3150</v>
      </c>
      <c r="AW116" s="100" t="n">
        <f aca="false">Hipótesis!$F$44*(1-Hipótesis!$D$83)</f>
        <v>3150</v>
      </c>
      <c r="AX116" s="100" t="n">
        <f aca="false">Hipótesis!$F$44*(1-Hipótesis!$D$83)</f>
        <v>3150</v>
      </c>
      <c r="AY116" s="100" t="n">
        <f aca="false">Hipótesis!$G$44*(1-Hipótesis!$D$83)</f>
        <v>3500</v>
      </c>
      <c r="AZ116" s="100" t="n">
        <f aca="false">Hipótesis!$G$44*(1-Hipótesis!$D$83)</f>
        <v>3500</v>
      </c>
      <c r="BA116" s="100" t="n">
        <f aca="false">Hipótesis!$G$44*(1-Hipótesis!$D$83)</f>
        <v>3500</v>
      </c>
      <c r="BB116" s="100" t="n">
        <f aca="false">Hipótesis!$G$44*(1-Hipótesis!$D$83)</f>
        <v>3500</v>
      </c>
      <c r="BC116" s="100" t="n">
        <f aca="false">Hipótesis!$G$44*(1-Hipótesis!$D$83)</f>
        <v>3500</v>
      </c>
      <c r="BD116" s="100" t="n">
        <f aca="false">Hipótesis!$G$44*(1-Hipótesis!$D$83)</f>
        <v>3500</v>
      </c>
      <c r="BE116" s="100" t="n">
        <f aca="false">Hipótesis!$G$44*(1-Hipótesis!$D$83)</f>
        <v>3500</v>
      </c>
      <c r="BF116" s="100" t="n">
        <f aca="false">Hipótesis!$G$44*(1-Hipótesis!$D$83)</f>
        <v>3500</v>
      </c>
      <c r="BG116" s="100" t="n">
        <f aca="false">Hipótesis!$G$44*(1-Hipótesis!$D$83)</f>
        <v>3500</v>
      </c>
      <c r="BH116" s="100" t="n">
        <f aca="false">Hipótesis!$G$44*(1-Hipótesis!$D$83)</f>
        <v>3500</v>
      </c>
      <c r="BI116" s="100" t="n">
        <f aca="false">Hipótesis!$G$44*(1-Hipótesis!$D$83)</f>
        <v>3500</v>
      </c>
      <c r="BJ116" s="100" t="n">
        <f aca="false">Hipótesis!$G$44*(1-Hipótesis!$D$83)</f>
        <v>3500</v>
      </c>
      <c r="BK116" s="100" t="n">
        <f aca="false">Hipótesis!$H$44*(1-Hipótesis!$D$83)</f>
        <v>3850</v>
      </c>
      <c r="BL116" s="100" t="n">
        <f aca="false">Hipótesis!$H$44*(1-Hipótesis!$D$83)</f>
        <v>3850</v>
      </c>
      <c r="BM116" s="100" t="n">
        <f aca="false">Hipótesis!$H$44*(1-Hipótesis!$D$83)</f>
        <v>3850</v>
      </c>
      <c r="BN116" s="100" t="n">
        <f aca="false">Hipótesis!$H$44*(1-Hipótesis!$D$83)</f>
        <v>3850</v>
      </c>
      <c r="BO116" s="100" t="n">
        <f aca="false">Hipótesis!$H$44*(1-Hipótesis!$D$83)</f>
        <v>3850</v>
      </c>
      <c r="BP116" s="100" t="n">
        <f aca="false">Hipótesis!$H$44*(1-Hipótesis!$D$83)</f>
        <v>3850</v>
      </c>
      <c r="BQ116" s="100" t="n">
        <f aca="false">Hipótesis!$H$44*(1-Hipótesis!$D$83)</f>
        <v>3850</v>
      </c>
      <c r="BR116" s="100" t="n">
        <f aca="false">Hipótesis!$H$44*(1-Hipótesis!$D$83)</f>
        <v>3850</v>
      </c>
      <c r="BS116" s="100" t="n">
        <f aca="false">Hipótesis!$H$44*(1-Hipótesis!$D$83)</f>
        <v>3850</v>
      </c>
      <c r="BT116" s="100" t="n">
        <f aca="false">Hipótesis!$H$44*(1-Hipótesis!$D$83)</f>
        <v>3850</v>
      </c>
      <c r="BU116" s="100" t="n">
        <f aca="false">Hipótesis!$H$44*(1-Hipótesis!$D$83)</f>
        <v>3850</v>
      </c>
      <c r="BV116" s="100" t="n">
        <f aca="false">Hipótesis!$H$44*(1-Hipótesis!$D$83)</f>
        <v>3850</v>
      </c>
      <c r="BW116" s="100" t="n">
        <f aca="false">Hipótesis!$I$44*(1-Hipótesis!$D$83)</f>
        <v>4200</v>
      </c>
      <c r="BX116" s="100" t="n">
        <f aca="false">Hipótesis!$I$44*(1-Hipótesis!$D$83)</f>
        <v>4200</v>
      </c>
      <c r="BY116" s="100" t="n">
        <f aca="false">Hipótesis!$I$44*(1-Hipótesis!$D$83)</f>
        <v>4200</v>
      </c>
      <c r="BZ116" s="100" t="n">
        <f aca="false">Hipótesis!$I$44*(1-Hipótesis!$D$83)</f>
        <v>4200</v>
      </c>
      <c r="CA116" s="100" t="n">
        <f aca="false">Hipótesis!$I$44*(1-Hipótesis!$D$83)</f>
        <v>4200</v>
      </c>
      <c r="CB116" s="100" t="n">
        <f aca="false">Hipótesis!$I$44*(1-Hipótesis!$D$83)</f>
        <v>4200</v>
      </c>
      <c r="CC116" s="100" t="n">
        <f aca="false">Hipótesis!$I$44*(1-Hipótesis!$D$83)</f>
        <v>4200</v>
      </c>
      <c r="CD116" s="100" t="n">
        <f aca="false">Hipótesis!$I$44*(1-Hipótesis!$D$83)</f>
        <v>4200</v>
      </c>
      <c r="CE116" s="100" t="n">
        <f aca="false">Hipótesis!$I$44*(1-Hipótesis!$D$83)</f>
        <v>4200</v>
      </c>
      <c r="CF116" s="100" t="n">
        <f aca="false">Hipótesis!$I$44*(1-Hipótesis!$D$83)</f>
        <v>4200</v>
      </c>
      <c r="CG116" s="100" t="n">
        <f aca="false">Hipótesis!$I$44*(1-Hipótesis!$D$83)</f>
        <v>4200</v>
      </c>
      <c r="CH116" s="100" t="n">
        <f aca="false">Hipótesis!$I$44*(1-Hipótesis!$D$83)</f>
        <v>4200</v>
      </c>
    </row>
    <row r="117" customFormat="false" ht="13.5" hidden="false" customHeight="true" outlineLevel="0" collapsed="false">
      <c r="A117" s="6" t="s">
        <v>586</v>
      </c>
      <c r="C117" s="100" t="n">
        <f aca="false">-C84*Hipótesis!$D$82*(1-Hipótesis!$D$84)</f>
        <v>0</v>
      </c>
      <c r="D117" s="100" t="n">
        <f aca="false">-D84*Hipótesis!$D$82*(1-Hipótesis!$D$84)</f>
        <v>0</v>
      </c>
      <c r="E117" s="100" t="n">
        <f aca="false">-E84*Hipótesis!$D$82*(1-Hipótesis!$D$84)</f>
        <v>0</v>
      </c>
      <c r="F117" s="100" t="n">
        <f aca="false">-F84*Hipótesis!$D$82*(1-Hipótesis!$D$84)</f>
        <v>0</v>
      </c>
      <c r="G117" s="100" t="n">
        <f aca="false">-G84*Hipótesis!$D$82*(1-Hipótesis!$D$84)</f>
        <v>0</v>
      </c>
      <c r="H117" s="100" t="n">
        <f aca="false">-H84*Hipótesis!$D$82*(1-Hipótesis!$D$84)</f>
        <v>0</v>
      </c>
      <c r="I117" s="100" t="n">
        <f aca="false">-I84*Hipótesis!$D$82*(1-Hipótesis!$D$84)</f>
        <v>0</v>
      </c>
      <c r="J117" s="100" t="n">
        <f aca="false">-J84*Hipótesis!$D$82*(1-Hipótesis!$D$84)</f>
        <v>0</v>
      </c>
      <c r="K117" s="100" t="n">
        <f aca="false">-K84*Hipótesis!$D$82*(1-Hipótesis!$D$84)</f>
        <v>0</v>
      </c>
      <c r="L117" s="100" t="n">
        <f aca="false">-L84*Hipótesis!$D$82*(1-Hipótesis!$D$84)</f>
        <v>0</v>
      </c>
      <c r="M117" s="100" t="n">
        <f aca="false">-M84*Hipótesis!$D$82*(1-Hipótesis!$D$84)</f>
        <v>0</v>
      </c>
      <c r="N117" s="100" t="n">
        <f aca="false">-N84*Hipótesis!$D$82*(1-Hipótesis!$D$84)</f>
        <v>0</v>
      </c>
      <c r="O117" s="100" t="n">
        <f aca="false">-O84*Hipótesis!$D$82*(1-Hipótesis!$D$84)</f>
        <v>0</v>
      </c>
      <c r="P117" s="100" t="n">
        <f aca="false">-P84*Hipótesis!$D$82*(1-Hipótesis!$D$84)</f>
        <v>0</v>
      </c>
      <c r="Q117" s="100" t="n">
        <f aca="false">-Q84*Hipótesis!$D$82*(1-Hipótesis!$D$84)</f>
        <v>0</v>
      </c>
      <c r="R117" s="100" t="n">
        <f aca="false">-R84*Hipótesis!$D$82*(1-Hipótesis!$D$84)</f>
        <v>0</v>
      </c>
      <c r="S117" s="100" t="n">
        <f aca="false">-S84*Hipótesis!$D$82*(1-Hipótesis!$D$84)</f>
        <v>0</v>
      </c>
      <c r="T117" s="100" t="n">
        <f aca="false">-T84*Hipótesis!$D$82*(1-Hipótesis!$D$84)</f>
        <v>0</v>
      </c>
      <c r="U117" s="100" t="n">
        <f aca="false">-U84*Hipótesis!$D$82*(1-Hipótesis!$D$84)</f>
        <v>0</v>
      </c>
      <c r="V117" s="100" t="n">
        <f aca="false">-V84*Hipótesis!$D$82*(1-Hipótesis!$D$84)</f>
        <v>0</v>
      </c>
      <c r="W117" s="100" t="n">
        <f aca="false">-W84*Hipótesis!$D$82*(1-Hipótesis!$D$84)</f>
        <v>0</v>
      </c>
      <c r="X117" s="100" t="n">
        <f aca="false">-X84*Hipótesis!$D$82*(1-Hipótesis!$D$84)</f>
        <v>0</v>
      </c>
      <c r="Y117" s="100" t="n">
        <f aca="false">-Y84*Hipótesis!$D$82*(1-Hipótesis!$D$84)</f>
        <v>0</v>
      </c>
      <c r="Z117" s="100" t="n">
        <f aca="false">-Z84*Hipótesis!$D$82*(1-Hipótesis!$D$84)</f>
        <v>0</v>
      </c>
      <c r="AA117" s="100" t="n">
        <f aca="false">-AA84*Hipótesis!$D$82*(1-Hipótesis!$D$84)</f>
        <v>0</v>
      </c>
      <c r="AB117" s="100" t="n">
        <f aca="false">-AB84*Hipótesis!$D$82*(1-Hipótesis!$D$84)</f>
        <v>0</v>
      </c>
      <c r="AC117" s="100" t="n">
        <f aca="false">-AC84*Hipótesis!$D$82*(1-Hipótesis!$D$84)</f>
        <v>0</v>
      </c>
      <c r="AD117" s="100" t="n">
        <f aca="false">-AD84*Hipótesis!$D$82*(1-Hipótesis!$D$84)</f>
        <v>0</v>
      </c>
      <c r="AE117" s="100" t="n">
        <f aca="false">-AE84*Hipótesis!$D$82*(1-Hipótesis!$D$84)</f>
        <v>0</v>
      </c>
      <c r="AF117" s="100" t="n">
        <f aca="false">-AF84*Hipótesis!$D$82*(1-Hipótesis!$D$84)</f>
        <v>0</v>
      </c>
      <c r="AG117" s="100" t="n">
        <f aca="false">-AG84*Hipótesis!$D$82*(1-Hipótesis!$D$84)</f>
        <v>0</v>
      </c>
      <c r="AH117" s="100" t="n">
        <f aca="false">-AH84*Hipótesis!$D$82*(1-Hipótesis!$D$84)</f>
        <v>0</v>
      </c>
      <c r="AI117" s="100" t="n">
        <f aca="false">-AI84*Hipótesis!$D$82*(1-Hipótesis!$D$84)</f>
        <v>0</v>
      </c>
      <c r="AJ117" s="100" t="n">
        <f aca="false">-AJ84*Hipótesis!$D$82*(1-Hipótesis!$D$84)</f>
        <v>0</v>
      </c>
      <c r="AK117" s="100" t="n">
        <f aca="false">-AK84*Hipótesis!$D$82*(1-Hipótesis!$D$84)</f>
        <v>0</v>
      </c>
      <c r="AL117" s="100" t="n">
        <f aca="false">-AL84*Hipótesis!$D$82*(1-Hipótesis!$D$84)</f>
        <v>0</v>
      </c>
      <c r="AM117" s="100" t="n">
        <f aca="false">-AM84*Hipótesis!$D$82*(1-Hipótesis!$D$84)</f>
        <v>0</v>
      </c>
      <c r="AN117" s="100" t="n">
        <f aca="false">-AN84*Hipótesis!$D$82*(1-Hipótesis!$D$84)</f>
        <v>0</v>
      </c>
      <c r="AO117" s="100" t="n">
        <f aca="false">-AO84*Hipótesis!$D$82*(1-Hipótesis!$D$84)</f>
        <v>0</v>
      </c>
      <c r="AP117" s="100" t="n">
        <f aca="false">-AP84*Hipótesis!$D$82*(1-Hipótesis!$D$84)</f>
        <v>0</v>
      </c>
      <c r="AQ117" s="100" t="n">
        <f aca="false">-AQ84*Hipótesis!$D$82*(1-Hipótesis!$D$84)</f>
        <v>0</v>
      </c>
      <c r="AR117" s="100" t="n">
        <f aca="false">-AR84*Hipótesis!$D$82*(1-Hipótesis!$D$84)</f>
        <v>0</v>
      </c>
      <c r="AS117" s="100" t="n">
        <f aca="false">-AS84*Hipótesis!$D$82*(1-Hipótesis!$D$84)</f>
        <v>0</v>
      </c>
      <c r="AT117" s="100" t="n">
        <f aca="false">-AT84*Hipótesis!$D$82*(1-Hipótesis!$D$84)</f>
        <v>0</v>
      </c>
      <c r="AU117" s="100" t="n">
        <f aca="false">-AU84*Hipótesis!$D$82*(1-Hipótesis!$D$84)</f>
        <v>0</v>
      </c>
      <c r="AV117" s="100" t="n">
        <f aca="false">-AV84*Hipótesis!$D$82*(1-Hipótesis!$D$84)</f>
        <v>0</v>
      </c>
      <c r="AW117" s="100" t="n">
        <f aca="false">-AW84*Hipótesis!$D$82*(1-Hipótesis!$D$84)</f>
        <v>0</v>
      </c>
      <c r="AX117" s="100" t="n">
        <f aca="false">-AX84*Hipótesis!$D$82*(1-Hipótesis!$D$84)</f>
        <v>0</v>
      </c>
      <c r="AY117" s="100" t="n">
        <f aca="false">-AY84*Hipótesis!$D$82*(1-Hipótesis!$D$84)</f>
        <v>0</v>
      </c>
      <c r="AZ117" s="100" t="n">
        <f aca="false">-AZ84*Hipótesis!$D$82*(1-Hipótesis!$D$84)</f>
        <v>0</v>
      </c>
      <c r="BA117" s="100" t="n">
        <f aca="false">-BA84*Hipótesis!$D$82*(1-Hipótesis!$D$84)</f>
        <v>0</v>
      </c>
      <c r="BB117" s="100" t="n">
        <f aca="false">-BB84*Hipótesis!$D$82*(1-Hipótesis!$D$84)</f>
        <v>0</v>
      </c>
      <c r="BC117" s="100" t="n">
        <f aca="false">-BC84*Hipótesis!$D$82*(1-Hipótesis!$D$84)</f>
        <v>0</v>
      </c>
      <c r="BD117" s="100" t="n">
        <f aca="false">-BD84*Hipótesis!$D$82*(1-Hipótesis!$D$84)</f>
        <v>0</v>
      </c>
      <c r="BE117" s="100" t="n">
        <f aca="false">-BE84*Hipótesis!$D$82*(1-Hipótesis!$D$84)</f>
        <v>0</v>
      </c>
      <c r="BF117" s="100" t="n">
        <f aca="false">-BF84*Hipótesis!$D$82*(1-Hipótesis!$D$84)</f>
        <v>0</v>
      </c>
      <c r="BG117" s="100" t="n">
        <f aca="false">-BG84*Hipótesis!$D$82*(1-Hipótesis!$D$84)</f>
        <v>0</v>
      </c>
      <c r="BH117" s="100" t="n">
        <f aca="false">-BH84*Hipótesis!$D$82*(1-Hipótesis!$D$84)</f>
        <v>0</v>
      </c>
      <c r="BI117" s="100" t="n">
        <f aca="false">-BI84*Hipótesis!$D$82*(1-Hipótesis!$D$84)</f>
        <v>0</v>
      </c>
      <c r="BJ117" s="100" t="n">
        <f aca="false">-BJ84*Hipótesis!$D$82*(1-Hipótesis!$D$84)</f>
        <v>0</v>
      </c>
      <c r="BK117" s="100" t="n">
        <f aca="false">-BK84*Hipótesis!$D$82*(1-Hipótesis!$D$84)</f>
        <v>0</v>
      </c>
      <c r="BL117" s="100" t="n">
        <f aca="false">-BL84*Hipótesis!$D$82*(1-Hipótesis!$D$84)</f>
        <v>0</v>
      </c>
      <c r="BM117" s="100" t="n">
        <f aca="false">-BM84*Hipótesis!$D$82*(1-Hipótesis!$D$84)</f>
        <v>0</v>
      </c>
      <c r="BN117" s="100" t="n">
        <f aca="false">-BN84*Hipótesis!$D$82*(1-Hipótesis!$D$84)</f>
        <v>0</v>
      </c>
      <c r="BO117" s="100" t="n">
        <f aca="false">-BO84*Hipótesis!$D$82*(1-Hipótesis!$D$84)</f>
        <v>0</v>
      </c>
      <c r="BP117" s="100" t="n">
        <f aca="false">-BP84*Hipótesis!$D$82*(1-Hipótesis!$D$84)</f>
        <v>0</v>
      </c>
      <c r="BQ117" s="100" t="n">
        <f aca="false">-BQ84*Hipótesis!$D$82*(1-Hipótesis!$D$84)</f>
        <v>0</v>
      </c>
      <c r="BR117" s="100" t="n">
        <f aca="false">-BR84*Hipótesis!$D$82*(1-Hipótesis!$D$84)</f>
        <v>0</v>
      </c>
      <c r="BS117" s="100" t="n">
        <f aca="false">-BS84*Hipótesis!$D$82*(1-Hipótesis!$D$84)</f>
        <v>0</v>
      </c>
      <c r="BT117" s="100" t="n">
        <f aca="false">-BT84*Hipótesis!$D$82*(1-Hipótesis!$D$84)</f>
        <v>0</v>
      </c>
      <c r="BU117" s="100" t="n">
        <f aca="false">-BU84*Hipótesis!$D$82*(1-Hipótesis!$D$84)</f>
        <v>0</v>
      </c>
      <c r="BV117" s="100" t="n">
        <f aca="false">-BV84*Hipótesis!$D$82*(1-Hipótesis!$D$84)</f>
        <v>0</v>
      </c>
      <c r="BW117" s="100" t="n">
        <f aca="false">-BW84*Hipótesis!$D$82*(1-Hipótesis!$D$84)</f>
        <v>0</v>
      </c>
      <c r="BX117" s="100" t="n">
        <f aca="false">-BX84*Hipótesis!$D$82*(1-Hipótesis!$D$84)</f>
        <v>0</v>
      </c>
      <c r="BY117" s="100" t="n">
        <f aca="false">-BY84*Hipótesis!$D$82*(1-Hipótesis!$D$84)</f>
        <v>0</v>
      </c>
      <c r="BZ117" s="100" t="n">
        <f aca="false">-BZ84*Hipótesis!$D$82*(1-Hipótesis!$D$84)</f>
        <v>0</v>
      </c>
      <c r="CA117" s="100" t="n">
        <f aca="false">-CA84*Hipótesis!$D$82*(1-Hipótesis!$D$84)</f>
        <v>0</v>
      </c>
      <c r="CB117" s="100" t="n">
        <f aca="false">-CB84*Hipótesis!$D$82*(1-Hipótesis!$D$84)</f>
        <v>0</v>
      </c>
      <c r="CC117" s="100" t="n">
        <f aca="false">-CC84*Hipótesis!$D$82*(1-Hipótesis!$D$84)</f>
        <v>0</v>
      </c>
      <c r="CD117" s="100" t="n">
        <f aca="false">-CD84*Hipótesis!$D$82*(1-Hipótesis!$D$84)</f>
        <v>0</v>
      </c>
      <c r="CE117" s="100" t="n">
        <f aca="false">-CE84*Hipótesis!$D$82*(1-Hipótesis!$D$84)</f>
        <v>0</v>
      </c>
      <c r="CF117" s="100" t="n">
        <f aca="false">-CF84*Hipótesis!$D$82*(1-Hipótesis!$D$84)</f>
        <v>0</v>
      </c>
      <c r="CG117" s="100" t="n">
        <f aca="false">-CG84*Hipótesis!$D$82*(1-Hipótesis!$D$84)</f>
        <v>0</v>
      </c>
      <c r="CH117" s="100" t="n">
        <f aca="false">-CH84*Hipótesis!$D$82*(1-Hipótesis!$D$84)</f>
        <v>0</v>
      </c>
    </row>
    <row r="118" customFormat="false" ht="13.5" hidden="false" customHeight="true" outlineLevel="0" collapsed="false">
      <c r="A118" s="22" t="s">
        <v>587</v>
      </c>
      <c r="C118" s="100" t="n">
        <f aca="false">C116+C117</f>
        <v>1540</v>
      </c>
      <c r="D118" s="100" t="n">
        <f aca="false">D116+D117</f>
        <v>1540</v>
      </c>
      <c r="E118" s="100" t="n">
        <f aca="false">E116+E117</f>
        <v>1540</v>
      </c>
      <c r="F118" s="100" t="n">
        <f aca="false">F116+F117</f>
        <v>1540</v>
      </c>
      <c r="G118" s="100" t="n">
        <f aca="false">G116+G117</f>
        <v>1540</v>
      </c>
      <c r="H118" s="100" t="n">
        <f aca="false">H116+H117</f>
        <v>1540</v>
      </c>
      <c r="I118" s="100" t="n">
        <f aca="false">I116+I117</f>
        <v>1540</v>
      </c>
      <c r="J118" s="100" t="n">
        <f aca="false">J116+J117</f>
        <v>1540</v>
      </c>
      <c r="K118" s="100" t="n">
        <f aca="false">K116+K117</f>
        <v>1540</v>
      </c>
      <c r="L118" s="100" t="n">
        <f aca="false">L116+L117</f>
        <v>1540</v>
      </c>
      <c r="M118" s="100" t="n">
        <f aca="false">M116+M117</f>
        <v>1540</v>
      </c>
      <c r="N118" s="100" t="n">
        <f aca="false">N116+N117</f>
        <v>1540</v>
      </c>
      <c r="O118" s="100" t="n">
        <f aca="false">O116+O117</f>
        <v>2450</v>
      </c>
      <c r="P118" s="100" t="n">
        <f aca="false">P116+P117</f>
        <v>2450</v>
      </c>
      <c r="Q118" s="100" t="n">
        <f aca="false">Q116+Q117</f>
        <v>2450</v>
      </c>
      <c r="R118" s="100" t="n">
        <f aca="false">R116+R117</f>
        <v>2450</v>
      </c>
      <c r="S118" s="100" t="n">
        <f aca="false">S116+S117</f>
        <v>2450</v>
      </c>
      <c r="T118" s="100" t="n">
        <f aca="false">T116+T117</f>
        <v>2450</v>
      </c>
      <c r="U118" s="100" t="n">
        <f aca="false">U116+U117</f>
        <v>2450</v>
      </c>
      <c r="V118" s="100" t="n">
        <f aca="false">V116+V117</f>
        <v>2450</v>
      </c>
      <c r="W118" s="100" t="n">
        <f aca="false">W116+W117</f>
        <v>2450</v>
      </c>
      <c r="X118" s="100" t="n">
        <f aca="false">X116+X117</f>
        <v>2450</v>
      </c>
      <c r="Y118" s="100" t="n">
        <f aca="false">Y116+Y117</f>
        <v>2450</v>
      </c>
      <c r="Z118" s="100" t="n">
        <f aca="false">Z116+Z117</f>
        <v>2450</v>
      </c>
      <c r="AA118" s="100" t="n">
        <f aca="false">AA116+AA117</f>
        <v>2800</v>
      </c>
      <c r="AB118" s="100" t="n">
        <f aca="false">AB116+AB117</f>
        <v>2800</v>
      </c>
      <c r="AC118" s="100" t="n">
        <f aca="false">AC116+AC117</f>
        <v>2800</v>
      </c>
      <c r="AD118" s="100" t="n">
        <f aca="false">AD116+AD117</f>
        <v>2800</v>
      </c>
      <c r="AE118" s="100" t="n">
        <f aca="false">AE116+AE117</f>
        <v>2800</v>
      </c>
      <c r="AF118" s="100" t="n">
        <f aca="false">AF116+AF117</f>
        <v>2800</v>
      </c>
      <c r="AG118" s="100" t="n">
        <f aca="false">AG116+AG117</f>
        <v>2800</v>
      </c>
      <c r="AH118" s="100" t="n">
        <f aca="false">AH116+AH117</f>
        <v>2800</v>
      </c>
      <c r="AI118" s="100" t="n">
        <f aca="false">AI116+AI117</f>
        <v>2800</v>
      </c>
      <c r="AJ118" s="100" t="n">
        <f aca="false">AJ116+AJ117</f>
        <v>2800</v>
      </c>
      <c r="AK118" s="100" t="n">
        <f aca="false">AK116+AK117</f>
        <v>2800</v>
      </c>
      <c r="AL118" s="100" t="n">
        <f aca="false">AL116+AL117</f>
        <v>2800</v>
      </c>
      <c r="AM118" s="100" t="n">
        <f aca="false">AM116+AM117</f>
        <v>3150</v>
      </c>
      <c r="AN118" s="100" t="n">
        <f aca="false">AN116+AN117</f>
        <v>3150</v>
      </c>
      <c r="AO118" s="100" t="n">
        <f aca="false">AO116+AO117</f>
        <v>3150</v>
      </c>
      <c r="AP118" s="100" t="n">
        <f aca="false">AP116+AP117</f>
        <v>3150</v>
      </c>
      <c r="AQ118" s="100" t="n">
        <f aca="false">AQ116+AQ117</f>
        <v>3150</v>
      </c>
      <c r="AR118" s="100" t="n">
        <f aca="false">AR116+AR117</f>
        <v>3150</v>
      </c>
      <c r="AS118" s="100" t="n">
        <f aca="false">AS116+AS117</f>
        <v>3150</v>
      </c>
      <c r="AT118" s="100" t="n">
        <f aca="false">AT116+AT117</f>
        <v>3150</v>
      </c>
      <c r="AU118" s="100" t="n">
        <f aca="false">AU116+AU117</f>
        <v>3150</v>
      </c>
      <c r="AV118" s="100" t="n">
        <f aca="false">AV116+AV117</f>
        <v>3150</v>
      </c>
      <c r="AW118" s="100" t="n">
        <f aca="false">AW116+AW117</f>
        <v>3150</v>
      </c>
      <c r="AX118" s="100" t="n">
        <f aca="false">AX116+AX117</f>
        <v>3150</v>
      </c>
      <c r="AY118" s="100" t="n">
        <f aca="false">AY116+AY117</f>
        <v>3500</v>
      </c>
      <c r="AZ118" s="100" t="n">
        <f aca="false">AZ116+AZ117</f>
        <v>3500</v>
      </c>
      <c r="BA118" s="100" t="n">
        <f aca="false">BA116+BA117</f>
        <v>3500</v>
      </c>
      <c r="BB118" s="100" t="n">
        <f aca="false">BB116+BB117</f>
        <v>3500</v>
      </c>
      <c r="BC118" s="100" t="n">
        <f aca="false">BC116+BC117</f>
        <v>3500</v>
      </c>
      <c r="BD118" s="100" t="n">
        <f aca="false">BD116+BD117</f>
        <v>3500</v>
      </c>
      <c r="BE118" s="100" t="n">
        <f aca="false">BE116+BE117</f>
        <v>3500</v>
      </c>
      <c r="BF118" s="100" t="n">
        <f aca="false">BF116+BF117</f>
        <v>3500</v>
      </c>
      <c r="BG118" s="100" t="n">
        <f aca="false">BG116+BG117</f>
        <v>3500</v>
      </c>
      <c r="BH118" s="100" t="n">
        <f aca="false">BH116+BH117</f>
        <v>3500</v>
      </c>
      <c r="BI118" s="100" t="n">
        <f aca="false">BI116+BI117</f>
        <v>3500</v>
      </c>
      <c r="BJ118" s="100" t="n">
        <f aca="false">BJ116+BJ117</f>
        <v>3500</v>
      </c>
      <c r="BK118" s="100" t="n">
        <f aca="false">BK116+BK117</f>
        <v>3850</v>
      </c>
      <c r="BL118" s="100" t="n">
        <f aca="false">BL116+BL117</f>
        <v>3850</v>
      </c>
      <c r="BM118" s="100" t="n">
        <f aca="false">BM116+BM117</f>
        <v>3850</v>
      </c>
      <c r="BN118" s="100" t="n">
        <f aca="false">BN116+BN117</f>
        <v>3850</v>
      </c>
      <c r="BO118" s="100" t="n">
        <f aca="false">BO116+BO117</f>
        <v>3850</v>
      </c>
      <c r="BP118" s="100" t="n">
        <f aca="false">BP116+BP117</f>
        <v>3850</v>
      </c>
      <c r="BQ118" s="100" t="n">
        <f aca="false">BQ116+BQ117</f>
        <v>3850</v>
      </c>
      <c r="BR118" s="100" t="n">
        <f aca="false">BR116+BR117</f>
        <v>3850</v>
      </c>
      <c r="BS118" s="100" t="n">
        <f aca="false">BS116+BS117</f>
        <v>3850</v>
      </c>
      <c r="BT118" s="100" t="n">
        <f aca="false">BT116+BT117</f>
        <v>3850</v>
      </c>
      <c r="BU118" s="100" t="n">
        <f aca="false">BU116+BU117</f>
        <v>3850</v>
      </c>
      <c r="BV118" s="100" t="n">
        <f aca="false">BV116+BV117</f>
        <v>3850</v>
      </c>
      <c r="BW118" s="100" t="n">
        <f aca="false">BW116+BW117</f>
        <v>4200</v>
      </c>
      <c r="BX118" s="100" t="n">
        <f aca="false">BX116+BX117</f>
        <v>4200</v>
      </c>
      <c r="BY118" s="100" t="n">
        <f aca="false">BY116+BY117</f>
        <v>4200</v>
      </c>
      <c r="BZ118" s="100" t="n">
        <f aca="false">BZ116+BZ117</f>
        <v>4200</v>
      </c>
      <c r="CA118" s="100" t="n">
        <f aca="false">CA116+CA117</f>
        <v>4200</v>
      </c>
      <c r="CB118" s="100" t="n">
        <f aca="false">CB116+CB117</f>
        <v>4200</v>
      </c>
      <c r="CC118" s="100" t="n">
        <f aca="false">CC116+CC117</f>
        <v>4200</v>
      </c>
      <c r="CD118" s="100" t="n">
        <f aca="false">CD116+CD117</f>
        <v>4200</v>
      </c>
      <c r="CE118" s="100" t="n">
        <f aca="false">CE116+CE117</f>
        <v>4200</v>
      </c>
      <c r="CF118" s="100" t="n">
        <f aca="false">CF116+CF117</f>
        <v>4200</v>
      </c>
      <c r="CG118" s="100" t="n">
        <f aca="false">CG116+CG117</f>
        <v>4200</v>
      </c>
      <c r="CH118" s="100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9" t="s">
        <v>588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</row>
    <row r="121" customFormat="false" ht="12.75" hidden="false" customHeight="true" outlineLevel="0" collapsed="false">
      <c r="A121" s="22" t="s">
        <v>589</v>
      </c>
      <c r="B121" s="111" t="n">
        <f aca="false">-Hipótesis!$D$93</f>
        <v>-100000</v>
      </c>
      <c r="C121" s="111" t="n">
        <f aca="false">C93+IF(Hipótesis!$D$94=5,IF(C$3=Hipótesis!$D$124,$C$158,0),IF(C$3=84,$C$134,0))</f>
        <v>0</v>
      </c>
      <c r="D121" s="111" t="n">
        <f aca="false">D93+IF(Hipótesis!$D$94=5,IF(D$3=Hipótesis!$D$124,$C$158,0),IF(D$3=84,$C$134,0))</f>
        <v>0</v>
      </c>
      <c r="E121" s="111" t="n">
        <f aca="false">E93+IF(Hipótesis!$D$94=5,IF(E$3=Hipótesis!$D$124,$C$158,0),IF(E$3=84,$C$134,0))</f>
        <v>0</v>
      </c>
      <c r="F121" s="111" t="n">
        <f aca="false">F93+IF(Hipótesis!$D$94=5,IF(F$3=Hipótesis!$D$124,$C$158,0),IF(F$3=84,$C$134,0))</f>
        <v>0</v>
      </c>
      <c r="G121" s="111" t="n">
        <f aca="false">G93+IF(Hipótesis!$D$94=5,IF(G$3=Hipótesis!$D$124,$C$158,0),IF(G$3=84,$C$134,0))</f>
        <v>0</v>
      </c>
      <c r="H121" s="111" t="n">
        <f aca="false">H93+IF(Hipótesis!$D$94=5,IF(H$3=Hipótesis!$D$124,$C$158,0),IF(H$3=84,$C$134,0))</f>
        <v>0</v>
      </c>
      <c r="I121" s="111" t="n">
        <f aca="false">I93+IF(Hipótesis!$D$94=5,IF(I$3=Hipótesis!$D$124,$C$158,0),IF(I$3=84,$C$134,0))</f>
        <v>0</v>
      </c>
      <c r="J121" s="111" t="n">
        <f aca="false">J93+IF(Hipótesis!$D$94=5,IF(J$3=Hipótesis!$D$124,$C$158,0),IF(J$3=84,$C$134,0))</f>
        <v>0</v>
      </c>
      <c r="K121" s="111" t="n">
        <f aca="false">K93+IF(Hipótesis!$D$94=5,IF(K$3=Hipótesis!$D$124,$C$158,0),IF(K$3=84,$C$134,0))</f>
        <v>0</v>
      </c>
      <c r="L121" s="111" t="n">
        <f aca="false">L93+IF(Hipótesis!$D$94=5,IF(L$3=Hipótesis!$D$124,$C$158,0),IF(L$3=84,$C$134,0))</f>
        <v>0</v>
      </c>
      <c r="M121" s="111" t="n">
        <f aca="false">M93+IF(Hipótesis!$D$94=5,IF(M$3=Hipótesis!$D$124,$C$158,0),IF(M$3=84,$C$134,0))</f>
        <v>0</v>
      </c>
      <c r="N121" s="111" t="n">
        <f aca="false">N93+IF(Hipótesis!$D$94=5,IF(N$3=Hipótesis!$D$124,$C$158,0),IF(N$3=84,$C$134,0))</f>
        <v>0</v>
      </c>
      <c r="O121" s="111" t="n">
        <f aca="false">O93+IF(Hipótesis!$D$94=5,IF(O$3=Hipótesis!$D$124,$C$158,0),IF(O$3=84,$C$134,0))</f>
        <v>0</v>
      </c>
      <c r="P121" s="111" t="n">
        <f aca="false">P93+IF(Hipótesis!$D$94=5,IF(P$3=Hipótesis!$D$124,$C$158,0),IF(P$3=84,$C$134,0))</f>
        <v>0</v>
      </c>
      <c r="Q121" s="111" t="n">
        <f aca="false">Q93+IF(Hipótesis!$D$94=5,IF(Q$3=Hipótesis!$D$124,$C$158,0),IF(Q$3=84,$C$134,0))</f>
        <v>0</v>
      </c>
      <c r="R121" s="111" t="n">
        <f aca="false">R93+IF(Hipótesis!$D$94=5,IF(R$3=Hipótesis!$D$124,$C$158,0),IF(R$3=84,$C$134,0))</f>
        <v>0</v>
      </c>
      <c r="S121" s="111" t="n">
        <f aca="false">S93+IF(Hipótesis!$D$94=5,IF(S$3=Hipótesis!$D$124,$C$158,0),IF(S$3=84,$C$134,0))</f>
        <v>0</v>
      </c>
      <c r="T121" s="111" t="n">
        <f aca="false">T93+IF(Hipótesis!$D$94=5,IF(T$3=Hipótesis!$D$124,$C$158,0),IF(T$3=84,$C$134,0))</f>
        <v>0</v>
      </c>
      <c r="U121" s="111" t="n">
        <f aca="false">U93+IF(Hipótesis!$D$94=5,IF(U$3=Hipótesis!$D$124,$C$158,0),IF(U$3=84,$C$134,0))</f>
        <v>0</v>
      </c>
      <c r="V121" s="111" t="n">
        <f aca="false">V93+IF(Hipótesis!$D$94=5,IF(V$3=Hipótesis!$D$124,$C$158,0),IF(V$3=84,$C$134,0))</f>
        <v>0</v>
      </c>
      <c r="W121" s="111" t="n">
        <f aca="false">W93+IF(Hipótesis!$D$94=5,IF(W$3=Hipótesis!$D$124,$C$158,0),IF(W$3=84,$C$134,0))</f>
        <v>0</v>
      </c>
      <c r="X121" s="111" t="n">
        <f aca="false">X93+IF(Hipótesis!$D$94=5,IF(X$3=Hipótesis!$D$124,$C$158,0),IF(X$3=84,$C$134,0))</f>
        <v>0</v>
      </c>
      <c r="Y121" s="111" t="n">
        <f aca="false">Y93+IF(Hipótesis!$D$94=5,IF(Y$3=Hipótesis!$D$124,$C$158,0),IF(Y$3=84,$C$134,0))</f>
        <v>0</v>
      </c>
      <c r="Z121" s="111" t="n">
        <f aca="false">Z93+IF(Hipótesis!$D$94=5,IF(Z$3=Hipótesis!$D$124,$C$158,0),IF(Z$3=84,$C$134,0))</f>
        <v>0</v>
      </c>
      <c r="AA121" s="111" t="n">
        <f aca="false">AA93+IF(Hipótesis!$D$94=5,IF(AA$3=Hipótesis!$D$124,$C$158,0),IF(AA$3=84,$C$134,0))</f>
        <v>0</v>
      </c>
      <c r="AB121" s="111" t="n">
        <f aca="false">AB93+IF(Hipótesis!$D$94=5,IF(AB$3=Hipótesis!$D$124,$C$158,0),IF(AB$3=84,$C$134,0))</f>
        <v>0</v>
      </c>
      <c r="AC121" s="111" t="n">
        <f aca="false">AC93+IF(Hipótesis!$D$94=5,IF(AC$3=Hipótesis!$D$124,$C$158,0),IF(AC$3=84,$C$134,0))</f>
        <v>0</v>
      </c>
      <c r="AD121" s="111" t="n">
        <f aca="false">AD93+IF(Hipótesis!$D$94=5,IF(AD$3=Hipótesis!$D$124,$C$158,0),IF(AD$3=84,$C$134,0))</f>
        <v>0</v>
      </c>
      <c r="AE121" s="111" t="n">
        <f aca="false">AE93+IF(Hipótesis!$D$94=5,IF(AE$3=Hipótesis!$D$124,$C$158,0),IF(AE$3=84,$C$134,0))</f>
        <v>0</v>
      </c>
      <c r="AF121" s="111" t="n">
        <f aca="false">AF93+IF(Hipótesis!$D$94=5,IF(AF$3=Hipótesis!$D$124,$C$158,0),IF(AF$3=84,$C$134,0))</f>
        <v>0</v>
      </c>
      <c r="AG121" s="111" t="n">
        <f aca="false">AG93+IF(Hipótesis!$D$94=5,IF(AG$3=Hipótesis!$D$124,$C$158,0),IF(AG$3=84,$C$134,0))</f>
        <v>0</v>
      </c>
      <c r="AH121" s="111" t="n">
        <f aca="false">AH93+IF(Hipótesis!$D$94=5,IF(AH$3=Hipótesis!$D$124,$C$158,0),IF(AH$3=84,$C$134,0))</f>
        <v>0</v>
      </c>
      <c r="AI121" s="111" t="n">
        <f aca="false">AI93+IF(Hipótesis!$D$94=5,IF(AI$3=Hipótesis!$D$124,$C$158,0),IF(AI$3=84,$C$134,0))</f>
        <v>0</v>
      </c>
      <c r="AJ121" s="111" t="n">
        <f aca="false">AJ93+IF(Hipótesis!$D$94=5,IF(AJ$3=Hipótesis!$D$124,$C$158,0),IF(AJ$3=84,$C$134,0))</f>
        <v>0</v>
      </c>
      <c r="AK121" s="111" t="n">
        <f aca="false">AK93+IF(Hipótesis!$D$94=5,IF(AK$3=Hipótesis!$D$124,$C$158,0),IF(AK$3=84,$C$134,0))</f>
        <v>0</v>
      </c>
      <c r="AL121" s="111" t="n">
        <f aca="false">AL93+IF(Hipótesis!$D$94=5,IF(AL$3=Hipótesis!$D$124,$C$158,0),IF(AL$3=84,$C$134,0))</f>
        <v>0</v>
      </c>
      <c r="AM121" s="111" t="n">
        <f aca="false">AM93+IF(Hipótesis!$D$94=5,IF(AM$3=Hipótesis!$D$124,$C$158,0),IF(AM$3=84,$C$134,0))</f>
        <v>0</v>
      </c>
      <c r="AN121" s="111" t="n">
        <f aca="false">AN93+IF(Hipótesis!$D$94=5,IF(AN$3=Hipótesis!$D$124,$C$158,0),IF(AN$3=84,$C$134,0))</f>
        <v>0</v>
      </c>
      <c r="AO121" s="111" t="n">
        <f aca="false">AO93+IF(Hipótesis!$D$94=5,IF(AO$3=Hipótesis!$D$124,$C$158,0),IF(AO$3=84,$C$134,0))</f>
        <v>0</v>
      </c>
      <c r="AP121" s="111" t="n">
        <f aca="false">AP93+IF(Hipótesis!$D$94=5,IF(AP$3=Hipótesis!$D$124,$C$158,0),IF(AP$3=84,$C$134,0))</f>
        <v>0</v>
      </c>
      <c r="AQ121" s="111" t="n">
        <f aca="false">AQ93+IF(Hipótesis!$D$94=5,IF(AQ$3=Hipótesis!$D$124,$C$158,0),IF(AQ$3=84,$C$134,0))</f>
        <v>0</v>
      </c>
      <c r="AR121" s="111" t="n">
        <f aca="false">AR93+IF(Hipótesis!$D$94=5,IF(AR$3=Hipótesis!$D$124,$C$158,0),IF(AR$3=84,$C$134,0))</f>
        <v>0</v>
      </c>
      <c r="AS121" s="111" t="n">
        <f aca="false">AS93+IF(Hipótesis!$D$94=5,IF(AS$3=Hipótesis!$D$124,$C$158,0),IF(AS$3=84,$C$134,0))</f>
        <v>0</v>
      </c>
      <c r="AT121" s="111" t="n">
        <f aca="false">AT93+IF(Hipótesis!$D$94=5,IF(AT$3=Hipótesis!$D$124,$C$158,0),IF(AT$3=84,$C$134,0))</f>
        <v>0</v>
      </c>
      <c r="AU121" s="111" t="n">
        <f aca="false">AU93+IF(Hipótesis!$D$94=5,IF(AU$3=Hipótesis!$D$124,$C$158,0),IF(AU$3=84,$C$134,0))</f>
        <v>0</v>
      </c>
      <c r="AV121" s="111" t="n">
        <f aca="false">AV93+IF(Hipótesis!$D$94=5,IF(AV$3=Hipótesis!$D$124,$C$158,0),IF(AV$3=84,$C$134,0))</f>
        <v>0</v>
      </c>
      <c r="AW121" s="111" t="n">
        <f aca="false">AW93+IF(Hipótesis!$D$94=5,IF(AW$3=Hipótesis!$D$124,$C$158,0),IF(AW$3=84,$C$134,0))</f>
        <v>0</v>
      </c>
      <c r="AX121" s="111" t="n">
        <f aca="false">AX93+IF(Hipótesis!$D$94=5,IF(AX$3=Hipótesis!$D$124,$C$158,0),IF(AX$3=84,$C$134,0))</f>
        <v>150000</v>
      </c>
      <c r="AY121" s="111" t="n">
        <f aca="false">AY93+IF(Hipótesis!$D$94=5,IF(AY$3=Hipótesis!$D$124,$C$158,0),IF(AY$3=84,$C$134,0))</f>
        <v>0</v>
      </c>
      <c r="AZ121" s="111" t="n">
        <f aca="false">AZ93+IF(Hipótesis!$D$94=5,IF(AZ$3=Hipótesis!$D$124,$C$158,0),IF(AZ$3=84,$C$134,0))</f>
        <v>0</v>
      </c>
      <c r="BA121" s="111" t="n">
        <f aca="false">BA93+IF(Hipótesis!$D$94=5,IF(BA$3=Hipótesis!$D$124,$C$158,0),IF(BA$3=84,$C$134,0))</f>
        <v>0</v>
      </c>
      <c r="BB121" s="111" t="n">
        <f aca="false">BB93+IF(Hipótesis!$D$94=5,IF(BB$3=Hipótesis!$D$124,$C$158,0),IF(BB$3=84,$C$134,0))</f>
        <v>0</v>
      </c>
      <c r="BC121" s="111" t="n">
        <f aca="false">BC93+IF(Hipótesis!$D$94=5,IF(BC$3=Hipótesis!$D$124,$C$158,0),IF(BC$3=84,$C$134,0))</f>
        <v>0</v>
      </c>
      <c r="BD121" s="111" t="n">
        <f aca="false">BD93+IF(Hipótesis!$D$94=5,IF(BD$3=Hipótesis!$D$124,$C$158,0),IF(BD$3=84,$C$134,0))</f>
        <v>0</v>
      </c>
      <c r="BE121" s="111" t="n">
        <f aca="false">BE93+IF(Hipótesis!$D$94=5,IF(BE$3=Hipótesis!$D$124,$C$158,0),IF(BE$3=84,$C$134,0))</f>
        <v>0</v>
      </c>
      <c r="BF121" s="111" t="n">
        <f aca="false">BF93+IF(Hipótesis!$D$94=5,IF(BF$3=Hipótesis!$D$124,$C$158,0),IF(BF$3=84,$C$134,0))</f>
        <v>0</v>
      </c>
      <c r="BG121" s="111" t="n">
        <f aca="false">BG93+IF(Hipótesis!$D$94=5,IF(BG$3=Hipótesis!$D$124,$C$158,0),IF(BG$3=84,$C$134,0))</f>
        <v>0</v>
      </c>
      <c r="BH121" s="111" t="n">
        <f aca="false">BH93+IF(Hipótesis!$D$94=5,IF(BH$3=Hipótesis!$D$124,$C$158,0),IF(BH$3=84,$C$134,0))</f>
        <v>0</v>
      </c>
      <c r="BI121" s="111" t="n">
        <f aca="false">BI93+IF(Hipótesis!$D$94=5,IF(BI$3=Hipótesis!$D$124,$C$158,0),IF(BI$3=84,$C$134,0))</f>
        <v>0</v>
      </c>
      <c r="BJ121" s="111" t="n">
        <f aca="false">BJ93+IF(Hipótesis!$D$94=5,IF(BJ$3=Hipótesis!$D$124,$C$158,0),IF(BJ$3=84,$C$134,0))</f>
        <v>0</v>
      </c>
      <c r="BK121" s="111" t="n">
        <f aca="false">BK93+IF(Hipótesis!$D$94=5,IF(BK$3=Hipótesis!$D$124,$C$158,0),IF(BK$3=84,$C$134,0))</f>
        <v>0</v>
      </c>
      <c r="BL121" s="111" t="n">
        <f aca="false">BL93+IF(Hipótesis!$D$94=5,IF(BL$3=Hipótesis!$D$124,$C$158,0),IF(BL$3=84,$C$134,0))</f>
        <v>0</v>
      </c>
      <c r="BM121" s="111" t="n">
        <f aca="false">BM93+IF(Hipótesis!$D$94=5,IF(BM$3=Hipótesis!$D$124,$C$158,0),IF(BM$3=84,$C$134,0))</f>
        <v>0</v>
      </c>
      <c r="BN121" s="111" t="n">
        <f aca="false">BN93+IF(Hipótesis!$D$94=5,IF(BN$3=Hipótesis!$D$124,$C$158,0),IF(BN$3=84,$C$134,0))</f>
        <v>0</v>
      </c>
      <c r="BO121" s="111" t="n">
        <f aca="false">BO93+IF(Hipótesis!$D$94=5,IF(BO$3=Hipótesis!$D$124,$C$158,0),IF(BO$3=84,$C$134,0))</f>
        <v>0</v>
      </c>
      <c r="BP121" s="111" t="n">
        <f aca="false">BP93+IF(Hipótesis!$D$94=5,IF(BP$3=Hipótesis!$D$124,$C$158,0),IF(BP$3=84,$C$134,0))</f>
        <v>0</v>
      </c>
      <c r="BQ121" s="111" t="n">
        <f aca="false">BQ93+IF(Hipótesis!$D$94=5,IF(BQ$3=Hipótesis!$D$124,$C$158,0),IF(BQ$3=84,$C$134,0))</f>
        <v>0</v>
      </c>
      <c r="BR121" s="111" t="n">
        <f aca="false">BR93+IF(Hipótesis!$D$94=5,IF(BR$3=Hipótesis!$D$124,$C$158,0),IF(BR$3=84,$C$134,0))</f>
        <v>0</v>
      </c>
      <c r="BS121" s="111" t="n">
        <f aca="false">BS93+IF(Hipótesis!$D$94=5,IF(BS$3=Hipótesis!$D$124,$C$158,0),IF(BS$3=84,$C$134,0))</f>
        <v>0</v>
      </c>
      <c r="BT121" s="111" t="n">
        <f aca="false">BT93+IF(Hipótesis!$D$94=5,IF(BT$3=Hipótesis!$D$124,$C$158,0),IF(BT$3=84,$C$134,0))</f>
        <v>0</v>
      </c>
      <c r="BU121" s="111" t="n">
        <f aca="false">BU93+IF(Hipótesis!$D$94=5,IF(BU$3=Hipótesis!$D$124,$C$158,0),IF(BU$3=84,$C$134,0))</f>
        <v>0</v>
      </c>
      <c r="BV121" s="111" t="n">
        <f aca="false">BV93+IF(Hipótesis!$D$94=5,IF(BV$3=Hipótesis!$D$124,$C$158,0),IF(BV$3=84,$C$134,0))</f>
        <v>0</v>
      </c>
      <c r="BW121" s="111" t="n">
        <f aca="false">BW93+IF(Hipótesis!$D$94=5,IF(BW$3=Hipótesis!$D$124,$C$158,0),IF(BW$3=84,$C$134,0))</f>
        <v>0</v>
      </c>
      <c r="BX121" s="111" t="n">
        <f aca="false">BX93+IF(Hipótesis!$D$94=5,IF(BX$3=Hipótesis!$D$124,$C$158,0),IF(BX$3=84,$C$134,0))</f>
        <v>0</v>
      </c>
      <c r="BY121" s="111" t="n">
        <f aca="false">BY93+IF(Hipótesis!$D$94=5,IF(BY$3=Hipótesis!$D$124,$C$158,0),IF(BY$3=84,$C$134,0))</f>
        <v>0</v>
      </c>
      <c r="BZ121" s="111" t="n">
        <f aca="false">BZ93+IF(Hipótesis!$D$94=5,IF(BZ$3=Hipótesis!$D$124,$C$158,0),IF(BZ$3=84,$C$134,0))</f>
        <v>0</v>
      </c>
      <c r="CA121" s="111" t="n">
        <f aca="false">CA93+IF(Hipótesis!$D$94=5,IF(CA$3=Hipótesis!$D$124,$C$158,0),IF(CA$3=84,$C$134,0))</f>
        <v>0</v>
      </c>
      <c r="CB121" s="111" t="n">
        <f aca="false">CB93+IF(Hipótesis!$D$94=5,IF(CB$3=Hipótesis!$D$124,$C$158,0),IF(CB$3=84,$C$134,0))</f>
        <v>0</v>
      </c>
      <c r="CC121" s="111" t="n">
        <f aca="false">CC93+IF(Hipótesis!$D$94=5,IF(CC$3=Hipótesis!$D$124,$C$158,0),IF(CC$3=84,$C$134,0))</f>
        <v>0</v>
      </c>
      <c r="CD121" s="111" t="n">
        <f aca="false">CD93+IF(Hipótesis!$D$94=5,IF(CD$3=Hipótesis!$D$124,$C$158,0),IF(CD$3=84,$C$134,0))</f>
        <v>0</v>
      </c>
      <c r="CE121" s="111" t="n">
        <f aca="false">CE93+IF(Hipótesis!$D$94=5,IF(CE$3=Hipótesis!$D$124,$C$158,0),IF(CE$3=84,$C$134,0))</f>
        <v>0</v>
      </c>
      <c r="CF121" s="111" t="n">
        <f aca="false">CF93+IF(Hipótesis!$D$94=5,IF(CF$3=Hipótesis!$D$124,$C$158,0),IF(CF$3=84,$C$134,0))</f>
        <v>0</v>
      </c>
      <c r="CG121" s="111" t="n">
        <f aca="false">CG93+IF(Hipótesis!$D$94=5,IF(CG$3=Hipótesis!$D$124,$C$158,0),IF(CG$3=84,$C$134,0))</f>
        <v>0</v>
      </c>
      <c r="CH121" s="111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6" t="s">
        <v>590</v>
      </c>
      <c r="B122" s="100" t="n">
        <f aca="false">Hipótesis!$D$122</f>
        <v>200000</v>
      </c>
      <c r="C122" s="100" t="n">
        <f aca="false">-C106-IF(Hipótesis!$D$94=5,IF(C$3=Hipótesis!$D$124,$C$158,0),IF(C$3=84,$C$134,0))</f>
        <v>-333.333333333333</v>
      </c>
      <c r="D122" s="100" t="n">
        <f aca="false">-D106-IF(Hipótesis!$D$94=5,IF(D$3=Hipótesis!$D$124,$C$158,0),IF(D$3=84,$C$134,0))</f>
        <v>-333.333333333333</v>
      </c>
      <c r="E122" s="100" t="n">
        <f aca="false">-E106-IF(Hipótesis!$D$94=5,IF(E$3=Hipótesis!$D$124,$C$158,0),IF(E$3=84,$C$134,0))</f>
        <v>-333.333333333333</v>
      </c>
      <c r="F122" s="100" t="n">
        <f aca="false">-F106-IF(Hipótesis!$D$94=5,IF(F$3=Hipótesis!$D$124,$C$158,0),IF(F$3=84,$C$134,0))</f>
        <v>-333.333333333333</v>
      </c>
      <c r="G122" s="100" t="n">
        <f aca="false">-G106-IF(Hipótesis!$D$94=5,IF(G$3=Hipótesis!$D$124,$C$158,0),IF(G$3=84,$C$134,0))</f>
        <v>-333.333333333333</v>
      </c>
      <c r="H122" s="100" t="n">
        <f aca="false">-H106-IF(Hipótesis!$D$94=5,IF(H$3=Hipótesis!$D$124,$C$158,0),IF(H$3=84,$C$134,0))</f>
        <v>-333.333333333333</v>
      </c>
      <c r="I122" s="100" t="n">
        <f aca="false">-I106-IF(Hipótesis!$D$94=5,IF(I$3=Hipótesis!$D$124,$C$158,0),IF(I$3=84,$C$134,0))</f>
        <v>-333.333333333333</v>
      </c>
      <c r="J122" s="100" t="n">
        <f aca="false">-J106-IF(Hipótesis!$D$94=5,IF(J$3=Hipótesis!$D$124,$C$158,0),IF(J$3=84,$C$134,0))</f>
        <v>-333.333333333333</v>
      </c>
      <c r="K122" s="100" t="n">
        <f aca="false">-K106-IF(Hipótesis!$D$94=5,IF(K$3=Hipótesis!$D$124,$C$158,0),IF(K$3=84,$C$134,0))</f>
        <v>-333.333333333333</v>
      </c>
      <c r="L122" s="100" t="n">
        <f aca="false">-L106-IF(Hipótesis!$D$94=5,IF(L$3=Hipótesis!$D$124,$C$158,0),IF(L$3=84,$C$134,0))</f>
        <v>-333.333333333333</v>
      </c>
      <c r="M122" s="100" t="n">
        <f aca="false">-M106-IF(Hipótesis!$D$94=5,IF(M$3=Hipótesis!$D$124,$C$158,0),IF(M$3=84,$C$134,0))</f>
        <v>-333.333333333333</v>
      </c>
      <c r="N122" s="100" t="n">
        <f aca="false">-N106-IF(Hipótesis!$D$94=5,IF(N$3=Hipótesis!$D$124,$C$158,0),IF(N$3=84,$C$134,0))</f>
        <v>-343.940172297105</v>
      </c>
      <c r="O122" s="100" t="n">
        <f aca="false">-O106-IF(Hipótesis!$D$94=5,IF(O$3=Hipótesis!$D$124,$C$158,0),IF(O$3=84,$C$134,0))</f>
        <v>-333.333333333333</v>
      </c>
      <c r="P122" s="100" t="n">
        <f aca="false">-P106-IF(Hipótesis!$D$94=5,IF(P$3=Hipótesis!$D$124,$C$158,0),IF(P$3=84,$C$134,0))</f>
        <v>-333.333333333333</v>
      </c>
      <c r="Q122" s="100" t="n">
        <f aca="false">-Q106-IF(Hipótesis!$D$94=5,IF(Q$3=Hipótesis!$D$124,$C$158,0),IF(Q$3=84,$C$134,0))</f>
        <v>-333.333333333333</v>
      </c>
      <c r="R122" s="100" t="n">
        <f aca="false">-R106-IF(Hipótesis!$D$94=5,IF(R$3=Hipótesis!$D$124,$C$158,0),IF(R$3=84,$C$134,0))</f>
        <v>-334.554213434584</v>
      </c>
      <c r="S122" s="100" t="n">
        <f aca="false">-S106-IF(Hipótesis!$D$94=5,IF(S$3=Hipótesis!$D$124,$C$158,0),IF(S$3=84,$C$134,0))</f>
        <v>-369.10551218216</v>
      </c>
      <c r="T122" s="100" t="n">
        <f aca="false">-T106-IF(Hipótesis!$D$94=5,IF(T$3=Hipótesis!$D$124,$C$158,0),IF(T$3=84,$C$134,0))</f>
        <v>-357.430410929735</v>
      </c>
      <c r="U122" s="100" t="n">
        <f aca="false">-U106-IF(Hipótesis!$D$94=5,IF(U$3=Hipótesis!$D$124,$C$158,0),IF(U$3=84,$C$134,0))</f>
        <v>-391.981709677311</v>
      </c>
      <c r="V122" s="100" t="n">
        <f aca="false">-V106-IF(Hipótesis!$D$94=5,IF(V$3=Hipótesis!$D$124,$C$158,0),IF(V$3=84,$C$134,0))</f>
        <v>-372.149008424886</v>
      </c>
      <c r="W122" s="100" t="n">
        <f aca="false">-W106-IF(Hipótesis!$D$94=5,IF(W$3=Hipótesis!$D$124,$C$158,0),IF(W$3=84,$C$134,0))</f>
        <v>-406.700307172461</v>
      </c>
      <c r="X122" s="100" t="n">
        <f aca="false">-X106-IF(Hipótesis!$D$94=5,IF(X$3=Hipótesis!$D$124,$C$158,0),IF(X$3=84,$C$134,0))</f>
        <v>-383.726501929853</v>
      </c>
      <c r="Y122" s="100" t="n">
        <f aca="false">-Y106-IF(Hipótesis!$D$94=5,IF(Y$3=Hipótesis!$D$124,$C$158,0),IF(Y$3=84,$C$134,0))</f>
        <v>-406.979096687246</v>
      </c>
      <c r="Z122" s="100" t="n">
        <f aca="false">-Z106-IF(Hipótesis!$D$94=5,IF(Z$3=Hipótesis!$D$124,$C$158,0),IF(Z$3=84,$C$134,0))</f>
        <v>-426.182009848565</v>
      </c>
      <c r="AA122" s="100" t="n">
        <f aca="false">-AA106-IF(Hipótesis!$D$94=5,IF(AA$3=Hipótesis!$D$124,$C$158,0),IF(AA$3=84,$C$134,0))</f>
        <v>-2063.64138167655</v>
      </c>
      <c r="AB122" s="100" t="n">
        <f aca="false">-AB106-IF(Hipótesis!$D$94=5,IF(AB$3=Hipótesis!$D$124,$C$158,0),IF(AB$3=84,$C$134,0))</f>
        <v>-2077.28873928231</v>
      </c>
      <c r="AC122" s="100" t="n">
        <f aca="false">-AC106-IF(Hipótesis!$D$94=5,IF(AC$3=Hipótesis!$D$124,$C$158,0),IF(AC$3=84,$C$134,0))</f>
        <v>-2090.93609688808</v>
      </c>
      <c r="AD122" s="100" t="n">
        <f aca="false">-AD106-IF(Hipótesis!$D$94=5,IF(AD$3=Hipótesis!$D$124,$C$158,0),IF(AD$3=84,$C$134,0))</f>
        <v>-2104.58345449384</v>
      </c>
      <c r="AE122" s="100" t="n">
        <f aca="false">-AE106-IF(Hipótesis!$D$94=5,IF(AE$3=Hipótesis!$D$124,$C$158,0),IF(AE$3=84,$C$134,0))</f>
        <v>-2070.6176200996</v>
      </c>
      <c r="AF122" s="100" t="n">
        <f aca="false">-AF106-IF(Hipótesis!$D$94=5,IF(AF$3=Hipótesis!$D$124,$C$158,0),IF(AF$3=84,$C$134,0))</f>
        <v>-2084.26497770537</v>
      </c>
      <c r="AG122" s="100" t="n">
        <f aca="false">-AG106-IF(Hipótesis!$D$94=5,IF(AG$3=Hipótesis!$D$124,$C$158,0),IF(AG$3=84,$C$134,0))</f>
        <v>-2097.91233531113</v>
      </c>
      <c r="AH122" s="100" t="n">
        <f aca="false">-AH106-IF(Hipótesis!$D$94=5,IF(AH$3=Hipótesis!$D$124,$C$158,0),IF(AH$3=84,$C$134,0))</f>
        <v>-2111.55969291689</v>
      </c>
      <c r="AI122" s="100" t="n">
        <f aca="false">-AI106-IF(Hipótesis!$D$94=5,IF(AI$3=Hipótesis!$D$124,$C$158,0),IF(AI$3=84,$C$134,0))</f>
        <v>-2125.20705052266</v>
      </c>
      <c r="AJ122" s="100" t="n">
        <f aca="false">-AJ106-IF(Hipótesis!$D$94=5,IF(AJ$3=Hipótesis!$D$124,$C$158,0),IF(AJ$3=84,$C$134,0))</f>
        <v>-2138.85440812842</v>
      </c>
      <c r="AK122" s="100" t="n">
        <f aca="false">-AK106-IF(Hipótesis!$D$94=5,IF(AK$3=Hipótesis!$D$124,$C$158,0),IF(AK$3=84,$C$134,0))</f>
        <v>-2152.50176573418</v>
      </c>
      <c r="AL122" s="100" t="n">
        <f aca="false">-AL106-IF(Hipótesis!$D$94=5,IF(AL$3=Hipótesis!$D$124,$C$158,0),IF(AL$3=84,$C$134,0))</f>
        <v>-2166.14912333995</v>
      </c>
      <c r="AM122" s="100" t="n">
        <f aca="false">-AM106-IF(Hipótesis!$D$94=5,IF(AM$3=Hipótesis!$D$124,$C$158,0),IF(AM$3=84,$C$134,0))</f>
        <v>-2080.65198318571</v>
      </c>
      <c r="AN122" s="100" t="n">
        <f aca="false">-AN106-IF(Hipótesis!$D$94=5,IF(AN$3=Hipótesis!$D$124,$C$158,0),IF(AN$3=84,$C$134,0))</f>
        <v>-2094.29934079147</v>
      </c>
      <c r="AO122" s="100" t="n">
        <f aca="false">-AO106-IF(Hipótesis!$D$94=5,IF(AO$3=Hipótesis!$D$124,$C$158,0),IF(AO$3=84,$C$134,0))</f>
        <v>-2107.94669839724</v>
      </c>
      <c r="AP122" s="100" t="n">
        <f aca="false">-AP106-IF(Hipótesis!$D$94=5,IF(AP$3=Hipótesis!$D$124,$C$158,0),IF(AP$3=84,$C$134,0))</f>
        <v>-2121.594056003</v>
      </c>
      <c r="AQ122" s="100" t="n">
        <f aca="false">-AQ106-IF(Hipótesis!$D$94=5,IF(AQ$3=Hipótesis!$D$124,$C$158,0),IF(AQ$3=84,$C$134,0))</f>
        <v>-2135.24141360877</v>
      </c>
      <c r="AR122" s="100" t="n">
        <f aca="false">-AR106-IF(Hipótesis!$D$94=5,IF(AR$3=Hipótesis!$D$124,$C$158,0),IF(AR$3=84,$C$134,0))</f>
        <v>-2148.88877121453</v>
      </c>
      <c r="AS122" s="100" t="n">
        <f aca="false">-AS106-IF(Hipótesis!$D$94=5,IF(AS$3=Hipótesis!$D$124,$C$158,0),IF(AS$3=84,$C$134,0))</f>
        <v>-2143.33321565897</v>
      </c>
      <c r="AT122" s="100" t="n">
        <f aca="false">-AT106-IF(Hipótesis!$D$94=5,IF(AT$3=Hipótesis!$D$124,$C$158,0),IF(AT$3=84,$C$134,0))</f>
        <v>-2137.77766010342</v>
      </c>
      <c r="AU122" s="100" t="n">
        <f aca="false">-AU106-IF(Hipótesis!$D$94=5,IF(AU$3=Hipótesis!$D$124,$C$158,0),IF(AU$3=84,$C$134,0))</f>
        <v>-2132.22210454786</v>
      </c>
      <c r="AV122" s="100" t="n">
        <f aca="false">-AV106-IF(Hipótesis!$D$94=5,IF(AV$3=Hipótesis!$D$124,$C$158,0),IF(AV$3=84,$C$134,0))</f>
        <v>-2126.66654899231</v>
      </c>
      <c r="AW122" s="100" t="n">
        <f aca="false">-AW106-IF(Hipótesis!$D$94=5,IF(AW$3=Hipótesis!$D$124,$C$158,0),IF(AW$3=84,$C$134,0))</f>
        <v>-2121.11099343675</v>
      </c>
      <c r="AX122" s="100" t="n">
        <f aca="false">-AX106-IF(Hipótesis!$D$94=5,IF(AX$3=Hipótesis!$D$124,$C$158,0),IF(AX$3=84,$C$134,0))</f>
        <v>-152115.555437881</v>
      </c>
      <c r="AY122" s="100" t="n">
        <f aca="false">-AY106-IF(Hipótesis!$D$94=5,IF(AY$3=Hipótesis!$D$124,$C$158,0),IF(AY$3=84,$C$134,0))</f>
        <v>-2058.11063739284</v>
      </c>
      <c r="AZ122" s="100" t="n">
        <f aca="false">-AZ106-IF(Hipótesis!$D$94=5,IF(AZ$3=Hipótesis!$D$124,$C$158,0),IF(AZ$3=84,$C$134,0))</f>
        <v>-2052.55508183728</v>
      </c>
      <c r="BA122" s="100" t="n">
        <f aca="false">-BA106-IF(Hipótesis!$D$94=5,IF(BA$3=Hipótesis!$D$124,$C$158,0),IF(BA$3=84,$C$134,0))</f>
        <v>-2046.99952628173</v>
      </c>
      <c r="BB122" s="100" t="n">
        <f aca="false">-BB106-IF(Hipótesis!$D$94=5,IF(BB$3=Hipótesis!$D$124,$C$158,0),IF(BB$3=84,$C$134,0))</f>
        <v>-2041.44397072617</v>
      </c>
      <c r="BC122" s="100" t="n">
        <f aca="false">-BC106-IF(Hipótesis!$D$94=5,IF(BC$3=Hipótesis!$D$124,$C$158,0),IF(BC$3=84,$C$134,0))</f>
        <v>-2035.88841517062</v>
      </c>
      <c r="BD122" s="100" t="n">
        <f aca="false">-BD106-IF(Hipótesis!$D$94=5,IF(BD$3=Hipótesis!$D$124,$C$158,0),IF(BD$3=84,$C$134,0))</f>
        <v>-2030.33285961506</v>
      </c>
      <c r="BE122" s="100" t="n">
        <f aca="false">-BE106-IF(Hipótesis!$D$94=5,IF(BE$3=Hipótesis!$D$124,$C$158,0),IF(BE$3=84,$C$134,0))</f>
        <v>-2024.77730405951</v>
      </c>
      <c r="BF122" s="100" t="n">
        <f aca="false">-BF106-IF(Hipótesis!$D$94=5,IF(BF$3=Hipótesis!$D$124,$C$158,0),IF(BF$3=84,$C$134,0))</f>
        <v>-2019.22174850395</v>
      </c>
      <c r="BG122" s="100" t="n">
        <f aca="false">-BG106-IF(Hipótesis!$D$94=5,IF(BG$3=Hipótesis!$D$124,$C$158,0),IF(BG$3=84,$C$134,0))</f>
        <v>-2013.6661929484</v>
      </c>
      <c r="BH122" s="100" t="n">
        <f aca="false">-BH106-IF(Hipótesis!$D$94=5,IF(BH$3=Hipótesis!$D$124,$C$158,0),IF(BH$3=84,$C$134,0))</f>
        <v>-2008.11063739284</v>
      </c>
      <c r="BI122" s="100" t="n">
        <f aca="false">-BI106-IF(Hipótesis!$D$94=5,IF(BI$3=Hipótesis!$D$124,$C$158,0),IF(BI$3=84,$C$134,0))</f>
        <v>-2002.55508183728</v>
      </c>
      <c r="BJ122" s="100" t="n">
        <f aca="false">-BJ106-IF(Hipótesis!$D$94=5,IF(BJ$3=Hipótesis!$D$124,$C$158,0),IF(BJ$3=84,$C$134,0))</f>
        <v>-1996.99952628173</v>
      </c>
      <c r="BK122" s="100" t="n">
        <f aca="false">-BK106-IF(Hipótesis!$D$94=5,IF(BK$3=Hipótesis!$D$124,$C$158,0),IF(BK$3=84,$C$134,0))</f>
        <v>-1939.18604844539</v>
      </c>
      <c r="BL122" s="100" t="n">
        <f aca="false">-BL106-IF(Hipótesis!$D$94=5,IF(BL$3=Hipótesis!$D$124,$C$158,0),IF(BL$3=84,$C$134,0))</f>
        <v>-1933.63049288983</v>
      </c>
      <c r="BM122" s="100" t="n">
        <f aca="false">-BM106-IF(Hipótesis!$D$94=5,IF(BM$3=Hipótesis!$D$124,$C$158,0),IF(BM$3=84,$C$134,0))</f>
        <v>-1928.07493733428</v>
      </c>
      <c r="BN122" s="100" t="n">
        <f aca="false">-BN106-IF(Hipótesis!$D$94=5,IF(BN$3=Hipótesis!$D$124,$C$158,0),IF(BN$3=84,$C$134,0))</f>
        <v>-1922.51938177872</v>
      </c>
      <c r="BO122" s="100" t="n">
        <f aca="false">-BO106-IF(Hipótesis!$D$94=5,IF(BO$3=Hipótesis!$D$124,$C$158,0),IF(BO$3=84,$C$134,0))</f>
        <v>-1916.96382622317</v>
      </c>
      <c r="BP122" s="100" t="n">
        <f aca="false">-BP106-IF(Hipótesis!$D$94=5,IF(BP$3=Hipótesis!$D$124,$C$158,0),IF(BP$3=84,$C$134,0))</f>
        <v>-1911.40827066761</v>
      </c>
      <c r="BQ122" s="100" t="n">
        <f aca="false">-BQ106-IF(Hipótesis!$D$94=5,IF(BQ$3=Hipótesis!$D$124,$C$158,0),IF(BQ$3=84,$C$134,0))</f>
        <v>-1905.85271511206</v>
      </c>
      <c r="BR122" s="100" t="n">
        <f aca="false">-BR106-IF(Hipótesis!$D$94=5,IF(BR$3=Hipótesis!$D$124,$C$158,0),IF(BR$3=84,$C$134,0))</f>
        <v>-1900.2971595565</v>
      </c>
      <c r="BS122" s="100" t="n">
        <f aca="false">-BS106-IF(Hipótesis!$D$94=5,IF(BS$3=Hipótesis!$D$124,$C$158,0),IF(BS$3=84,$C$134,0))</f>
        <v>-1894.74160400094</v>
      </c>
      <c r="BT122" s="100" t="n">
        <f aca="false">-BT106-IF(Hipótesis!$D$94=5,IF(BT$3=Hipótesis!$D$124,$C$158,0),IF(BT$3=84,$C$134,0))</f>
        <v>-1889.18604844539</v>
      </c>
      <c r="BU122" s="100" t="n">
        <f aca="false">-BU106-IF(Hipótesis!$D$94=5,IF(BU$3=Hipótesis!$D$124,$C$158,0),IF(BU$3=84,$C$134,0))</f>
        <v>-1883.63049288983</v>
      </c>
      <c r="BV122" s="100" t="n">
        <f aca="false">-BV106-IF(Hipótesis!$D$94=5,IF(BV$3=Hipótesis!$D$124,$C$158,0),IF(BV$3=84,$C$134,0))</f>
        <v>-1878.07493733428</v>
      </c>
      <c r="BW122" s="100" t="n">
        <f aca="false">-BW106-IF(Hipótesis!$D$94=5,IF(BW$3=Hipótesis!$D$124,$C$158,0),IF(BW$3=84,$C$134,0))</f>
        <v>-1819.88172182951</v>
      </c>
      <c r="BX122" s="100" t="n">
        <f aca="false">-BX106-IF(Hipótesis!$D$94=5,IF(BX$3=Hipótesis!$D$124,$C$158,0),IF(BX$3=84,$C$134,0))</f>
        <v>-1814.32616627396</v>
      </c>
      <c r="BY122" s="100" t="n">
        <f aca="false">-BY106-IF(Hipótesis!$D$94=5,IF(BY$3=Hipótesis!$D$124,$C$158,0),IF(BY$3=84,$C$134,0))</f>
        <v>-1808.7706107184</v>
      </c>
      <c r="BZ122" s="100" t="n">
        <f aca="false">-BZ106-IF(Hipótesis!$D$94=5,IF(BZ$3=Hipótesis!$D$124,$C$158,0),IF(BZ$3=84,$C$134,0))</f>
        <v>-1803.21505516285</v>
      </c>
      <c r="CA122" s="100" t="n">
        <f aca="false">-CA106-IF(Hipótesis!$D$94=5,IF(CA$3=Hipótesis!$D$124,$C$158,0),IF(CA$3=84,$C$134,0))</f>
        <v>-1797.65949960729</v>
      </c>
      <c r="CB122" s="100" t="n">
        <f aca="false">-CB106-IF(Hipótesis!$D$94=5,IF(CB$3=Hipótesis!$D$124,$C$158,0),IF(CB$3=84,$C$134,0))</f>
        <v>-1792.10394405174</v>
      </c>
      <c r="CC122" s="100" t="n">
        <f aca="false">-CC106-IF(Hipótesis!$D$94=5,IF(CC$3=Hipótesis!$D$124,$C$158,0),IF(CC$3=84,$C$134,0))</f>
        <v>-1786.54838849618</v>
      </c>
      <c r="CD122" s="100" t="n">
        <f aca="false">-CD106-IF(Hipótesis!$D$94=5,IF(CD$3=Hipótesis!$D$124,$C$158,0),IF(CD$3=84,$C$134,0))</f>
        <v>-1780.99283294063</v>
      </c>
      <c r="CE122" s="100" t="n">
        <f aca="false">-CE106-IF(Hipótesis!$D$94=5,IF(CE$3=Hipótesis!$D$124,$C$158,0),IF(CE$3=84,$C$134,0))</f>
        <v>-1775.43727738507</v>
      </c>
      <c r="CF122" s="100" t="n">
        <f aca="false">-CF106-IF(Hipótesis!$D$94=5,IF(CF$3=Hipótesis!$D$124,$C$158,0),IF(CF$3=84,$C$134,0))</f>
        <v>-1769.88172182951</v>
      </c>
      <c r="CG122" s="100" t="n">
        <f aca="false">-CG106-IF(Hipótesis!$D$94=5,IF(CG$3=Hipótesis!$D$124,$C$158,0),IF(CG$3=84,$C$134,0))</f>
        <v>-1764.32616627396</v>
      </c>
      <c r="CH122" s="100" t="n">
        <f aca="false">-CH106-IF(Hipótesis!$D$94=5,IF(CH$3=Hipótesis!$D$124,$C$158,0),IF(CH$3=84,$C$134,0))</f>
        <v>-1758.77061071835</v>
      </c>
    </row>
    <row r="123" customFormat="false" ht="12.75" hidden="false" customHeight="true" outlineLevel="0" collapsed="false">
      <c r="A123" s="6" t="s">
        <v>591</v>
      </c>
      <c r="B123" s="100" t="n">
        <f aca="false">-Hipótesis!$D$105</f>
        <v>-100000</v>
      </c>
      <c r="C123" s="100" t="n">
        <f aca="false">C99</f>
        <v>333.333333333333</v>
      </c>
      <c r="D123" s="100" t="n">
        <f aca="false">D99</f>
        <v>333.333333333333</v>
      </c>
      <c r="E123" s="100" t="n">
        <f aca="false">E99</f>
        <v>333.333333333333</v>
      </c>
      <c r="F123" s="100" t="n">
        <f aca="false">F99</f>
        <v>333.333333333333</v>
      </c>
      <c r="G123" s="100" t="n">
        <f aca="false">G99</f>
        <v>333.333333333333</v>
      </c>
      <c r="H123" s="100" t="n">
        <f aca="false">H99</f>
        <v>333.333333333333</v>
      </c>
      <c r="I123" s="100" t="n">
        <f aca="false">I99</f>
        <v>333.333333333333</v>
      </c>
      <c r="J123" s="100" t="n">
        <f aca="false">J99</f>
        <v>333.333333333333</v>
      </c>
      <c r="K123" s="100" t="n">
        <f aca="false">K99</f>
        <v>333.333333333333</v>
      </c>
      <c r="L123" s="100" t="n">
        <f aca="false">L99</f>
        <v>333.333333333333</v>
      </c>
      <c r="M123" s="100" t="n">
        <f aca="false">M99</f>
        <v>333.333333333333</v>
      </c>
      <c r="N123" s="100" t="n">
        <f aca="false">N99</f>
        <v>343.940172297105</v>
      </c>
      <c r="O123" s="100" t="n">
        <f aca="false">O99</f>
        <v>333.333333333333</v>
      </c>
      <c r="P123" s="100" t="n">
        <f aca="false">P99</f>
        <v>333.333333333333</v>
      </c>
      <c r="Q123" s="100" t="n">
        <f aca="false">Q99</f>
        <v>333.333333333333</v>
      </c>
      <c r="R123" s="100" t="n">
        <f aca="false">R99</f>
        <v>334.554213434584</v>
      </c>
      <c r="S123" s="100" t="n">
        <f aca="false">S99</f>
        <v>369.10551218216</v>
      </c>
      <c r="T123" s="100" t="n">
        <f aca="false">T99</f>
        <v>357.430410929735</v>
      </c>
      <c r="U123" s="100" t="n">
        <f aca="false">U99</f>
        <v>391.981709677311</v>
      </c>
      <c r="V123" s="100" t="n">
        <f aca="false">V99</f>
        <v>372.149008424886</v>
      </c>
      <c r="W123" s="100" t="n">
        <f aca="false">W99</f>
        <v>406.700307172461</v>
      </c>
      <c r="X123" s="100" t="n">
        <f aca="false">X99</f>
        <v>383.726501929853</v>
      </c>
      <c r="Y123" s="100" t="n">
        <f aca="false">Y99</f>
        <v>406.979096687246</v>
      </c>
      <c r="Z123" s="100" t="n">
        <f aca="false">Z99</f>
        <v>426.182009848565</v>
      </c>
      <c r="AA123" s="100" t="n">
        <f aca="false">AA99</f>
        <v>2063.64138167655</v>
      </c>
      <c r="AB123" s="100" t="n">
        <f aca="false">AB99</f>
        <v>2077.28873928231</v>
      </c>
      <c r="AC123" s="100" t="n">
        <f aca="false">AC99</f>
        <v>2090.93609688808</v>
      </c>
      <c r="AD123" s="100" t="n">
        <f aca="false">AD99</f>
        <v>2104.58345449384</v>
      </c>
      <c r="AE123" s="100" t="n">
        <f aca="false">AE99</f>
        <v>2070.6176200996</v>
      </c>
      <c r="AF123" s="100" t="n">
        <f aca="false">AF99</f>
        <v>2084.26497770537</v>
      </c>
      <c r="AG123" s="100" t="n">
        <f aca="false">AG99</f>
        <v>2097.91233531113</v>
      </c>
      <c r="AH123" s="100" t="n">
        <f aca="false">AH99</f>
        <v>2111.55969291689</v>
      </c>
      <c r="AI123" s="100" t="n">
        <f aca="false">AI99</f>
        <v>2125.20705052266</v>
      </c>
      <c r="AJ123" s="100" t="n">
        <f aca="false">AJ99</f>
        <v>2138.85440812842</v>
      </c>
      <c r="AK123" s="100" t="n">
        <f aca="false">AK99</f>
        <v>2152.50176573418</v>
      </c>
      <c r="AL123" s="100" t="n">
        <f aca="false">AL99</f>
        <v>2166.14912333995</v>
      </c>
      <c r="AM123" s="100" t="n">
        <f aca="false">AM99</f>
        <v>2080.65198318571</v>
      </c>
      <c r="AN123" s="100" t="n">
        <f aca="false">AN99</f>
        <v>2094.29934079147</v>
      </c>
      <c r="AO123" s="100" t="n">
        <f aca="false">AO99</f>
        <v>2107.94669839724</v>
      </c>
      <c r="AP123" s="100" t="n">
        <f aca="false">AP99</f>
        <v>2121.594056003</v>
      </c>
      <c r="AQ123" s="100" t="n">
        <f aca="false">AQ99</f>
        <v>2135.24141360877</v>
      </c>
      <c r="AR123" s="100" t="n">
        <f aca="false">AR99</f>
        <v>2148.88877121453</v>
      </c>
      <c r="AS123" s="100" t="n">
        <f aca="false">AS99</f>
        <v>2143.33321565897</v>
      </c>
      <c r="AT123" s="100" t="n">
        <f aca="false">AT99</f>
        <v>2137.77766010342</v>
      </c>
      <c r="AU123" s="100" t="n">
        <f aca="false">AU99</f>
        <v>2132.22210454786</v>
      </c>
      <c r="AV123" s="100" t="n">
        <f aca="false">AV99</f>
        <v>2126.66654899231</v>
      </c>
      <c r="AW123" s="100" t="n">
        <f aca="false">AW99</f>
        <v>2121.11099343675</v>
      </c>
      <c r="AX123" s="100" t="n">
        <f aca="false">AX99</f>
        <v>2115.5554378812</v>
      </c>
      <c r="AY123" s="100" t="n">
        <f aca="false">AY99</f>
        <v>2058.11063739284</v>
      </c>
      <c r="AZ123" s="100" t="n">
        <f aca="false">AZ99</f>
        <v>2052.55508183728</v>
      </c>
      <c r="BA123" s="100" t="n">
        <f aca="false">BA99</f>
        <v>2046.99952628173</v>
      </c>
      <c r="BB123" s="100" t="n">
        <f aca="false">BB99</f>
        <v>2041.44397072617</v>
      </c>
      <c r="BC123" s="100" t="n">
        <f aca="false">BC99</f>
        <v>2035.88841517062</v>
      </c>
      <c r="BD123" s="100" t="n">
        <f aca="false">BD99</f>
        <v>2030.33285961506</v>
      </c>
      <c r="BE123" s="100" t="n">
        <f aca="false">BE99</f>
        <v>2024.77730405951</v>
      </c>
      <c r="BF123" s="100" t="n">
        <f aca="false">BF99</f>
        <v>2019.22174850395</v>
      </c>
      <c r="BG123" s="100" t="n">
        <f aca="false">BG99</f>
        <v>2013.6661929484</v>
      </c>
      <c r="BH123" s="100" t="n">
        <f aca="false">BH99</f>
        <v>2008.11063739284</v>
      </c>
      <c r="BI123" s="100" t="n">
        <f aca="false">BI99</f>
        <v>2002.55508183728</v>
      </c>
      <c r="BJ123" s="100" t="n">
        <f aca="false">BJ99</f>
        <v>1996.99952628173</v>
      </c>
      <c r="BK123" s="100" t="n">
        <f aca="false">BK99</f>
        <v>1939.18604844539</v>
      </c>
      <c r="BL123" s="100" t="n">
        <f aca="false">BL99</f>
        <v>1933.63049288983</v>
      </c>
      <c r="BM123" s="100" t="n">
        <f aca="false">BM99</f>
        <v>1928.07493733428</v>
      </c>
      <c r="BN123" s="100" t="n">
        <f aca="false">BN99</f>
        <v>1922.51938177872</v>
      </c>
      <c r="BO123" s="100" t="n">
        <f aca="false">BO99</f>
        <v>1916.96382622317</v>
      </c>
      <c r="BP123" s="100" t="n">
        <f aca="false">BP99</f>
        <v>1911.40827066761</v>
      </c>
      <c r="BQ123" s="100" t="n">
        <f aca="false">BQ99</f>
        <v>1905.85271511206</v>
      </c>
      <c r="BR123" s="100" t="n">
        <f aca="false">BR99</f>
        <v>1900.2971595565</v>
      </c>
      <c r="BS123" s="100" t="n">
        <f aca="false">BS99</f>
        <v>1894.74160400094</v>
      </c>
      <c r="BT123" s="100" t="n">
        <f aca="false">BT99</f>
        <v>1889.18604844539</v>
      </c>
      <c r="BU123" s="100" t="n">
        <f aca="false">BU99</f>
        <v>1883.63049288983</v>
      </c>
      <c r="BV123" s="100" t="n">
        <f aca="false">BV99</f>
        <v>1878.07493733428</v>
      </c>
      <c r="BW123" s="100" t="n">
        <f aca="false">BW99</f>
        <v>1819.88172182951</v>
      </c>
      <c r="BX123" s="100" t="n">
        <f aca="false">BX99</f>
        <v>1814.32616627396</v>
      </c>
      <c r="BY123" s="100" t="n">
        <f aca="false">BY99</f>
        <v>1808.7706107184</v>
      </c>
      <c r="BZ123" s="100" t="n">
        <f aca="false">BZ99</f>
        <v>1803.21505516285</v>
      </c>
      <c r="CA123" s="100" t="n">
        <f aca="false">CA99</f>
        <v>1797.65949960729</v>
      </c>
      <c r="CB123" s="100" t="n">
        <f aca="false">CB99</f>
        <v>1792.10394405174</v>
      </c>
      <c r="CC123" s="100" t="n">
        <f aca="false">CC99</f>
        <v>1786.54838849618</v>
      </c>
      <c r="CD123" s="100" t="n">
        <f aca="false">CD99</f>
        <v>1780.99283294063</v>
      </c>
      <c r="CE123" s="100" t="n">
        <f aca="false">CE99</f>
        <v>1775.43727738507</v>
      </c>
      <c r="CF123" s="100" t="n">
        <f aca="false">CF99</f>
        <v>1769.88172182951</v>
      </c>
      <c r="CG123" s="100" t="n">
        <f aca="false">CG99</f>
        <v>1764.32616627396</v>
      </c>
      <c r="CH123" s="100" t="n">
        <f aca="false">CH99</f>
        <v>1758.77061071835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9" t="s">
        <v>592</v>
      </c>
      <c r="B125" s="9"/>
    </row>
    <row r="126" customFormat="false" ht="13.5" hidden="false" customHeight="true" outlineLevel="0" collapsed="false">
      <c r="A126" s="6" t="s">
        <v>593</v>
      </c>
      <c r="C126" s="14" t="n">
        <f aca="false">Hipótesis!$D$93</f>
        <v>100000</v>
      </c>
    </row>
    <row r="127" customFormat="false" ht="13.5" hidden="false" customHeight="true" outlineLevel="0" collapsed="false">
      <c r="A127" s="6" t="s">
        <v>594</v>
      </c>
      <c r="C127" s="17" t="n">
        <f aca="false">IFERROR(IRR($B$121:$CH$121,0.02),"n.d.")</f>
        <v>0.00848296793033992</v>
      </c>
    </row>
    <row r="128" customFormat="false" ht="13.5" hidden="false" customHeight="true" outlineLevel="0" collapsed="false">
      <c r="A128" s="6" t="s">
        <v>85</v>
      </c>
      <c r="C128" s="17" t="n">
        <f aca="false">IFERROR((1+IRR($B$121:$CH$121,0.02))^12-1,"n.d.")</f>
        <v>0.106681919700323</v>
      </c>
    </row>
    <row r="129" customFormat="false" ht="13.5" hidden="false" customHeight="true" outlineLevel="0" collapsed="false">
      <c r="A129" s="6" t="s">
        <v>595</v>
      </c>
      <c r="C129" s="21" t="n">
        <f aca="false">IFERROR(SUM($C$121:$CH$121)/$C$126,0)</f>
        <v>1.5</v>
      </c>
    </row>
    <row r="130" customFormat="false" ht="13.5" hidden="false" customHeight="true" outlineLevel="0" collapsed="false">
      <c r="A130" s="6" t="s">
        <v>57</v>
      </c>
      <c r="C130" s="15" t="n">
        <f aca="false">IFERROR(COUNTIF($C$94:$CH$94,"&lt;"&amp;$C$126)+1,"n.d.")</f>
        <v>48</v>
      </c>
    </row>
    <row r="131" customFormat="false" ht="13.5" hidden="false" customHeight="true" outlineLevel="0" collapsed="false">
      <c r="A131" s="6" t="s">
        <v>596</v>
      </c>
      <c r="C131" s="14" t="n">
        <f aca="false">IFERROR($B$121+NPV((1+Hipótesis!$D$121)^(1/12)-1,$C$121:$CH$121),0)</f>
        <v>-4672.28823927562</v>
      </c>
    </row>
    <row r="132" customFormat="false" ht="13.5" hidden="false" customHeight="true" outlineLevel="0" collapsed="false">
      <c r="A132" s="6" t="s">
        <v>597</v>
      </c>
      <c r="C132" s="100" t="n">
        <f aca="false">SUM($AY$56:$BJ$56)</f>
        <v>114866.382435704</v>
      </c>
    </row>
    <row r="133" customFormat="false" ht="13.5" hidden="false" customHeight="true" outlineLevel="0" collapsed="false">
      <c r="A133" s="6" t="s">
        <v>598</v>
      </c>
      <c r="C133" s="100" t="n">
        <f aca="false">IF(Hipótesis!$D$94=5,$C$157,$C$132*Hipótesis!$D$120)</f>
        <v>787919.800479702</v>
      </c>
    </row>
    <row r="134" customFormat="false" ht="13.5" hidden="false" customHeight="true" outlineLevel="0" collapsed="false">
      <c r="A134" s="6" t="s">
        <v>599</v>
      </c>
      <c r="C134" s="100" t="n">
        <f aca="false">MAX(0,$C$133)*Hipótesis!$D$119</f>
        <v>78791.9800479702</v>
      </c>
    </row>
    <row r="135" customFormat="false" ht="13.5" hidden="false" customHeight="true" outlineLevel="0" collapsed="false">
      <c r="A135" s="6" t="s">
        <v>600</v>
      </c>
      <c r="C135" s="17" t="n">
        <f aca="false">IF(ISNUMBER($C$128),$C$128,"n.d.")</f>
        <v>0.106681919700323</v>
      </c>
    </row>
    <row r="136" customFormat="false" ht="13.5" hidden="false" customHeight="true" outlineLevel="0" collapsed="false">
      <c r="A136" s="6" t="s">
        <v>82</v>
      </c>
      <c r="C136" s="17" t="n">
        <f aca="false">IFERROR((1+IRR($B$123:$CH$123,0.01))^12-1,"n.d.")</f>
        <v>0.0610535665642185</v>
      </c>
    </row>
    <row r="137" customFormat="false" ht="13.5" hidden="false" customHeight="true" outlineLevel="0" collapsed="false">
      <c r="A137" s="6" t="s">
        <v>601</v>
      </c>
      <c r="C137" s="17" t="n">
        <f aca="false">IFERROR((1+IRR($B$122:$CH$122,0.01))^12-1,"n.d.")</f>
        <v>0.0844617665348448</v>
      </c>
    </row>
    <row r="138" customFormat="false" ht="13.5" hidden="false" customHeight="true" outlineLevel="0" collapsed="false">
      <c r="A138" s="6" t="s">
        <v>88</v>
      </c>
      <c r="C138" s="14" t="n">
        <f aca="false">Hipótesis!$D$122</f>
        <v>200000</v>
      </c>
    </row>
    <row r="139" customFormat="false" ht="13.5" hidden="false" customHeight="true" outlineLevel="0" collapsed="false">
      <c r="A139" s="6" t="s">
        <v>602</v>
      </c>
      <c r="C139" s="14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05" t="s">
        <v>485</v>
      </c>
      <c r="C141" s="106" t="n">
        <v>1</v>
      </c>
      <c r="D141" s="106" t="n">
        <v>2</v>
      </c>
      <c r="E141" s="106" t="n">
        <v>3</v>
      </c>
      <c r="F141" s="106" t="n">
        <v>4</v>
      </c>
      <c r="G141" s="106" t="n">
        <v>5</v>
      </c>
      <c r="H141" s="106" t="n">
        <v>6</v>
      </c>
      <c r="I141" s="106" t="n">
        <v>7</v>
      </c>
    </row>
    <row r="142" customFormat="false" ht="13.5" hidden="false" customHeight="true" outlineLevel="0" collapsed="false">
      <c r="A142" s="6" t="s">
        <v>603</v>
      </c>
      <c r="C142" s="100" t="n">
        <f aca="false">SUM($C$56:$N$56)</f>
        <v>-88306.1393117738</v>
      </c>
      <c r="D142" s="100" t="n">
        <f aca="false">SUM($O$56:$Z$56)</f>
        <v>16880.8209052551</v>
      </c>
      <c r="E142" s="100" t="n">
        <f aca="false">SUM($AA$56:$AL$56)</f>
        <v>82509.1656382829</v>
      </c>
      <c r="F142" s="100" t="n">
        <f aca="false">SUM($AM$56:$AX$56)</f>
        <v>131597.744524395</v>
      </c>
      <c r="G142" s="100" t="n">
        <f aca="false">SUM($AY$56:$BJ$56)</f>
        <v>114866.382435704</v>
      </c>
      <c r="H142" s="100" t="n">
        <f aca="false">SUM($BK$56:$BV$56)</f>
        <v>83511.6290672336</v>
      </c>
      <c r="I142" s="100" t="n">
        <f aca="false">SUM($BW$56:$CH$56)</f>
        <v>51929.033097709</v>
      </c>
    </row>
    <row r="143" customFormat="false" ht="13.5" hidden="false" customHeight="true" outlineLevel="0" collapsed="false">
      <c r="A143" s="6" t="s">
        <v>604</v>
      </c>
      <c r="C143" s="100" t="n">
        <f aca="false">SUM($C$106:$N$106)</f>
        <v>4010.60683896377</v>
      </c>
      <c r="D143" s="100" t="n">
        <f aca="false">SUM($O$106:$Z$106)</f>
        <v>4448.8087702868</v>
      </c>
      <c r="E143" s="100" t="n">
        <f aca="false">SUM($AA$106:$AL$106)</f>
        <v>25283.516646099</v>
      </c>
      <c r="F143" s="100" t="n">
        <f aca="false">SUM($AM$106:$AX$106)</f>
        <v>25465.2882238212</v>
      </c>
      <c r="G143" s="100" t="n">
        <f aca="false">SUM($AY$106:$BJ$106)</f>
        <v>24330.6609820474</v>
      </c>
      <c r="H143" s="100" t="n">
        <f aca="false">SUM($BK$106:$BV$106)</f>
        <v>22903.565914678</v>
      </c>
      <c r="I143" s="100" t="n">
        <f aca="false">SUM($BW$106:$CH$106)</f>
        <v>21471.9139952875</v>
      </c>
    </row>
    <row r="144" customFormat="false" ht="13.5" hidden="false" customHeight="true" outlineLevel="0" collapsed="false">
      <c r="A144" s="22" t="s">
        <v>605</v>
      </c>
      <c r="C144" s="112" t="n">
        <f aca="false">IFERROR(C142/C143,0)</f>
        <v>-22.0181490875305</v>
      </c>
      <c r="D144" s="112" t="n">
        <f aca="false">IFERROR(D142/D143,0)</f>
        <v>3.7944586465484</v>
      </c>
      <c r="E144" s="112" t="n">
        <f aca="false">IFERROR(E142/E143,0)</f>
        <v>3.26335797322772</v>
      </c>
      <c r="F144" s="112" t="n">
        <f aca="false">IFERROR(F142/F143,0)</f>
        <v>5.16773041670477</v>
      </c>
      <c r="G144" s="112" t="n">
        <f aca="false">IFERROR(G142/G143,0)</f>
        <v>4.72105474325006</v>
      </c>
      <c r="H144" s="112" t="n">
        <f aca="false">IFERROR(H142/H143,0)</f>
        <v>3.64622825014834</v>
      </c>
      <c r="I144" s="112" t="n">
        <f aca="false">IFERROR(I142/I143,0)</f>
        <v>2.41846316584102</v>
      </c>
    </row>
    <row r="145" customFormat="false" ht="13.5" hidden="false" customHeight="true" outlineLevel="0" collapsed="false">
      <c r="A145" s="22" t="s">
        <v>606</v>
      </c>
      <c r="C145" s="16" t="n">
        <f aca="false">MIN(D144:I144)</f>
        <v>2.41846316584102</v>
      </c>
    </row>
    <row r="146" customFormat="false" ht="13.5" hidden="false" customHeight="true" outlineLevel="0" collapsed="false">
      <c r="A146" s="22" t="s">
        <v>607</v>
      </c>
      <c r="C146" s="14" t="n">
        <f aca="false">MIN($C$86:$CH$86)</f>
        <v>30000</v>
      </c>
    </row>
    <row r="147" customFormat="false" ht="13.5" hidden="false" customHeight="true" outlineLevel="0" collapsed="false">
      <c r="A147" s="22" t="s">
        <v>608</v>
      </c>
      <c r="C147" s="14" t="n">
        <f aca="false">SUM($C$36:$N$36)</f>
        <v>149355.012147918</v>
      </c>
    </row>
    <row r="148" customFormat="false" ht="13.5" hidden="false" customHeight="true" outlineLevel="0" collapsed="false">
      <c r="A148" s="22" t="s">
        <v>609</v>
      </c>
      <c r="C148" s="100" t="n">
        <f aca="false">-SUM($C$84:$N$84)</f>
        <v>-0</v>
      </c>
      <c r="D148" s="100" t="n">
        <f aca="false">-SUM($O$84:$Z$84)</f>
        <v>-0</v>
      </c>
      <c r="E148" s="100" t="n">
        <f aca="false">-SUM($AA$84:$AL$84)</f>
        <v>-0</v>
      </c>
      <c r="F148" s="100" t="n">
        <f aca="false">-SUM($AM$84:$AX$84)</f>
        <v>-0</v>
      </c>
      <c r="G148" s="100" t="n">
        <f aca="false">-SUM($AY$84:$BJ$84)</f>
        <v>-0</v>
      </c>
      <c r="H148" s="100" t="n">
        <f aca="false">-SUM($BK$84:$BV$84)</f>
        <v>-0</v>
      </c>
      <c r="I148" s="100" t="n">
        <f aca="false">-SUM($BW$84:$CH$84)</f>
        <v>-0</v>
      </c>
    </row>
    <row r="149" customFormat="false" ht="13.5" hidden="false" customHeight="true" outlineLevel="0" collapsed="false">
      <c r="A149" s="22" t="s">
        <v>610</v>
      </c>
      <c r="C149" s="14" t="n">
        <f aca="false">SUM($C$118:$N$118)/12</f>
        <v>1540</v>
      </c>
      <c r="D149" s="14" t="n">
        <f aca="false">SUM($O$118:$Z$118)/12</f>
        <v>2450</v>
      </c>
      <c r="E149" s="14" t="n">
        <f aca="false">SUM($AA$118:$AL$118)/12</f>
        <v>2800</v>
      </c>
      <c r="F149" s="14" t="n">
        <f aca="false">SUM($AM$118:$AX$118)/12</f>
        <v>3150</v>
      </c>
      <c r="G149" s="14" t="n">
        <f aca="false">SUM($AY$118:$BJ$118)/12</f>
        <v>3500</v>
      </c>
      <c r="H149" s="14" t="n">
        <f aca="false">SUM($BK$118:$BV$118)/12</f>
        <v>3850</v>
      </c>
      <c r="I149" s="14" t="n">
        <f aca="false">SUM($BW$118:$CH$118)/12</f>
        <v>4200</v>
      </c>
    </row>
    <row r="150" customFormat="false" ht="13.5" hidden="false" customHeight="true" outlineLevel="0" collapsed="false">
      <c r="A150" s="22" t="s">
        <v>611</v>
      </c>
      <c r="C150" s="14" t="n">
        <f aca="false">MAX($C$81:$CH$81)</f>
        <v>34041.0570328108</v>
      </c>
    </row>
    <row r="152" customFormat="false" ht="15" hidden="false" customHeight="false" outlineLevel="0" collapsed="false">
      <c r="A152" s="94" t="s">
        <v>612</v>
      </c>
    </row>
    <row r="153" customFormat="false" ht="15" hidden="false" customHeight="false" outlineLevel="0" collapsed="false">
      <c r="A153" s="1" t="s">
        <v>613</v>
      </c>
      <c r="C153" s="1" t="n">
        <f aca="false">SUMIFS($C$56:$CH$56,$C$3:$CH$3,"&gt;="&amp;Hipótesis!$D$124-11,$C$3:$CH$3,"&lt;="&amp;Hipótesis!$D$124)</f>
        <v>131597.744524395</v>
      </c>
    </row>
    <row r="154" customFormat="false" ht="15" hidden="false" customHeight="false" outlineLevel="0" collapsed="false">
      <c r="A154" s="1" t="s">
        <v>614</v>
      </c>
      <c r="C154" s="1" t="n">
        <f aca="false">$C$153*Hipótesis!$D$120</f>
        <v>789586.467146368</v>
      </c>
    </row>
    <row r="155" customFormat="false" ht="15" hidden="false" customHeight="false" outlineLevel="0" collapsed="false">
      <c r="A155" s="1" t="s">
        <v>615</v>
      </c>
      <c r="C155" s="1" t="n">
        <f aca="false">SUMIFS($C$86:$CH$86,$C$3:$CH$3,"="&amp;Hipótesis!$D$124)</f>
        <v>60000</v>
      </c>
    </row>
    <row r="156" customFormat="false" ht="15" hidden="false" customHeight="false" outlineLevel="0" collapsed="false">
      <c r="A156" s="1" t="s">
        <v>616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false" outlineLevel="0" collapsed="false">
      <c r="A157" s="94" t="s">
        <v>617</v>
      </c>
      <c r="C157" s="1" t="n">
        <f aca="false">MAX(0,$C$154+Hipótesis!$D$125*($C$155-$C$156))</f>
        <v>787919.800479702</v>
      </c>
    </row>
    <row r="158" customFormat="false" ht="15" hidden="false" customHeight="false" outlineLevel="0" collapsed="false">
      <c r="A158" s="1" t="s">
        <v>618</v>
      </c>
      <c r="C158" s="1" t="n">
        <f aca="false">MIN($C$157,MAX($C$157*Hipótesis!$D$119,Hipótesis!$D$127*Hipótesis!$D$93))</f>
        <v>150000</v>
      </c>
    </row>
    <row r="159" customFormat="false" ht="15" hidden="false" customHeight="false" outlineLevel="0" collapsed="false">
      <c r="A159" s="1" t="s">
        <v>619</v>
      </c>
      <c r="C159" s="1" t="n">
        <f aca="false">MAX(0,$C$158-$C$157*Hipótesis!$D$119)</f>
        <v>71208.0199520298</v>
      </c>
    </row>
    <row r="160" customFormat="false" ht="15" hidden="false" customHeight="false" outlineLevel="0" collapsed="false">
      <c r="A160" s="94" t="s">
        <v>620</v>
      </c>
    </row>
    <row r="161" customFormat="false" ht="15" hidden="false" customHeight="false" outlineLevel="0" collapsed="false">
      <c r="A161" s="1" t="s">
        <v>621</v>
      </c>
      <c r="C161" s="113" t="n">
        <f aca="false">IF(Hipótesis!$D$94=5,Hipótesis!$D$93,0)</f>
        <v>100000</v>
      </c>
    </row>
    <row r="162" customFormat="false" ht="15" hidden="false" customHeight="false" outlineLevel="0" collapsed="false">
      <c r="A162" s="1" t="s">
        <v>622</v>
      </c>
      <c r="C162" s="1" t="n">
        <f aca="false">SUMIFS($C$63:$CH$63,$C$3:$CH$3,"&lt;="&amp;Hipótesis!$D$126)</f>
        <v>0</v>
      </c>
    </row>
    <row r="163" customFormat="false" ht="15" hidden="false" customHeight="false" outlineLevel="0" collapsed="false">
      <c r="A163" s="94" t="s">
        <v>623</v>
      </c>
      <c r="C163" s="1" t="n">
        <f aca="false">$C$161+$C$162</f>
        <v>100000</v>
      </c>
    </row>
    <row r="164" customFormat="false" ht="15" hidden="false" customHeight="false" outlineLevel="0" collapsed="false">
      <c r="A164" s="1" t="s">
        <v>624</v>
      </c>
      <c r="C164" s="113" t="n">
        <f aca="false">Hipótesis!$D$105</f>
        <v>100000</v>
      </c>
    </row>
    <row r="165" customFormat="false" ht="15" hidden="false" customHeight="false" outlineLevel="0" collapsed="false">
      <c r="A165" s="94" t="s">
        <v>625</v>
      </c>
      <c r="C165" s="1" t="str">
        <f aca="false">IF($C$163&gt;=$C$164,"SI CUMPLE","NO CUMPLE - faltan "&amp;TEXT($C$164-$C$163,"#,##0")&amp;" EUR")</f>
        <v>SI 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K39" activePane="bottomRight" state="frozen"/>
      <selection pane="topLeft" activeCell="A1" activeCellId="0" sqref="A1"/>
      <selection pane="topRight" activeCell="K1" activeCellId="0" sqref="K1"/>
      <selection pane="bottomLeft" activeCell="A39" activeCellId="0" sqref="A39"/>
      <selection pane="bottomRight" activeCell="N44" activeCellId="0" sqref="N4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680</v>
      </c>
    </row>
    <row r="2" customFormat="false" ht="13.5" hidden="false" customHeight="true" outlineLevel="0" collapsed="false">
      <c r="A2" s="4" t="s">
        <v>679</v>
      </c>
    </row>
    <row r="3" customFormat="false" ht="13.5" hidden="false" customHeight="true" outlineLevel="0" collapsed="false">
      <c r="A3" s="105" t="s">
        <v>484</v>
      </c>
      <c r="C3" s="106" t="n">
        <v>1</v>
      </c>
      <c r="D3" s="106" t="n">
        <v>2</v>
      </c>
      <c r="E3" s="106" t="n">
        <v>3</v>
      </c>
      <c r="F3" s="106" t="n">
        <v>4</v>
      </c>
      <c r="G3" s="106" t="n">
        <v>5</v>
      </c>
      <c r="H3" s="106" t="n">
        <v>6</v>
      </c>
      <c r="I3" s="106" t="n">
        <v>7</v>
      </c>
      <c r="J3" s="106" t="n">
        <v>8</v>
      </c>
      <c r="K3" s="106" t="n">
        <v>9</v>
      </c>
      <c r="L3" s="106" t="n">
        <v>10</v>
      </c>
      <c r="M3" s="106" t="n">
        <v>11</v>
      </c>
      <c r="N3" s="106" t="n">
        <v>12</v>
      </c>
      <c r="O3" s="106" t="n">
        <v>13</v>
      </c>
      <c r="P3" s="106" t="n">
        <v>14</v>
      </c>
      <c r="Q3" s="106" t="n">
        <v>15</v>
      </c>
      <c r="R3" s="106" t="n">
        <v>16</v>
      </c>
      <c r="S3" s="106" t="n">
        <v>17</v>
      </c>
      <c r="T3" s="106" t="n">
        <v>18</v>
      </c>
      <c r="U3" s="106" t="n">
        <v>19</v>
      </c>
      <c r="V3" s="106" t="n">
        <v>20</v>
      </c>
      <c r="W3" s="106" t="n">
        <v>21</v>
      </c>
      <c r="X3" s="106" t="n">
        <v>22</v>
      </c>
      <c r="Y3" s="106" t="n">
        <v>23</v>
      </c>
      <c r="Z3" s="106" t="n">
        <v>24</v>
      </c>
      <c r="AA3" s="106" t="n">
        <v>25</v>
      </c>
      <c r="AB3" s="106" t="n">
        <v>26</v>
      </c>
      <c r="AC3" s="106" t="n">
        <v>27</v>
      </c>
      <c r="AD3" s="106" t="n">
        <v>28</v>
      </c>
      <c r="AE3" s="106" t="n">
        <v>29</v>
      </c>
      <c r="AF3" s="106" t="n">
        <v>30</v>
      </c>
      <c r="AG3" s="106" t="n">
        <v>31</v>
      </c>
      <c r="AH3" s="106" t="n">
        <v>32</v>
      </c>
      <c r="AI3" s="106" t="n">
        <v>33</v>
      </c>
      <c r="AJ3" s="106" t="n">
        <v>34</v>
      </c>
      <c r="AK3" s="106" t="n">
        <v>35</v>
      </c>
      <c r="AL3" s="106" t="n">
        <v>36</v>
      </c>
      <c r="AM3" s="106" t="n">
        <v>37</v>
      </c>
      <c r="AN3" s="106" t="n">
        <v>38</v>
      </c>
      <c r="AO3" s="106" t="n">
        <v>39</v>
      </c>
      <c r="AP3" s="106" t="n">
        <v>40</v>
      </c>
      <c r="AQ3" s="106" t="n">
        <v>41</v>
      </c>
      <c r="AR3" s="106" t="n">
        <v>42</v>
      </c>
      <c r="AS3" s="106" t="n">
        <v>43</v>
      </c>
      <c r="AT3" s="106" t="n">
        <v>44</v>
      </c>
      <c r="AU3" s="106" t="n">
        <v>45</v>
      </c>
      <c r="AV3" s="106" t="n">
        <v>46</v>
      </c>
      <c r="AW3" s="106" t="n">
        <v>47</v>
      </c>
      <c r="AX3" s="106" t="n">
        <v>48</v>
      </c>
      <c r="AY3" s="106" t="n">
        <v>49</v>
      </c>
      <c r="AZ3" s="106" t="n">
        <v>50</v>
      </c>
      <c r="BA3" s="106" t="n">
        <v>51</v>
      </c>
      <c r="BB3" s="106" t="n">
        <v>52</v>
      </c>
      <c r="BC3" s="106" t="n">
        <v>53</v>
      </c>
      <c r="BD3" s="106" t="n">
        <v>54</v>
      </c>
      <c r="BE3" s="106" t="n">
        <v>55</v>
      </c>
      <c r="BF3" s="106" t="n">
        <v>56</v>
      </c>
      <c r="BG3" s="106" t="n">
        <v>57</v>
      </c>
      <c r="BH3" s="106" t="n">
        <v>58</v>
      </c>
      <c r="BI3" s="106" t="n">
        <v>59</v>
      </c>
      <c r="BJ3" s="106" t="n">
        <v>60</v>
      </c>
      <c r="BK3" s="106" t="n">
        <v>61</v>
      </c>
      <c r="BL3" s="106" t="n">
        <v>62</v>
      </c>
      <c r="BM3" s="106" t="n">
        <v>63</v>
      </c>
      <c r="BN3" s="106" t="n">
        <v>64</v>
      </c>
      <c r="BO3" s="106" t="n">
        <v>65</v>
      </c>
      <c r="BP3" s="106" t="n">
        <v>66</v>
      </c>
      <c r="BQ3" s="106" t="n">
        <v>67</v>
      </c>
      <c r="BR3" s="106" t="n">
        <v>68</v>
      </c>
      <c r="BS3" s="106" t="n">
        <v>69</v>
      </c>
      <c r="BT3" s="106" t="n">
        <v>70</v>
      </c>
      <c r="BU3" s="106" t="n">
        <v>71</v>
      </c>
      <c r="BV3" s="106" t="n">
        <v>72</v>
      </c>
      <c r="BW3" s="106" t="n">
        <v>73</v>
      </c>
      <c r="BX3" s="106" t="n">
        <v>74</v>
      </c>
      <c r="BY3" s="106" t="n">
        <v>75</v>
      </c>
      <c r="BZ3" s="106" t="n">
        <v>76</v>
      </c>
      <c r="CA3" s="106" t="n">
        <v>77</v>
      </c>
      <c r="CB3" s="106" t="n">
        <v>78</v>
      </c>
      <c r="CC3" s="106" t="n">
        <v>79</v>
      </c>
      <c r="CD3" s="106" t="n">
        <v>80</v>
      </c>
      <c r="CE3" s="106" t="n">
        <v>81</v>
      </c>
      <c r="CF3" s="106" t="n">
        <v>82</v>
      </c>
      <c r="CG3" s="106" t="n">
        <v>83</v>
      </c>
      <c r="CH3" s="106" t="n">
        <v>84</v>
      </c>
    </row>
    <row r="4" customFormat="false" ht="13.5" hidden="false" customHeight="true" outlineLevel="0" collapsed="false">
      <c r="A4" s="105" t="s">
        <v>485</v>
      </c>
      <c r="C4" s="107" t="n">
        <f aca="false">INT((1-1)/12)+1</f>
        <v>1</v>
      </c>
      <c r="D4" s="107" t="n">
        <f aca="false">INT((2-1)/12)+1</f>
        <v>1</v>
      </c>
      <c r="E4" s="107" t="n">
        <f aca="false">INT((3-1)/12)+1</f>
        <v>1</v>
      </c>
      <c r="F4" s="107" t="n">
        <f aca="false">INT((4-1)/12)+1</f>
        <v>1</v>
      </c>
      <c r="G4" s="107" t="n">
        <f aca="false">INT((5-1)/12)+1</f>
        <v>1</v>
      </c>
      <c r="H4" s="107" t="n">
        <f aca="false">INT((6-1)/12)+1</f>
        <v>1</v>
      </c>
      <c r="I4" s="107" t="n">
        <f aca="false">INT((7-1)/12)+1</f>
        <v>1</v>
      </c>
      <c r="J4" s="107" t="n">
        <f aca="false">INT((8-1)/12)+1</f>
        <v>1</v>
      </c>
      <c r="K4" s="107" t="n">
        <f aca="false">INT((9-1)/12)+1</f>
        <v>1</v>
      </c>
      <c r="L4" s="107" t="n">
        <f aca="false">INT((10-1)/12)+1</f>
        <v>1</v>
      </c>
      <c r="M4" s="107" t="n">
        <f aca="false">INT((11-1)/12)+1</f>
        <v>1</v>
      </c>
      <c r="N4" s="107" t="n">
        <f aca="false">INT((12-1)/12)+1</f>
        <v>1</v>
      </c>
      <c r="O4" s="107" t="n">
        <f aca="false">INT((13-1)/12)+1</f>
        <v>2</v>
      </c>
      <c r="P4" s="107" t="n">
        <f aca="false">INT((14-1)/12)+1</f>
        <v>2</v>
      </c>
      <c r="Q4" s="107" t="n">
        <f aca="false">INT((15-1)/12)+1</f>
        <v>2</v>
      </c>
      <c r="R4" s="107" t="n">
        <f aca="false">INT((16-1)/12)+1</f>
        <v>2</v>
      </c>
      <c r="S4" s="107" t="n">
        <f aca="false">INT((17-1)/12)+1</f>
        <v>2</v>
      </c>
      <c r="T4" s="107" t="n">
        <f aca="false">INT((18-1)/12)+1</f>
        <v>2</v>
      </c>
      <c r="U4" s="107" t="n">
        <f aca="false">INT((19-1)/12)+1</f>
        <v>2</v>
      </c>
      <c r="V4" s="107" t="n">
        <f aca="false">INT((20-1)/12)+1</f>
        <v>2</v>
      </c>
      <c r="W4" s="107" t="n">
        <f aca="false">INT((21-1)/12)+1</f>
        <v>2</v>
      </c>
      <c r="X4" s="107" t="n">
        <f aca="false">INT((22-1)/12)+1</f>
        <v>2</v>
      </c>
      <c r="Y4" s="107" t="n">
        <f aca="false">INT((23-1)/12)+1</f>
        <v>2</v>
      </c>
      <c r="Z4" s="107" t="n">
        <f aca="false">INT((24-1)/12)+1</f>
        <v>2</v>
      </c>
      <c r="AA4" s="107" t="n">
        <f aca="false">INT((25-1)/12)+1</f>
        <v>3</v>
      </c>
      <c r="AB4" s="107" t="n">
        <f aca="false">INT((26-1)/12)+1</f>
        <v>3</v>
      </c>
      <c r="AC4" s="107" t="n">
        <f aca="false">INT((27-1)/12)+1</f>
        <v>3</v>
      </c>
      <c r="AD4" s="107" t="n">
        <f aca="false">INT((28-1)/12)+1</f>
        <v>3</v>
      </c>
      <c r="AE4" s="107" t="n">
        <f aca="false">INT((29-1)/12)+1</f>
        <v>3</v>
      </c>
      <c r="AF4" s="107" t="n">
        <f aca="false">INT((30-1)/12)+1</f>
        <v>3</v>
      </c>
      <c r="AG4" s="107" t="n">
        <f aca="false">INT((31-1)/12)+1</f>
        <v>3</v>
      </c>
      <c r="AH4" s="107" t="n">
        <f aca="false">INT((32-1)/12)+1</f>
        <v>3</v>
      </c>
      <c r="AI4" s="107" t="n">
        <f aca="false">INT((33-1)/12)+1</f>
        <v>3</v>
      </c>
      <c r="AJ4" s="107" t="n">
        <f aca="false">INT((34-1)/12)+1</f>
        <v>3</v>
      </c>
      <c r="AK4" s="107" t="n">
        <f aca="false">INT((35-1)/12)+1</f>
        <v>3</v>
      </c>
      <c r="AL4" s="107" t="n">
        <f aca="false">INT((36-1)/12)+1</f>
        <v>3</v>
      </c>
      <c r="AM4" s="107" t="n">
        <f aca="false">INT((37-1)/12)+1</f>
        <v>4</v>
      </c>
      <c r="AN4" s="107" t="n">
        <f aca="false">INT((38-1)/12)+1</f>
        <v>4</v>
      </c>
      <c r="AO4" s="107" t="n">
        <f aca="false">INT((39-1)/12)+1</f>
        <v>4</v>
      </c>
      <c r="AP4" s="107" t="n">
        <f aca="false">INT((40-1)/12)+1</f>
        <v>4</v>
      </c>
      <c r="AQ4" s="107" t="n">
        <f aca="false">INT((41-1)/12)+1</f>
        <v>4</v>
      </c>
      <c r="AR4" s="107" t="n">
        <f aca="false">INT((42-1)/12)+1</f>
        <v>4</v>
      </c>
      <c r="AS4" s="107" t="n">
        <f aca="false">INT((43-1)/12)+1</f>
        <v>4</v>
      </c>
      <c r="AT4" s="107" t="n">
        <f aca="false">INT((44-1)/12)+1</f>
        <v>4</v>
      </c>
      <c r="AU4" s="107" t="n">
        <f aca="false">INT((45-1)/12)+1</f>
        <v>4</v>
      </c>
      <c r="AV4" s="107" t="n">
        <f aca="false">INT((46-1)/12)+1</f>
        <v>4</v>
      </c>
      <c r="AW4" s="107" t="n">
        <f aca="false">INT((47-1)/12)+1</f>
        <v>4</v>
      </c>
      <c r="AX4" s="107" t="n">
        <f aca="false">INT((48-1)/12)+1</f>
        <v>4</v>
      </c>
      <c r="AY4" s="107" t="n">
        <f aca="false">INT((49-1)/12)+1</f>
        <v>5</v>
      </c>
      <c r="AZ4" s="107" t="n">
        <f aca="false">INT((50-1)/12)+1</f>
        <v>5</v>
      </c>
      <c r="BA4" s="107" t="n">
        <f aca="false">INT((51-1)/12)+1</f>
        <v>5</v>
      </c>
      <c r="BB4" s="107" t="n">
        <f aca="false">INT((52-1)/12)+1</f>
        <v>5</v>
      </c>
      <c r="BC4" s="107" t="n">
        <f aca="false">INT((53-1)/12)+1</f>
        <v>5</v>
      </c>
      <c r="BD4" s="107" t="n">
        <f aca="false">INT((54-1)/12)+1</f>
        <v>5</v>
      </c>
      <c r="BE4" s="107" t="n">
        <f aca="false">INT((55-1)/12)+1</f>
        <v>5</v>
      </c>
      <c r="BF4" s="107" t="n">
        <f aca="false">INT((56-1)/12)+1</f>
        <v>5</v>
      </c>
      <c r="BG4" s="107" t="n">
        <f aca="false">INT((57-1)/12)+1</f>
        <v>5</v>
      </c>
      <c r="BH4" s="107" t="n">
        <f aca="false">INT((58-1)/12)+1</f>
        <v>5</v>
      </c>
      <c r="BI4" s="107" t="n">
        <f aca="false">INT((59-1)/12)+1</f>
        <v>5</v>
      </c>
      <c r="BJ4" s="107" t="n">
        <f aca="false">INT((60-1)/12)+1</f>
        <v>5</v>
      </c>
      <c r="BK4" s="107" t="n">
        <f aca="false">INT((61-1)/12)+1</f>
        <v>6</v>
      </c>
      <c r="BL4" s="107" t="n">
        <f aca="false">INT((62-1)/12)+1</f>
        <v>6</v>
      </c>
      <c r="BM4" s="107" t="n">
        <f aca="false">INT((63-1)/12)+1</f>
        <v>6</v>
      </c>
      <c r="BN4" s="107" t="n">
        <f aca="false">INT((64-1)/12)+1</f>
        <v>6</v>
      </c>
      <c r="BO4" s="107" t="n">
        <f aca="false">INT((65-1)/12)+1</f>
        <v>6</v>
      </c>
      <c r="BP4" s="107" t="n">
        <f aca="false">INT((66-1)/12)+1</f>
        <v>6</v>
      </c>
      <c r="BQ4" s="107" t="n">
        <f aca="false">INT((67-1)/12)+1</f>
        <v>6</v>
      </c>
      <c r="BR4" s="107" t="n">
        <f aca="false">INT((68-1)/12)+1</f>
        <v>6</v>
      </c>
      <c r="BS4" s="107" t="n">
        <f aca="false">INT((69-1)/12)+1</f>
        <v>6</v>
      </c>
      <c r="BT4" s="107" t="n">
        <f aca="false">INT((70-1)/12)+1</f>
        <v>6</v>
      </c>
      <c r="BU4" s="107" t="n">
        <f aca="false">INT((71-1)/12)+1</f>
        <v>6</v>
      </c>
      <c r="BV4" s="107" t="n">
        <f aca="false">INT((72-1)/12)+1</f>
        <v>6</v>
      </c>
      <c r="BW4" s="107" t="n">
        <f aca="false">INT((73-1)/12)+1</f>
        <v>7</v>
      </c>
      <c r="BX4" s="107" t="n">
        <f aca="false">INT((74-1)/12)+1</f>
        <v>7</v>
      </c>
      <c r="BY4" s="107" t="n">
        <f aca="false">INT((75-1)/12)+1</f>
        <v>7</v>
      </c>
      <c r="BZ4" s="107" t="n">
        <f aca="false">INT((76-1)/12)+1</f>
        <v>7</v>
      </c>
      <c r="CA4" s="107" t="n">
        <f aca="false">INT((77-1)/12)+1</f>
        <v>7</v>
      </c>
      <c r="CB4" s="107" t="n">
        <f aca="false">INT((78-1)/12)+1</f>
        <v>7</v>
      </c>
      <c r="CC4" s="107" t="n">
        <f aca="false">INT((79-1)/12)+1</f>
        <v>7</v>
      </c>
      <c r="CD4" s="107" t="n">
        <f aca="false">INT((80-1)/12)+1</f>
        <v>7</v>
      </c>
      <c r="CE4" s="107" t="n">
        <f aca="false">INT((81-1)/12)+1</f>
        <v>7</v>
      </c>
      <c r="CF4" s="107" t="n">
        <f aca="false">INT((82-1)/12)+1</f>
        <v>7</v>
      </c>
      <c r="CG4" s="107" t="n">
        <f aca="false">INT((83-1)/12)+1</f>
        <v>7</v>
      </c>
      <c r="CH4" s="107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9" t="s">
        <v>486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</row>
    <row r="7" customFormat="false" ht="13.5" hidden="false" customHeight="true" outlineLevel="0" collapsed="false">
      <c r="A7" s="6" t="s">
        <v>487</v>
      </c>
      <c r="C7" s="108" t="n">
        <f aca="false">MIN(Hipótesis!$D$26,Hipótesis!$D$27+Hipótesis!$D$28*(1-1))</f>
        <v>1</v>
      </c>
      <c r="D7" s="108" t="n">
        <f aca="false">MIN(Hipótesis!$D$26,Hipótesis!$D$27+Hipótesis!$D$28*(2-1))</f>
        <v>1.5</v>
      </c>
      <c r="E7" s="108" t="n">
        <f aca="false">MIN(Hipótesis!$D$26,Hipótesis!$D$27+Hipótesis!$D$28*(3-1))</f>
        <v>2</v>
      </c>
      <c r="F7" s="108" t="n">
        <f aca="false">MIN(Hipótesis!$D$26,Hipótesis!$D$27+Hipótesis!$D$28*(4-1))</f>
        <v>2.5</v>
      </c>
      <c r="G7" s="108" t="n">
        <f aca="false">MIN(Hipótesis!$D$26,Hipótesis!$D$27+Hipótesis!$D$28*(5-1))</f>
        <v>3</v>
      </c>
      <c r="H7" s="108" t="n">
        <f aca="false">MIN(Hipótesis!$D$26,Hipótesis!$D$27+Hipótesis!$D$28*(6-1))</f>
        <v>3</v>
      </c>
      <c r="I7" s="108" t="n">
        <f aca="false">MIN(Hipótesis!$D$26,Hipótesis!$D$27+Hipótesis!$D$28*(7-1))</f>
        <v>3</v>
      </c>
      <c r="J7" s="108" t="n">
        <f aca="false">MIN(Hipótesis!$D$26,Hipótesis!$D$27+Hipótesis!$D$28*(8-1))</f>
        <v>3</v>
      </c>
      <c r="K7" s="108" t="n">
        <f aca="false">MIN(Hipótesis!$D$26,Hipótesis!$D$27+Hipótesis!$D$28*(9-1))</f>
        <v>3</v>
      </c>
      <c r="L7" s="108" t="n">
        <f aca="false">MIN(Hipótesis!$D$26,Hipótesis!$D$27+Hipótesis!$D$28*(10-1))</f>
        <v>3</v>
      </c>
      <c r="M7" s="108" t="n">
        <f aca="false">MIN(Hipótesis!$D$26,Hipótesis!$D$27+Hipótesis!$D$28*(11-1))</f>
        <v>3</v>
      </c>
      <c r="N7" s="108" t="n">
        <f aca="false">MIN(Hipótesis!$D$26,Hipótesis!$D$27+Hipótesis!$D$28*(12-1))</f>
        <v>3</v>
      </c>
      <c r="O7" s="108" t="n">
        <f aca="false">MIN(Hipótesis!$D$26,Hipótesis!$D$27+Hipótesis!$D$28*(13-1))</f>
        <v>3</v>
      </c>
      <c r="P7" s="108" t="n">
        <f aca="false">MIN(Hipótesis!$D$26,Hipótesis!$D$27+Hipótesis!$D$28*(14-1))</f>
        <v>3</v>
      </c>
      <c r="Q7" s="108" t="n">
        <f aca="false">MIN(Hipótesis!$D$26,Hipótesis!$D$27+Hipótesis!$D$28*(15-1))</f>
        <v>3</v>
      </c>
      <c r="R7" s="108" t="n">
        <f aca="false">MIN(Hipótesis!$D$26,Hipótesis!$D$27+Hipótesis!$D$28*(16-1))</f>
        <v>3</v>
      </c>
      <c r="S7" s="108" t="n">
        <f aca="false">MIN(Hipótesis!$D$26,Hipótesis!$D$27+Hipótesis!$D$28*(17-1))</f>
        <v>3</v>
      </c>
      <c r="T7" s="108" t="n">
        <f aca="false">MIN(Hipótesis!$D$26,Hipótesis!$D$27+Hipótesis!$D$28*(18-1))</f>
        <v>3</v>
      </c>
      <c r="U7" s="108" t="n">
        <f aca="false">MIN(Hipótesis!$D$26,Hipótesis!$D$27+Hipótesis!$D$28*(19-1))</f>
        <v>3</v>
      </c>
      <c r="V7" s="108" t="n">
        <f aca="false">MIN(Hipótesis!$D$26,Hipótesis!$D$27+Hipótesis!$D$28*(20-1))</f>
        <v>3</v>
      </c>
      <c r="W7" s="108" t="n">
        <f aca="false">MIN(Hipótesis!$D$26,Hipótesis!$D$27+Hipótesis!$D$28*(21-1))</f>
        <v>3</v>
      </c>
      <c r="X7" s="108" t="n">
        <f aca="false">MIN(Hipótesis!$D$26,Hipótesis!$D$27+Hipótesis!$D$28*(22-1))</f>
        <v>3</v>
      </c>
      <c r="Y7" s="108" t="n">
        <f aca="false">MIN(Hipótesis!$D$26,Hipótesis!$D$27+Hipótesis!$D$28*(23-1))</f>
        <v>3</v>
      </c>
      <c r="Z7" s="108" t="n">
        <f aca="false">MIN(Hipótesis!$D$26,Hipótesis!$D$27+Hipótesis!$D$28*(24-1))</f>
        <v>3</v>
      </c>
      <c r="AA7" s="108" t="n">
        <f aca="false">MIN(Hipótesis!$D$26,Hipótesis!$D$27+Hipótesis!$D$28*(25-1))</f>
        <v>3</v>
      </c>
      <c r="AB7" s="108" t="n">
        <f aca="false">MIN(Hipótesis!$D$26,Hipótesis!$D$27+Hipótesis!$D$28*(26-1))</f>
        <v>3</v>
      </c>
      <c r="AC7" s="108" t="n">
        <f aca="false">MIN(Hipótesis!$D$26,Hipótesis!$D$27+Hipótesis!$D$28*(27-1))</f>
        <v>3</v>
      </c>
      <c r="AD7" s="108" t="n">
        <f aca="false">MIN(Hipótesis!$D$26,Hipótesis!$D$27+Hipótesis!$D$28*(28-1))</f>
        <v>3</v>
      </c>
      <c r="AE7" s="108" t="n">
        <f aca="false">MIN(Hipótesis!$D$26,Hipótesis!$D$27+Hipótesis!$D$28*(29-1))</f>
        <v>3</v>
      </c>
      <c r="AF7" s="108" t="n">
        <f aca="false">MIN(Hipótesis!$D$26,Hipótesis!$D$27+Hipótesis!$D$28*(30-1))</f>
        <v>3</v>
      </c>
      <c r="AG7" s="108" t="n">
        <f aca="false">MIN(Hipótesis!$D$26,Hipótesis!$D$27+Hipótesis!$D$28*(31-1))</f>
        <v>3</v>
      </c>
      <c r="AH7" s="108" t="n">
        <f aca="false">MIN(Hipótesis!$D$26,Hipótesis!$D$27+Hipótesis!$D$28*(32-1))</f>
        <v>3</v>
      </c>
      <c r="AI7" s="108" t="n">
        <f aca="false">MIN(Hipótesis!$D$26,Hipótesis!$D$27+Hipótesis!$D$28*(33-1))</f>
        <v>3</v>
      </c>
      <c r="AJ7" s="108" t="n">
        <f aca="false">MIN(Hipótesis!$D$26,Hipótesis!$D$27+Hipótesis!$D$28*(34-1))</f>
        <v>3</v>
      </c>
      <c r="AK7" s="108" t="n">
        <f aca="false">MIN(Hipótesis!$D$26,Hipótesis!$D$27+Hipótesis!$D$28*(35-1))</f>
        <v>3</v>
      </c>
      <c r="AL7" s="108" t="n">
        <f aca="false">MIN(Hipótesis!$D$26,Hipótesis!$D$27+Hipótesis!$D$28*(36-1))</f>
        <v>3</v>
      </c>
      <c r="AM7" s="108" t="n">
        <f aca="false">MIN(Hipótesis!$D$26,Hipótesis!$D$27+Hipótesis!$D$28*(37-1))</f>
        <v>3</v>
      </c>
      <c r="AN7" s="108" t="n">
        <f aca="false">MIN(Hipótesis!$D$26,Hipótesis!$D$27+Hipótesis!$D$28*(38-1))</f>
        <v>3</v>
      </c>
      <c r="AO7" s="108" t="n">
        <f aca="false">MIN(Hipótesis!$D$26,Hipótesis!$D$27+Hipótesis!$D$28*(39-1))</f>
        <v>3</v>
      </c>
      <c r="AP7" s="108" t="n">
        <f aca="false">MIN(Hipótesis!$D$26,Hipótesis!$D$27+Hipótesis!$D$28*(40-1))</f>
        <v>3</v>
      </c>
      <c r="AQ7" s="108" t="n">
        <f aca="false">MIN(Hipótesis!$D$26,Hipótesis!$D$27+Hipótesis!$D$28*(41-1))</f>
        <v>3</v>
      </c>
      <c r="AR7" s="108" t="n">
        <f aca="false">MIN(Hipótesis!$D$26,Hipótesis!$D$27+Hipótesis!$D$28*(42-1))</f>
        <v>3</v>
      </c>
      <c r="AS7" s="108" t="n">
        <f aca="false">MIN(Hipótesis!$D$26,Hipótesis!$D$27+Hipótesis!$D$28*(43-1))</f>
        <v>3</v>
      </c>
      <c r="AT7" s="108" t="n">
        <f aca="false">MIN(Hipótesis!$D$26,Hipótesis!$D$27+Hipótesis!$D$28*(44-1))</f>
        <v>3</v>
      </c>
      <c r="AU7" s="108" t="n">
        <f aca="false">MIN(Hipótesis!$D$26,Hipótesis!$D$27+Hipótesis!$D$28*(45-1))</f>
        <v>3</v>
      </c>
      <c r="AV7" s="108" t="n">
        <f aca="false">MIN(Hipótesis!$D$26,Hipótesis!$D$27+Hipótesis!$D$28*(46-1))</f>
        <v>3</v>
      </c>
      <c r="AW7" s="108" t="n">
        <f aca="false">MIN(Hipótesis!$D$26,Hipótesis!$D$27+Hipótesis!$D$28*(47-1))</f>
        <v>3</v>
      </c>
      <c r="AX7" s="108" t="n">
        <f aca="false">MIN(Hipótesis!$D$26,Hipótesis!$D$27+Hipótesis!$D$28*(48-1))</f>
        <v>3</v>
      </c>
      <c r="AY7" s="108" t="n">
        <f aca="false">MIN(Hipótesis!$D$26,Hipótesis!$D$27+Hipótesis!$D$28*(49-1))</f>
        <v>3</v>
      </c>
      <c r="AZ7" s="108" t="n">
        <f aca="false">MIN(Hipótesis!$D$26,Hipótesis!$D$27+Hipótesis!$D$28*(50-1))</f>
        <v>3</v>
      </c>
      <c r="BA7" s="108" t="n">
        <f aca="false">MIN(Hipótesis!$D$26,Hipótesis!$D$27+Hipótesis!$D$28*(51-1))</f>
        <v>3</v>
      </c>
      <c r="BB7" s="108" t="n">
        <f aca="false">MIN(Hipótesis!$D$26,Hipótesis!$D$27+Hipótesis!$D$28*(52-1))</f>
        <v>3</v>
      </c>
      <c r="BC7" s="108" t="n">
        <f aca="false">MIN(Hipótesis!$D$26,Hipótesis!$D$27+Hipótesis!$D$28*(53-1))</f>
        <v>3</v>
      </c>
      <c r="BD7" s="108" t="n">
        <f aca="false">MIN(Hipótesis!$D$26,Hipótesis!$D$27+Hipótesis!$D$28*(54-1))</f>
        <v>3</v>
      </c>
      <c r="BE7" s="108" t="n">
        <f aca="false">MIN(Hipótesis!$D$26,Hipótesis!$D$27+Hipótesis!$D$28*(55-1))</f>
        <v>3</v>
      </c>
      <c r="BF7" s="108" t="n">
        <f aca="false">MIN(Hipótesis!$D$26,Hipótesis!$D$27+Hipótesis!$D$28*(56-1))</f>
        <v>3</v>
      </c>
      <c r="BG7" s="108" t="n">
        <f aca="false">MIN(Hipótesis!$D$26,Hipótesis!$D$27+Hipótesis!$D$28*(57-1))</f>
        <v>3</v>
      </c>
      <c r="BH7" s="108" t="n">
        <f aca="false">MIN(Hipótesis!$D$26,Hipótesis!$D$27+Hipótesis!$D$28*(58-1))</f>
        <v>3</v>
      </c>
      <c r="BI7" s="108" t="n">
        <f aca="false">MIN(Hipótesis!$D$26,Hipótesis!$D$27+Hipótesis!$D$28*(59-1))</f>
        <v>3</v>
      </c>
      <c r="BJ7" s="108" t="n">
        <f aca="false">MIN(Hipótesis!$D$26,Hipótesis!$D$27+Hipótesis!$D$28*(60-1))</f>
        <v>3</v>
      </c>
      <c r="BK7" s="108" t="n">
        <f aca="false">MIN(Hipótesis!$D$26,Hipótesis!$D$27+Hipótesis!$D$28*(61-1))</f>
        <v>3</v>
      </c>
      <c r="BL7" s="108" t="n">
        <f aca="false">MIN(Hipótesis!$D$26,Hipótesis!$D$27+Hipótesis!$D$28*(62-1))</f>
        <v>3</v>
      </c>
      <c r="BM7" s="108" t="n">
        <f aca="false">MIN(Hipótesis!$D$26,Hipótesis!$D$27+Hipótesis!$D$28*(63-1))</f>
        <v>3</v>
      </c>
      <c r="BN7" s="108" t="n">
        <f aca="false">MIN(Hipótesis!$D$26,Hipótesis!$D$27+Hipótesis!$D$28*(64-1))</f>
        <v>3</v>
      </c>
      <c r="BO7" s="108" t="n">
        <f aca="false">MIN(Hipótesis!$D$26,Hipótesis!$D$27+Hipótesis!$D$28*(65-1))</f>
        <v>3</v>
      </c>
      <c r="BP7" s="108" t="n">
        <f aca="false">MIN(Hipótesis!$D$26,Hipótesis!$D$27+Hipótesis!$D$28*(66-1))</f>
        <v>3</v>
      </c>
      <c r="BQ7" s="108" t="n">
        <f aca="false">MIN(Hipótesis!$D$26,Hipótesis!$D$27+Hipótesis!$D$28*(67-1))</f>
        <v>3</v>
      </c>
      <c r="BR7" s="108" t="n">
        <f aca="false">MIN(Hipótesis!$D$26,Hipótesis!$D$27+Hipótesis!$D$28*(68-1))</f>
        <v>3</v>
      </c>
      <c r="BS7" s="108" t="n">
        <f aca="false">MIN(Hipótesis!$D$26,Hipótesis!$D$27+Hipótesis!$D$28*(69-1))</f>
        <v>3</v>
      </c>
      <c r="BT7" s="108" t="n">
        <f aca="false">MIN(Hipótesis!$D$26,Hipótesis!$D$27+Hipótesis!$D$28*(70-1))</f>
        <v>3</v>
      </c>
      <c r="BU7" s="108" t="n">
        <f aca="false">MIN(Hipótesis!$D$26,Hipótesis!$D$27+Hipótesis!$D$28*(71-1))</f>
        <v>3</v>
      </c>
      <c r="BV7" s="108" t="n">
        <f aca="false">MIN(Hipótesis!$D$26,Hipótesis!$D$27+Hipótesis!$D$28*(72-1))</f>
        <v>3</v>
      </c>
      <c r="BW7" s="108" t="n">
        <f aca="false">MIN(Hipótesis!$D$26,Hipótesis!$D$27+Hipótesis!$D$28*(73-1))</f>
        <v>3</v>
      </c>
      <c r="BX7" s="108" t="n">
        <f aca="false">MIN(Hipótesis!$D$26,Hipótesis!$D$27+Hipótesis!$D$28*(74-1))</f>
        <v>3</v>
      </c>
      <c r="BY7" s="108" t="n">
        <f aca="false">MIN(Hipótesis!$D$26,Hipótesis!$D$27+Hipótesis!$D$28*(75-1))</f>
        <v>3</v>
      </c>
      <c r="BZ7" s="108" t="n">
        <f aca="false">MIN(Hipótesis!$D$26,Hipótesis!$D$27+Hipótesis!$D$28*(76-1))</f>
        <v>3</v>
      </c>
      <c r="CA7" s="108" t="n">
        <f aca="false">MIN(Hipótesis!$D$26,Hipótesis!$D$27+Hipótesis!$D$28*(77-1))</f>
        <v>3</v>
      </c>
      <c r="CB7" s="108" t="n">
        <f aca="false">MIN(Hipótesis!$D$26,Hipótesis!$D$27+Hipótesis!$D$28*(78-1))</f>
        <v>3</v>
      </c>
      <c r="CC7" s="108" t="n">
        <f aca="false">MIN(Hipótesis!$D$26,Hipótesis!$D$27+Hipótesis!$D$28*(79-1))</f>
        <v>3</v>
      </c>
      <c r="CD7" s="108" t="n">
        <f aca="false">MIN(Hipótesis!$D$26,Hipótesis!$D$27+Hipótesis!$D$28*(80-1))</f>
        <v>3</v>
      </c>
      <c r="CE7" s="108" t="n">
        <f aca="false">MIN(Hipótesis!$D$26,Hipótesis!$D$27+Hipótesis!$D$28*(81-1))</f>
        <v>3</v>
      </c>
      <c r="CF7" s="108" t="n">
        <f aca="false">MIN(Hipótesis!$D$26,Hipótesis!$D$27+Hipótesis!$D$28*(82-1))</f>
        <v>3</v>
      </c>
      <c r="CG7" s="108" t="n">
        <f aca="false">MIN(Hipótesis!$D$26,Hipótesis!$D$27+Hipótesis!$D$28*(83-1))</f>
        <v>3</v>
      </c>
      <c r="CH7" s="108" t="n">
        <f aca="false">MIN(Hipótesis!$D$26,Hipótesis!$D$27+Hipótesis!$D$28*(84-1))</f>
        <v>3</v>
      </c>
    </row>
    <row r="8" customFormat="false" ht="13.5" hidden="false" customHeight="true" outlineLevel="0" collapsed="false">
      <c r="A8" s="6" t="s">
        <v>488</v>
      </c>
      <c r="C8" s="101" t="n">
        <f aca="false">C7*Hipótesis!$D$13</f>
        <v>960</v>
      </c>
      <c r="D8" s="101" t="n">
        <f aca="false">D7*Hipótesis!$D$13</f>
        <v>1440</v>
      </c>
      <c r="E8" s="101" t="n">
        <f aca="false">E7*Hipótesis!$D$13</f>
        <v>1920</v>
      </c>
      <c r="F8" s="101" t="n">
        <f aca="false">F7*Hipótesis!$D$13</f>
        <v>2400</v>
      </c>
      <c r="G8" s="101" t="n">
        <f aca="false">G7*Hipótesis!$D$13</f>
        <v>2880</v>
      </c>
      <c r="H8" s="101" t="n">
        <f aca="false">H7*Hipótesis!$D$13</f>
        <v>2880</v>
      </c>
      <c r="I8" s="101" t="n">
        <f aca="false">I7*Hipótesis!$D$13</f>
        <v>2880</v>
      </c>
      <c r="J8" s="101" t="n">
        <f aca="false">J7*Hipótesis!$D$13</f>
        <v>2880</v>
      </c>
      <c r="K8" s="101" t="n">
        <f aca="false">K7*Hipótesis!$D$13</f>
        <v>2880</v>
      </c>
      <c r="L8" s="101" t="n">
        <f aca="false">L7*Hipótesis!$D$13</f>
        <v>2880</v>
      </c>
      <c r="M8" s="101" t="n">
        <f aca="false">M7*Hipótesis!$D$13</f>
        <v>2880</v>
      </c>
      <c r="N8" s="101" t="n">
        <f aca="false">N7*Hipótesis!$D$13</f>
        <v>2880</v>
      </c>
      <c r="O8" s="101" t="n">
        <f aca="false">O7*Hipótesis!$D$13</f>
        <v>2880</v>
      </c>
      <c r="P8" s="101" t="n">
        <f aca="false">P7*Hipótesis!$D$13</f>
        <v>2880</v>
      </c>
      <c r="Q8" s="101" t="n">
        <f aca="false">Q7*Hipótesis!$D$13</f>
        <v>2880</v>
      </c>
      <c r="R8" s="101" t="n">
        <f aca="false">R7*Hipótesis!$D$13</f>
        <v>2880</v>
      </c>
      <c r="S8" s="101" t="n">
        <f aca="false">S7*Hipótesis!$D$13</f>
        <v>2880</v>
      </c>
      <c r="T8" s="101" t="n">
        <f aca="false">T7*Hipótesis!$D$13</f>
        <v>2880</v>
      </c>
      <c r="U8" s="101" t="n">
        <f aca="false">U7*Hipótesis!$D$13</f>
        <v>2880</v>
      </c>
      <c r="V8" s="101" t="n">
        <f aca="false">V7*Hipótesis!$D$13</f>
        <v>2880</v>
      </c>
      <c r="W8" s="101" t="n">
        <f aca="false">W7*Hipótesis!$D$13</f>
        <v>2880</v>
      </c>
      <c r="X8" s="101" t="n">
        <f aca="false">X7*Hipótesis!$D$13</f>
        <v>2880</v>
      </c>
      <c r="Y8" s="101" t="n">
        <f aca="false">Y7*Hipótesis!$D$13</f>
        <v>2880</v>
      </c>
      <c r="Z8" s="101" t="n">
        <f aca="false">Z7*Hipótesis!$D$13</f>
        <v>2880</v>
      </c>
      <c r="AA8" s="101" t="n">
        <f aca="false">AA7*Hipótesis!$D$13</f>
        <v>2880</v>
      </c>
      <c r="AB8" s="101" t="n">
        <f aca="false">AB7*Hipótesis!$D$13</f>
        <v>2880</v>
      </c>
      <c r="AC8" s="101" t="n">
        <f aca="false">AC7*Hipótesis!$D$13</f>
        <v>2880</v>
      </c>
      <c r="AD8" s="101" t="n">
        <f aca="false">AD7*Hipótesis!$D$13</f>
        <v>2880</v>
      </c>
      <c r="AE8" s="101" t="n">
        <f aca="false">AE7*Hipótesis!$D$13</f>
        <v>2880</v>
      </c>
      <c r="AF8" s="101" t="n">
        <f aca="false">AF7*Hipótesis!$D$13</f>
        <v>2880</v>
      </c>
      <c r="AG8" s="101" t="n">
        <f aca="false">AG7*Hipótesis!$D$13</f>
        <v>2880</v>
      </c>
      <c r="AH8" s="101" t="n">
        <f aca="false">AH7*Hipótesis!$D$13</f>
        <v>2880</v>
      </c>
      <c r="AI8" s="101" t="n">
        <f aca="false">AI7*Hipótesis!$D$13</f>
        <v>2880</v>
      </c>
      <c r="AJ8" s="101" t="n">
        <f aca="false">AJ7*Hipótesis!$D$13</f>
        <v>2880</v>
      </c>
      <c r="AK8" s="101" t="n">
        <f aca="false">AK7*Hipótesis!$D$13</f>
        <v>2880</v>
      </c>
      <c r="AL8" s="101" t="n">
        <f aca="false">AL7*Hipótesis!$D$13</f>
        <v>2880</v>
      </c>
      <c r="AM8" s="101" t="n">
        <f aca="false">AM7*Hipótesis!$D$13</f>
        <v>2880</v>
      </c>
      <c r="AN8" s="101" t="n">
        <f aca="false">AN7*Hipótesis!$D$13</f>
        <v>2880</v>
      </c>
      <c r="AO8" s="101" t="n">
        <f aca="false">AO7*Hipótesis!$D$13</f>
        <v>2880</v>
      </c>
      <c r="AP8" s="101" t="n">
        <f aca="false">AP7*Hipótesis!$D$13</f>
        <v>2880</v>
      </c>
      <c r="AQ8" s="101" t="n">
        <f aca="false">AQ7*Hipótesis!$D$13</f>
        <v>2880</v>
      </c>
      <c r="AR8" s="101" t="n">
        <f aca="false">AR7*Hipótesis!$D$13</f>
        <v>2880</v>
      </c>
      <c r="AS8" s="101" t="n">
        <f aca="false">AS7*Hipótesis!$D$13</f>
        <v>2880</v>
      </c>
      <c r="AT8" s="101" t="n">
        <f aca="false">AT7*Hipótesis!$D$13</f>
        <v>2880</v>
      </c>
      <c r="AU8" s="101" t="n">
        <f aca="false">AU7*Hipótesis!$D$13</f>
        <v>2880</v>
      </c>
      <c r="AV8" s="101" t="n">
        <f aca="false">AV7*Hipótesis!$D$13</f>
        <v>2880</v>
      </c>
      <c r="AW8" s="101" t="n">
        <f aca="false">AW7*Hipótesis!$D$13</f>
        <v>2880</v>
      </c>
      <c r="AX8" s="101" t="n">
        <f aca="false">AX7*Hipótesis!$D$13</f>
        <v>2880</v>
      </c>
      <c r="AY8" s="101" t="n">
        <f aca="false">AY7*Hipótesis!$D$13</f>
        <v>2880</v>
      </c>
      <c r="AZ8" s="101" t="n">
        <f aca="false">AZ7*Hipótesis!$D$13</f>
        <v>2880</v>
      </c>
      <c r="BA8" s="101" t="n">
        <f aca="false">BA7*Hipótesis!$D$13</f>
        <v>2880</v>
      </c>
      <c r="BB8" s="101" t="n">
        <f aca="false">BB7*Hipótesis!$D$13</f>
        <v>2880</v>
      </c>
      <c r="BC8" s="101" t="n">
        <f aca="false">BC7*Hipótesis!$D$13</f>
        <v>2880</v>
      </c>
      <c r="BD8" s="101" t="n">
        <f aca="false">BD7*Hipótesis!$D$13</f>
        <v>2880</v>
      </c>
      <c r="BE8" s="101" t="n">
        <f aca="false">BE7*Hipótesis!$D$13</f>
        <v>2880</v>
      </c>
      <c r="BF8" s="101" t="n">
        <f aca="false">BF7*Hipótesis!$D$13</f>
        <v>2880</v>
      </c>
      <c r="BG8" s="101" t="n">
        <f aca="false">BG7*Hipótesis!$D$13</f>
        <v>2880</v>
      </c>
      <c r="BH8" s="101" t="n">
        <f aca="false">BH7*Hipótesis!$D$13</f>
        <v>2880</v>
      </c>
      <c r="BI8" s="101" t="n">
        <f aca="false">BI7*Hipótesis!$D$13</f>
        <v>2880</v>
      </c>
      <c r="BJ8" s="101" t="n">
        <f aca="false">BJ7*Hipótesis!$D$13</f>
        <v>2880</v>
      </c>
      <c r="BK8" s="101" t="n">
        <f aca="false">BK7*Hipótesis!$D$13</f>
        <v>2880</v>
      </c>
      <c r="BL8" s="101" t="n">
        <f aca="false">BL7*Hipótesis!$D$13</f>
        <v>2880</v>
      </c>
      <c r="BM8" s="101" t="n">
        <f aca="false">BM7*Hipótesis!$D$13</f>
        <v>2880</v>
      </c>
      <c r="BN8" s="101" t="n">
        <f aca="false">BN7*Hipótesis!$D$13</f>
        <v>2880</v>
      </c>
      <c r="BO8" s="101" t="n">
        <f aca="false">BO7*Hipótesis!$D$13</f>
        <v>2880</v>
      </c>
      <c r="BP8" s="101" t="n">
        <f aca="false">BP7*Hipótesis!$D$13</f>
        <v>2880</v>
      </c>
      <c r="BQ8" s="101" t="n">
        <f aca="false">BQ7*Hipótesis!$D$13</f>
        <v>2880</v>
      </c>
      <c r="BR8" s="101" t="n">
        <f aca="false">BR7*Hipótesis!$D$13</f>
        <v>2880</v>
      </c>
      <c r="BS8" s="101" t="n">
        <f aca="false">BS7*Hipótesis!$D$13</f>
        <v>2880</v>
      </c>
      <c r="BT8" s="101" t="n">
        <f aca="false">BT7*Hipótesis!$D$13</f>
        <v>2880</v>
      </c>
      <c r="BU8" s="101" t="n">
        <f aca="false">BU7*Hipótesis!$D$13</f>
        <v>2880</v>
      </c>
      <c r="BV8" s="101" t="n">
        <f aca="false">BV7*Hipótesis!$D$13</f>
        <v>2880</v>
      </c>
      <c r="BW8" s="101" t="n">
        <f aca="false">BW7*Hipótesis!$D$13</f>
        <v>2880</v>
      </c>
      <c r="BX8" s="101" t="n">
        <f aca="false">BX7*Hipótesis!$D$13</f>
        <v>2880</v>
      </c>
      <c r="BY8" s="101" t="n">
        <f aca="false">BY7*Hipótesis!$D$13</f>
        <v>2880</v>
      </c>
      <c r="BZ8" s="101" t="n">
        <f aca="false">BZ7*Hipótesis!$D$13</f>
        <v>2880</v>
      </c>
      <c r="CA8" s="101" t="n">
        <f aca="false">CA7*Hipótesis!$D$13</f>
        <v>2880</v>
      </c>
      <c r="CB8" s="101" t="n">
        <f aca="false">CB7*Hipótesis!$D$13</f>
        <v>2880</v>
      </c>
      <c r="CC8" s="101" t="n">
        <f aca="false">CC7*Hipótesis!$D$13</f>
        <v>2880</v>
      </c>
      <c r="CD8" s="101" t="n">
        <f aca="false">CD7*Hipótesis!$D$13</f>
        <v>2880</v>
      </c>
      <c r="CE8" s="101" t="n">
        <f aca="false">CE7*Hipótesis!$D$13</f>
        <v>2880</v>
      </c>
      <c r="CF8" s="101" t="n">
        <f aca="false">CF7*Hipótesis!$D$13</f>
        <v>2880</v>
      </c>
      <c r="CG8" s="101" t="n">
        <f aca="false">CG7*Hipótesis!$D$13</f>
        <v>2880</v>
      </c>
      <c r="CH8" s="101" t="n">
        <f aca="false">CH7*Hipótesis!$D$13</f>
        <v>2880</v>
      </c>
    </row>
    <row r="9" customFormat="false" ht="13.5" hidden="false" customHeight="true" outlineLevel="0" collapsed="false">
      <c r="A9" s="6" t="s">
        <v>489</v>
      </c>
      <c r="C9" s="100" t="n">
        <f aca="false">Pipeline!$Q$16*Pipeline!$D$16*MIN(1,MAX(0,(1-Pipeline!$E$16+1)/MAX(Pipeline!$F$16,1)))</f>
        <v>1005.575</v>
      </c>
      <c r="D9" s="100" t="n">
        <f aca="false">Pipeline!$Q$16*Pipeline!$D$16*MIN(1,MAX(0,(2-Pipeline!$E$16+1)/MAX(Pipeline!$F$16,1)))</f>
        <v>2011.15</v>
      </c>
      <c r="E9" s="100" t="n">
        <f aca="false">Pipeline!$Q$16*Pipeline!$D$16*MIN(1,MAX(0,(3-Pipeline!$E$16+1)/MAX(Pipeline!$F$16,1)))</f>
        <v>3016.725</v>
      </c>
      <c r="F9" s="100" t="n">
        <f aca="false">Pipeline!$Q$16*Pipeline!$D$16*MIN(1,MAX(0,(4-Pipeline!$E$16+1)/MAX(Pipeline!$F$16,1)))</f>
        <v>3016.725</v>
      </c>
      <c r="G9" s="100" t="n">
        <f aca="false">Pipeline!$Q$16*Pipeline!$D$16*MIN(1,MAX(0,(5-Pipeline!$E$16+1)/MAX(Pipeline!$F$16,1)))</f>
        <v>3016.725</v>
      </c>
      <c r="H9" s="100" t="n">
        <f aca="false">Pipeline!$Q$16*Pipeline!$D$16*MIN(1,MAX(0,(6-Pipeline!$E$16+1)/MAX(Pipeline!$F$16,1)))</f>
        <v>3016.725</v>
      </c>
      <c r="I9" s="100" t="n">
        <f aca="false">Pipeline!$Q$16*Pipeline!$D$16*MIN(1,MAX(0,(7-Pipeline!$E$16+1)/MAX(Pipeline!$F$16,1)))</f>
        <v>3016.725</v>
      </c>
      <c r="J9" s="100" t="n">
        <f aca="false">Pipeline!$Q$16*Pipeline!$D$16*MIN(1,MAX(0,(8-Pipeline!$E$16+1)/MAX(Pipeline!$F$16,1)))</f>
        <v>3016.725</v>
      </c>
      <c r="K9" s="100" t="n">
        <f aca="false">Pipeline!$Q$16*Pipeline!$D$16*MIN(1,MAX(0,(9-Pipeline!$E$16+1)/MAX(Pipeline!$F$16,1)))</f>
        <v>3016.725</v>
      </c>
      <c r="L9" s="100" t="n">
        <f aca="false">Pipeline!$Q$16*Pipeline!$D$16*MIN(1,MAX(0,(10-Pipeline!$E$16+1)/MAX(Pipeline!$F$16,1)))</f>
        <v>3016.725</v>
      </c>
      <c r="M9" s="100" t="n">
        <f aca="false">Pipeline!$Q$16*Pipeline!$D$16*MIN(1,MAX(0,(11-Pipeline!$E$16+1)/MAX(Pipeline!$F$16,1)))</f>
        <v>3016.725</v>
      </c>
      <c r="N9" s="100" t="n">
        <f aca="false">Pipeline!$Q$16*Pipeline!$D$16*MIN(1,MAX(0,(12-Pipeline!$E$16+1)/MAX(Pipeline!$F$16,1)))</f>
        <v>3016.725</v>
      </c>
      <c r="O9" s="100" t="n">
        <f aca="false">Pipeline!$Q$16*Pipeline!$D$16*MIN(1,MAX(0,(13-Pipeline!$E$16+1)/MAX(Pipeline!$F$16,1)))</f>
        <v>3016.725</v>
      </c>
      <c r="P9" s="100" t="n">
        <f aca="false">Pipeline!$Q$16*Pipeline!$D$16*MIN(1,MAX(0,(14-Pipeline!$E$16+1)/MAX(Pipeline!$F$16,1)))</f>
        <v>3016.725</v>
      </c>
      <c r="Q9" s="100" t="n">
        <f aca="false">Pipeline!$Q$16*Pipeline!$D$16*MIN(1,MAX(0,(15-Pipeline!$E$16+1)/MAX(Pipeline!$F$16,1)))</f>
        <v>3016.725</v>
      </c>
      <c r="R9" s="100" t="n">
        <f aca="false">Pipeline!$Q$16*Pipeline!$D$16*MIN(1,MAX(0,(16-Pipeline!$E$16+1)/MAX(Pipeline!$F$16,1)))</f>
        <v>3016.725</v>
      </c>
      <c r="S9" s="100" t="n">
        <f aca="false">Pipeline!$Q$16*Pipeline!$D$16*MIN(1,MAX(0,(17-Pipeline!$E$16+1)/MAX(Pipeline!$F$16,1)))</f>
        <v>3016.725</v>
      </c>
      <c r="T9" s="100" t="n">
        <f aca="false">Pipeline!$Q$16*Pipeline!$D$16*MIN(1,MAX(0,(18-Pipeline!$E$16+1)/MAX(Pipeline!$F$16,1)))</f>
        <v>3016.725</v>
      </c>
      <c r="U9" s="100" t="n">
        <f aca="false">Pipeline!$Q$16*Pipeline!$D$16*MIN(1,MAX(0,(19-Pipeline!$E$16+1)/MAX(Pipeline!$F$16,1)))</f>
        <v>3016.725</v>
      </c>
      <c r="V9" s="100" t="n">
        <f aca="false">Pipeline!$Q$16*Pipeline!$D$16*MIN(1,MAX(0,(20-Pipeline!$E$16+1)/MAX(Pipeline!$F$16,1)))</f>
        <v>3016.725</v>
      </c>
      <c r="W9" s="100" t="n">
        <f aca="false">Pipeline!$Q$16*Pipeline!$D$16*MIN(1,MAX(0,(21-Pipeline!$E$16+1)/MAX(Pipeline!$F$16,1)))</f>
        <v>3016.725</v>
      </c>
      <c r="X9" s="100" t="n">
        <f aca="false">Pipeline!$Q$16*Pipeline!$D$16*MIN(1,MAX(0,(22-Pipeline!$E$16+1)/MAX(Pipeline!$F$16,1)))</f>
        <v>3016.725</v>
      </c>
      <c r="Y9" s="100" t="n">
        <f aca="false">Pipeline!$Q$16*Pipeline!$D$16*MIN(1,MAX(0,(23-Pipeline!$E$16+1)/MAX(Pipeline!$F$16,1)))</f>
        <v>3016.725</v>
      </c>
      <c r="Z9" s="100" t="n">
        <f aca="false">Pipeline!$Q$16*Pipeline!$D$16*MIN(1,MAX(0,(24-Pipeline!$E$16+1)/MAX(Pipeline!$F$16,1)))</f>
        <v>3016.725</v>
      </c>
      <c r="AA9" s="100" t="n">
        <f aca="false">Pipeline!$Q$16*Pipeline!$D$16*MIN(1,MAX(0,(25-Pipeline!$E$16+1)/MAX(Pipeline!$F$16,1)))</f>
        <v>3016.725</v>
      </c>
      <c r="AB9" s="100" t="n">
        <f aca="false">Pipeline!$Q$16*Pipeline!$D$16*MIN(1,MAX(0,(26-Pipeline!$E$16+1)/MAX(Pipeline!$F$16,1)))</f>
        <v>3016.725</v>
      </c>
      <c r="AC9" s="100" t="n">
        <f aca="false">Pipeline!$Q$16*Pipeline!$D$16*MIN(1,MAX(0,(27-Pipeline!$E$16+1)/MAX(Pipeline!$F$16,1)))</f>
        <v>3016.725</v>
      </c>
      <c r="AD9" s="100" t="n">
        <f aca="false">Pipeline!$Q$16*Pipeline!$D$16*MIN(1,MAX(0,(28-Pipeline!$E$16+1)/MAX(Pipeline!$F$16,1)))</f>
        <v>3016.725</v>
      </c>
      <c r="AE9" s="100" t="n">
        <f aca="false">Pipeline!$Q$16*Pipeline!$D$16*MIN(1,MAX(0,(29-Pipeline!$E$16+1)/MAX(Pipeline!$F$16,1)))</f>
        <v>3016.725</v>
      </c>
      <c r="AF9" s="100" t="n">
        <f aca="false">Pipeline!$Q$16*Pipeline!$D$16*MIN(1,MAX(0,(30-Pipeline!$E$16+1)/MAX(Pipeline!$F$16,1)))</f>
        <v>3016.725</v>
      </c>
      <c r="AG9" s="100" t="n">
        <f aca="false">Pipeline!$Q$16*Pipeline!$D$16*MIN(1,MAX(0,(31-Pipeline!$E$16+1)/MAX(Pipeline!$F$16,1)))</f>
        <v>3016.725</v>
      </c>
      <c r="AH9" s="100" t="n">
        <f aca="false">Pipeline!$Q$16*Pipeline!$D$16*MIN(1,MAX(0,(32-Pipeline!$E$16+1)/MAX(Pipeline!$F$16,1)))</f>
        <v>3016.725</v>
      </c>
      <c r="AI9" s="100" t="n">
        <f aca="false">Pipeline!$Q$16*Pipeline!$D$16*MIN(1,MAX(0,(33-Pipeline!$E$16+1)/MAX(Pipeline!$F$16,1)))</f>
        <v>3016.725</v>
      </c>
      <c r="AJ9" s="100" t="n">
        <f aca="false">Pipeline!$Q$16*Pipeline!$D$16*MIN(1,MAX(0,(34-Pipeline!$E$16+1)/MAX(Pipeline!$F$16,1)))</f>
        <v>3016.725</v>
      </c>
      <c r="AK9" s="100" t="n">
        <f aca="false">Pipeline!$Q$16*Pipeline!$D$16*MIN(1,MAX(0,(35-Pipeline!$E$16+1)/MAX(Pipeline!$F$16,1)))</f>
        <v>3016.725</v>
      </c>
      <c r="AL9" s="100" t="n">
        <f aca="false">Pipeline!$Q$16*Pipeline!$D$16*MIN(1,MAX(0,(36-Pipeline!$E$16+1)/MAX(Pipeline!$F$16,1)))</f>
        <v>3016.725</v>
      </c>
      <c r="AM9" s="100" t="n">
        <f aca="false">Pipeline!$Q$16*Pipeline!$D$16*MIN(1,MAX(0,(37-Pipeline!$E$16+1)/MAX(Pipeline!$F$16,1)))</f>
        <v>3016.725</v>
      </c>
      <c r="AN9" s="100" t="n">
        <f aca="false">Pipeline!$Q$16*Pipeline!$D$16*MIN(1,MAX(0,(38-Pipeline!$E$16+1)/MAX(Pipeline!$F$16,1)))</f>
        <v>3016.725</v>
      </c>
      <c r="AO9" s="100" t="n">
        <f aca="false">Pipeline!$Q$16*Pipeline!$D$16*MIN(1,MAX(0,(39-Pipeline!$E$16+1)/MAX(Pipeline!$F$16,1)))</f>
        <v>3016.725</v>
      </c>
      <c r="AP9" s="100" t="n">
        <f aca="false">Pipeline!$Q$16*Pipeline!$D$16*MIN(1,MAX(0,(40-Pipeline!$E$16+1)/MAX(Pipeline!$F$16,1)))</f>
        <v>3016.725</v>
      </c>
      <c r="AQ9" s="100" t="n">
        <f aca="false">Pipeline!$Q$16*Pipeline!$D$16*MIN(1,MAX(0,(41-Pipeline!$E$16+1)/MAX(Pipeline!$F$16,1)))</f>
        <v>3016.725</v>
      </c>
      <c r="AR9" s="100" t="n">
        <f aca="false">Pipeline!$Q$16*Pipeline!$D$16*MIN(1,MAX(0,(42-Pipeline!$E$16+1)/MAX(Pipeline!$F$16,1)))</f>
        <v>3016.725</v>
      </c>
      <c r="AS9" s="100" t="n">
        <f aca="false">Pipeline!$Q$16*Pipeline!$D$16*MIN(1,MAX(0,(43-Pipeline!$E$16+1)/MAX(Pipeline!$F$16,1)))</f>
        <v>3016.725</v>
      </c>
      <c r="AT9" s="100" t="n">
        <f aca="false">Pipeline!$Q$16*Pipeline!$D$16*MIN(1,MAX(0,(44-Pipeline!$E$16+1)/MAX(Pipeline!$F$16,1)))</f>
        <v>3016.725</v>
      </c>
      <c r="AU9" s="100" t="n">
        <f aca="false">Pipeline!$Q$16*Pipeline!$D$16*MIN(1,MAX(0,(45-Pipeline!$E$16+1)/MAX(Pipeline!$F$16,1)))</f>
        <v>3016.725</v>
      </c>
      <c r="AV9" s="100" t="n">
        <f aca="false">Pipeline!$Q$16*Pipeline!$D$16*MIN(1,MAX(0,(46-Pipeline!$E$16+1)/MAX(Pipeline!$F$16,1)))</f>
        <v>3016.725</v>
      </c>
      <c r="AW9" s="100" t="n">
        <f aca="false">Pipeline!$Q$16*Pipeline!$D$16*MIN(1,MAX(0,(47-Pipeline!$E$16+1)/MAX(Pipeline!$F$16,1)))</f>
        <v>3016.725</v>
      </c>
      <c r="AX9" s="100" t="n">
        <f aca="false">Pipeline!$Q$16*Pipeline!$D$16*MIN(1,MAX(0,(48-Pipeline!$E$16+1)/MAX(Pipeline!$F$16,1)))</f>
        <v>3016.725</v>
      </c>
      <c r="AY9" s="100" t="n">
        <f aca="false">Pipeline!$Q$16*Pipeline!$D$16*MIN(1,MAX(0,(49-Pipeline!$E$16+1)/MAX(Pipeline!$F$16,1)))</f>
        <v>3016.725</v>
      </c>
      <c r="AZ9" s="100" t="n">
        <f aca="false">Pipeline!$Q$16*Pipeline!$D$16*MIN(1,MAX(0,(50-Pipeline!$E$16+1)/MAX(Pipeline!$F$16,1)))</f>
        <v>3016.725</v>
      </c>
      <c r="BA9" s="100" t="n">
        <f aca="false">Pipeline!$Q$16*Pipeline!$D$16*MIN(1,MAX(0,(51-Pipeline!$E$16+1)/MAX(Pipeline!$F$16,1)))</f>
        <v>3016.725</v>
      </c>
      <c r="BB9" s="100" t="n">
        <f aca="false">Pipeline!$Q$16*Pipeline!$D$16*MIN(1,MAX(0,(52-Pipeline!$E$16+1)/MAX(Pipeline!$F$16,1)))</f>
        <v>3016.725</v>
      </c>
      <c r="BC9" s="100" t="n">
        <f aca="false">Pipeline!$Q$16*Pipeline!$D$16*MIN(1,MAX(0,(53-Pipeline!$E$16+1)/MAX(Pipeline!$F$16,1)))</f>
        <v>3016.725</v>
      </c>
      <c r="BD9" s="100" t="n">
        <f aca="false">Pipeline!$Q$16*Pipeline!$D$16*MIN(1,MAX(0,(54-Pipeline!$E$16+1)/MAX(Pipeline!$F$16,1)))</f>
        <v>3016.725</v>
      </c>
      <c r="BE9" s="100" t="n">
        <f aca="false">Pipeline!$Q$16*Pipeline!$D$16*MIN(1,MAX(0,(55-Pipeline!$E$16+1)/MAX(Pipeline!$F$16,1)))</f>
        <v>3016.725</v>
      </c>
      <c r="BF9" s="100" t="n">
        <f aca="false">Pipeline!$Q$16*Pipeline!$D$16*MIN(1,MAX(0,(56-Pipeline!$E$16+1)/MAX(Pipeline!$F$16,1)))</f>
        <v>3016.725</v>
      </c>
      <c r="BG9" s="100" t="n">
        <f aca="false">Pipeline!$Q$16*Pipeline!$D$16*MIN(1,MAX(0,(57-Pipeline!$E$16+1)/MAX(Pipeline!$F$16,1)))</f>
        <v>3016.725</v>
      </c>
      <c r="BH9" s="100" t="n">
        <f aca="false">Pipeline!$Q$16*Pipeline!$D$16*MIN(1,MAX(0,(58-Pipeline!$E$16+1)/MAX(Pipeline!$F$16,1)))</f>
        <v>3016.725</v>
      </c>
      <c r="BI9" s="100" t="n">
        <f aca="false">Pipeline!$Q$16*Pipeline!$D$16*MIN(1,MAX(0,(59-Pipeline!$E$16+1)/MAX(Pipeline!$F$16,1)))</f>
        <v>3016.725</v>
      </c>
      <c r="BJ9" s="100" t="n">
        <f aca="false">Pipeline!$Q$16*Pipeline!$D$16*MIN(1,MAX(0,(60-Pipeline!$E$16+1)/MAX(Pipeline!$F$16,1)))</f>
        <v>3016.725</v>
      </c>
      <c r="BK9" s="100" t="n">
        <f aca="false">Pipeline!$Q$16*Pipeline!$D$16*MIN(1,MAX(0,(61-Pipeline!$E$16+1)/MAX(Pipeline!$F$16,1)))</f>
        <v>3016.725</v>
      </c>
      <c r="BL9" s="100" t="n">
        <f aca="false">Pipeline!$Q$16*Pipeline!$D$16*MIN(1,MAX(0,(62-Pipeline!$E$16+1)/MAX(Pipeline!$F$16,1)))</f>
        <v>3016.725</v>
      </c>
      <c r="BM9" s="100" t="n">
        <f aca="false">Pipeline!$Q$16*Pipeline!$D$16*MIN(1,MAX(0,(63-Pipeline!$E$16+1)/MAX(Pipeline!$F$16,1)))</f>
        <v>3016.725</v>
      </c>
      <c r="BN9" s="100" t="n">
        <f aca="false">Pipeline!$Q$16*Pipeline!$D$16*MIN(1,MAX(0,(64-Pipeline!$E$16+1)/MAX(Pipeline!$F$16,1)))</f>
        <v>3016.725</v>
      </c>
      <c r="BO9" s="100" t="n">
        <f aca="false">Pipeline!$Q$16*Pipeline!$D$16*MIN(1,MAX(0,(65-Pipeline!$E$16+1)/MAX(Pipeline!$F$16,1)))</f>
        <v>3016.725</v>
      </c>
      <c r="BP9" s="100" t="n">
        <f aca="false">Pipeline!$Q$16*Pipeline!$D$16*MIN(1,MAX(0,(66-Pipeline!$E$16+1)/MAX(Pipeline!$F$16,1)))</f>
        <v>3016.725</v>
      </c>
      <c r="BQ9" s="100" t="n">
        <f aca="false">Pipeline!$Q$16*Pipeline!$D$16*MIN(1,MAX(0,(67-Pipeline!$E$16+1)/MAX(Pipeline!$F$16,1)))</f>
        <v>3016.725</v>
      </c>
      <c r="BR9" s="100" t="n">
        <f aca="false">Pipeline!$Q$16*Pipeline!$D$16*MIN(1,MAX(0,(68-Pipeline!$E$16+1)/MAX(Pipeline!$F$16,1)))</f>
        <v>3016.725</v>
      </c>
      <c r="BS9" s="100" t="n">
        <f aca="false">Pipeline!$Q$16*Pipeline!$D$16*MIN(1,MAX(0,(69-Pipeline!$E$16+1)/MAX(Pipeline!$F$16,1)))</f>
        <v>3016.725</v>
      </c>
      <c r="BT9" s="100" t="n">
        <f aca="false">Pipeline!$Q$16*Pipeline!$D$16*MIN(1,MAX(0,(70-Pipeline!$E$16+1)/MAX(Pipeline!$F$16,1)))</f>
        <v>3016.725</v>
      </c>
      <c r="BU9" s="100" t="n">
        <f aca="false">Pipeline!$Q$16*Pipeline!$D$16*MIN(1,MAX(0,(71-Pipeline!$E$16+1)/MAX(Pipeline!$F$16,1)))</f>
        <v>3016.725</v>
      </c>
      <c r="BV9" s="100" t="n">
        <f aca="false">Pipeline!$Q$16*Pipeline!$D$16*MIN(1,MAX(0,(72-Pipeline!$E$16+1)/MAX(Pipeline!$F$16,1)))</f>
        <v>3016.725</v>
      </c>
      <c r="BW9" s="100" t="n">
        <f aca="false">Pipeline!$Q$16*Pipeline!$D$16*MIN(1,MAX(0,(73-Pipeline!$E$16+1)/MAX(Pipeline!$F$16,1)))</f>
        <v>3016.725</v>
      </c>
      <c r="BX9" s="100" t="n">
        <f aca="false">Pipeline!$Q$16*Pipeline!$D$16*MIN(1,MAX(0,(74-Pipeline!$E$16+1)/MAX(Pipeline!$F$16,1)))</f>
        <v>3016.725</v>
      </c>
      <c r="BY9" s="100" t="n">
        <f aca="false">Pipeline!$Q$16*Pipeline!$D$16*MIN(1,MAX(0,(75-Pipeline!$E$16+1)/MAX(Pipeline!$F$16,1)))</f>
        <v>3016.725</v>
      </c>
      <c r="BZ9" s="100" t="n">
        <f aca="false">Pipeline!$Q$16*Pipeline!$D$16*MIN(1,MAX(0,(76-Pipeline!$E$16+1)/MAX(Pipeline!$F$16,1)))</f>
        <v>3016.725</v>
      </c>
      <c r="CA9" s="100" t="n">
        <f aca="false">Pipeline!$Q$16*Pipeline!$D$16*MIN(1,MAX(0,(77-Pipeline!$E$16+1)/MAX(Pipeline!$F$16,1)))</f>
        <v>3016.725</v>
      </c>
      <c r="CB9" s="100" t="n">
        <f aca="false">Pipeline!$Q$16*Pipeline!$D$16*MIN(1,MAX(0,(78-Pipeline!$E$16+1)/MAX(Pipeline!$F$16,1)))</f>
        <v>3016.725</v>
      </c>
      <c r="CC9" s="100" t="n">
        <f aca="false">Pipeline!$Q$16*Pipeline!$D$16*MIN(1,MAX(0,(79-Pipeline!$E$16+1)/MAX(Pipeline!$F$16,1)))</f>
        <v>3016.725</v>
      </c>
      <c r="CD9" s="100" t="n">
        <f aca="false">Pipeline!$Q$16*Pipeline!$D$16*MIN(1,MAX(0,(80-Pipeline!$E$16+1)/MAX(Pipeline!$F$16,1)))</f>
        <v>3016.725</v>
      </c>
      <c r="CE9" s="100" t="n">
        <f aca="false">Pipeline!$Q$16*Pipeline!$D$16*MIN(1,MAX(0,(81-Pipeline!$E$16+1)/MAX(Pipeline!$F$16,1)))</f>
        <v>3016.725</v>
      </c>
      <c r="CF9" s="100" t="n">
        <f aca="false">Pipeline!$Q$16*Pipeline!$D$16*MIN(1,MAX(0,(82-Pipeline!$E$16+1)/MAX(Pipeline!$F$16,1)))</f>
        <v>3016.725</v>
      </c>
      <c r="CG9" s="100" t="n">
        <f aca="false">Pipeline!$Q$16*Pipeline!$D$16*MIN(1,MAX(0,(83-Pipeline!$E$16+1)/MAX(Pipeline!$F$16,1)))</f>
        <v>3016.725</v>
      </c>
      <c r="CH9" s="100" t="n">
        <f aca="false">Pipeline!$Q$16*Pipeline!$D$16*MIN(1,MAX(0,(84-Pipeline!$E$16+1)/MAX(Pipeline!$F$16,1)))</f>
        <v>3016.725</v>
      </c>
    </row>
    <row r="10" customFormat="false" ht="13.5" hidden="false" customHeight="true" outlineLevel="0" collapsed="false">
      <c r="A10" s="6" t="s">
        <v>490</v>
      </c>
      <c r="C10" s="100" t="n">
        <f aca="false">Pipeline!$Q$17*Pipeline!$D$17*MIN(1,MAX(0,(1-Pipeline!$E$17+1)/MAX(Pipeline!$F$17,1)))</f>
        <v>0</v>
      </c>
      <c r="D10" s="100" t="n">
        <f aca="false">Pipeline!$Q$17*Pipeline!$D$17*MIN(1,MAX(0,(2-Pipeline!$E$17+1)/MAX(Pipeline!$F$17,1)))</f>
        <v>78.3</v>
      </c>
      <c r="E10" s="100" t="n">
        <f aca="false">Pipeline!$Q$17*Pipeline!$D$17*MIN(1,MAX(0,(3-Pipeline!$E$17+1)/MAX(Pipeline!$F$17,1)))</f>
        <v>156.6</v>
      </c>
      <c r="F10" s="100" t="n">
        <f aca="false">Pipeline!$Q$17*Pipeline!$D$17*MIN(1,MAX(0,(4-Pipeline!$E$17+1)/MAX(Pipeline!$F$17,1)))</f>
        <v>234.9</v>
      </c>
      <c r="G10" s="100" t="n">
        <f aca="false">Pipeline!$Q$17*Pipeline!$D$17*MIN(1,MAX(0,(5-Pipeline!$E$17+1)/MAX(Pipeline!$F$17,1)))</f>
        <v>234.9</v>
      </c>
      <c r="H10" s="100" t="n">
        <f aca="false">Pipeline!$Q$17*Pipeline!$D$17*MIN(1,MAX(0,(6-Pipeline!$E$17+1)/MAX(Pipeline!$F$17,1)))</f>
        <v>234.9</v>
      </c>
      <c r="I10" s="100" t="n">
        <f aca="false">Pipeline!$Q$17*Pipeline!$D$17*MIN(1,MAX(0,(7-Pipeline!$E$17+1)/MAX(Pipeline!$F$17,1)))</f>
        <v>234.9</v>
      </c>
      <c r="J10" s="100" t="n">
        <f aca="false">Pipeline!$Q$17*Pipeline!$D$17*MIN(1,MAX(0,(8-Pipeline!$E$17+1)/MAX(Pipeline!$F$17,1)))</f>
        <v>234.9</v>
      </c>
      <c r="K10" s="100" t="n">
        <f aca="false">Pipeline!$Q$17*Pipeline!$D$17*MIN(1,MAX(0,(9-Pipeline!$E$17+1)/MAX(Pipeline!$F$17,1)))</f>
        <v>234.9</v>
      </c>
      <c r="L10" s="100" t="n">
        <f aca="false">Pipeline!$Q$17*Pipeline!$D$17*MIN(1,MAX(0,(10-Pipeline!$E$17+1)/MAX(Pipeline!$F$17,1)))</f>
        <v>234.9</v>
      </c>
      <c r="M10" s="100" t="n">
        <f aca="false">Pipeline!$Q$17*Pipeline!$D$17*MIN(1,MAX(0,(11-Pipeline!$E$17+1)/MAX(Pipeline!$F$17,1)))</f>
        <v>234.9</v>
      </c>
      <c r="N10" s="100" t="n">
        <f aca="false">Pipeline!$Q$17*Pipeline!$D$17*MIN(1,MAX(0,(12-Pipeline!$E$17+1)/MAX(Pipeline!$F$17,1)))</f>
        <v>234.9</v>
      </c>
      <c r="O10" s="100" t="n">
        <f aca="false">Pipeline!$Q$17*Pipeline!$D$17*MIN(1,MAX(0,(13-Pipeline!$E$17+1)/MAX(Pipeline!$F$17,1)))</f>
        <v>234.9</v>
      </c>
      <c r="P10" s="100" t="n">
        <f aca="false">Pipeline!$Q$17*Pipeline!$D$17*MIN(1,MAX(0,(14-Pipeline!$E$17+1)/MAX(Pipeline!$F$17,1)))</f>
        <v>234.9</v>
      </c>
      <c r="Q10" s="100" t="n">
        <f aca="false">Pipeline!$Q$17*Pipeline!$D$17*MIN(1,MAX(0,(15-Pipeline!$E$17+1)/MAX(Pipeline!$F$17,1)))</f>
        <v>234.9</v>
      </c>
      <c r="R10" s="100" t="n">
        <f aca="false">Pipeline!$Q$17*Pipeline!$D$17*MIN(1,MAX(0,(16-Pipeline!$E$17+1)/MAX(Pipeline!$F$17,1)))</f>
        <v>234.9</v>
      </c>
      <c r="S10" s="100" t="n">
        <f aca="false">Pipeline!$Q$17*Pipeline!$D$17*MIN(1,MAX(0,(17-Pipeline!$E$17+1)/MAX(Pipeline!$F$17,1)))</f>
        <v>234.9</v>
      </c>
      <c r="T10" s="100" t="n">
        <f aca="false">Pipeline!$Q$17*Pipeline!$D$17*MIN(1,MAX(0,(18-Pipeline!$E$17+1)/MAX(Pipeline!$F$17,1)))</f>
        <v>234.9</v>
      </c>
      <c r="U10" s="100" t="n">
        <f aca="false">Pipeline!$Q$17*Pipeline!$D$17*MIN(1,MAX(0,(19-Pipeline!$E$17+1)/MAX(Pipeline!$F$17,1)))</f>
        <v>234.9</v>
      </c>
      <c r="V10" s="100" t="n">
        <f aca="false">Pipeline!$Q$17*Pipeline!$D$17*MIN(1,MAX(0,(20-Pipeline!$E$17+1)/MAX(Pipeline!$F$17,1)))</f>
        <v>234.9</v>
      </c>
      <c r="W10" s="100" t="n">
        <f aca="false">Pipeline!$Q$17*Pipeline!$D$17*MIN(1,MAX(0,(21-Pipeline!$E$17+1)/MAX(Pipeline!$F$17,1)))</f>
        <v>234.9</v>
      </c>
      <c r="X10" s="100" t="n">
        <f aca="false">Pipeline!$Q$17*Pipeline!$D$17*MIN(1,MAX(0,(22-Pipeline!$E$17+1)/MAX(Pipeline!$F$17,1)))</f>
        <v>234.9</v>
      </c>
      <c r="Y10" s="100" t="n">
        <f aca="false">Pipeline!$Q$17*Pipeline!$D$17*MIN(1,MAX(0,(23-Pipeline!$E$17+1)/MAX(Pipeline!$F$17,1)))</f>
        <v>234.9</v>
      </c>
      <c r="Z10" s="100" t="n">
        <f aca="false">Pipeline!$Q$17*Pipeline!$D$17*MIN(1,MAX(0,(24-Pipeline!$E$17+1)/MAX(Pipeline!$F$17,1)))</f>
        <v>234.9</v>
      </c>
      <c r="AA10" s="100" t="n">
        <f aca="false">Pipeline!$Q$17*Pipeline!$D$17*MIN(1,MAX(0,(25-Pipeline!$E$17+1)/MAX(Pipeline!$F$17,1)))</f>
        <v>234.9</v>
      </c>
      <c r="AB10" s="100" t="n">
        <f aca="false">Pipeline!$Q$17*Pipeline!$D$17*MIN(1,MAX(0,(26-Pipeline!$E$17+1)/MAX(Pipeline!$F$17,1)))</f>
        <v>234.9</v>
      </c>
      <c r="AC10" s="100" t="n">
        <f aca="false">Pipeline!$Q$17*Pipeline!$D$17*MIN(1,MAX(0,(27-Pipeline!$E$17+1)/MAX(Pipeline!$F$17,1)))</f>
        <v>234.9</v>
      </c>
      <c r="AD10" s="100" t="n">
        <f aca="false">Pipeline!$Q$17*Pipeline!$D$17*MIN(1,MAX(0,(28-Pipeline!$E$17+1)/MAX(Pipeline!$F$17,1)))</f>
        <v>234.9</v>
      </c>
      <c r="AE10" s="100" t="n">
        <f aca="false">Pipeline!$Q$17*Pipeline!$D$17*MIN(1,MAX(0,(29-Pipeline!$E$17+1)/MAX(Pipeline!$F$17,1)))</f>
        <v>234.9</v>
      </c>
      <c r="AF10" s="100" t="n">
        <f aca="false">Pipeline!$Q$17*Pipeline!$D$17*MIN(1,MAX(0,(30-Pipeline!$E$17+1)/MAX(Pipeline!$F$17,1)))</f>
        <v>234.9</v>
      </c>
      <c r="AG10" s="100" t="n">
        <f aca="false">Pipeline!$Q$17*Pipeline!$D$17*MIN(1,MAX(0,(31-Pipeline!$E$17+1)/MAX(Pipeline!$F$17,1)))</f>
        <v>234.9</v>
      </c>
      <c r="AH10" s="100" t="n">
        <f aca="false">Pipeline!$Q$17*Pipeline!$D$17*MIN(1,MAX(0,(32-Pipeline!$E$17+1)/MAX(Pipeline!$F$17,1)))</f>
        <v>234.9</v>
      </c>
      <c r="AI10" s="100" t="n">
        <f aca="false">Pipeline!$Q$17*Pipeline!$D$17*MIN(1,MAX(0,(33-Pipeline!$E$17+1)/MAX(Pipeline!$F$17,1)))</f>
        <v>234.9</v>
      </c>
      <c r="AJ10" s="100" t="n">
        <f aca="false">Pipeline!$Q$17*Pipeline!$D$17*MIN(1,MAX(0,(34-Pipeline!$E$17+1)/MAX(Pipeline!$F$17,1)))</f>
        <v>234.9</v>
      </c>
      <c r="AK10" s="100" t="n">
        <f aca="false">Pipeline!$Q$17*Pipeline!$D$17*MIN(1,MAX(0,(35-Pipeline!$E$17+1)/MAX(Pipeline!$F$17,1)))</f>
        <v>234.9</v>
      </c>
      <c r="AL10" s="100" t="n">
        <f aca="false">Pipeline!$Q$17*Pipeline!$D$17*MIN(1,MAX(0,(36-Pipeline!$E$17+1)/MAX(Pipeline!$F$17,1)))</f>
        <v>234.9</v>
      </c>
      <c r="AM10" s="100" t="n">
        <f aca="false">Pipeline!$Q$17*Pipeline!$D$17*MIN(1,MAX(0,(37-Pipeline!$E$17+1)/MAX(Pipeline!$F$17,1)))</f>
        <v>234.9</v>
      </c>
      <c r="AN10" s="100" t="n">
        <f aca="false">Pipeline!$Q$17*Pipeline!$D$17*MIN(1,MAX(0,(38-Pipeline!$E$17+1)/MAX(Pipeline!$F$17,1)))</f>
        <v>234.9</v>
      </c>
      <c r="AO10" s="100" t="n">
        <f aca="false">Pipeline!$Q$17*Pipeline!$D$17*MIN(1,MAX(0,(39-Pipeline!$E$17+1)/MAX(Pipeline!$F$17,1)))</f>
        <v>234.9</v>
      </c>
      <c r="AP10" s="100" t="n">
        <f aca="false">Pipeline!$Q$17*Pipeline!$D$17*MIN(1,MAX(0,(40-Pipeline!$E$17+1)/MAX(Pipeline!$F$17,1)))</f>
        <v>234.9</v>
      </c>
      <c r="AQ10" s="100" t="n">
        <f aca="false">Pipeline!$Q$17*Pipeline!$D$17*MIN(1,MAX(0,(41-Pipeline!$E$17+1)/MAX(Pipeline!$F$17,1)))</f>
        <v>234.9</v>
      </c>
      <c r="AR10" s="100" t="n">
        <f aca="false">Pipeline!$Q$17*Pipeline!$D$17*MIN(1,MAX(0,(42-Pipeline!$E$17+1)/MAX(Pipeline!$F$17,1)))</f>
        <v>234.9</v>
      </c>
      <c r="AS10" s="100" t="n">
        <f aca="false">Pipeline!$Q$17*Pipeline!$D$17*MIN(1,MAX(0,(43-Pipeline!$E$17+1)/MAX(Pipeline!$F$17,1)))</f>
        <v>234.9</v>
      </c>
      <c r="AT10" s="100" t="n">
        <f aca="false">Pipeline!$Q$17*Pipeline!$D$17*MIN(1,MAX(0,(44-Pipeline!$E$17+1)/MAX(Pipeline!$F$17,1)))</f>
        <v>234.9</v>
      </c>
      <c r="AU10" s="100" t="n">
        <f aca="false">Pipeline!$Q$17*Pipeline!$D$17*MIN(1,MAX(0,(45-Pipeline!$E$17+1)/MAX(Pipeline!$F$17,1)))</f>
        <v>234.9</v>
      </c>
      <c r="AV10" s="100" t="n">
        <f aca="false">Pipeline!$Q$17*Pipeline!$D$17*MIN(1,MAX(0,(46-Pipeline!$E$17+1)/MAX(Pipeline!$F$17,1)))</f>
        <v>234.9</v>
      </c>
      <c r="AW10" s="100" t="n">
        <f aca="false">Pipeline!$Q$17*Pipeline!$D$17*MIN(1,MAX(0,(47-Pipeline!$E$17+1)/MAX(Pipeline!$F$17,1)))</f>
        <v>234.9</v>
      </c>
      <c r="AX10" s="100" t="n">
        <f aca="false">Pipeline!$Q$17*Pipeline!$D$17*MIN(1,MAX(0,(48-Pipeline!$E$17+1)/MAX(Pipeline!$F$17,1)))</f>
        <v>234.9</v>
      </c>
      <c r="AY10" s="100" t="n">
        <f aca="false">Pipeline!$Q$17*Pipeline!$D$17*MIN(1,MAX(0,(49-Pipeline!$E$17+1)/MAX(Pipeline!$F$17,1)))</f>
        <v>234.9</v>
      </c>
      <c r="AZ10" s="100" t="n">
        <f aca="false">Pipeline!$Q$17*Pipeline!$D$17*MIN(1,MAX(0,(50-Pipeline!$E$17+1)/MAX(Pipeline!$F$17,1)))</f>
        <v>234.9</v>
      </c>
      <c r="BA10" s="100" t="n">
        <f aca="false">Pipeline!$Q$17*Pipeline!$D$17*MIN(1,MAX(0,(51-Pipeline!$E$17+1)/MAX(Pipeline!$F$17,1)))</f>
        <v>234.9</v>
      </c>
      <c r="BB10" s="100" t="n">
        <f aca="false">Pipeline!$Q$17*Pipeline!$D$17*MIN(1,MAX(0,(52-Pipeline!$E$17+1)/MAX(Pipeline!$F$17,1)))</f>
        <v>234.9</v>
      </c>
      <c r="BC10" s="100" t="n">
        <f aca="false">Pipeline!$Q$17*Pipeline!$D$17*MIN(1,MAX(0,(53-Pipeline!$E$17+1)/MAX(Pipeline!$F$17,1)))</f>
        <v>234.9</v>
      </c>
      <c r="BD10" s="100" t="n">
        <f aca="false">Pipeline!$Q$17*Pipeline!$D$17*MIN(1,MAX(0,(54-Pipeline!$E$17+1)/MAX(Pipeline!$F$17,1)))</f>
        <v>234.9</v>
      </c>
      <c r="BE10" s="100" t="n">
        <f aca="false">Pipeline!$Q$17*Pipeline!$D$17*MIN(1,MAX(0,(55-Pipeline!$E$17+1)/MAX(Pipeline!$F$17,1)))</f>
        <v>234.9</v>
      </c>
      <c r="BF10" s="100" t="n">
        <f aca="false">Pipeline!$Q$17*Pipeline!$D$17*MIN(1,MAX(0,(56-Pipeline!$E$17+1)/MAX(Pipeline!$F$17,1)))</f>
        <v>234.9</v>
      </c>
      <c r="BG10" s="100" t="n">
        <f aca="false">Pipeline!$Q$17*Pipeline!$D$17*MIN(1,MAX(0,(57-Pipeline!$E$17+1)/MAX(Pipeline!$F$17,1)))</f>
        <v>234.9</v>
      </c>
      <c r="BH10" s="100" t="n">
        <f aca="false">Pipeline!$Q$17*Pipeline!$D$17*MIN(1,MAX(0,(58-Pipeline!$E$17+1)/MAX(Pipeline!$F$17,1)))</f>
        <v>234.9</v>
      </c>
      <c r="BI10" s="100" t="n">
        <f aca="false">Pipeline!$Q$17*Pipeline!$D$17*MIN(1,MAX(0,(59-Pipeline!$E$17+1)/MAX(Pipeline!$F$17,1)))</f>
        <v>234.9</v>
      </c>
      <c r="BJ10" s="100" t="n">
        <f aca="false">Pipeline!$Q$17*Pipeline!$D$17*MIN(1,MAX(0,(60-Pipeline!$E$17+1)/MAX(Pipeline!$F$17,1)))</f>
        <v>234.9</v>
      </c>
      <c r="BK10" s="100" t="n">
        <f aca="false">Pipeline!$Q$17*Pipeline!$D$17*MIN(1,MAX(0,(61-Pipeline!$E$17+1)/MAX(Pipeline!$F$17,1)))</f>
        <v>234.9</v>
      </c>
      <c r="BL10" s="100" t="n">
        <f aca="false">Pipeline!$Q$17*Pipeline!$D$17*MIN(1,MAX(0,(62-Pipeline!$E$17+1)/MAX(Pipeline!$F$17,1)))</f>
        <v>234.9</v>
      </c>
      <c r="BM10" s="100" t="n">
        <f aca="false">Pipeline!$Q$17*Pipeline!$D$17*MIN(1,MAX(0,(63-Pipeline!$E$17+1)/MAX(Pipeline!$F$17,1)))</f>
        <v>234.9</v>
      </c>
      <c r="BN10" s="100" t="n">
        <f aca="false">Pipeline!$Q$17*Pipeline!$D$17*MIN(1,MAX(0,(64-Pipeline!$E$17+1)/MAX(Pipeline!$F$17,1)))</f>
        <v>234.9</v>
      </c>
      <c r="BO10" s="100" t="n">
        <f aca="false">Pipeline!$Q$17*Pipeline!$D$17*MIN(1,MAX(0,(65-Pipeline!$E$17+1)/MAX(Pipeline!$F$17,1)))</f>
        <v>234.9</v>
      </c>
      <c r="BP10" s="100" t="n">
        <f aca="false">Pipeline!$Q$17*Pipeline!$D$17*MIN(1,MAX(0,(66-Pipeline!$E$17+1)/MAX(Pipeline!$F$17,1)))</f>
        <v>234.9</v>
      </c>
      <c r="BQ10" s="100" t="n">
        <f aca="false">Pipeline!$Q$17*Pipeline!$D$17*MIN(1,MAX(0,(67-Pipeline!$E$17+1)/MAX(Pipeline!$F$17,1)))</f>
        <v>234.9</v>
      </c>
      <c r="BR10" s="100" t="n">
        <f aca="false">Pipeline!$Q$17*Pipeline!$D$17*MIN(1,MAX(0,(68-Pipeline!$E$17+1)/MAX(Pipeline!$F$17,1)))</f>
        <v>234.9</v>
      </c>
      <c r="BS10" s="100" t="n">
        <f aca="false">Pipeline!$Q$17*Pipeline!$D$17*MIN(1,MAX(0,(69-Pipeline!$E$17+1)/MAX(Pipeline!$F$17,1)))</f>
        <v>234.9</v>
      </c>
      <c r="BT10" s="100" t="n">
        <f aca="false">Pipeline!$Q$17*Pipeline!$D$17*MIN(1,MAX(0,(70-Pipeline!$E$17+1)/MAX(Pipeline!$F$17,1)))</f>
        <v>234.9</v>
      </c>
      <c r="BU10" s="100" t="n">
        <f aca="false">Pipeline!$Q$17*Pipeline!$D$17*MIN(1,MAX(0,(71-Pipeline!$E$17+1)/MAX(Pipeline!$F$17,1)))</f>
        <v>234.9</v>
      </c>
      <c r="BV10" s="100" t="n">
        <f aca="false">Pipeline!$Q$17*Pipeline!$D$17*MIN(1,MAX(0,(72-Pipeline!$E$17+1)/MAX(Pipeline!$F$17,1)))</f>
        <v>234.9</v>
      </c>
      <c r="BW10" s="100" t="n">
        <f aca="false">Pipeline!$Q$17*Pipeline!$D$17*MIN(1,MAX(0,(73-Pipeline!$E$17+1)/MAX(Pipeline!$F$17,1)))</f>
        <v>234.9</v>
      </c>
      <c r="BX10" s="100" t="n">
        <f aca="false">Pipeline!$Q$17*Pipeline!$D$17*MIN(1,MAX(0,(74-Pipeline!$E$17+1)/MAX(Pipeline!$F$17,1)))</f>
        <v>234.9</v>
      </c>
      <c r="BY10" s="100" t="n">
        <f aca="false">Pipeline!$Q$17*Pipeline!$D$17*MIN(1,MAX(0,(75-Pipeline!$E$17+1)/MAX(Pipeline!$F$17,1)))</f>
        <v>234.9</v>
      </c>
      <c r="BZ10" s="100" t="n">
        <f aca="false">Pipeline!$Q$17*Pipeline!$D$17*MIN(1,MAX(0,(76-Pipeline!$E$17+1)/MAX(Pipeline!$F$17,1)))</f>
        <v>234.9</v>
      </c>
      <c r="CA10" s="100" t="n">
        <f aca="false">Pipeline!$Q$17*Pipeline!$D$17*MIN(1,MAX(0,(77-Pipeline!$E$17+1)/MAX(Pipeline!$F$17,1)))</f>
        <v>234.9</v>
      </c>
      <c r="CB10" s="100" t="n">
        <f aca="false">Pipeline!$Q$17*Pipeline!$D$17*MIN(1,MAX(0,(78-Pipeline!$E$17+1)/MAX(Pipeline!$F$17,1)))</f>
        <v>234.9</v>
      </c>
      <c r="CC10" s="100" t="n">
        <f aca="false">Pipeline!$Q$17*Pipeline!$D$17*MIN(1,MAX(0,(79-Pipeline!$E$17+1)/MAX(Pipeline!$F$17,1)))</f>
        <v>234.9</v>
      </c>
      <c r="CD10" s="100" t="n">
        <f aca="false">Pipeline!$Q$17*Pipeline!$D$17*MIN(1,MAX(0,(80-Pipeline!$E$17+1)/MAX(Pipeline!$F$17,1)))</f>
        <v>234.9</v>
      </c>
      <c r="CE10" s="100" t="n">
        <f aca="false">Pipeline!$Q$17*Pipeline!$D$17*MIN(1,MAX(0,(81-Pipeline!$E$17+1)/MAX(Pipeline!$F$17,1)))</f>
        <v>234.9</v>
      </c>
      <c r="CF10" s="100" t="n">
        <f aca="false">Pipeline!$Q$17*Pipeline!$D$17*MIN(1,MAX(0,(82-Pipeline!$E$17+1)/MAX(Pipeline!$F$17,1)))</f>
        <v>234.9</v>
      </c>
      <c r="CG10" s="100" t="n">
        <f aca="false">Pipeline!$Q$17*Pipeline!$D$17*MIN(1,MAX(0,(83-Pipeline!$E$17+1)/MAX(Pipeline!$F$17,1)))</f>
        <v>234.9</v>
      </c>
      <c r="CH10" s="100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6" t="s">
        <v>491</v>
      </c>
      <c r="C11" s="100" t="n">
        <f aca="false">Pipeline!$Q$18*Pipeline!$D$18*MIN(1,MAX(0,(1-Pipeline!$E$18+1)/MAX(Pipeline!$F$18,1)))</f>
        <v>0</v>
      </c>
      <c r="D11" s="100" t="n">
        <f aca="false">Pipeline!$Q$18*Pipeline!$D$18*MIN(1,MAX(0,(2-Pipeline!$E$18+1)/MAX(Pipeline!$F$18,1)))</f>
        <v>0</v>
      </c>
      <c r="E11" s="100" t="n">
        <f aca="false">Pipeline!$Q$18*Pipeline!$D$18*MIN(1,MAX(0,(3-Pipeline!$E$18+1)/MAX(Pipeline!$F$18,1)))</f>
        <v>1178.578125</v>
      </c>
      <c r="F11" s="100" t="n">
        <f aca="false">Pipeline!$Q$18*Pipeline!$D$18*MIN(1,MAX(0,(4-Pipeline!$E$18+1)/MAX(Pipeline!$F$18,1)))</f>
        <v>2357.15625</v>
      </c>
      <c r="G11" s="100" t="n">
        <f aca="false">Pipeline!$Q$18*Pipeline!$D$18*MIN(1,MAX(0,(5-Pipeline!$E$18+1)/MAX(Pipeline!$F$18,1)))</f>
        <v>3535.734375</v>
      </c>
      <c r="H11" s="100" t="n">
        <f aca="false">Pipeline!$Q$18*Pipeline!$D$18*MIN(1,MAX(0,(6-Pipeline!$E$18+1)/MAX(Pipeline!$F$18,1)))</f>
        <v>4714.3125</v>
      </c>
      <c r="I11" s="100" t="n">
        <f aca="false">Pipeline!$Q$18*Pipeline!$D$18*MIN(1,MAX(0,(7-Pipeline!$E$18+1)/MAX(Pipeline!$F$18,1)))</f>
        <v>5892.890625</v>
      </c>
      <c r="J11" s="100" t="n">
        <f aca="false">Pipeline!$Q$18*Pipeline!$D$18*MIN(1,MAX(0,(8-Pipeline!$E$18+1)/MAX(Pipeline!$F$18,1)))</f>
        <v>7071.46875</v>
      </c>
      <c r="K11" s="100" t="n">
        <f aca="false">Pipeline!$Q$18*Pipeline!$D$18*MIN(1,MAX(0,(9-Pipeline!$E$18+1)/MAX(Pipeline!$F$18,1)))</f>
        <v>8250.046875</v>
      </c>
      <c r="L11" s="100" t="n">
        <f aca="false">Pipeline!$Q$18*Pipeline!$D$18*MIN(1,MAX(0,(10-Pipeline!$E$18+1)/MAX(Pipeline!$F$18,1)))</f>
        <v>9428.625</v>
      </c>
      <c r="M11" s="100" t="n">
        <f aca="false">Pipeline!$Q$18*Pipeline!$D$18*MIN(1,MAX(0,(11-Pipeline!$E$18+1)/MAX(Pipeline!$F$18,1)))</f>
        <v>9428.625</v>
      </c>
      <c r="N11" s="100" t="n">
        <f aca="false">Pipeline!$Q$18*Pipeline!$D$18*MIN(1,MAX(0,(12-Pipeline!$E$18+1)/MAX(Pipeline!$F$18,1)))</f>
        <v>9428.625</v>
      </c>
      <c r="O11" s="100" t="n">
        <f aca="false">Pipeline!$Q$18*Pipeline!$D$18*MIN(1,MAX(0,(13-Pipeline!$E$18+1)/MAX(Pipeline!$F$18,1)))</f>
        <v>9428.625</v>
      </c>
      <c r="P11" s="100" t="n">
        <f aca="false">Pipeline!$Q$18*Pipeline!$D$18*MIN(1,MAX(0,(14-Pipeline!$E$18+1)/MAX(Pipeline!$F$18,1)))</f>
        <v>9428.625</v>
      </c>
      <c r="Q11" s="100" t="n">
        <f aca="false">Pipeline!$Q$18*Pipeline!$D$18*MIN(1,MAX(0,(15-Pipeline!$E$18+1)/MAX(Pipeline!$F$18,1)))</f>
        <v>9428.625</v>
      </c>
      <c r="R11" s="100" t="n">
        <f aca="false">Pipeline!$Q$18*Pipeline!$D$18*MIN(1,MAX(0,(16-Pipeline!$E$18+1)/MAX(Pipeline!$F$18,1)))</f>
        <v>9428.625</v>
      </c>
      <c r="S11" s="100" t="n">
        <f aca="false">Pipeline!$Q$18*Pipeline!$D$18*MIN(1,MAX(0,(17-Pipeline!$E$18+1)/MAX(Pipeline!$F$18,1)))</f>
        <v>9428.625</v>
      </c>
      <c r="T11" s="100" t="n">
        <f aca="false">Pipeline!$Q$18*Pipeline!$D$18*MIN(1,MAX(0,(18-Pipeline!$E$18+1)/MAX(Pipeline!$F$18,1)))</f>
        <v>9428.625</v>
      </c>
      <c r="U11" s="100" t="n">
        <f aca="false">Pipeline!$Q$18*Pipeline!$D$18*MIN(1,MAX(0,(19-Pipeline!$E$18+1)/MAX(Pipeline!$F$18,1)))</f>
        <v>9428.625</v>
      </c>
      <c r="V11" s="100" t="n">
        <f aca="false">Pipeline!$Q$18*Pipeline!$D$18*MIN(1,MAX(0,(20-Pipeline!$E$18+1)/MAX(Pipeline!$F$18,1)))</f>
        <v>9428.625</v>
      </c>
      <c r="W11" s="100" t="n">
        <f aca="false">Pipeline!$Q$18*Pipeline!$D$18*MIN(1,MAX(0,(21-Pipeline!$E$18+1)/MAX(Pipeline!$F$18,1)))</f>
        <v>9428.625</v>
      </c>
      <c r="X11" s="100" t="n">
        <f aca="false">Pipeline!$Q$18*Pipeline!$D$18*MIN(1,MAX(0,(22-Pipeline!$E$18+1)/MAX(Pipeline!$F$18,1)))</f>
        <v>9428.625</v>
      </c>
      <c r="Y11" s="100" t="n">
        <f aca="false">Pipeline!$Q$18*Pipeline!$D$18*MIN(1,MAX(0,(23-Pipeline!$E$18+1)/MAX(Pipeline!$F$18,1)))</f>
        <v>9428.625</v>
      </c>
      <c r="Z11" s="100" t="n">
        <f aca="false">Pipeline!$Q$18*Pipeline!$D$18*MIN(1,MAX(0,(24-Pipeline!$E$18+1)/MAX(Pipeline!$F$18,1)))</f>
        <v>9428.625</v>
      </c>
      <c r="AA11" s="100" t="n">
        <f aca="false">Pipeline!$Q$18*Pipeline!$D$18*MIN(1,MAX(0,(25-Pipeline!$E$18+1)/MAX(Pipeline!$F$18,1)))</f>
        <v>9428.625</v>
      </c>
      <c r="AB11" s="100" t="n">
        <f aca="false">Pipeline!$Q$18*Pipeline!$D$18*MIN(1,MAX(0,(26-Pipeline!$E$18+1)/MAX(Pipeline!$F$18,1)))</f>
        <v>9428.625</v>
      </c>
      <c r="AC11" s="100" t="n">
        <f aca="false">Pipeline!$Q$18*Pipeline!$D$18*MIN(1,MAX(0,(27-Pipeline!$E$18+1)/MAX(Pipeline!$F$18,1)))</f>
        <v>9428.625</v>
      </c>
      <c r="AD11" s="100" t="n">
        <f aca="false">Pipeline!$Q$18*Pipeline!$D$18*MIN(1,MAX(0,(28-Pipeline!$E$18+1)/MAX(Pipeline!$F$18,1)))</f>
        <v>9428.625</v>
      </c>
      <c r="AE11" s="100" t="n">
        <f aca="false">Pipeline!$Q$18*Pipeline!$D$18*MIN(1,MAX(0,(29-Pipeline!$E$18+1)/MAX(Pipeline!$F$18,1)))</f>
        <v>9428.625</v>
      </c>
      <c r="AF11" s="100" t="n">
        <f aca="false">Pipeline!$Q$18*Pipeline!$D$18*MIN(1,MAX(0,(30-Pipeline!$E$18+1)/MAX(Pipeline!$F$18,1)))</f>
        <v>9428.625</v>
      </c>
      <c r="AG11" s="100" t="n">
        <f aca="false">Pipeline!$Q$18*Pipeline!$D$18*MIN(1,MAX(0,(31-Pipeline!$E$18+1)/MAX(Pipeline!$F$18,1)))</f>
        <v>9428.625</v>
      </c>
      <c r="AH11" s="100" t="n">
        <f aca="false">Pipeline!$Q$18*Pipeline!$D$18*MIN(1,MAX(0,(32-Pipeline!$E$18+1)/MAX(Pipeline!$F$18,1)))</f>
        <v>9428.625</v>
      </c>
      <c r="AI11" s="100" t="n">
        <f aca="false">Pipeline!$Q$18*Pipeline!$D$18*MIN(1,MAX(0,(33-Pipeline!$E$18+1)/MAX(Pipeline!$F$18,1)))</f>
        <v>9428.625</v>
      </c>
      <c r="AJ11" s="100" t="n">
        <f aca="false">Pipeline!$Q$18*Pipeline!$D$18*MIN(1,MAX(0,(34-Pipeline!$E$18+1)/MAX(Pipeline!$F$18,1)))</f>
        <v>9428.625</v>
      </c>
      <c r="AK11" s="100" t="n">
        <f aca="false">Pipeline!$Q$18*Pipeline!$D$18*MIN(1,MAX(0,(35-Pipeline!$E$18+1)/MAX(Pipeline!$F$18,1)))</f>
        <v>9428.625</v>
      </c>
      <c r="AL11" s="100" t="n">
        <f aca="false">Pipeline!$Q$18*Pipeline!$D$18*MIN(1,MAX(0,(36-Pipeline!$E$18+1)/MAX(Pipeline!$F$18,1)))</f>
        <v>9428.625</v>
      </c>
      <c r="AM11" s="100" t="n">
        <f aca="false">Pipeline!$Q$18*Pipeline!$D$18*MIN(1,MAX(0,(37-Pipeline!$E$18+1)/MAX(Pipeline!$F$18,1)))</f>
        <v>9428.625</v>
      </c>
      <c r="AN11" s="100" t="n">
        <f aca="false">Pipeline!$Q$18*Pipeline!$D$18*MIN(1,MAX(0,(38-Pipeline!$E$18+1)/MAX(Pipeline!$F$18,1)))</f>
        <v>9428.625</v>
      </c>
      <c r="AO11" s="100" t="n">
        <f aca="false">Pipeline!$Q$18*Pipeline!$D$18*MIN(1,MAX(0,(39-Pipeline!$E$18+1)/MAX(Pipeline!$F$18,1)))</f>
        <v>9428.625</v>
      </c>
      <c r="AP11" s="100" t="n">
        <f aca="false">Pipeline!$Q$18*Pipeline!$D$18*MIN(1,MAX(0,(40-Pipeline!$E$18+1)/MAX(Pipeline!$F$18,1)))</f>
        <v>9428.625</v>
      </c>
      <c r="AQ11" s="100" t="n">
        <f aca="false">Pipeline!$Q$18*Pipeline!$D$18*MIN(1,MAX(0,(41-Pipeline!$E$18+1)/MAX(Pipeline!$F$18,1)))</f>
        <v>9428.625</v>
      </c>
      <c r="AR11" s="100" t="n">
        <f aca="false">Pipeline!$Q$18*Pipeline!$D$18*MIN(1,MAX(0,(42-Pipeline!$E$18+1)/MAX(Pipeline!$F$18,1)))</f>
        <v>9428.625</v>
      </c>
      <c r="AS11" s="100" t="n">
        <f aca="false">Pipeline!$Q$18*Pipeline!$D$18*MIN(1,MAX(0,(43-Pipeline!$E$18+1)/MAX(Pipeline!$F$18,1)))</f>
        <v>9428.625</v>
      </c>
      <c r="AT11" s="100" t="n">
        <f aca="false">Pipeline!$Q$18*Pipeline!$D$18*MIN(1,MAX(0,(44-Pipeline!$E$18+1)/MAX(Pipeline!$F$18,1)))</f>
        <v>9428.625</v>
      </c>
      <c r="AU11" s="100" t="n">
        <f aca="false">Pipeline!$Q$18*Pipeline!$D$18*MIN(1,MAX(0,(45-Pipeline!$E$18+1)/MAX(Pipeline!$F$18,1)))</f>
        <v>9428.625</v>
      </c>
      <c r="AV11" s="100" t="n">
        <f aca="false">Pipeline!$Q$18*Pipeline!$D$18*MIN(1,MAX(0,(46-Pipeline!$E$18+1)/MAX(Pipeline!$F$18,1)))</f>
        <v>9428.625</v>
      </c>
      <c r="AW11" s="100" t="n">
        <f aca="false">Pipeline!$Q$18*Pipeline!$D$18*MIN(1,MAX(0,(47-Pipeline!$E$18+1)/MAX(Pipeline!$F$18,1)))</f>
        <v>9428.625</v>
      </c>
      <c r="AX11" s="100" t="n">
        <f aca="false">Pipeline!$Q$18*Pipeline!$D$18*MIN(1,MAX(0,(48-Pipeline!$E$18+1)/MAX(Pipeline!$F$18,1)))</f>
        <v>9428.625</v>
      </c>
      <c r="AY11" s="100" t="n">
        <f aca="false">Pipeline!$Q$18*Pipeline!$D$18*MIN(1,MAX(0,(49-Pipeline!$E$18+1)/MAX(Pipeline!$F$18,1)))</f>
        <v>9428.625</v>
      </c>
      <c r="AZ11" s="100" t="n">
        <f aca="false">Pipeline!$Q$18*Pipeline!$D$18*MIN(1,MAX(0,(50-Pipeline!$E$18+1)/MAX(Pipeline!$F$18,1)))</f>
        <v>9428.625</v>
      </c>
      <c r="BA11" s="100" t="n">
        <f aca="false">Pipeline!$Q$18*Pipeline!$D$18*MIN(1,MAX(0,(51-Pipeline!$E$18+1)/MAX(Pipeline!$F$18,1)))</f>
        <v>9428.625</v>
      </c>
      <c r="BB11" s="100" t="n">
        <f aca="false">Pipeline!$Q$18*Pipeline!$D$18*MIN(1,MAX(0,(52-Pipeline!$E$18+1)/MAX(Pipeline!$F$18,1)))</f>
        <v>9428.625</v>
      </c>
      <c r="BC11" s="100" t="n">
        <f aca="false">Pipeline!$Q$18*Pipeline!$D$18*MIN(1,MAX(0,(53-Pipeline!$E$18+1)/MAX(Pipeline!$F$18,1)))</f>
        <v>9428.625</v>
      </c>
      <c r="BD11" s="100" t="n">
        <f aca="false">Pipeline!$Q$18*Pipeline!$D$18*MIN(1,MAX(0,(54-Pipeline!$E$18+1)/MAX(Pipeline!$F$18,1)))</f>
        <v>9428.625</v>
      </c>
      <c r="BE11" s="100" t="n">
        <f aca="false">Pipeline!$Q$18*Pipeline!$D$18*MIN(1,MAX(0,(55-Pipeline!$E$18+1)/MAX(Pipeline!$F$18,1)))</f>
        <v>9428.625</v>
      </c>
      <c r="BF11" s="100" t="n">
        <f aca="false">Pipeline!$Q$18*Pipeline!$D$18*MIN(1,MAX(0,(56-Pipeline!$E$18+1)/MAX(Pipeline!$F$18,1)))</f>
        <v>9428.625</v>
      </c>
      <c r="BG11" s="100" t="n">
        <f aca="false">Pipeline!$Q$18*Pipeline!$D$18*MIN(1,MAX(0,(57-Pipeline!$E$18+1)/MAX(Pipeline!$F$18,1)))</f>
        <v>9428.625</v>
      </c>
      <c r="BH11" s="100" t="n">
        <f aca="false">Pipeline!$Q$18*Pipeline!$D$18*MIN(1,MAX(0,(58-Pipeline!$E$18+1)/MAX(Pipeline!$F$18,1)))</f>
        <v>9428.625</v>
      </c>
      <c r="BI11" s="100" t="n">
        <f aca="false">Pipeline!$Q$18*Pipeline!$D$18*MIN(1,MAX(0,(59-Pipeline!$E$18+1)/MAX(Pipeline!$F$18,1)))</f>
        <v>9428.625</v>
      </c>
      <c r="BJ11" s="100" t="n">
        <f aca="false">Pipeline!$Q$18*Pipeline!$D$18*MIN(1,MAX(0,(60-Pipeline!$E$18+1)/MAX(Pipeline!$F$18,1)))</f>
        <v>9428.625</v>
      </c>
      <c r="BK11" s="100" t="n">
        <f aca="false">Pipeline!$Q$18*Pipeline!$D$18*MIN(1,MAX(0,(61-Pipeline!$E$18+1)/MAX(Pipeline!$F$18,1)))</f>
        <v>9428.625</v>
      </c>
      <c r="BL11" s="100" t="n">
        <f aca="false">Pipeline!$Q$18*Pipeline!$D$18*MIN(1,MAX(0,(62-Pipeline!$E$18+1)/MAX(Pipeline!$F$18,1)))</f>
        <v>9428.625</v>
      </c>
      <c r="BM11" s="100" t="n">
        <f aca="false">Pipeline!$Q$18*Pipeline!$D$18*MIN(1,MAX(0,(63-Pipeline!$E$18+1)/MAX(Pipeline!$F$18,1)))</f>
        <v>9428.625</v>
      </c>
      <c r="BN11" s="100" t="n">
        <f aca="false">Pipeline!$Q$18*Pipeline!$D$18*MIN(1,MAX(0,(64-Pipeline!$E$18+1)/MAX(Pipeline!$F$18,1)))</f>
        <v>9428.625</v>
      </c>
      <c r="BO11" s="100" t="n">
        <f aca="false">Pipeline!$Q$18*Pipeline!$D$18*MIN(1,MAX(0,(65-Pipeline!$E$18+1)/MAX(Pipeline!$F$18,1)))</f>
        <v>9428.625</v>
      </c>
      <c r="BP11" s="100" t="n">
        <f aca="false">Pipeline!$Q$18*Pipeline!$D$18*MIN(1,MAX(0,(66-Pipeline!$E$18+1)/MAX(Pipeline!$F$18,1)))</f>
        <v>9428.625</v>
      </c>
      <c r="BQ11" s="100" t="n">
        <f aca="false">Pipeline!$Q$18*Pipeline!$D$18*MIN(1,MAX(0,(67-Pipeline!$E$18+1)/MAX(Pipeline!$F$18,1)))</f>
        <v>9428.625</v>
      </c>
      <c r="BR11" s="100" t="n">
        <f aca="false">Pipeline!$Q$18*Pipeline!$D$18*MIN(1,MAX(0,(68-Pipeline!$E$18+1)/MAX(Pipeline!$F$18,1)))</f>
        <v>9428.625</v>
      </c>
      <c r="BS11" s="100" t="n">
        <f aca="false">Pipeline!$Q$18*Pipeline!$D$18*MIN(1,MAX(0,(69-Pipeline!$E$18+1)/MAX(Pipeline!$F$18,1)))</f>
        <v>9428.625</v>
      </c>
      <c r="BT11" s="100" t="n">
        <f aca="false">Pipeline!$Q$18*Pipeline!$D$18*MIN(1,MAX(0,(70-Pipeline!$E$18+1)/MAX(Pipeline!$F$18,1)))</f>
        <v>9428.625</v>
      </c>
      <c r="BU11" s="100" t="n">
        <f aca="false">Pipeline!$Q$18*Pipeline!$D$18*MIN(1,MAX(0,(71-Pipeline!$E$18+1)/MAX(Pipeline!$F$18,1)))</f>
        <v>9428.625</v>
      </c>
      <c r="BV11" s="100" t="n">
        <f aca="false">Pipeline!$Q$18*Pipeline!$D$18*MIN(1,MAX(0,(72-Pipeline!$E$18+1)/MAX(Pipeline!$F$18,1)))</f>
        <v>9428.625</v>
      </c>
      <c r="BW11" s="100" t="n">
        <f aca="false">Pipeline!$Q$18*Pipeline!$D$18*MIN(1,MAX(0,(73-Pipeline!$E$18+1)/MAX(Pipeline!$F$18,1)))</f>
        <v>9428.625</v>
      </c>
      <c r="BX11" s="100" t="n">
        <f aca="false">Pipeline!$Q$18*Pipeline!$D$18*MIN(1,MAX(0,(74-Pipeline!$E$18+1)/MAX(Pipeline!$F$18,1)))</f>
        <v>9428.625</v>
      </c>
      <c r="BY11" s="100" t="n">
        <f aca="false">Pipeline!$Q$18*Pipeline!$D$18*MIN(1,MAX(0,(75-Pipeline!$E$18+1)/MAX(Pipeline!$F$18,1)))</f>
        <v>9428.625</v>
      </c>
      <c r="BZ11" s="100" t="n">
        <f aca="false">Pipeline!$Q$18*Pipeline!$D$18*MIN(1,MAX(0,(76-Pipeline!$E$18+1)/MAX(Pipeline!$F$18,1)))</f>
        <v>9428.625</v>
      </c>
      <c r="CA11" s="100" t="n">
        <f aca="false">Pipeline!$Q$18*Pipeline!$D$18*MIN(1,MAX(0,(77-Pipeline!$E$18+1)/MAX(Pipeline!$F$18,1)))</f>
        <v>9428.625</v>
      </c>
      <c r="CB11" s="100" t="n">
        <f aca="false">Pipeline!$Q$18*Pipeline!$D$18*MIN(1,MAX(0,(78-Pipeline!$E$18+1)/MAX(Pipeline!$F$18,1)))</f>
        <v>9428.625</v>
      </c>
      <c r="CC11" s="100" t="n">
        <f aca="false">Pipeline!$Q$18*Pipeline!$D$18*MIN(1,MAX(0,(79-Pipeline!$E$18+1)/MAX(Pipeline!$F$18,1)))</f>
        <v>9428.625</v>
      </c>
      <c r="CD11" s="100" t="n">
        <f aca="false">Pipeline!$Q$18*Pipeline!$D$18*MIN(1,MAX(0,(80-Pipeline!$E$18+1)/MAX(Pipeline!$F$18,1)))</f>
        <v>9428.625</v>
      </c>
      <c r="CE11" s="100" t="n">
        <f aca="false">Pipeline!$Q$18*Pipeline!$D$18*MIN(1,MAX(0,(81-Pipeline!$E$18+1)/MAX(Pipeline!$F$18,1)))</f>
        <v>9428.625</v>
      </c>
      <c r="CF11" s="100" t="n">
        <f aca="false">Pipeline!$Q$18*Pipeline!$D$18*MIN(1,MAX(0,(82-Pipeline!$E$18+1)/MAX(Pipeline!$F$18,1)))</f>
        <v>9428.625</v>
      </c>
      <c r="CG11" s="100" t="n">
        <f aca="false">Pipeline!$Q$18*Pipeline!$D$18*MIN(1,MAX(0,(83-Pipeline!$E$18+1)/MAX(Pipeline!$F$18,1)))</f>
        <v>9428.625</v>
      </c>
      <c r="CH11" s="100" t="n">
        <f aca="false">Pipeline!$Q$18*Pipeline!$D$18*MIN(1,MAX(0,(84-Pipeline!$E$18+1)/MAX(Pipeline!$F$18,1)))</f>
        <v>9428.625</v>
      </c>
    </row>
    <row r="12" customFormat="false" ht="13.5" hidden="false" customHeight="true" outlineLevel="0" collapsed="false">
      <c r="A12" s="6" t="s">
        <v>492</v>
      </c>
      <c r="C12" s="100" t="n">
        <f aca="false">Pipeline!$Q$19*Pipeline!$D$19*MIN(1,MAX(0,(1-Pipeline!$E$19+1)/MAX(Pipeline!$F$19,1)))</f>
        <v>0</v>
      </c>
      <c r="D12" s="100" t="n">
        <f aca="false">Pipeline!$Q$19*Pipeline!$D$19*MIN(1,MAX(0,(2-Pipeline!$E$19+1)/MAX(Pipeline!$F$19,1)))</f>
        <v>0</v>
      </c>
      <c r="E12" s="100" t="n">
        <f aca="false">Pipeline!$Q$19*Pipeline!$D$19*MIN(1,MAX(0,(3-Pipeline!$E$19+1)/MAX(Pipeline!$F$19,1)))</f>
        <v>0</v>
      </c>
      <c r="F12" s="100" t="n">
        <f aca="false">Pipeline!$Q$19*Pipeline!$D$19*MIN(1,MAX(0,(4-Pipeline!$E$19+1)/MAX(Pipeline!$F$19,1)))</f>
        <v>0</v>
      </c>
      <c r="G12" s="100" t="n">
        <f aca="false">Pipeline!$Q$19*Pipeline!$D$19*MIN(1,MAX(0,(5-Pipeline!$E$19+1)/MAX(Pipeline!$F$19,1)))</f>
        <v>0</v>
      </c>
      <c r="H12" s="100" t="n">
        <f aca="false">Pipeline!$Q$19*Pipeline!$D$19*MIN(1,MAX(0,(6-Pipeline!$E$19+1)/MAX(Pipeline!$F$19,1)))</f>
        <v>717.75</v>
      </c>
      <c r="I12" s="100" t="n">
        <f aca="false">Pipeline!$Q$19*Pipeline!$D$19*MIN(1,MAX(0,(7-Pipeline!$E$19+1)/MAX(Pipeline!$F$19,1)))</f>
        <v>1435.5</v>
      </c>
      <c r="J12" s="100" t="n">
        <f aca="false">Pipeline!$Q$19*Pipeline!$D$19*MIN(1,MAX(0,(8-Pipeline!$E$19+1)/MAX(Pipeline!$F$19,1)))</f>
        <v>2153.25</v>
      </c>
      <c r="K12" s="100" t="n">
        <f aca="false">Pipeline!$Q$19*Pipeline!$D$19*MIN(1,MAX(0,(9-Pipeline!$E$19+1)/MAX(Pipeline!$F$19,1)))</f>
        <v>2871</v>
      </c>
      <c r="L12" s="100" t="n">
        <f aca="false">Pipeline!$Q$19*Pipeline!$D$19*MIN(1,MAX(0,(10-Pipeline!$E$19+1)/MAX(Pipeline!$F$19,1)))</f>
        <v>3588.75</v>
      </c>
      <c r="M12" s="100" t="n">
        <f aca="false">Pipeline!$Q$19*Pipeline!$D$19*MIN(1,MAX(0,(11-Pipeline!$E$19+1)/MAX(Pipeline!$F$19,1)))</f>
        <v>4306.5</v>
      </c>
      <c r="N12" s="100" t="n">
        <f aca="false">Pipeline!$Q$19*Pipeline!$D$19*MIN(1,MAX(0,(12-Pipeline!$E$19+1)/MAX(Pipeline!$F$19,1)))</f>
        <v>5024.25</v>
      </c>
      <c r="O12" s="100" t="n">
        <f aca="false">Pipeline!$Q$19*Pipeline!$D$19*MIN(1,MAX(0,(13-Pipeline!$E$19+1)/MAX(Pipeline!$F$19,1)))</f>
        <v>5742</v>
      </c>
      <c r="P12" s="100" t="n">
        <f aca="false">Pipeline!$Q$19*Pipeline!$D$19*MIN(1,MAX(0,(14-Pipeline!$E$19+1)/MAX(Pipeline!$F$19,1)))</f>
        <v>5742</v>
      </c>
      <c r="Q12" s="100" t="n">
        <f aca="false">Pipeline!$Q$19*Pipeline!$D$19*MIN(1,MAX(0,(15-Pipeline!$E$19+1)/MAX(Pipeline!$F$19,1)))</f>
        <v>5742</v>
      </c>
      <c r="R12" s="100" t="n">
        <f aca="false">Pipeline!$Q$19*Pipeline!$D$19*MIN(1,MAX(0,(16-Pipeline!$E$19+1)/MAX(Pipeline!$F$19,1)))</f>
        <v>5742</v>
      </c>
      <c r="S12" s="100" t="n">
        <f aca="false">Pipeline!$Q$19*Pipeline!$D$19*MIN(1,MAX(0,(17-Pipeline!$E$19+1)/MAX(Pipeline!$F$19,1)))</f>
        <v>5742</v>
      </c>
      <c r="T12" s="100" t="n">
        <f aca="false">Pipeline!$Q$19*Pipeline!$D$19*MIN(1,MAX(0,(18-Pipeline!$E$19+1)/MAX(Pipeline!$F$19,1)))</f>
        <v>5742</v>
      </c>
      <c r="U12" s="100" t="n">
        <f aca="false">Pipeline!$Q$19*Pipeline!$D$19*MIN(1,MAX(0,(19-Pipeline!$E$19+1)/MAX(Pipeline!$F$19,1)))</f>
        <v>5742</v>
      </c>
      <c r="V12" s="100" t="n">
        <f aca="false">Pipeline!$Q$19*Pipeline!$D$19*MIN(1,MAX(0,(20-Pipeline!$E$19+1)/MAX(Pipeline!$F$19,1)))</f>
        <v>5742</v>
      </c>
      <c r="W12" s="100" t="n">
        <f aca="false">Pipeline!$Q$19*Pipeline!$D$19*MIN(1,MAX(0,(21-Pipeline!$E$19+1)/MAX(Pipeline!$F$19,1)))</f>
        <v>5742</v>
      </c>
      <c r="X12" s="100" t="n">
        <f aca="false">Pipeline!$Q$19*Pipeline!$D$19*MIN(1,MAX(0,(22-Pipeline!$E$19+1)/MAX(Pipeline!$F$19,1)))</f>
        <v>5742</v>
      </c>
      <c r="Y12" s="100" t="n">
        <f aca="false">Pipeline!$Q$19*Pipeline!$D$19*MIN(1,MAX(0,(23-Pipeline!$E$19+1)/MAX(Pipeline!$F$19,1)))</f>
        <v>5742</v>
      </c>
      <c r="Z12" s="100" t="n">
        <f aca="false">Pipeline!$Q$19*Pipeline!$D$19*MIN(1,MAX(0,(24-Pipeline!$E$19+1)/MAX(Pipeline!$F$19,1)))</f>
        <v>5742</v>
      </c>
      <c r="AA12" s="100" t="n">
        <f aca="false">Pipeline!$Q$19*Pipeline!$D$19*MIN(1,MAX(0,(25-Pipeline!$E$19+1)/MAX(Pipeline!$F$19,1)))</f>
        <v>5742</v>
      </c>
      <c r="AB12" s="100" t="n">
        <f aca="false">Pipeline!$Q$19*Pipeline!$D$19*MIN(1,MAX(0,(26-Pipeline!$E$19+1)/MAX(Pipeline!$F$19,1)))</f>
        <v>5742</v>
      </c>
      <c r="AC12" s="100" t="n">
        <f aca="false">Pipeline!$Q$19*Pipeline!$D$19*MIN(1,MAX(0,(27-Pipeline!$E$19+1)/MAX(Pipeline!$F$19,1)))</f>
        <v>5742</v>
      </c>
      <c r="AD12" s="100" t="n">
        <f aca="false">Pipeline!$Q$19*Pipeline!$D$19*MIN(1,MAX(0,(28-Pipeline!$E$19+1)/MAX(Pipeline!$F$19,1)))</f>
        <v>5742</v>
      </c>
      <c r="AE12" s="100" t="n">
        <f aca="false">Pipeline!$Q$19*Pipeline!$D$19*MIN(1,MAX(0,(29-Pipeline!$E$19+1)/MAX(Pipeline!$F$19,1)))</f>
        <v>5742</v>
      </c>
      <c r="AF12" s="100" t="n">
        <f aca="false">Pipeline!$Q$19*Pipeline!$D$19*MIN(1,MAX(0,(30-Pipeline!$E$19+1)/MAX(Pipeline!$F$19,1)))</f>
        <v>5742</v>
      </c>
      <c r="AG12" s="100" t="n">
        <f aca="false">Pipeline!$Q$19*Pipeline!$D$19*MIN(1,MAX(0,(31-Pipeline!$E$19+1)/MAX(Pipeline!$F$19,1)))</f>
        <v>5742</v>
      </c>
      <c r="AH12" s="100" t="n">
        <f aca="false">Pipeline!$Q$19*Pipeline!$D$19*MIN(1,MAX(0,(32-Pipeline!$E$19+1)/MAX(Pipeline!$F$19,1)))</f>
        <v>5742</v>
      </c>
      <c r="AI12" s="100" t="n">
        <f aca="false">Pipeline!$Q$19*Pipeline!$D$19*MIN(1,MAX(0,(33-Pipeline!$E$19+1)/MAX(Pipeline!$F$19,1)))</f>
        <v>5742</v>
      </c>
      <c r="AJ12" s="100" t="n">
        <f aca="false">Pipeline!$Q$19*Pipeline!$D$19*MIN(1,MAX(0,(34-Pipeline!$E$19+1)/MAX(Pipeline!$F$19,1)))</f>
        <v>5742</v>
      </c>
      <c r="AK12" s="100" t="n">
        <f aca="false">Pipeline!$Q$19*Pipeline!$D$19*MIN(1,MAX(0,(35-Pipeline!$E$19+1)/MAX(Pipeline!$F$19,1)))</f>
        <v>5742</v>
      </c>
      <c r="AL12" s="100" t="n">
        <f aca="false">Pipeline!$Q$19*Pipeline!$D$19*MIN(1,MAX(0,(36-Pipeline!$E$19+1)/MAX(Pipeline!$F$19,1)))</f>
        <v>5742</v>
      </c>
      <c r="AM12" s="100" t="n">
        <f aca="false">Pipeline!$Q$19*Pipeline!$D$19*MIN(1,MAX(0,(37-Pipeline!$E$19+1)/MAX(Pipeline!$F$19,1)))</f>
        <v>5742</v>
      </c>
      <c r="AN12" s="100" t="n">
        <f aca="false">Pipeline!$Q$19*Pipeline!$D$19*MIN(1,MAX(0,(38-Pipeline!$E$19+1)/MAX(Pipeline!$F$19,1)))</f>
        <v>5742</v>
      </c>
      <c r="AO12" s="100" t="n">
        <f aca="false">Pipeline!$Q$19*Pipeline!$D$19*MIN(1,MAX(0,(39-Pipeline!$E$19+1)/MAX(Pipeline!$F$19,1)))</f>
        <v>5742</v>
      </c>
      <c r="AP12" s="100" t="n">
        <f aca="false">Pipeline!$Q$19*Pipeline!$D$19*MIN(1,MAX(0,(40-Pipeline!$E$19+1)/MAX(Pipeline!$F$19,1)))</f>
        <v>5742</v>
      </c>
      <c r="AQ12" s="100" t="n">
        <f aca="false">Pipeline!$Q$19*Pipeline!$D$19*MIN(1,MAX(0,(41-Pipeline!$E$19+1)/MAX(Pipeline!$F$19,1)))</f>
        <v>5742</v>
      </c>
      <c r="AR12" s="100" t="n">
        <f aca="false">Pipeline!$Q$19*Pipeline!$D$19*MIN(1,MAX(0,(42-Pipeline!$E$19+1)/MAX(Pipeline!$F$19,1)))</f>
        <v>5742</v>
      </c>
      <c r="AS12" s="100" t="n">
        <f aca="false">Pipeline!$Q$19*Pipeline!$D$19*MIN(1,MAX(0,(43-Pipeline!$E$19+1)/MAX(Pipeline!$F$19,1)))</f>
        <v>5742</v>
      </c>
      <c r="AT12" s="100" t="n">
        <f aca="false">Pipeline!$Q$19*Pipeline!$D$19*MIN(1,MAX(0,(44-Pipeline!$E$19+1)/MAX(Pipeline!$F$19,1)))</f>
        <v>5742</v>
      </c>
      <c r="AU12" s="100" t="n">
        <f aca="false">Pipeline!$Q$19*Pipeline!$D$19*MIN(1,MAX(0,(45-Pipeline!$E$19+1)/MAX(Pipeline!$F$19,1)))</f>
        <v>5742</v>
      </c>
      <c r="AV12" s="100" t="n">
        <f aca="false">Pipeline!$Q$19*Pipeline!$D$19*MIN(1,MAX(0,(46-Pipeline!$E$19+1)/MAX(Pipeline!$F$19,1)))</f>
        <v>5742</v>
      </c>
      <c r="AW12" s="100" t="n">
        <f aca="false">Pipeline!$Q$19*Pipeline!$D$19*MIN(1,MAX(0,(47-Pipeline!$E$19+1)/MAX(Pipeline!$F$19,1)))</f>
        <v>5742</v>
      </c>
      <c r="AX12" s="100" t="n">
        <f aca="false">Pipeline!$Q$19*Pipeline!$D$19*MIN(1,MAX(0,(48-Pipeline!$E$19+1)/MAX(Pipeline!$F$19,1)))</f>
        <v>5742</v>
      </c>
      <c r="AY12" s="100" t="n">
        <f aca="false">Pipeline!$Q$19*Pipeline!$D$19*MIN(1,MAX(0,(49-Pipeline!$E$19+1)/MAX(Pipeline!$F$19,1)))</f>
        <v>5742</v>
      </c>
      <c r="AZ12" s="100" t="n">
        <f aca="false">Pipeline!$Q$19*Pipeline!$D$19*MIN(1,MAX(0,(50-Pipeline!$E$19+1)/MAX(Pipeline!$F$19,1)))</f>
        <v>5742</v>
      </c>
      <c r="BA12" s="100" t="n">
        <f aca="false">Pipeline!$Q$19*Pipeline!$D$19*MIN(1,MAX(0,(51-Pipeline!$E$19+1)/MAX(Pipeline!$F$19,1)))</f>
        <v>5742</v>
      </c>
      <c r="BB12" s="100" t="n">
        <f aca="false">Pipeline!$Q$19*Pipeline!$D$19*MIN(1,MAX(0,(52-Pipeline!$E$19+1)/MAX(Pipeline!$F$19,1)))</f>
        <v>5742</v>
      </c>
      <c r="BC12" s="100" t="n">
        <f aca="false">Pipeline!$Q$19*Pipeline!$D$19*MIN(1,MAX(0,(53-Pipeline!$E$19+1)/MAX(Pipeline!$F$19,1)))</f>
        <v>5742</v>
      </c>
      <c r="BD12" s="100" t="n">
        <f aca="false">Pipeline!$Q$19*Pipeline!$D$19*MIN(1,MAX(0,(54-Pipeline!$E$19+1)/MAX(Pipeline!$F$19,1)))</f>
        <v>5742</v>
      </c>
      <c r="BE12" s="100" t="n">
        <f aca="false">Pipeline!$Q$19*Pipeline!$D$19*MIN(1,MAX(0,(55-Pipeline!$E$19+1)/MAX(Pipeline!$F$19,1)))</f>
        <v>5742</v>
      </c>
      <c r="BF12" s="100" t="n">
        <f aca="false">Pipeline!$Q$19*Pipeline!$D$19*MIN(1,MAX(0,(56-Pipeline!$E$19+1)/MAX(Pipeline!$F$19,1)))</f>
        <v>5742</v>
      </c>
      <c r="BG12" s="100" t="n">
        <f aca="false">Pipeline!$Q$19*Pipeline!$D$19*MIN(1,MAX(0,(57-Pipeline!$E$19+1)/MAX(Pipeline!$F$19,1)))</f>
        <v>5742</v>
      </c>
      <c r="BH12" s="100" t="n">
        <f aca="false">Pipeline!$Q$19*Pipeline!$D$19*MIN(1,MAX(0,(58-Pipeline!$E$19+1)/MAX(Pipeline!$F$19,1)))</f>
        <v>5742</v>
      </c>
      <c r="BI12" s="100" t="n">
        <f aca="false">Pipeline!$Q$19*Pipeline!$D$19*MIN(1,MAX(0,(59-Pipeline!$E$19+1)/MAX(Pipeline!$F$19,1)))</f>
        <v>5742</v>
      </c>
      <c r="BJ12" s="100" t="n">
        <f aca="false">Pipeline!$Q$19*Pipeline!$D$19*MIN(1,MAX(0,(60-Pipeline!$E$19+1)/MAX(Pipeline!$F$19,1)))</f>
        <v>5742</v>
      </c>
      <c r="BK12" s="100" t="n">
        <f aca="false">Pipeline!$Q$19*Pipeline!$D$19*MIN(1,MAX(0,(61-Pipeline!$E$19+1)/MAX(Pipeline!$F$19,1)))</f>
        <v>5742</v>
      </c>
      <c r="BL12" s="100" t="n">
        <f aca="false">Pipeline!$Q$19*Pipeline!$D$19*MIN(1,MAX(0,(62-Pipeline!$E$19+1)/MAX(Pipeline!$F$19,1)))</f>
        <v>5742</v>
      </c>
      <c r="BM12" s="100" t="n">
        <f aca="false">Pipeline!$Q$19*Pipeline!$D$19*MIN(1,MAX(0,(63-Pipeline!$E$19+1)/MAX(Pipeline!$F$19,1)))</f>
        <v>5742</v>
      </c>
      <c r="BN12" s="100" t="n">
        <f aca="false">Pipeline!$Q$19*Pipeline!$D$19*MIN(1,MAX(0,(64-Pipeline!$E$19+1)/MAX(Pipeline!$F$19,1)))</f>
        <v>5742</v>
      </c>
      <c r="BO12" s="100" t="n">
        <f aca="false">Pipeline!$Q$19*Pipeline!$D$19*MIN(1,MAX(0,(65-Pipeline!$E$19+1)/MAX(Pipeline!$F$19,1)))</f>
        <v>5742</v>
      </c>
      <c r="BP12" s="100" t="n">
        <f aca="false">Pipeline!$Q$19*Pipeline!$D$19*MIN(1,MAX(0,(66-Pipeline!$E$19+1)/MAX(Pipeline!$F$19,1)))</f>
        <v>5742</v>
      </c>
      <c r="BQ12" s="100" t="n">
        <f aca="false">Pipeline!$Q$19*Pipeline!$D$19*MIN(1,MAX(0,(67-Pipeline!$E$19+1)/MAX(Pipeline!$F$19,1)))</f>
        <v>5742</v>
      </c>
      <c r="BR12" s="100" t="n">
        <f aca="false">Pipeline!$Q$19*Pipeline!$D$19*MIN(1,MAX(0,(68-Pipeline!$E$19+1)/MAX(Pipeline!$F$19,1)))</f>
        <v>5742</v>
      </c>
      <c r="BS12" s="100" t="n">
        <f aca="false">Pipeline!$Q$19*Pipeline!$D$19*MIN(1,MAX(0,(69-Pipeline!$E$19+1)/MAX(Pipeline!$F$19,1)))</f>
        <v>5742</v>
      </c>
      <c r="BT12" s="100" t="n">
        <f aca="false">Pipeline!$Q$19*Pipeline!$D$19*MIN(1,MAX(0,(70-Pipeline!$E$19+1)/MAX(Pipeline!$F$19,1)))</f>
        <v>5742</v>
      </c>
      <c r="BU12" s="100" t="n">
        <f aca="false">Pipeline!$Q$19*Pipeline!$D$19*MIN(1,MAX(0,(71-Pipeline!$E$19+1)/MAX(Pipeline!$F$19,1)))</f>
        <v>5742</v>
      </c>
      <c r="BV12" s="100" t="n">
        <f aca="false">Pipeline!$Q$19*Pipeline!$D$19*MIN(1,MAX(0,(72-Pipeline!$E$19+1)/MAX(Pipeline!$F$19,1)))</f>
        <v>5742</v>
      </c>
      <c r="BW12" s="100" t="n">
        <f aca="false">Pipeline!$Q$19*Pipeline!$D$19*MIN(1,MAX(0,(73-Pipeline!$E$19+1)/MAX(Pipeline!$F$19,1)))</f>
        <v>5742</v>
      </c>
      <c r="BX12" s="100" t="n">
        <f aca="false">Pipeline!$Q$19*Pipeline!$D$19*MIN(1,MAX(0,(74-Pipeline!$E$19+1)/MAX(Pipeline!$F$19,1)))</f>
        <v>5742</v>
      </c>
      <c r="BY12" s="100" t="n">
        <f aca="false">Pipeline!$Q$19*Pipeline!$D$19*MIN(1,MAX(0,(75-Pipeline!$E$19+1)/MAX(Pipeline!$F$19,1)))</f>
        <v>5742</v>
      </c>
      <c r="BZ12" s="100" t="n">
        <f aca="false">Pipeline!$Q$19*Pipeline!$D$19*MIN(1,MAX(0,(76-Pipeline!$E$19+1)/MAX(Pipeline!$F$19,1)))</f>
        <v>5742</v>
      </c>
      <c r="CA12" s="100" t="n">
        <f aca="false">Pipeline!$Q$19*Pipeline!$D$19*MIN(1,MAX(0,(77-Pipeline!$E$19+1)/MAX(Pipeline!$F$19,1)))</f>
        <v>5742</v>
      </c>
      <c r="CB12" s="100" t="n">
        <f aca="false">Pipeline!$Q$19*Pipeline!$D$19*MIN(1,MAX(0,(78-Pipeline!$E$19+1)/MAX(Pipeline!$F$19,1)))</f>
        <v>5742</v>
      </c>
      <c r="CC12" s="100" t="n">
        <f aca="false">Pipeline!$Q$19*Pipeline!$D$19*MIN(1,MAX(0,(79-Pipeline!$E$19+1)/MAX(Pipeline!$F$19,1)))</f>
        <v>5742</v>
      </c>
      <c r="CD12" s="100" t="n">
        <f aca="false">Pipeline!$Q$19*Pipeline!$D$19*MIN(1,MAX(0,(80-Pipeline!$E$19+1)/MAX(Pipeline!$F$19,1)))</f>
        <v>5742</v>
      </c>
      <c r="CE12" s="100" t="n">
        <f aca="false">Pipeline!$Q$19*Pipeline!$D$19*MIN(1,MAX(0,(81-Pipeline!$E$19+1)/MAX(Pipeline!$F$19,1)))</f>
        <v>5742</v>
      </c>
      <c r="CF12" s="100" t="n">
        <f aca="false">Pipeline!$Q$19*Pipeline!$D$19*MIN(1,MAX(0,(82-Pipeline!$E$19+1)/MAX(Pipeline!$F$19,1)))</f>
        <v>5742</v>
      </c>
      <c r="CG12" s="100" t="n">
        <f aca="false">Pipeline!$Q$19*Pipeline!$D$19*MIN(1,MAX(0,(83-Pipeline!$E$19+1)/MAX(Pipeline!$F$19,1)))</f>
        <v>5742</v>
      </c>
      <c r="CH12" s="100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6" t="s">
        <v>493</v>
      </c>
      <c r="C13" s="100" t="n">
        <f aca="false">Pipeline!$Q$20*Pipeline!$D$20*MIN(1,MAX(0,(1-Pipeline!$E$20+1)/MAX(Pipeline!$F$20,1)))</f>
        <v>0</v>
      </c>
      <c r="D13" s="100" t="n">
        <f aca="false">Pipeline!$Q$20*Pipeline!$D$20*MIN(1,MAX(0,(2-Pipeline!$E$20+1)/MAX(Pipeline!$F$20,1)))</f>
        <v>0</v>
      </c>
      <c r="E13" s="100" t="n">
        <f aca="false">Pipeline!$Q$20*Pipeline!$D$20*MIN(1,MAX(0,(3-Pipeline!$E$20+1)/MAX(Pipeline!$F$20,1)))</f>
        <v>0</v>
      </c>
      <c r="F13" s="100" t="n">
        <f aca="false">Pipeline!$Q$20*Pipeline!$D$20*MIN(1,MAX(0,(4-Pipeline!$E$20+1)/MAX(Pipeline!$F$20,1)))</f>
        <v>0</v>
      </c>
      <c r="G13" s="100" t="n">
        <f aca="false">Pipeline!$Q$20*Pipeline!$D$20*MIN(1,MAX(0,(5-Pipeline!$E$20+1)/MAX(Pipeline!$F$20,1)))</f>
        <v>0</v>
      </c>
      <c r="H13" s="100" t="n">
        <f aca="false">Pipeline!$Q$20*Pipeline!$D$20*MIN(1,MAX(0,(6-Pipeline!$E$20+1)/MAX(Pipeline!$F$20,1)))</f>
        <v>0</v>
      </c>
      <c r="I13" s="100" t="n">
        <f aca="false">Pipeline!$Q$20*Pipeline!$D$20*MIN(1,MAX(0,(7-Pipeline!$E$20+1)/MAX(Pipeline!$F$20,1)))</f>
        <v>0</v>
      </c>
      <c r="J13" s="100" t="n">
        <f aca="false">Pipeline!$Q$20*Pipeline!$D$20*MIN(1,MAX(0,(8-Pipeline!$E$20+1)/MAX(Pipeline!$F$20,1)))</f>
        <v>0</v>
      </c>
      <c r="K13" s="100" t="n">
        <f aca="false">Pipeline!$Q$20*Pipeline!$D$20*MIN(1,MAX(0,(9-Pipeline!$E$20+1)/MAX(Pipeline!$F$20,1)))</f>
        <v>0</v>
      </c>
      <c r="L13" s="100" t="n">
        <f aca="false">Pipeline!$Q$20*Pipeline!$D$20*MIN(1,MAX(0,(10-Pipeline!$E$20+1)/MAX(Pipeline!$F$20,1)))</f>
        <v>0</v>
      </c>
      <c r="M13" s="100" t="n">
        <f aca="false">Pipeline!$Q$20*Pipeline!$D$20*MIN(1,MAX(0,(11-Pipeline!$E$20+1)/MAX(Pipeline!$F$20,1)))</f>
        <v>0</v>
      </c>
      <c r="N13" s="100" t="n">
        <f aca="false">Pipeline!$Q$20*Pipeline!$D$20*MIN(1,MAX(0,(12-Pipeline!$E$20+1)/MAX(Pipeline!$F$20,1)))</f>
        <v>978.75</v>
      </c>
      <c r="O13" s="100" t="n">
        <f aca="false">Pipeline!$Q$20*Pipeline!$D$20*MIN(1,MAX(0,(13-Pipeline!$E$20+1)/MAX(Pipeline!$F$20,1)))</f>
        <v>1957.5</v>
      </c>
      <c r="P13" s="100" t="n">
        <f aca="false">Pipeline!$Q$20*Pipeline!$D$20*MIN(1,MAX(0,(14-Pipeline!$E$20+1)/MAX(Pipeline!$F$20,1)))</f>
        <v>2936.25</v>
      </c>
      <c r="Q13" s="100" t="n">
        <f aca="false">Pipeline!$Q$20*Pipeline!$D$20*MIN(1,MAX(0,(15-Pipeline!$E$20+1)/MAX(Pipeline!$F$20,1)))</f>
        <v>3915</v>
      </c>
      <c r="R13" s="100" t="n">
        <f aca="false">Pipeline!$Q$20*Pipeline!$D$20*MIN(1,MAX(0,(16-Pipeline!$E$20+1)/MAX(Pipeline!$F$20,1)))</f>
        <v>4893.75</v>
      </c>
      <c r="S13" s="100" t="n">
        <f aca="false">Pipeline!$Q$20*Pipeline!$D$20*MIN(1,MAX(0,(17-Pipeline!$E$20+1)/MAX(Pipeline!$F$20,1)))</f>
        <v>5872.5</v>
      </c>
      <c r="T13" s="100" t="n">
        <f aca="false">Pipeline!$Q$20*Pipeline!$D$20*MIN(1,MAX(0,(18-Pipeline!$E$20+1)/MAX(Pipeline!$F$20,1)))</f>
        <v>6851.25</v>
      </c>
      <c r="U13" s="100" t="n">
        <f aca="false">Pipeline!$Q$20*Pipeline!$D$20*MIN(1,MAX(0,(19-Pipeline!$E$20+1)/MAX(Pipeline!$F$20,1)))</f>
        <v>7830</v>
      </c>
      <c r="V13" s="100" t="n">
        <f aca="false">Pipeline!$Q$20*Pipeline!$D$20*MIN(1,MAX(0,(20-Pipeline!$E$20+1)/MAX(Pipeline!$F$20,1)))</f>
        <v>8808.75</v>
      </c>
      <c r="W13" s="100" t="n">
        <f aca="false">Pipeline!$Q$20*Pipeline!$D$20*MIN(1,MAX(0,(21-Pipeline!$E$20+1)/MAX(Pipeline!$F$20,1)))</f>
        <v>9787.5</v>
      </c>
      <c r="X13" s="100" t="n">
        <f aca="false">Pipeline!$Q$20*Pipeline!$D$20*MIN(1,MAX(0,(22-Pipeline!$E$20+1)/MAX(Pipeline!$F$20,1)))</f>
        <v>9787.5</v>
      </c>
      <c r="Y13" s="100" t="n">
        <f aca="false">Pipeline!$Q$20*Pipeline!$D$20*MIN(1,MAX(0,(23-Pipeline!$E$20+1)/MAX(Pipeline!$F$20,1)))</f>
        <v>9787.5</v>
      </c>
      <c r="Z13" s="100" t="n">
        <f aca="false">Pipeline!$Q$20*Pipeline!$D$20*MIN(1,MAX(0,(24-Pipeline!$E$20+1)/MAX(Pipeline!$F$20,1)))</f>
        <v>9787.5</v>
      </c>
      <c r="AA13" s="100" t="n">
        <f aca="false">Pipeline!$Q$20*Pipeline!$D$20*MIN(1,MAX(0,(25-Pipeline!$E$20+1)/MAX(Pipeline!$F$20,1)))</f>
        <v>9787.5</v>
      </c>
      <c r="AB13" s="100" t="n">
        <f aca="false">Pipeline!$Q$20*Pipeline!$D$20*MIN(1,MAX(0,(26-Pipeline!$E$20+1)/MAX(Pipeline!$F$20,1)))</f>
        <v>9787.5</v>
      </c>
      <c r="AC13" s="100" t="n">
        <f aca="false">Pipeline!$Q$20*Pipeline!$D$20*MIN(1,MAX(0,(27-Pipeline!$E$20+1)/MAX(Pipeline!$F$20,1)))</f>
        <v>9787.5</v>
      </c>
      <c r="AD13" s="100" t="n">
        <f aca="false">Pipeline!$Q$20*Pipeline!$D$20*MIN(1,MAX(0,(28-Pipeline!$E$20+1)/MAX(Pipeline!$F$20,1)))</f>
        <v>9787.5</v>
      </c>
      <c r="AE13" s="100" t="n">
        <f aca="false">Pipeline!$Q$20*Pipeline!$D$20*MIN(1,MAX(0,(29-Pipeline!$E$20+1)/MAX(Pipeline!$F$20,1)))</f>
        <v>9787.5</v>
      </c>
      <c r="AF13" s="100" t="n">
        <f aca="false">Pipeline!$Q$20*Pipeline!$D$20*MIN(1,MAX(0,(30-Pipeline!$E$20+1)/MAX(Pipeline!$F$20,1)))</f>
        <v>9787.5</v>
      </c>
      <c r="AG13" s="100" t="n">
        <f aca="false">Pipeline!$Q$20*Pipeline!$D$20*MIN(1,MAX(0,(31-Pipeline!$E$20+1)/MAX(Pipeline!$F$20,1)))</f>
        <v>9787.5</v>
      </c>
      <c r="AH13" s="100" t="n">
        <f aca="false">Pipeline!$Q$20*Pipeline!$D$20*MIN(1,MAX(0,(32-Pipeline!$E$20+1)/MAX(Pipeline!$F$20,1)))</f>
        <v>9787.5</v>
      </c>
      <c r="AI13" s="100" t="n">
        <f aca="false">Pipeline!$Q$20*Pipeline!$D$20*MIN(1,MAX(0,(33-Pipeline!$E$20+1)/MAX(Pipeline!$F$20,1)))</f>
        <v>9787.5</v>
      </c>
      <c r="AJ13" s="100" t="n">
        <f aca="false">Pipeline!$Q$20*Pipeline!$D$20*MIN(1,MAX(0,(34-Pipeline!$E$20+1)/MAX(Pipeline!$F$20,1)))</f>
        <v>9787.5</v>
      </c>
      <c r="AK13" s="100" t="n">
        <f aca="false">Pipeline!$Q$20*Pipeline!$D$20*MIN(1,MAX(0,(35-Pipeline!$E$20+1)/MAX(Pipeline!$F$20,1)))</f>
        <v>9787.5</v>
      </c>
      <c r="AL13" s="100" t="n">
        <f aca="false">Pipeline!$Q$20*Pipeline!$D$20*MIN(1,MAX(0,(36-Pipeline!$E$20+1)/MAX(Pipeline!$F$20,1)))</f>
        <v>9787.5</v>
      </c>
      <c r="AM13" s="100" t="n">
        <f aca="false">Pipeline!$Q$20*Pipeline!$D$20*MIN(1,MAX(0,(37-Pipeline!$E$20+1)/MAX(Pipeline!$F$20,1)))</f>
        <v>9787.5</v>
      </c>
      <c r="AN13" s="100" t="n">
        <f aca="false">Pipeline!$Q$20*Pipeline!$D$20*MIN(1,MAX(0,(38-Pipeline!$E$20+1)/MAX(Pipeline!$F$20,1)))</f>
        <v>9787.5</v>
      </c>
      <c r="AO13" s="100" t="n">
        <f aca="false">Pipeline!$Q$20*Pipeline!$D$20*MIN(1,MAX(0,(39-Pipeline!$E$20+1)/MAX(Pipeline!$F$20,1)))</f>
        <v>9787.5</v>
      </c>
      <c r="AP13" s="100" t="n">
        <f aca="false">Pipeline!$Q$20*Pipeline!$D$20*MIN(1,MAX(0,(40-Pipeline!$E$20+1)/MAX(Pipeline!$F$20,1)))</f>
        <v>9787.5</v>
      </c>
      <c r="AQ13" s="100" t="n">
        <f aca="false">Pipeline!$Q$20*Pipeline!$D$20*MIN(1,MAX(0,(41-Pipeline!$E$20+1)/MAX(Pipeline!$F$20,1)))</f>
        <v>9787.5</v>
      </c>
      <c r="AR13" s="100" t="n">
        <f aca="false">Pipeline!$Q$20*Pipeline!$D$20*MIN(1,MAX(0,(42-Pipeline!$E$20+1)/MAX(Pipeline!$F$20,1)))</f>
        <v>9787.5</v>
      </c>
      <c r="AS13" s="100" t="n">
        <f aca="false">Pipeline!$Q$20*Pipeline!$D$20*MIN(1,MAX(0,(43-Pipeline!$E$20+1)/MAX(Pipeline!$F$20,1)))</f>
        <v>9787.5</v>
      </c>
      <c r="AT13" s="100" t="n">
        <f aca="false">Pipeline!$Q$20*Pipeline!$D$20*MIN(1,MAX(0,(44-Pipeline!$E$20+1)/MAX(Pipeline!$F$20,1)))</f>
        <v>9787.5</v>
      </c>
      <c r="AU13" s="100" t="n">
        <f aca="false">Pipeline!$Q$20*Pipeline!$D$20*MIN(1,MAX(0,(45-Pipeline!$E$20+1)/MAX(Pipeline!$F$20,1)))</f>
        <v>9787.5</v>
      </c>
      <c r="AV13" s="100" t="n">
        <f aca="false">Pipeline!$Q$20*Pipeline!$D$20*MIN(1,MAX(0,(46-Pipeline!$E$20+1)/MAX(Pipeline!$F$20,1)))</f>
        <v>9787.5</v>
      </c>
      <c r="AW13" s="100" t="n">
        <f aca="false">Pipeline!$Q$20*Pipeline!$D$20*MIN(1,MAX(0,(47-Pipeline!$E$20+1)/MAX(Pipeline!$F$20,1)))</f>
        <v>9787.5</v>
      </c>
      <c r="AX13" s="100" t="n">
        <f aca="false">Pipeline!$Q$20*Pipeline!$D$20*MIN(1,MAX(0,(48-Pipeline!$E$20+1)/MAX(Pipeline!$F$20,1)))</f>
        <v>9787.5</v>
      </c>
      <c r="AY13" s="100" t="n">
        <f aca="false">Pipeline!$Q$20*Pipeline!$D$20*MIN(1,MAX(0,(49-Pipeline!$E$20+1)/MAX(Pipeline!$F$20,1)))</f>
        <v>9787.5</v>
      </c>
      <c r="AZ13" s="100" t="n">
        <f aca="false">Pipeline!$Q$20*Pipeline!$D$20*MIN(1,MAX(0,(50-Pipeline!$E$20+1)/MAX(Pipeline!$F$20,1)))</f>
        <v>9787.5</v>
      </c>
      <c r="BA13" s="100" t="n">
        <f aca="false">Pipeline!$Q$20*Pipeline!$D$20*MIN(1,MAX(0,(51-Pipeline!$E$20+1)/MAX(Pipeline!$F$20,1)))</f>
        <v>9787.5</v>
      </c>
      <c r="BB13" s="100" t="n">
        <f aca="false">Pipeline!$Q$20*Pipeline!$D$20*MIN(1,MAX(0,(52-Pipeline!$E$20+1)/MAX(Pipeline!$F$20,1)))</f>
        <v>9787.5</v>
      </c>
      <c r="BC13" s="100" t="n">
        <f aca="false">Pipeline!$Q$20*Pipeline!$D$20*MIN(1,MAX(0,(53-Pipeline!$E$20+1)/MAX(Pipeline!$F$20,1)))</f>
        <v>9787.5</v>
      </c>
      <c r="BD13" s="100" t="n">
        <f aca="false">Pipeline!$Q$20*Pipeline!$D$20*MIN(1,MAX(0,(54-Pipeline!$E$20+1)/MAX(Pipeline!$F$20,1)))</f>
        <v>9787.5</v>
      </c>
      <c r="BE13" s="100" t="n">
        <f aca="false">Pipeline!$Q$20*Pipeline!$D$20*MIN(1,MAX(0,(55-Pipeline!$E$20+1)/MAX(Pipeline!$F$20,1)))</f>
        <v>9787.5</v>
      </c>
      <c r="BF13" s="100" t="n">
        <f aca="false">Pipeline!$Q$20*Pipeline!$D$20*MIN(1,MAX(0,(56-Pipeline!$E$20+1)/MAX(Pipeline!$F$20,1)))</f>
        <v>9787.5</v>
      </c>
      <c r="BG13" s="100" t="n">
        <f aca="false">Pipeline!$Q$20*Pipeline!$D$20*MIN(1,MAX(0,(57-Pipeline!$E$20+1)/MAX(Pipeline!$F$20,1)))</f>
        <v>9787.5</v>
      </c>
      <c r="BH13" s="100" t="n">
        <f aca="false">Pipeline!$Q$20*Pipeline!$D$20*MIN(1,MAX(0,(58-Pipeline!$E$20+1)/MAX(Pipeline!$F$20,1)))</f>
        <v>9787.5</v>
      </c>
      <c r="BI13" s="100" t="n">
        <f aca="false">Pipeline!$Q$20*Pipeline!$D$20*MIN(1,MAX(0,(59-Pipeline!$E$20+1)/MAX(Pipeline!$F$20,1)))</f>
        <v>9787.5</v>
      </c>
      <c r="BJ13" s="100" t="n">
        <f aca="false">Pipeline!$Q$20*Pipeline!$D$20*MIN(1,MAX(0,(60-Pipeline!$E$20+1)/MAX(Pipeline!$F$20,1)))</f>
        <v>9787.5</v>
      </c>
      <c r="BK13" s="100" t="n">
        <f aca="false">Pipeline!$Q$20*Pipeline!$D$20*MIN(1,MAX(0,(61-Pipeline!$E$20+1)/MAX(Pipeline!$F$20,1)))</f>
        <v>9787.5</v>
      </c>
      <c r="BL13" s="100" t="n">
        <f aca="false">Pipeline!$Q$20*Pipeline!$D$20*MIN(1,MAX(0,(62-Pipeline!$E$20+1)/MAX(Pipeline!$F$20,1)))</f>
        <v>9787.5</v>
      </c>
      <c r="BM13" s="100" t="n">
        <f aca="false">Pipeline!$Q$20*Pipeline!$D$20*MIN(1,MAX(0,(63-Pipeline!$E$20+1)/MAX(Pipeline!$F$20,1)))</f>
        <v>9787.5</v>
      </c>
      <c r="BN13" s="100" t="n">
        <f aca="false">Pipeline!$Q$20*Pipeline!$D$20*MIN(1,MAX(0,(64-Pipeline!$E$20+1)/MAX(Pipeline!$F$20,1)))</f>
        <v>9787.5</v>
      </c>
      <c r="BO13" s="100" t="n">
        <f aca="false">Pipeline!$Q$20*Pipeline!$D$20*MIN(1,MAX(0,(65-Pipeline!$E$20+1)/MAX(Pipeline!$F$20,1)))</f>
        <v>9787.5</v>
      </c>
      <c r="BP13" s="100" t="n">
        <f aca="false">Pipeline!$Q$20*Pipeline!$D$20*MIN(1,MAX(0,(66-Pipeline!$E$20+1)/MAX(Pipeline!$F$20,1)))</f>
        <v>9787.5</v>
      </c>
      <c r="BQ13" s="100" t="n">
        <f aca="false">Pipeline!$Q$20*Pipeline!$D$20*MIN(1,MAX(0,(67-Pipeline!$E$20+1)/MAX(Pipeline!$F$20,1)))</f>
        <v>9787.5</v>
      </c>
      <c r="BR13" s="100" t="n">
        <f aca="false">Pipeline!$Q$20*Pipeline!$D$20*MIN(1,MAX(0,(68-Pipeline!$E$20+1)/MAX(Pipeline!$F$20,1)))</f>
        <v>9787.5</v>
      </c>
      <c r="BS13" s="100" t="n">
        <f aca="false">Pipeline!$Q$20*Pipeline!$D$20*MIN(1,MAX(0,(69-Pipeline!$E$20+1)/MAX(Pipeline!$F$20,1)))</f>
        <v>9787.5</v>
      </c>
      <c r="BT13" s="100" t="n">
        <f aca="false">Pipeline!$Q$20*Pipeline!$D$20*MIN(1,MAX(0,(70-Pipeline!$E$20+1)/MAX(Pipeline!$F$20,1)))</f>
        <v>9787.5</v>
      </c>
      <c r="BU13" s="100" t="n">
        <f aca="false">Pipeline!$Q$20*Pipeline!$D$20*MIN(1,MAX(0,(71-Pipeline!$E$20+1)/MAX(Pipeline!$F$20,1)))</f>
        <v>9787.5</v>
      </c>
      <c r="BV13" s="100" t="n">
        <f aca="false">Pipeline!$Q$20*Pipeline!$D$20*MIN(1,MAX(0,(72-Pipeline!$E$20+1)/MAX(Pipeline!$F$20,1)))</f>
        <v>9787.5</v>
      </c>
      <c r="BW13" s="100" t="n">
        <f aca="false">Pipeline!$Q$20*Pipeline!$D$20*MIN(1,MAX(0,(73-Pipeline!$E$20+1)/MAX(Pipeline!$F$20,1)))</f>
        <v>9787.5</v>
      </c>
      <c r="BX13" s="100" t="n">
        <f aca="false">Pipeline!$Q$20*Pipeline!$D$20*MIN(1,MAX(0,(74-Pipeline!$E$20+1)/MAX(Pipeline!$F$20,1)))</f>
        <v>9787.5</v>
      </c>
      <c r="BY13" s="100" t="n">
        <f aca="false">Pipeline!$Q$20*Pipeline!$D$20*MIN(1,MAX(0,(75-Pipeline!$E$20+1)/MAX(Pipeline!$F$20,1)))</f>
        <v>9787.5</v>
      </c>
      <c r="BZ13" s="100" t="n">
        <f aca="false">Pipeline!$Q$20*Pipeline!$D$20*MIN(1,MAX(0,(76-Pipeline!$E$20+1)/MAX(Pipeline!$F$20,1)))</f>
        <v>9787.5</v>
      </c>
      <c r="CA13" s="100" t="n">
        <f aca="false">Pipeline!$Q$20*Pipeline!$D$20*MIN(1,MAX(0,(77-Pipeline!$E$20+1)/MAX(Pipeline!$F$20,1)))</f>
        <v>9787.5</v>
      </c>
      <c r="CB13" s="100" t="n">
        <f aca="false">Pipeline!$Q$20*Pipeline!$D$20*MIN(1,MAX(0,(78-Pipeline!$E$20+1)/MAX(Pipeline!$F$20,1)))</f>
        <v>9787.5</v>
      </c>
      <c r="CC13" s="100" t="n">
        <f aca="false">Pipeline!$Q$20*Pipeline!$D$20*MIN(1,MAX(0,(79-Pipeline!$E$20+1)/MAX(Pipeline!$F$20,1)))</f>
        <v>9787.5</v>
      </c>
      <c r="CD13" s="100" t="n">
        <f aca="false">Pipeline!$Q$20*Pipeline!$D$20*MIN(1,MAX(0,(80-Pipeline!$E$20+1)/MAX(Pipeline!$F$20,1)))</f>
        <v>9787.5</v>
      </c>
      <c r="CE13" s="100" t="n">
        <f aca="false">Pipeline!$Q$20*Pipeline!$D$20*MIN(1,MAX(0,(81-Pipeline!$E$20+1)/MAX(Pipeline!$F$20,1)))</f>
        <v>9787.5</v>
      </c>
      <c r="CF13" s="100" t="n">
        <f aca="false">Pipeline!$Q$20*Pipeline!$D$20*MIN(1,MAX(0,(82-Pipeline!$E$20+1)/MAX(Pipeline!$F$20,1)))</f>
        <v>9787.5</v>
      </c>
      <c r="CG13" s="100" t="n">
        <f aca="false">Pipeline!$Q$20*Pipeline!$D$20*MIN(1,MAX(0,(83-Pipeline!$E$20+1)/MAX(Pipeline!$F$20,1)))</f>
        <v>9787.5</v>
      </c>
      <c r="CH13" s="100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6" t="s">
        <v>494</v>
      </c>
      <c r="C14" s="100" t="n">
        <f aca="false">Pipeline!$Q$21*Pipeline!$D$21*MIN(1,MAX(0,(1-Pipeline!$E$21+1)/MAX(Pipeline!$F$21,1)))</f>
        <v>0</v>
      </c>
      <c r="D14" s="100" t="n">
        <f aca="false">Pipeline!$Q$21*Pipeline!$D$21*MIN(1,MAX(0,(2-Pipeline!$E$21+1)/MAX(Pipeline!$F$21,1)))</f>
        <v>0</v>
      </c>
      <c r="E14" s="100" t="n">
        <f aca="false">Pipeline!$Q$21*Pipeline!$D$21*MIN(1,MAX(0,(3-Pipeline!$E$21+1)/MAX(Pipeline!$F$21,1)))</f>
        <v>0</v>
      </c>
      <c r="F14" s="100" t="n">
        <f aca="false">Pipeline!$Q$21*Pipeline!$D$21*MIN(1,MAX(0,(4-Pipeline!$E$21+1)/MAX(Pipeline!$F$21,1)))</f>
        <v>0</v>
      </c>
      <c r="G14" s="100" t="n">
        <f aca="false">Pipeline!$Q$21*Pipeline!$D$21*MIN(1,MAX(0,(5-Pipeline!$E$21+1)/MAX(Pipeline!$F$21,1)))</f>
        <v>0</v>
      </c>
      <c r="H14" s="100" t="n">
        <f aca="false">Pipeline!$Q$21*Pipeline!$D$21*MIN(1,MAX(0,(6-Pipeline!$E$21+1)/MAX(Pipeline!$F$21,1)))</f>
        <v>0</v>
      </c>
      <c r="I14" s="100" t="n">
        <f aca="false">Pipeline!$Q$21*Pipeline!$D$21*MIN(1,MAX(0,(7-Pipeline!$E$21+1)/MAX(Pipeline!$F$21,1)))</f>
        <v>0</v>
      </c>
      <c r="J14" s="100" t="n">
        <f aca="false">Pipeline!$Q$21*Pipeline!$D$21*MIN(1,MAX(0,(8-Pipeline!$E$21+1)/MAX(Pipeline!$F$21,1)))</f>
        <v>0</v>
      </c>
      <c r="K14" s="100" t="n">
        <f aca="false">Pipeline!$Q$21*Pipeline!$D$21*MIN(1,MAX(0,(9-Pipeline!$E$21+1)/MAX(Pipeline!$F$21,1)))</f>
        <v>0</v>
      </c>
      <c r="L14" s="100" t="n">
        <f aca="false">Pipeline!$Q$21*Pipeline!$D$21*MIN(1,MAX(0,(10-Pipeline!$E$21+1)/MAX(Pipeline!$F$21,1)))</f>
        <v>0</v>
      </c>
      <c r="M14" s="100" t="n">
        <f aca="false">Pipeline!$Q$21*Pipeline!$D$21*MIN(1,MAX(0,(11-Pipeline!$E$21+1)/MAX(Pipeline!$F$21,1)))</f>
        <v>0</v>
      </c>
      <c r="N14" s="100" t="n">
        <f aca="false">Pipeline!$Q$21*Pipeline!$D$21*MIN(1,MAX(0,(12-Pipeline!$E$21+1)/MAX(Pipeline!$F$21,1)))</f>
        <v>0</v>
      </c>
      <c r="O14" s="100" t="n">
        <f aca="false">Pipeline!$Q$21*Pipeline!$D$21*MIN(1,MAX(0,(13-Pipeline!$E$21+1)/MAX(Pipeline!$F$21,1)))</f>
        <v>0</v>
      </c>
      <c r="P14" s="100" t="n">
        <f aca="false">Pipeline!$Q$21*Pipeline!$D$21*MIN(1,MAX(0,(14-Pipeline!$E$21+1)/MAX(Pipeline!$F$21,1)))</f>
        <v>365.4</v>
      </c>
      <c r="Q14" s="100" t="n">
        <f aca="false">Pipeline!$Q$21*Pipeline!$D$21*MIN(1,MAX(0,(15-Pipeline!$E$21+1)/MAX(Pipeline!$F$21,1)))</f>
        <v>730.8</v>
      </c>
      <c r="R14" s="100" t="n">
        <f aca="false">Pipeline!$Q$21*Pipeline!$D$21*MIN(1,MAX(0,(16-Pipeline!$E$21+1)/MAX(Pipeline!$F$21,1)))</f>
        <v>1096.2</v>
      </c>
      <c r="S14" s="100" t="n">
        <f aca="false">Pipeline!$Q$21*Pipeline!$D$21*MIN(1,MAX(0,(17-Pipeline!$E$21+1)/MAX(Pipeline!$F$21,1)))</f>
        <v>1461.6</v>
      </c>
      <c r="T14" s="100" t="n">
        <f aca="false">Pipeline!$Q$21*Pipeline!$D$21*MIN(1,MAX(0,(18-Pipeline!$E$21+1)/MAX(Pipeline!$F$21,1)))</f>
        <v>1827</v>
      </c>
      <c r="U14" s="100" t="n">
        <f aca="false">Pipeline!$Q$21*Pipeline!$D$21*MIN(1,MAX(0,(19-Pipeline!$E$21+1)/MAX(Pipeline!$F$21,1)))</f>
        <v>2192.4</v>
      </c>
      <c r="V14" s="100" t="n">
        <f aca="false">Pipeline!$Q$21*Pipeline!$D$21*MIN(1,MAX(0,(20-Pipeline!$E$21+1)/MAX(Pipeline!$F$21,1)))</f>
        <v>2557.8</v>
      </c>
      <c r="W14" s="100" t="n">
        <f aca="false">Pipeline!$Q$21*Pipeline!$D$21*MIN(1,MAX(0,(21-Pipeline!$E$21+1)/MAX(Pipeline!$F$21,1)))</f>
        <v>2923.2</v>
      </c>
      <c r="X14" s="100" t="n">
        <f aca="false">Pipeline!$Q$21*Pipeline!$D$21*MIN(1,MAX(0,(22-Pipeline!$E$21+1)/MAX(Pipeline!$F$21,1)))</f>
        <v>3288.6</v>
      </c>
      <c r="Y14" s="100" t="n">
        <f aca="false">Pipeline!$Q$21*Pipeline!$D$21*MIN(1,MAX(0,(23-Pipeline!$E$21+1)/MAX(Pipeline!$F$21,1)))</f>
        <v>3654</v>
      </c>
      <c r="Z14" s="100" t="n">
        <f aca="false">Pipeline!$Q$21*Pipeline!$D$21*MIN(1,MAX(0,(24-Pipeline!$E$21+1)/MAX(Pipeline!$F$21,1)))</f>
        <v>3654</v>
      </c>
      <c r="AA14" s="100" t="n">
        <f aca="false">Pipeline!$Q$21*Pipeline!$D$21*MIN(1,MAX(0,(25-Pipeline!$E$21+1)/MAX(Pipeline!$F$21,1)))</f>
        <v>3654</v>
      </c>
      <c r="AB14" s="100" t="n">
        <f aca="false">Pipeline!$Q$21*Pipeline!$D$21*MIN(1,MAX(0,(26-Pipeline!$E$21+1)/MAX(Pipeline!$F$21,1)))</f>
        <v>3654</v>
      </c>
      <c r="AC14" s="100" t="n">
        <f aca="false">Pipeline!$Q$21*Pipeline!$D$21*MIN(1,MAX(0,(27-Pipeline!$E$21+1)/MAX(Pipeline!$F$21,1)))</f>
        <v>3654</v>
      </c>
      <c r="AD14" s="100" t="n">
        <f aca="false">Pipeline!$Q$21*Pipeline!$D$21*MIN(1,MAX(0,(28-Pipeline!$E$21+1)/MAX(Pipeline!$F$21,1)))</f>
        <v>3654</v>
      </c>
      <c r="AE14" s="100" t="n">
        <f aca="false">Pipeline!$Q$21*Pipeline!$D$21*MIN(1,MAX(0,(29-Pipeline!$E$21+1)/MAX(Pipeline!$F$21,1)))</f>
        <v>3654</v>
      </c>
      <c r="AF14" s="100" t="n">
        <f aca="false">Pipeline!$Q$21*Pipeline!$D$21*MIN(1,MAX(0,(30-Pipeline!$E$21+1)/MAX(Pipeline!$F$21,1)))</f>
        <v>3654</v>
      </c>
      <c r="AG14" s="100" t="n">
        <f aca="false">Pipeline!$Q$21*Pipeline!$D$21*MIN(1,MAX(0,(31-Pipeline!$E$21+1)/MAX(Pipeline!$F$21,1)))</f>
        <v>3654</v>
      </c>
      <c r="AH14" s="100" t="n">
        <f aca="false">Pipeline!$Q$21*Pipeline!$D$21*MIN(1,MAX(0,(32-Pipeline!$E$21+1)/MAX(Pipeline!$F$21,1)))</f>
        <v>3654</v>
      </c>
      <c r="AI14" s="100" t="n">
        <f aca="false">Pipeline!$Q$21*Pipeline!$D$21*MIN(1,MAX(0,(33-Pipeline!$E$21+1)/MAX(Pipeline!$F$21,1)))</f>
        <v>3654</v>
      </c>
      <c r="AJ14" s="100" t="n">
        <f aca="false">Pipeline!$Q$21*Pipeline!$D$21*MIN(1,MAX(0,(34-Pipeline!$E$21+1)/MAX(Pipeline!$F$21,1)))</f>
        <v>3654</v>
      </c>
      <c r="AK14" s="100" t="n">
        <f aca="false">Pipeline!$Q$21*Pipeline!$D$21*MIN(1,MAX(0,(35-Pipeline!$E$21+1)/MAX(Pipeline!$F$21,1)))</f>
        <v>3654</v>
      </c>
      <c r="AL14" s="100" t="n">
        <f aca="false">Pipeline!$Q$21*Pipeline!$D$21*MIN(1,MAX(0,(36-Pipeline!$E$21+1)/MAX(Pipeline!$F$21,1)))</f>
        <v>3654</v>
      </c>
      <c r="AM14" s="100" t="n">
        <f aca="false">Pipeline!$Q$21*Pipeline!$D$21*MIN(1,MAX(0,(37-Pipeline!$E$21+1)/MAX(Pipeline!$F$21,1)))</f>
        <v>3654</v>
      </c>
      <c r="AN14" s="100" t="n">
        <f aca="false">Pipeline!$Q$21*Pipeline!$D$21*MIN(1,MAX(0,(38-Pipeline!$E$21+1)/MAX(Pipeline!$F$21,1)))</f>
        <v>3654</v>
      </c>
      <c r="AO14" s="100" t="n">
        <f aca="false">Pipeline!$Q$21*Pipeline!$D$21*MIN(1,MAX(0,(39-Pipeline!$E$21+1)/MAX(Pipeline!$F$21,1)))</f>
        <v>3654</v>
      </c>
      <c r="AP14" s="100" t="n">
        <f aca="false">Pipeline!$Q$21*Pipeline!$D$21*MIN(1,MAX(0,(40-Pipeline!$E$21+1)/MAX(Pipeline!$F$21,1)))</f>
        <v>3654</v>
      </c>
      <c r="AQ14" s="100" t="n">
        <f aca="false">Pipeline!$Q$21*Pipeline!$D$21*MIN(1,MAX(0,(41-Pipeline!$E$21+1)/MAX(Pipeline!$F$21,1)))</f>
        <v>3654</v>
      </c>
      <c r="AR14" s="100" t="n">
        <f aca="false">Pipeline!$Q$21*Pipeline!$D$21*MIN(1,MAX(0,(42-Pipeline!$E$21+1)/MAX(Pipeline!$F$21,1)))</f>
        <v>3654</v>
      </c>
      <c r="AS14" s="100" t="n">
        <f aca="false">Pipeline!$Q$21*Pipeline!$D$21*MIN(1,MAX(0,(43-Pipeline!$E$21+1)/MAX(Pipeline!$F$21,1)))</f>
        <v>3654</v>
      </c>
      <c r="AT14" s="100" t="n">
        <f aca="false">Pipeline!$Q$21*Pipeline!$D$21*MIN(1,MAX(0,(44-Pipeline!$E$21+1)/MAX(Pipeline!$F$21,1)))</f>
        <v>3654</v>
      </c>
      <c r="AU14" s="100" t="n">
        <f aca="false">Pipeline!$Q$21*Pipeline!$D$21*MIN(1,MAX(0,(45-Pipeline!$E$21+1)/MAX(Pipeline!$F$21,1)))</f>
        <v>3654</v>
      </c>
      <c r="AV14" s="100" t="n">
        <f aca="false">Pipeline!$Q$21*Pipeline!$D$21*MIN(1,MAX(0,(46-Pipeline!$E$21+1)/MAX(Pipeline!$F$21,1)))</f>
        <v>3654</v>
      </c>
      <c r="AW14" s="100" t="n">
        <f aca="false">Pipeline!$Q$21*Pipeline!$D$21*MIN(1,MAX(0,(47-Pipeline!$E$21+1)/MAX(Pipeline!$F$21,1)))</f>
        <v>3654</v>
      </c>
      <c r="AX14" s="100" t="n">
        <f aca="false">Pipeline!$Q$21*Pipeline!$D$21*MIN(1,MAX(0,(48-Pipeline!$E$21+1)/MAX(Pipeline!$F$21,1)))</f>
        <v>3654</v>
      </c>
      <c r="AY14" s="100" t="n">
        <f aca="false">Pipeline!$Q$21*Pipeline!$D$21*MIN(1,MAX(0,(49-Pipeline!$E$21+1)/MAX(Pipeline!$F$21,1)))</f>
        <v>3654</v>
      </c>
      <c r="AZ14" s="100" t="n">
        <f aca="false">Pipeline!$Q$21*Pipeline!$D$21*MIN(1,MAX(0,(50-Pipeline!$E$21+1)/MAX(Pipeline!$F$21,1)))</f>
        <v>3654</v>
      </c>
      <c r="BA14" s="100" t="n">
        <f aca="false">Pipeline!$Q$21*Pipeline!$D$21*MIN(1,MAX(0,(51-Pipeline!$E$21+1)/MAX(Pipeline!$F$21,1)))</f>
        <v>3654</v>
      </c>
      <c r="BB14" s="100" t="n">
        <f aca="false">Pipeline!$Q$21*Pipeline!$D$21*MIN(1,MAX(0,(52-Pipeline!$E$21+1)/MAX(Pipeline!$F$21,1)))</f>
        <v>3654</v>
      </c>
      <c r="BC14" s="100" t="n">
        <f aca="false">Pipeline!$Q$21*Pipeline!$D$21*MIN(1,MAX(0,(53-Pipeline!$E$21+1)/MAX(Pipeline!$F$21,1)))</f>
        <v>3654</v>
      </c>
      <c r="BD14" s="100" t="n">
        <f aca="false">Pipeline!$Q$21*Pipeline!$D$21*MIN(1,MAX(0,(54-Pipeline!$E$21+1)/MAX(Pipeline!$F$21,1)))</f>
        <v>3654</v>
      </c>
      <c r="BE14" s="100" t="n">
        <f aca="false">Pipeline!$Q$21*Pipeline!$D$21*MIN(1,MAX(0,(55-Pipeline!$E$21+1)/MAX(Pipeline!$F$21,1)))</f>
        <v>3654</v>
      </c>
      <c r="BF14" s="100" t="n">
        <f aca="false">Pipeline!$Q$21*Pipeline!$D$21*MIN(1,MAX(0,(56-Pipeline!$E$21+1)/MAX(Pipeline!$F$21,1)))</f>
        <v>3654</v>
      </c>
      <c r="BG14" s="100" t="n">
        <f aca="false">Pipeline!$Q$21*Pipeline!$D$21*MIN(1,MAX(0,(57-Pipeline!$E$21+1)/MAX(Pipeline!$F$21,1)))</f>
        <v>3654</v>
      </c>
      <c r="BH14" s="100" t="n">
        <f aca="false">Pipeline!$Q$21*Pipeline!$D$21*MIN(1,MAX(0,(58-Pipeline!$E$21+1)/MAX(Pipeline!$F$21,1)))</f>
        <v>3654</v>
      </c>
      <c r="BI14" s="100" t="n">
        <f aca="false">Pipeline!$Q$21*Pipeline!$D$21*MIN(1,MAX(0,(59-Pipeline!$E$21+1)/MAX(Pipeline!$F$21,1)))</f>
        <v>3654</v>
      </c>
      <c r="BJ14" s="100" t="n">
        <f aca="false">Pipeline!$Q$21*Pipeline!$D$21*MIN(1,MAX(0,(60-Pipeline!$E$21+1)/MAX(Pipeline!$F$21,1)))</f>
        <v>3654</v>
      </c>
      <c r="BK14" s="100" t="n">
        <f aca="false">Pipeline!$Q$21*Pipeline!$D$21*MIN(1,MAX(0,(61-Pipeline!$E$21+1)/MAX(Pipeline!$F$21,1)))</f>
        <v>3654</v>
      </c>
      <c r="BL14" s="100" t="n">
        <f aca="false">Pipeline!$Q$21*Pipeline!$D$21*MIN(1,MAX(0,(62-Pipeline!$E$21+1)/MAX(Pipeline!$F$21,1)))</f>
        <v>3654</v>
      </c>
      <c r="BM14" s="100" t="n">
        <f aca="false">Pipeline!$Q$21*Pipeline!$D$21*MIN(1,MAX(0,(63-Pipeline!$E$21+1)/MAX(Pipeline!$F$21,1)))</f>
        <v>3654</v>
      </c>
      <c r="BN14" s="100" t="n">
        <f aca="false">Pipeline!$Q$21*Pipeline!$D$21*MIN(1,MAX(0,(64-Pipeline!$E$21+1)/MAX(Pipeline!$F$21,1)))</f>
        <v>3654</v>
      </c>
      <c r="BO14" s="100" t="n">
        <f aca="false">Pipeline!$Q$21*Pipeline!$D$21*MIN(1,MAX(0,(65-Pipeline!$E$21+1)/MAX(Pipeline!$F$21,1)))</f>
        <v>3654</v>
      </c>
      <c r="BP14" s="100" t="n">
        <f aca="false">Pipeline!$Q$21*Pipeline!$D$21*MIN(1,MAX(0,(66-Pipeline!$E$21+1)/MAX(Pipeline!$F$21,1)))</f>
        <v>3654</v>
      </c>
      <c r="BQ14" s="100" t="n">
        <f aca="false">Pipeline!$Q$21*Pipeline!$D$21*MIN(1,MAX(0,(67-Pipeline!$E$21+1)/MAX(Pipeline!$F$21,1)))</f>
        <v>3654</v>
      </c>
      <c r="BR14" s="100" t="n">
        <f aca="false">Pipeline!$Q$21*Pipeline!$D$21*MIN(1,MAX(0,(68-Pipeline!$E$21+1)/MAX(Pipeline!$F$21,1)))</f>
        <v>3654</v>
      </c>
      <c r="BS14" s="100" t="n">
        <f aca="false">Pipeline!$Q$21*Pipeline!$D$21*MIN(1,MAX(0,(69-Pipeline!$E$21+1)/MAX(Pipeline!$F$21,1)))</f>
        <v>3654</v>
      </c>
      <c r="BT14" s="100" t="n">
        <f aca="false">Pipeline!$Q$21*Pipeline!$D$21*MIN(1,MAX(0,(70-Pipeline!$E$21+1)/MAX(Pipeline!$F$21,1)))</f>
        <v>3654</v>
      </c>
      <c r="BU14" s="100" t="n">
        <f aca="false">Pipeline!$Q$21*Pipeline!$D$21*MIN(1,MAX(0,(71-Pipeline!$E$21+1)/MAX(Pipeline!$F$21,1)))</f>
        <v>3654</v>
      </c>
      <c r="BV14" s="100" t="n">
        <f aca="false">Pipeline!$Q$21*Pipeline!$D$21*MIN(1,MAX(0,(72-Pipeline!$E$21+1)/MAX(Pipeline!$F$21,1)))</f>
        <v>3654</v>
      </c>
      <c r="BW14" s="100" t="n">
        <f aca="false">Pipeline!$Q$21*Pipeline!$D$21*MIN(1,MAX(0,(73-Pipeline!$E$21+1)/MAX(Pipeline!$F$21,1)))</f>
        <v>3654</v>
      </c>
      <c r="BX14" s="100" t="n">
        <f aca="false">Pipeline!$Q$21*Pipeline!$D$21*MIN(1,MAX(0,(74-Pipeline!$E$21+1)/MAX(Pipeline!$F$21,1)))</f>
        <v>3654</v>
      </c>
      <c r="BY14" s="100" t="n">
        <f aca="false">Pipeline!$Q$21*Pipeline!$D$21*MIN(1,MAX(0,(75-Pipeline!$E$21+1)/MAX(Pipeline!$F$21,1)))</f>
        <v>3654</v>
      </c>
      <c r="BZ14" s="100" t="n">
        <f aca="false">Pipeline!$Q$21*Pipeline!$D$21*MIN(1,MAX(0,(76-Pipeline!$E$21+1)/MAX(Pipeline!$F$21,1)))</f>
        <v>3654</v>
      </c>
      <c r="CA14" s="100" t="n">
        <f aca="false">Pipeline!$Q$21*Pipeline!$D$21*MIN(1,MAX(0,(77-Pipeline!$E$21+1)/MAX(Pipeline!$F$21,1)))</f>
        <v>3654</v>
      </c>
      <c r="CB14" s="100" t="n">
        <f aca="false">Pipeline!$Q$21*Pipeline!$D$21*MIN(1,MAX(0,(78-Pipeline!$E$21+1)/MAX(Pipeline!$F$21,1)))</f>
        <v>3654</v>
      </c>
      <c r="CC14" s="100" t="n">
        <f aca="false">Pipeline!$Q$21*Pipeline!$D$21*MIN(1,MAX(0,(79-Pipeline!$E$21+1)/MAX(Pipeline!$F$21,1)))</f>
        <v>3654</v>
      </c>
      <c r="CD14" s="100" t="n">
        <f aca="false">Pipeline!$Q$21*Pipeline!$D$21*MIN(1,MAX(0,(80-Pipeline!$E$21+1)/MAX(Pipeline!$F$21,1)))</f>
        <v>3654</v>
      </c>
      <c r="CE14" s="100" t="n">
        <f aca="false">Pipeline!$Q$21*Pipeline!$D$21*MIN(1,MAX(0,(81-Pipeline!$E$21+1)/MAX(Pipeline!$F$21,1)))</f>
        <v>3654</v>
      </c>
      <c r="CF14" s="100" t="n">
        <f aca="false">Pipeline!$Q$21*Pipeline!$D$21*MIN(1,MAX(0,(82-Pipeline!$E$21+1)/MAX(Pipeline!$F$21,1)))</f>
        <v>3654</v>
      </c>
      <c r="CG14" s="100" t="n">
        <f aca="false">Pipeline!$Q$21*Pipeline!$D$21*MIN(1,MAX(0,(83-Pipeline!$E$21+1)/MAX(Pipeline!$F$21,1)))</f>
        <v>3654</v>
      </c>
      <c r="CH14" s="100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6" t="s">
        <v>495</v>
      </c>
      <c r="C15" s="100" t="n">
        <f aca="false">Pipeline!$Q$22*Pipeline!$D$22*MIN(1,MAX(0,(1-Pipeline!$E$22+1)/MAX(Pipeline!$F$22,1)))</f>
        <v>0</v>
      </c>
      <c r="D15" s="100" t="n">
        <f aca="false">Pipeline!$Q$22*Pipeline!$D$22*MIN(1,MAX(0,(2-Pipeline!$E$22+1)/MAX(Pipeline!$F$22,1)))</f>
        <v>0</v>
      </c>
      <c r="E15" s="100" t="n">
        <f aca="false">Pipeline!$Q$22*Pipeline!$D$22*MIN(1,MAX(0,(3-Pipeline!$E$22+1)/MAX(Pipeline!$F$22,1)))</f>
        <v>0</v>
      </c>
      <c r="F15" s="100" t="n">
        <f aca="false">Pipeline!$Q$22*Pipeline!$D$22*MIN(1,MAX(0,(4-Pipeline!$E$22+1)/MAX(Pipeline!$F$22,1)))</f>
        <v>0</v>
      </c>
      <c r="G15" s="100" t="n">
        <f aca="false">Pipeline!$Q$22*Pipeline!$D$22*MIN(1,MAX(0,(5-Pipeline!$E$22+1)/MAX(Pipeline!$F$22,1)))</f>
        <v>0</v>
      </c>
      <c r="H15" s="100" t="n">
        <f aca="false">Pipeline!$Q$22*Pipeline!$D$22*MIN(1,MAX(0,(6-Pipeline!$E$22+1)/MAX(Pipeline!$F$22,1)))</f>
        <v>0</v>
      </c>
      <c r="I15" s="100" t="n">
        <f aca="false">Pipeline!$Q$22*Pipeline!$D$22*MIN(1,MAX(0,(7-Pipeline!$E$22+1)/MAX(Pipeline!$F$22,1)))</f>
        <v>0</v>
      </c>
      <c r="J15" s="100" t="n">
        <f aca="false">Pipeline!$Q$22*Pipeline!$D$22*MIN(1,MAX(0,(8-Pipeline!$E$22+1)/MAX(Pipeline!$F$22,1)))</f>
        <v>0</v>
      </c>
      <c r="K15" s="100" t="n">
        <f aca="false">Pipeline!$Q$22*Pipeline!$D$22*MIN(1,MAX(0,(9-Pipeline!$E$22+1)/MAX(Pipeline!$F$22,1)))</f>
        <v>0</v>
      </c>
      <c r="L15" s="100" t="n">
        <f aca="false">Pipeline!$Q$22*Pipeline!$D$22*MIN(1,MAX(0,(10-Pipeline!$E$22+1)/MAX(Pipeline!$F$22,1)))</f>
        <v>0</v>
      </c>
      <c r="M15" s="100" t="n">
        <f aca="false">Pipeline!$Q$22*Pipeline!$D$22*MIN(1,MAX(0,(11-Pipeline!$E$22+1)/MAX(Pipeline!$F$22,1)))</f>
        <v>0</v>
      </c>
      <c r="N15" s="100" t="n">
        <f aca="false">Pipeline!$Q$22*Pipeline!$D$22*MIN(1,MAX(0,(12-Pipeline!$E$22+1)/MAX(Pipeline!$F$22,1)))</f>
        <v>0</v>
      </c>
      <c r="O15" s="100" t="n">
        <f aca="false">Pipeline!$Q$22*Pipeline!$D$22*MIN(1,MAX(0,(13-Pipeline!$E$22+1)/MAX(Pipeline!$F$22,1)))</f>
        <v>0</v>
      </c>
      <c r="P15" s="100" t="n">
        <f aca="false">Pipeline!$Q$22*Pipeline!$D$22*MIN(1,MAX(0,(14-Pipeline!$E$22+1)/MAX(Pipeline!$F$22,1)))</f>
        <v>0</v>
      </c>
      <c r="Q15" s="100" t="n">
        <f aca="false">Pipeline!$Q$22*Pipeline!$D$22*MIN(1,MAX(0,(15-Pipeline!$E$22+1)/MAX(Pipeline!$F$22,1)))</f>
        <v>0</v>
      </c>
      <c r="R15" s="100" t="n">
        <f aca="false">Pipeline!$Q$22*Pipeline!$D$22*MIN(1,MAX(0,(16-Pipeline!$E$22+1)/MAX(Pipeline!$F$22,1)))</f>
        <v>0</v>
      </c>
      <c r="S15" s="100" t="n">
        <f aca="false">Pipeline!$Q$22*Pipeline!$D$22*MIN(1,MAX(0,(17-Pipeline!$E$22+1)/MAX(Pipeline!$F$22,1)))</f>
        <v>0</v>
      </c>
      <c r="T15" s="100" t="n">
        <f aca="false">Pipeline!$Q$22*Pipeline!$D$22*MIN(1,MAX(0,(18-Pipeline!$E$22+1)/MAX(Pipeline!$F$22,1)))</f>
        <v>0</v>
      </c>
      <c r="U15" s="100" t="n">
        <f aca="false">Pipeline!$Q$22*Pipeline!$D$22*MIN(1,MAX(0,(19-Pipeline!$E$22+1)/MAX(Pipeline!$F$22,1)))</f>
        <v>0</v>
      </c>
      <c r="V15" s="100" t="n">
        <f aca="false">Pipeline!$Q$22*Pipeline!$D$22*MIN(1,MAX(0,(20-Pipeline!$E$22+1)/MAX(Pipeline!$F$22,1)))</f>
        <v>0</v>
      </c>
      <c r="W15" s="100" t="n">
        <f aca="false">Pipeline!$Q$22*Pipeline!$D$22*MIN(1,MAX(0,(21-Pipeline!$E$22+1)/MAX(Pipeline!$F$22,1)))</f>
        <v>0</v>
      </c>
      <c r="X15" s="100" t="n">
        <f aca="false">Pipeline!$Q$22*Pipeline!$D$22*MIN(1,MAX(0,(22-Pipeline!$E$22+1)/MAX(Pipeline!$F$22,1)))</f>
        <v>0</v>
      </c>
      <c r="Y15" s="100" t="n">
        <f aca="false">Pipeline!$Q$22*Pipeline!$D$22*MIN(1,MAX(0,(23-Pipeline!$E$22+1)/MAX(Pipeline!$F$22,1)))</f>
        <v>0</v>
      </c>
      <c r="Z15" s="100" t="n">
        <f aca="false">Pipeline!$Q$22*Pipeline!$D$22*MIN(1,MAX(0,(24-Pipeline!$E$22+1)/MAX(Pipeline!$F$22,1)))</f>
        <v>0</v>
      </c>
      <c r="AA15" s="100" t="n">
        <f aca="false">Pipeline!$Q$22*Pipeline!$D$22*MIN(1,MAX(0,(25-Pipeline!$E$22+1)/MAX(Pipeline!$F$22,1)))</f>
        <v>0</v>
      </c>
      <c r="AB15" s="100" t="n">
        <f aca="false">Pipeline!$Q$22*Pipeline!$D$22*MIN(1,MAX(0,(26-Pipeline!$E$22+1)/MAX(Pipeline!$F$22,1)))</f>
        <v>0</v>
      </c>
      <c r="AC15" s="100" t="n">
        <f aca="false">Pipeline!$Q$22*Pipeline!$D$22*MIN(1,MAX(0,(27-Pipeline!$E$22+1)/MAX(Pipeline!$F$22,1)))</f>
        <v>0</v>
      </c>
      <c r="AD15" s="100" t="n">
        <f aca="false">Pipeline!$Q$22*Pipeline!$D$22*MIN(1,MAX(0,(28-Pipeline!$E$22+1)/MAX(Pipeline!$F$22,1)))</f>
        <v>0</v>
      </c>
      <c r="AE15" s="100" t="n">
        <f aca="false">Pipeline!$Q$22*Pipeline!$D$22*MIN(1,MAX(0,(29-Pipeline!$E$22+1)/MAX(Pipeline!$F$22,1)))</f>
        <v>0</v>
      </c>
      <c r="AF15" s="100" t="n">
        <f aca="false">Pipeline!$Q$22*Pipeline!$D$22*MIN(1,MAX(0,(30-Pipeline!$E$22+1)/MAX(Pipeline!$F$22,1)))</f>
        <v>0</v>
      </c>
      <c r="AG15" s="100" t="n">
        <f aca="false">Pipeline!$Q$22*Pipeline!$D$22*MIN(1,MAX(0,(31-Pipeline!$E$22+1)/MAX(Pipeline!$F$22,1)))</f>
        <v>0</v>
      </c>
      <c r="AH15" s="100" t="n">
        <f aca="false">Pipeline!$Q$22*Pipeline!$D$22*MIN(1,MAX(0,(32-Pipeline!$E$22+1)/MAX(Pipeline!$F$22,1)))</f>
        <v>0</v>
      </c>
      <c r="AI15" s="100" t="n">
        <f aca="false">Pipeline!$Q$22*Pipeline!$D$22*MIN(1,MAX(0,(33-Pipeline!$E$22+1)/MAX(Pipeline!$F$22,1)))</f>
        <v>0</v>
      </c>
      <c r="AJ15" s="100" t="n">
        <f aca="false">Pipeline!$Q$22*Pipeline!$D$22*MIN(1,MAX(0,(34-Pipeline!$E$22+1)/MAX(Pipeline!$F$22,1)))</f>
        <v>0</v>
      </c>
      <c r="AK15" s="100" t="n">
        <f aca="false">Pipeline!$Q$22*Pipeline!$D$22*MIN(1,MAX(0,(35-Pipeline!$E$22+1)/MAX(Pipeline!$F$22,1)))</f>
        <v>0</v>
      </c>
      <c r="AL15" s="100" t="n">
        <f aca="false">Pipeline!$Q$22*Pipeline!$D$22*MIN(1,MAX(0,(36-Pipeline!$E$22+1)/MAX(Pipeline!$F$22,1)))</f>
        <v>0</v>
      </c>
      <c r="AM15" s="100" t="n">
        <f aca="false">Pipeline!$Q$22*Pipeline!$D$22*MIN(1,MAX(0,(37-Pipeline!$E$22+1)/MAX(Pipeline!$F$22,1)))</f>
        <v>0</v>
      </c>
      <c r="AN15" s="100" t="n">
        <f aca="false">Pipeline!$Q$22*Pipeline!$D$22*MIN(1,MAX(0,(38-Pipeline!$E$22+1)/MAX(Pipeline!$F$22,1)))</f>
        <v>0</v>
      </c>
      <c r="AO15" s="100" t="n">
        <f aca="false">Pipeline!$Q$22*Pipeline!$D$22*MIN(1,MAX(0,(39-Pipeline!$E$22+1)/MAX(Pipeline!$F$22,1)))</f>
        <v>0</v>
      </c>
      <c r="AP15" s="100" t="n">
        <f aca="false">Pipeline!$Q$22*Pipeline!$D$22*MIN(1,MAX(0,(40-Pipeline!$E$22+1)/MAX(Pipeline!$F$22,1)))</f>
        <v>0</v>
      </c>
      <c r="AQ15" s="100" t="n">
        <f aca="false">Pipeline!$Q$22*Pipeline!$D$22*MIN(1,MAX(0,(41-Pipeline!$E$22+1)/MAX(Pipeline!$F$22,1)))</f>
        <v>0</v>
      </c>
      <c r="AR15" s="100" t="n">
        <f aca="false">Pipeline!$Q$22*Pipeline!$D$22*MIN(1,MAX(0,(42-Pipeline!$E$22+1)/MAX(Pipeline!$F$22,1)))</f>
        <v>0</v>
      </c>
      <c r="AS15" s="100" t="n">
        <f aca="false">Pipeline!$Q$22*Pipeline!$D$22*MIN(1,MAX(0,(43-Pipeline!$E$22+1)/MAX(Pipeline!$F$22,1)))</f>
        <v>0</v>
      </c>
      <c r="AT15" s="100" t="n">
        <f aca="false">Pipeline!$Q$22*Pipeline!$D$22*MIN(1,MAX(0,(44-Pipeline!$E$22+1)/MAX(Pipeline!$F$22,1)))</f>
        <v>0</v>
      </c>
      <c r="AU15" s="100" t="n">
        <f aca="false">Pipeline!$Q$22*Pipeline!$D$22*MIN(1,MAX(0,(45-Pipeline!$E$22+1)/MAX(Pipeline!$F$22,1)))</f>
        <v>0</v>
      </c>
      <c r="AV15" s="100" t="n">
        <f aca="false">Pipeline!$Q$22*Pipeline!$D$22*MIN(1,MAX(0,(46-Pipeline!$E$22+1)/MAX(Pipeline!$F$22,1)))</f>
        <v>0</v>
      </c>
      <c r="AW15" s="100" t="n">
        <f aca="false">Pipeline!$Q$22*Pipeline!$D$22*MIN(1,MAX(0,(47-Pipeline!$E$22+1)/MAX(Pipeline!$F$22,1)))</f>
        <v>0</v>
      </c>
      <c r="AX15" s="100" t="n">
        <f aca="false">Pipeline!$Q$22*Pipeline!$D$22*MIN(1,MAX(0,(48-Pipeline!$E$22+1)/MAX(Pipeline!$F$22,1)))</f>
        <v>0</v>
      </c>
      <c r="AY15" s="100" t="n">
        <f aca="false">Pipeline!$Q$22*Pipeline!$D$22*MIN(1,MAX(0,(49-Pipeline!$E$22+1)/MAX(Pipeline!$F$22,1)))</f>
        <v>0</v>
      </c>
      <c r="AZ15" s="100" t="n">
        <f aca="false">Pipeline!$Q$22*Pipeline!$D$22*MIN(1,MAX(0,(50-Pipeline!$E$22+1)/MAX(Pipeline!$F$22,1)))</f>
        <v>0</v>
      </c>
      <c r="BA15" s="100" t="n">
        <f aca="false">Pipeline!$Q$22*Pipeline!$D$22*MIN(1,MAX(0,(51-Pipeline!$E$22+1)/MAX(Pipeline!$F$22,1)))</f>
        <v>0</v>
      </c>
      <c r="BB15" s="100" t="n">
        <f aca="false">Pipeline!$Q$22*Pipeline!$D$22*MIN(1,MAX(0,(52-Pipeline!$E$22+1)/MAX(Pipeline!$F$22,1)))</f>
        <v>0</v>
      </c>
      <c r="BC15" s="100" t="n">
        <f aca="false">Pipeline!$Q$22*Pipeline!$D$22*MIN(1,MAX(0,(53-Pipeline!$E$22+1)/MAX(Pipeline!$F$22,1)))</f>
        <v>0</v>
      </c>
      <c r="BD15" s="100" t="n">
        <f aca="false">Pipeline!$Q$22*Pipeline!$D$22*MIN(1,MAX(0,(54-Pipeline!$E$22+1)/MAX(Pipeline!$F$22,1)))</f>
        <v>0</v>
      </c>
      <c r="BE15" s="100" t="n">
        <f aca="false">Pipeline!$Q$22*Pipeline!$D$22*MIN(1,MAX(0,(55-Pipeline!$E$22+1)/MAX(Pipeline!$F$22,1)))</f>
        <v>0</v>
      </c>
      <c r="BF15" s="100" t="n">
        <f aca="false">Pipeline!$Q$22*Pipeline!$D$22*MIN(1,MAX(0,(56-Pipeline!$E$22+1)/MAX(Pipeline!$F$22,1)))</f>
        <v>0</v>
      </c>
      <c r="BG15" s="100" t="n">
        <f aca="false">Pipeline!$Q$22*Pipeline!$D$22*MIN(1,MAX(0,(57-Pipeline!$E$22+1)/MAX(Pipeline!$F$22,1)))</f>
        <v>0</v>
      </c>
      <c r="BH15" s="100" t="n">
        <f aca="false">Pipeline!$Q$22*Pipeline!$D$22*MIN(1,MAX(0,(58-Pipeline!$E$22+1)/MAX(Pipeline!$F$22,1)))</f>
        <v>0</v>
      </c>
      <c r="BI15" s="100" t="n">
        <f aca="false">Pipeline!$Q$22*Pipeline!$D$22*MIN(1,MAX(0,(59-Pipeline!$E$22+1)/MAX(Pipeline!$F$22,1)))</f>
        <v>0</v>
      </c>
      <c r="BJ15" s="100" t="n">
        <f aca="false">Pipeline!$Q$22*Pipeline!$D$22*MIN(1,MAX(0,(60-Pipeline!$E$22+1)/MAX(Pipeline!$F$22,1)))</f>
        <v>0</v>
      </c>
      <c r="BK15" s="100" t="n">
        <f aca="false">Pipeline!$Q$22*Pipeline!$D$22*MIN(1,MAX(0,(61-Pipeline!$E$22+1)/MAX(Pipeline!$F$22,1)))</f>
        <v>0</v>
      </c>
      <c r="BL15" s="100" t="n">
        <f aca="false">Pipeline!$Q$22*Pipeline!$D$22*MIN(1,MAX(0,(62-Pipeline!$E$22+1)/MAX(Pipeline!$F$22,1)))</f>
        <v>0</v>
      </c>
      <c r="BM15" s="100" t="n">
        <f aca="false">Pipeline!$Q$22*Pipeline!$D$22*MIN(1,MAX(0,(63-Pipeline!$E$22+1)/MAX(Pipeline!$F$22,1)))</f>
        <v>0</v>
      </c>
      <c r="BN15" s="100" t="n">
        <f aca="false">Pipeline!$Q$22*Pipeline!$D$22*MIN(1,MAX(0,(64-Pipeline!$E$22+1)/MAX(Pipeline!$F$22,1)))</f>
        <v>0</v>
      </c>
      <c r="BO15" s="100" t="n">
        <f aca="false">Pipeline!$Q$22*Pipeline!$D$22*MIN(1,MAX(0,(65-Pipeline!$E$22+1)/MAX(Pipeline!$F$22,1)))</f>
        <v>0</v>
      </c>
      <c r="BP15" s="100" t="n">
        <f aca="false">Pipeline!$Q$22*Pipeline!$D$22*MIN(1,MAX(0,(66-Pipeline!$E$22+1)/MAX(Pipeline!$F$22,1)))</f>
        <v>0</v>
      </c>
      <c r="BQ15" s="100" t="n">
        <f aca="false">Pipeline!$Q$22*Pipeline!$D$22*MIN(1,MAX(0,(67-Pipeline!$E$22+1)/MAX(Pipeline!$F$22,1)))</f>
        <v>0</v>
      </c>
      <c r="BR15" s="100" t="n">
        <f aca="false">Pipeline!$Q$22*Pipeline!$D$22*MIN(1,MAX(0,(68-Pipeline!$E$22+1)/MAX(Pipeline!$F$22,1)))</f>
        <v>0</v>
      </c>
      <c r="BS15" s="100" t="n">
        <f aca="false">Pipeline!$Q$22*Pipeline!$D$22*MIN(1,MAX(0,(69-Pipeline!$E$22+1)/MAX(Pipeline!$F$22,1)))</f>
        <v>0</v>
      </c>
      <c r="BT15" s="100" t="n">
        <f aca="false">Pipeline!$Q$22*Pipeline!$D$22*MIN(1,MAX(0,(70-Pipeline!$E$22+1)/MAX(Pipeline!$F$22,1)))</f>
        <v>0</v>
      </c>
      <c r="BU15" s="100" t="n">
        <f aca="false">Pipeline!$Q$22*Pipeline!$D$22*MIN(1,MAX(0,(71-Pipeline!$E$22+1)/MAX(Pipeline!$F$22,1)))</f>
        <v>0</v>
      </c>
      <c r="BV15" s="100" t="n">
        <f aca="false">Pipeline!$Q$22*Pipeline!$D$22*MIN(1,MAX(0,(72-Pipeline!$E$22+1)/MAX(Pipeline!$F$22,1)))</f>
        <v>0</v>
      </c>
      <c r="BW15" s="100" t="n">
        <f aca="false">Pipeline!$Q$22*Pipeline!$D$22*MIN(1,MAX(0,(73-Pipeline!$E$22+1)/MAX(Pipeline!$F$22,1)))</f>
        <v>0</v>
      </c>
      <c r="BX15" s="100" t="n">
        <f aca="false">Pipeline!$Q$22*Pipeline!$D$22*MIN(1,MAX(0,(74-Pipeline!$E$22+1)/MAX(Pipeline!$F$22,1)))</f>
        <v>0</v>
      </c>
      <c r="BY15" s="100" t="n">
        <f aca="false">Pipeline!$Q$22*Pipeline!$D$22*MIN(1,MAX(0,(75-Pipeline!$E$22+1)/MAX(Pipeline!$F$22,1)))</f>
        <v>0</v>
      </c>
      <c r="BZ15" s="100" t="n">
        <f aca="false">Pipeline!$Q$22*Pipeline!$D$22*MIN(1,MAX(0,(76-Pipeline!$E$22+1)/MAX(Pipeline!$F$22,1)))</f>
        <v>0</v>
      </c>
      <c r="CA15" s="100" t="n">
        <f aca="false">Pipeline!$Q$22*Pipeline!$D$22*MIN(1,MAX(0,(77-Pipeline!$E$22+1)/MAX(Pipeline!$F$22,1)))</f>
        <v>0</v>
      </c>
      <c r="CB15" s="100" t="n">
        <f aca="false">Pipeline!$Q$22*Pipeline!$D$22*MIN(1,MAX(0,(78-Pipeline!$E$22+1)/MAX(Pipeline!$F$22,1)))</f>
        <v>0</v>
      </c>
      <c r="CC15" s="100" t="n">
        <f aca="false">Pipeline!$Q$22*Pipeline!$D$22*MIN(1,MAX(0,(79-Pipeline!$E$22+1)/MAX(Pipeline!$F$22,1)))</f>
        <v>0</v>
      </c>
      <c r="CD15" s="100" t="n">
        <f aca="false">Pipeline!$Q$22*Pipeline!$D$22*MIN(1,MAX(0,(80-Pipeline!$E$22+1)/MAX(Pipeline!$F$22,1)))</f>
        <v>0</v>
      </c>
      <c r="CE15" s="100" t="n">
        <f aca="false">Pipeline!$Q$22*Pipeline!$D$22*MIN(1,MAX(0,(81-Pipeline!$E$22+1)/MAX(Pipeline!$F$22,1)))</f>
        <v>0</v>
      </c>
      <c r="CF15" s="100" t="n">
        <f aca="false">Pipeline!$Q$22*Pipeline!$D$22*MIN(1,MAX(0,(82-Pipeline!$E$22+1)/MAX(Pipeline!$F$22,1)))</f>
        <v>0</v>
      </c>
      <c r="CG15" s="100" t="n">
        <f aca="false">Pipeline!$Q$22*Pipeline!$D$22*MIN(1,MAX(0,(83-Pipeline!$E$22+1)/MAX(Pipeline!$F$22,1)))</f>
        <v>0</v>
      </c>
      <c r="CH15" s="100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22" t="s">
        <v>496</v>
      </c>
      <c r="C16" s="100" t="n">
        <f aca="false">SUM(C9:C15)</f>
        <v>1005.575</v>
      </c>
      <c r="D16" s="100" t="n">
        <f aca="false">SUM(D9:D15)</f>
        <v>2089.45</v>
      </c>
      <c r="E16" s="100" t="n">
        <f aca="false">SUM(E9:E15)</f>
        <v>4351.903125</v>
      </c>
      <c r="F16" s="100" t="n">
        <f aca="false">SUM(F9:F15)</f>
        <v>5608.78125</v>
      </c>
      <c r="G16" s="100" t="n">
        <f aca="false">SUM(G9:G15)</f>
        <v>6787.359375</v>
      </c>
      <c r="H16" s="100" t="n">
        <f aca="false">SUM(H9:H15)</f>
        <v>8683.6875</v>
      </c>
      <c r="I16" s="100" t="n">
        <f aca="false">SUM(I9:I15)</f>
        <v>10580.015625</v>
      </c>
      <c r="J16" s="100" t="n">
        <f aca="false">SUM(J9:J15)</f>
        <v>12476.34375</v>
      </c>
      <c r="K16" s="100" t="n">
        <f aca="false">SUM(K9:K15)</f>
        <v>14372.671875</v>
      </c>
      <c r="L16" s="100" t="n">
        <f aca="false">SUM(L9:L15)</f>
        <v>16269</v>
      </c>
      <c r="M16" s="100" t="n">
        <f aca="false">SUM(M9:M15)</f>
        <v>16986.75</v>
      </c>
      <c r="N16" s="100" t="n">
        <f aca="false">SUM(N9:N15)</f>
        <v>18683.25</v>
      </c>
      <c r="O16" s="100" t="n">
        <f aca="false">SUM(O9:O15)</f>
        <v>20379.75</v>
      </c>
      <c r="P16" s="100" t="n">
        <f aca="false">SUM(P9:P15)</f>
        <v>21723.9</v>
      </c>
      <c r="Q16" s="100" t="n">
        <f aca="false">SUM(Q9:Q15)</f>
        <v>23068.05</v>
      </c>
      <c r="R16" s="100" t="n">
        <f aca="false">SUM(R9:R15)</f>
        <v>24412.2</v>
      </c>
      <c r="S16" s="100" t="n">
        <f aca="false">SUM(S9:S15)</f>
        <v>25756.35</v>
      </c>
      <c r="T16" s="100" t="n">
        <f aca="false">SUM(T9:T15)</f>
        <v>27100.5</v>
      </c>
      <c r="U16" s="100" t="n">
        <f aca="false">SUM(U9:U15)</f>
        <v>28444.65</v>
      </c>
      <c r="V16" s="100" t="n">
        <f aca="false">SUM(V9:V15)</f>
        <v>29788.8</v>
      </c>
      <c r="W16" s="100" t="n">
        <f aca="false">SUM(W9:W15)</f>
        <v>31132.95</v>
      </c>
      <c r="X16" s="100" t="n">
        <f aca="false">SUM(X9:X15)</f>
        <v>31498.35</v>
      </c>
      <c r="Y16" s="100" t="n">
        <f aca="false">SUM(Y9:Y15)</f>
        <v>31863.75</v>
      </c>
      <c r="Z16" s="100" t="n">
        <f aca="false">SUM(Z9:Z15)</f>
        <v>31863.75</v>
      </c>
      <c r="AA16" s="100" t="n">
        <f aca="false">SUM(AA9:AA15)</f>
        <v>31863.75</v>
      </c>
      <c r="AB16" s="100" t="n">
        <f aca="false">SUM(AB9:AB15)</f>
        <v>31863.75</v>
      </c>
      <c r="AC16" s="100" t="n">
        <f aca="false">SUM(AC9:AC15)</f>
        <v>31863.75</v>
      </c>
      <c r="AD16" s="100" t="n">
        <f aca="false">SUM(AD9:AD15)</f>
        <v>31863.75</v>
      </c>
      <c r="AE16" s="100" t="n">
        <f aca="false">SUM(AE9:AE15)</f>
        <v>31863.75</v>
      </c>
      <c r="AF16" s="100" t="n">
        <f aca="false">SUM(AF9:AF15)</f>
        <v>31863.75</v>
      </c>
      <c r="AG16" s="100" t="n">
        <f aca="false">SUM(AG9:AG15)</f>
        <v>31863.75</v>
      </c>
      <c r="AH16" s="100" t="n">
        <f aca="false">SUM(AH9:AH15)</f>
        <v>31863.75</v>
      </c>
      <c r="AI16" s="100" t="n">
        <f aca="false">SUM(AI9:AI15)</f>
        <v>31863.75</v>
      </c>
      <c r="AJ16" s="100" t="n">
        <f aca="false">SUM(AJ9:AJ15)</f>
        <v>31863.75</v>
      </c>
      <c r="AK16" s="100" t="n">
        <f aca="false">SUM(AK9:AK15)</f>
        <v>31863.75</v>
      </c>
      <c r="AL16" s="100" t="n">
        <f aca="false">SUM(AL9:AL15)</f>
        <v>31863.75</v>
      </c>
      <c r="AM16" s="100" t="n">
        <f aca="false">SUM(AM9:AM15)</f>
        <v>31863.75</v>
      </c>
      <c r="AN16" s="100" t="n">
        <f aca="false">SUM(AN9:AN15)</f>
        <v>31863.75</v>
      </c>
      <c r="AO16" s="100" t="n">
        <f aca="false">SUM(AO9:AO15)</f>
        <v>31863.75</v>
      </c>
      <c r="AP16" s="100" t="n">
        <f aca="false">SUM(AP9:AP15)</f>
        <v>31863.75</v>
      </c>
      <c r="AQ16" s="100" t="n">
        <f aca="false">SUM(AQ9:AQ15)</f>
        <v>31863.75</v>
      </c>
      <c r="AR16" s="100" t="n">
        <f aca="false">SUM(AR9:AR15)</f>
        <v>31863.75</v>
      </c>
      <c r="AS16" s="100" t="n">
        <f aca="false">SUM(AS9:AS15)</f>
        <v>31863.75</v>
      </c>
      <c r="AT16" s="100" t="n">
        <f aca="false">SUM(AT9:AT15)</f>
        <v>31863.75</v>
      </c>
      <c r="AU16" s="100" t="n">
        <f aca="false">SUM(AU9:AU15)</f>
        <v>31863.75</v>
      </c>
      <c r="AV16" s="100" t="n">
        <f aca="false">SUM(AV9:AV15)</f>
        <v>31863.75</v>
      </c>
      <c r="AW16" s="100" t="n">
        <f aca="false">SUM(AW9:AW15)</f>
        <v>31863.75</v>
      </c>
      <c r="AX16" s="100" t="n">
        <f aca="false">SUM(AX9:AX15)</f>
        <v>31863.75</v>
      </c>
      <c r="AY16" s="100" t="n">
        <f aca="false">SUM(AY9:AY15)</f>
        <v>31863.75</v>
      </c>
      <c r="AZ16" s="100" t="n">
        <f aca="false">SUM(AZ9:AZ15)</f>
        <v>31863.75</v>
      </c>
      <c r="BA16" s="100" t="n">
        <f aca="false">SUM(BA9:BA15)</f>
        <v>31863.75</v>
      </c>
      <c r="BB16" s="100" t="n">
        <f aca="false">SUM(BB9:BB15)</f>
        <v>31863.75</v>
      </c>
      <c r="BC16" s="100" t="n">
        <f aca="false">SUM(BC9:BC15)</f>
        <v>31863.75</v>
      </c>
      <c r="BD16" s="100" t="n">
        <f aca="false">SUM(BD9:BD15)</f>
        <v>31863.75</v>
      </c>
      <c r="BE16" s="100" t="n">
        <f aca="false">SUM(BE9:BE15)</f>
        <v>31863.75</v>
      </c>
      <c r="BF16" s="100" t="n">
        <f aca="false">SUM(BF9:BF15)</f>
        <v>31863.75</v>
      </c>
      <c r="BG16" s="100" t="n">
        <f aca="false">SUM(BG9:BG15)</f>
        <v>31863.75</v>
      </c>
      <c r="BH16" s="100" t="n">
        <f aca="false">SUM(BH9:BH15)</f>
        <v>31863.75</v>
      </c>
      <c r="BI16" s="100" t="n">
        <f aca="false">SUM(BI9:BI15)</f>
        <v>31863.75</v>
      </c>
      <c r="BJ16" s="100" t="n">
        <f aca="false">SUM(BJ9:BJ15)</f>
        <v>31863.75</v>
      </c>
      <c r="BK16" s="100" t="n">
        <f aca="false">SUM(BK9:BK15)</f>
        <v>31863.75</v>
      </c>
      <c r="BL16" s="100" t="n">
        <f aca="false">SUM(BL9:BL15)</f>
        <v>31863.75</v>
      </c>
      <c r="BM16" s="100" t="n">
        <f aca="false">SUM(BM9:BM15)</f>
        <v>31863.75</v>
      </c>
      <c r="BN16" s="100" t="n">
        <f aca="false">SUM(BN9:BN15)</f>
        <v>31863.75</v>
      </c>
      <c r="BO16" s="100" t="n">
        <f aca="false">SUM(BO9:BO15)</f>
        <v>31863.75</v>
      </c>
      <c r="BP16" s="100" t="n">
        <f aca="false">SUM(BP9:BP15)</f>
        <v>31863.75</v>
      </c>
      <c r="BQ16" s="100" t="n">
        <f aca="false">SUM(BQ9:BQ15)</f>
        <v>31863.75</v>
      </c>
      <c r="BR16" s="100" t="n">
        <f aca="false">SUM(BR9:BR15)</f>
        <v>31863.75</v>
      </c>
      <c r="BS16" s="100" t="n">
        <f aca="false">SUM(BS9:BS15)</f>
        <v>31863.75</v>
      </c>
      <c r="BT16" s="100" t="n">
        <f aca="false">SUM(BT9:BT15)</f>
        <v>31863.75</v>
      </c>
      <c r="BU16" s="100" t="n">
        <f aca="false">SUM(BU9:BU15)</f>
        <v>31863.75</v>
      </c>
      <c r="BV16" s="100" t="n">
        <f aca="false">SUM(BV9:BV15)</f>
        <v>31863.75</v>
      </c>
      <c r="BW16" s="100" t="n">
        <f aca="false">SUM(BW9:BW15)</f>
        <v>31863.75</v>
      </c>
      <c r="BX16" s="100" t="n">
        <f aca="false">SUM(BX9:BX15)</f>
        <v>31863.75</v>
      </c>
      <c r="BY16" s="100" t="n">
        <f aca="false">SUM(BY9:BY15)</f>
        <v>31863.75</v>
      </c>
      <c r="BZ16" s="100" t="n">
        <f aca="false">SUM(BZ9:BZ15)</f>
        <v>31863.75</v>
      </c>
      <c r="CA16" s="100" t="n">
        <f aca="false">SUM(CA9:CA15)</f>
        <v>31863.75</v>
      </c>
      <c r="CB16" s="100" t="n">
        <f aca="false">SUM(CB9:CB15)</f>
        <v>31863.75</v>
      </c>
      <c r="CC16" s="100" t="n">
        <f aca="false">SUM(CC9:CC15)</f>
        <v>31863.75</v>
      </c>
      <c r="CD16" s="100" t="n">
        <f aca="false">SUM(CD9:CD15)</f>
        <v>31863.75</v>
      </c>
      <c r="CE16" s="100" t="n">
        <f aca="false">SUM(CE9:CE15)</f>
        <v>31863.75</v>
      </c>
      <c r="CF16" s="100" t="n">
        <f aca="false">SUM(CF9:CF15)</f>
        <v>31863.75</v>
      </c>
      <c r="CG16" s="100" t="n">
        <f aca="false">SUM(CG9:CG15)</f>
        <v>31863.75</v>
      </c>
      <c r="CH16" s="100" t="n">
        <f aca="false">SUM(CH9:CH15)</f>
        <v>31863.75</v>
      </c>
    </row>
    <row r="17" customFormat="false" ht="13.5" hidden="false" customHeight="true" outlineLevel="0" collapsed="false">
      <c r="A17" s="6" t="s">
        <v>497</v>
      </c>
      <c r="C17" s="101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D$17</f>
        <v>110.2</v>
      </c>
      <c r="D17" s="101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D$17</f>
        <v>235.752941176471</v>
      </c>
      <c r="E17" s="101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D$17</f>
        <v>565.69762342437</v>
      </c>
      <c r="F17" s="101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D$17</f>
        <v>785.442305672269</v>
      </c>
      <c r="G17" s="101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D$17</f>
        <v>989.834046743697</v>
      </c>
      <c r="H17" s="101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D$17</f>
        <v>1370.14490546218</v>
      </c>
      <c r="I17" s="101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D$17</f>
        <v>1750.45576418067</v>
      </c>
      <c r="J17" s="101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D$17</f>
        <v>2130.76662289916</v>
      </c>
      <c r="K17" s="101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D$17</f>
        <v>2511.07748161765</v>
      </c>
      <c r="L17" s="101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D$17</f>
        <v>2891.38834033613</v>
      </c>
      <c r="M17" s="101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D$17</f>
        <v>3067.30745798319</v>
      </c>
      <c r="N17" s="101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D$17</f>
        <v>3499.10892857143</v>
      </c>
      <c r="O17" s="101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D$17</f>
        <v>3930.91039915966</v>
      </c>
      <c r="P17" s="101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D$17</f>
        <v>4289.14569327731</v>
      </c>
      <c r="Q17" s="101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D$17</f>
        <v>4647.38098739496</v>
      </c>
      <c r="R17" s="101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D$17</f>
        <v>5005.6162815126</v>
      </c>
      <c r="S17" s="101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D$17</f>
        <v>5363.85157563025</v>
      </c>
      <c r="T17" s="101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D$17</f>
        <v>5722.0868697479</v>
      </c>
      <c r="U17" s="101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D$17</f>
        <v>6080.32216386555</v>
      </c>
      <c r="V17" s="101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D$17</f>
        <v>6438.55745798319</v>
      </c>
      <c r="W17" s="101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D$17</f>
        <v>6796.79275210084</v>
      </c>
      <c r="X17" s="101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D$17</f>
        <v>6899.14569327731</v>
      </c>
      <c r="Y17" s="101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D$17</f>
        <v>7001.49863445378</v>
      </c>
      <c r="Z17" s="101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D$17</f>
        <v>7001.49863445378</v>
      </c>
      <c r="AA17" s="101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D$17</f>
        <v>7001.49863445378</v>
      </c>
      <c r="AB17" s="101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D$17</f>
        <v>7001.49863445378</v>
      </c>
      <c r="AC17" s="101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D$17</f>
        <v>7001.49863445378</v>
      </c>
      <c r="AD17" s="101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D$17</f>
        <v>7001.49863445378</v>
      </c>
      <c r="AE17" s="101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D$17</f>
        <v>7001.49863445378</v>
      </c>
      <c r="AF17" s="101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D$17</f>
        <v>7001.49863445378</v>
      </c>
      <c r="AG17" s="101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D$17</f>
        <v>7001.49863445378</v>
      </c>
      <c r="AH17" s="101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D$17</f>
        <v>7001.49863445378</v>
      </c>
      <c r="AI17" s="101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D$17</f>
        <v>7001.49863445378</v>
      </c>
      <c r="AJ17" s="101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D$17</f>
        <v>7001.49863445378</v>
      </c>
      <c r="AK17" s="101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D$17</f>
        <v>7001.49863445378</v>
      </c>
      <c r="AL17" s="101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D$17</f>
        <v>7001.49863445378</v>
      </c>
      <c r="AM17" s="101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D$17</f>
        <v>7001.49863445378</v>
      </c>
      <c r="AN17" s="101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D$17</f>
        <v>7001.49863445378</v>
      </c>
      <c r="AO17" s="101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D$17</f>
        <v>7001.49863445378</v>
      </c>
      <c r="AP17" s="101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D$17</f>
        <v>7001.49863445378</v>
      </c>
      <c r="AQ17" s="101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D$17</f>
        <v>7001.49863445378</v>
      </c>
      <c r="AR17" s="101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D$17</f>
        <v>7001.49863445378</v>
      </c>
      <c r="AS17" s="101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D$17</f>
        <v>7001.49863445378</v>
      </c>
      <c r="AT17" s="101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D$17</f>
        <v>7001.49863445378</v>
      </c>
      <c r="AU17" s="101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D$17</f>
        <v>7001.49863445378</v>
      </c>
      <c r="AV17" s="101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D$17</f>
        <v>7001.49863445378</v>
      </c>
      <c r="AW17" s="101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D$17</f>
        <v>7001.49863445378</v>
      </c>
      <c r="AX17" s="101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D$17</f>
        <v>7001.49863445378</v>
      </c>
      <c r="AY17" s="101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D$17</f>
        <v>7001.49863445378</v>
      </c>
      <c r="AZ17" s="101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D$17</f>
        <v>7001.49863445378</v>
      </c>
      <c r="BA17" s="101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D$17</f>
        <v>7001.49863445378</v>
      </c>
      <c r="BB17" s="101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D$17</f>
        <v>7001.49863445378</v>
      </c>
      <c r="BC17" s="101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D$17</f>
        <v>7001.49863445378</v>
      </c>
      <c r="BD17" s="101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D$17</f>
        <v>7001.49863445378</v>
      </c>
      <c r="BE17" s="101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D$17</f>
        <v>7001.49863445378</v>
      </c>
      <c r="BF17" s="101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D$17</f>
        <v>7001.49863445378</v>
      </c>
      <c r="BG17" s="101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D$17</f>
        <v>7001.49863445378</v>
      </c>
      <c r="BH17" s="101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D$17</f>
        <v>7001.49863445378</v>
      </c>
      <c r="BI17" s="101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D$17</f>
        <v>7001.49863445378</v>
      </c>
      <c r="BJ17" s="101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D$17</f>
        <v>7001.49863445378</v>
      </c>
      <c r="BK17" s="101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D$17</f>
        <v>7001.49863445378</v>
      </c>
      <c r="BL17" s="101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D$17</f>
        <v>7001.49863445378</v>
      </c>
      <c r="BM17" s="101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D$17</f>
        <v>7001.49863445378</v>
      </c>
      <c r="BN17" s="101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D$17</f>
        <v>7001.49863445378</v>
      </c>
      <c r="BO17" s="101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D$17</f>
        <v>7001.49863445378</v>
      </c>
      <c r="BP17" s="101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D$17</f>
        <v>7001.49863445378</v>
      </c>
      <c r="BQ17" s="101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D$17</f>
        <v>7001.49863445378</v>
      </c>
      <c r="BR17" s="101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D$17</f>
        <v>7001.49863445378</v>
      </c>
      <c r="BS17" s="101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D$17</f>
        <v>7001.49863445378</v>
      </c>
      <c r="BT17" s="101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D$17</f>
        <v>7001.49863445378</v>
      </c>
      <c r="BU17" s="101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D$17</f>
        <v>7001.49863445378</v>
      </c>
      <c r="BV17" s="101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D$17</f>
        <v>7001.49863445378</v>
      </c>
      <c r="BW17" s="101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D$17</f>
        <v>7001.49863445378</v>
      </c>
      <c r="BX17" s="101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D$17</f>
        <v>7001.49863445378</v>
      </c>
      <c r="BY17" s="101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D$17</f>
        <v>7001.49863445378</v>
      </c>
      <c r="BZ17" s="101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D$17</f>
        <v>7001.49863445378</v>
      </c>
      <c r="CA17" s="101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D$17</f>
        <v>7001.49863445378</v>
      </c>
      <c r="CB17" s="101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D$17</f>
        <v>7001.49863445378</v>
      </c>
      <c r="CC17" s="101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D$17</f>
        <v>7001.49863445378</v>
      </c>
      <c r="CD17" s="101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D$17</f>
        <v>7001.49863445378</v>
      </c>
      <c r="CE17" s="101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D$17</f>
        <v>7001.49863445378</v>
      </c>
      <c r="CF17" s="101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D$17</f>
        <v>7001.49863445378</v>
      </c>
      <c r="CG17" s="101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D$17</f>
        <v>7001.49863445378</v>
      </c>
      <c r="CH17" s="101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D$17</f>
        <v>7001.49863445378</v>
      </c>
    </row>
    <row r="18" customFormat="false" ht="13.5" hidden="false" customHeight="true" outlineLevel="0" collapsed="false">
      <c r="A18" s="6" t="s">
        <v>498</v>
      </c>
      <c r="C18" s="109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D$17</f>
        <v>42.5657462195924</v>
      </c>
      <c r="D18" s="109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D$17</f>
        <v>86.9988784468422</v>
      </c>
      <c r="E18" s="109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D$17</f>
        <v>162.939455552931</v>
      </c>
      <c r="F18" s="109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D$17</f>
        <v>196.314286439428</v>
      </c>
      <c r="G18" s="109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D$17</f>
        <v>227.821731318267</v>
      </c>
      <c r="H18" s="109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D$17</f>
        <v>280.726307534848</v>
      </c>
      <c r="I18" s="109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D$17</f>
        <v>333.63088375143</v>
      </c>
      <c r="J18" s="109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D$17</f>
        <v>386.535459968011</v>
      </c>
      <c r="K18" s="109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D$17</f>
        <v>439.440036184592</v>
      </c>
      <c r="L18" s="109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D$17</f>
        <v>492.344612401173</v>
      </c>
      <c r="M18" s="109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D$17</f>
        <v>513.741743738916</v>
      </c>
      <c r="N18" s="109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D$17</f>
        <v>566.261975204283</v>
      </c>
      <c r="O18" s="109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D$17</f>
        <v>618.78220666965</v>
      </c>
      <c r="P18" s="109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D$17</f>
        <v>662.354546848325</v>
      </c>
      <c r="Q18" s="109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D$17</f>
        <v>705.926887027</v>
      </c>
      <c r="R18" s="109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D$17</f>
        <v>749.499227205675</v>
      </c>
      <c r="S18" s="109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D$17</f>
        <v>793.07156738435</v>
      </c>
      <c r="T18" s="109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D$17</f>
        <v>836.643907563025</v>
      </c>
      <c r="U18" s="109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D$17</f>
        <v>880.2162477417</v>
      </c>
      <c r="V18" s="109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D$17</f>
        <v>923.788587920375</v>
      </c>
      <c r="W18" s="109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D$17</f>
        <v>967.36092809905</v>
      </c>
      <c r="X18" s="109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D$17</f>
        <v>979.8101681501</v>
      </c>
      <c r="Y18" s="109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D$17</f>
        <v>992.25940820115</v>
      </c>
      <c r="Z18" s="109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D$17</f>
        <v>992.25940820115</v>
      </c>
      <c r="AA18" s="109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D$17</f>
        <v>992.25940820115</v>
      </c>
      <c r="AB18" s="109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D$17</f>
        <v>992.25940820115</v>
      </c>
      <c r="AC18" s="109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D$17</f>
        <v>992.25940820115</v>
      </c>
      <c r="AD18" s="109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D$17</f>
        <v>992.25940820115</v>
      </c>
      <c r="AE18" s="109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D$17</f>
        <v>992.25940820115</v>
      </c>
      <c r="AF18" s="109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D$17</f>
        <v>992.25940820115</v>
      </c>
      <c r="AG18" s="109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D$17</f>
        <v>992.25940820115</v>
      </c>
      <c r="AH18" s="109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D$17</f>
        <v>992.25940820115</v>
      </c>
      <c r="AI18" s="109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D$17</f>
        <v>992.25940820115</v>
      </c>
      <c r="AJ18" s="109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D$17</f>
        <v>992.25940820115</v>
      </c>
      <c r="AK18" s="109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D$17</f>
        <v>992.25940820115</v>
      </c>
      <c r="AL18" s="109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D$17</f>
        <v>992.25940820115</v>
      </c>
      <c r="AM18" s="109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D$17</f>
        <v>992.25940820115</v>
      </c>
      <c r="AN18" s="109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D$17</f>
        <v>992.25940820115</v>
      </c>
      <c r="AO18" s="109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D$17</f>
        <v>992.25940820115</v>
      </c>
      <c r="AP18" s="109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D$17</f>
        <v>992.25940820115</v>
      </c>
      <c r="AQ18" s="109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D$17</f>
        <v>992.25940820115</v>
      </c>
      <c r="AR18" s="109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D$17</f>
        <v>992.25940820115</v>
      </c>
      <c r="AS18" s="109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D$17</f>
        <v>992.25940820115</v>
      </c>
      <c r="AT18" s="109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D$17</f>
        <v>992.25940820115</v>
      </c>
      <c r="AU18" s="109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D$17</f>
        <v>992.25940820115</v>
      </c>
      <c r="AV18" s="109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D$17</f>
        <v>992.25940820115</v>
      </c>
      <c r="AW18" s="109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D$17</f>
        <v>992.25940820115</v>
      </c>
      <c r="AX18" s="109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D$17</f>
        <v>992.25940820115</v>
      </c>
      <c r="AY18" s="109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D$17</f>
        <v>992.25940820115</v>
      </c>
      <c r="AZ18" s="109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D$17</f>
        <v>992.25940820115</v>
      </c>
      <c r="BA18" s="109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D$17</f>
        <v>992.25940820115</v>
      </c>
      <c r="BB18" s="109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D$17</f>
        <v>992.25940820115</v>
      </c>
      <c r="BC18" s="109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D$17</f>
        <v>992.25940820115</v>
      </c>
      <c r="BD18" s="109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D$17</f>
        <v>992.25940820115</v>
      </c>
      <c r="BE18" s="109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D$17</f>
        <v>992.25940820115</v>
      </c>
      <c r="BF18" s="109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D$17</f>
        <v>992.25940820115</v>
      </c>
      <c r="BG18" s="109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D$17</f>
        <v>992.25940820115</v>
      </c>
      <c r="BH18" s="109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D$17</f>
        <v>992.25940820115</v>
      </c>
      <c r="BI18" s="109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D$17</f>
        <v>992.25940820115</v>
      </c>
      <c r="BJ18" s="109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D$17</f>
        <v>992.25940820115</v>
      </c>
      <c r="BK18" s="109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D$17</f>
        <v>992.25940820115</v>
      </c>
      <c r="BL18" s="109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D$17</f>
        <v>992.25940820115</v>
      </c>
      <c r="BM18" s="109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D$17</f>
        <v>992.25940820115</v>
      </c>
      <c r="BN18" s="109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D$17</f>
        <v>992.25940820115</v>
      </c>
      <c r="BO18" s="109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D$17</f>
        <v>992.25940820115</v>
      </c>
      <c r="BP18" s="109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D$17</f>
        <v>992.25940820115</v>
      </c>
      <c r="BQ18" s="109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D$17</f>
        <v>992.25940820115</v>
      </c>
      <c r="BR18" s="109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D$17</f>
        <v>992.25940820115</v>
      </c>
      <c r="BS18" s="109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D$17</f>
        <v>992.25940820115</v>
      </c>
      <c r="BT18" s="109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D$17</f>
        <v>992.25940820115</v>
      </c>
      <c r="BU18" s="109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D$17</f>
        <v>992.25940820115</v>
      </c>
      <c r="BV18" s="109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D$17</f>
        <v>992.25940820115</v>
      </c>
      <c r="BW18" s="109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D$17</f>
        <v>992.25940820115</v>
      </c>
      <c r="BX18" s="109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D$17</f>
        <v>992.25940820115</v>
      </c>
      <c r="BY18" s="109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D$17</f>
        <v>992.25940820115</v>
      </c>
      <c r="BZ18" s="109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D$17</f>
        <v>992.25940820115</v>
      </c>
      <c r="CA18" s="109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D$17</f>
        <v>992.25940820115</v>
      </c>
      <c r="CB18" s="109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D$17</f>
        <v>992.25940820115</v>
      </c>
      <c r="CC18" s="109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D$17</f>
        <v>992.25940820115</v>
      </c>
      <c r="CD18" s="109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D$17</f>
        <v>992.25940820115</v>
      </c>
      <c r="CE18" s="109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D$17</f>
        <v>992.25940820115</v>
      </c>
      <c r="CF18" s="109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D$17</f>
        <v>992.25940820115</v>
      </c>
      <c r="CG18" s="109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D$17</f>
        <v>992.25940820115</v>
      </c>
      <c r="CH18" s="109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D$17</f>
        <v>992.25940820115</v>
      </c>
    </row>
    <row r="19" customFormat="false" ht="13.5" hidden="false" customHeight="true" outlineLevel="0" collapsed="false">
      <c r="A19" s="6" t="s">
        <v>499</v>
      </c>
      <c r="C19" s="100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109.098</v>
      </c>
      <c r="D19" s="100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234.623647058823</v>
      </c>
      <c r="E19" s="100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579.188495010504</v>
      </c>
      <c r="F19" s="100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814.655342962185</v>
      </c>
      <c r="G19" s="100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1033.69454385504</v>
      </c>
      <c r="H19" s="100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1440.96720063025</v>
      </c>
      <c r="I19" s="100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1848.23985740546</v>
      </c>
      <c r="J19" s="100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2255.51251418067</v>
      </c>
      <c r="K19" s="100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2662.78517095588</v>
      </c>
      <c r="L19" s="100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3070.05782773109</v>
      </c>
      <c r="M19" s="100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3258.29128361345</v>
      </c>
      <c r="N19" s="100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3720.31885714286</v>
      </c>
      <c r="O19" s="100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4182.34643067227</v>
      </c>
      <c r="P19" s="100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4565.65819537815</v>
      </c>
      <c r="Q19" s="100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4948.96996008403</v>
      </c>
      <c r="R19" s="100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5332.28172478992</v>
      </c>
      <c r="S19" s="100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5715.5934894958</v>
      </c>
      <c r="T19" s="100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6098.90525420168</v>
      </c>
      <c r="U19" s="100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6482.21701890756</v>
      </c>
      <c r="V19" s="100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6865.52878361345</v>
      </c>
      <c r="W19" s="100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7248.84054831933</v>
      </c>
      <c r="X19" s="100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7358.35819537815</v>
      </c>
      <c r="Y19" s="100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7467.87584243697</v>
      </c>
      <c r="Z19" s="100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7467.87584243697</v>
      </c>
      <c r="AA19" s="100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7467.87584243697</v>
      </c>
      <c r="AB19" s="100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7467.87584243697</v>
      </c>
      <c r="AC19" s="100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7467.87584243697</v>
      </c>
      <c r="AD19" s="100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7467.87584243697</v>
      </c>
      <c r="AE19" s="100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7467.87584243697</v>
      </c>
      <c r="AF19" s="100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7467.87584243697</v>
      </c>
      <c r="AG19" s="100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7467.87584243697</v>
      </c>
      <c r="AH19" s="100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7467.87584243697</v>
      </c>
      <c r="AI19" s="100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7467.87584243697</v>
      </c>
      <c r="AJ19" s="100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7467.87584243697</v>
      </c>
      <c r="AK19" s="100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7467.87584243697</v>
      </c>
      <c r="AL19" s="100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7467.87584243697</v>
      </c>
      <c r="AM19" s="100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7467.87584243697</v>
      </c>
      <c r="AN19" s="100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7467.87584243697</v>
      </c>
      <c r="AO19" s="100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7467.87584243697</v>
      </c>
      <c r="AP19" s="100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7467.87584243697</v>
      </c>
      <c r="AQ19" s="100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7467.87584243697</v>
      </c>
      <c r="AR19" s="100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7467.87584243697</v>
      </c>
      <c r="AS19" s="100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7467.87584243697</v>
      </c>
      <c r="AT19" s="100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7467.87584243697</v>
      </c>
      <c r="AU19" s="100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7467.87584243697</v>
      </c>
      <c r="AV19" s="100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7467.87584243697</v>
      </c>
      <c r="AW19" s="100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7467.87584243697</v>
      </c>
      <c r="AX19" s="100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7467.87584243697</v>
      </c>
      <c r="AY19" s="100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7467.87584243697</v>
      </c>
      <c r="AZ19" s="100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7467.87584243697</v>
      </c>
      <c r="BA19" s="100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7467.87584243697</v>
      </c>
      <c r="BB19" s="100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7467.87584243697</v>
      </c>
      <c r="BC19" s="100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7467.87584243697</v>
      </c>
      <c r="BD19" s="100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7467.87584243697</v>
      </c>
      <c r="BE19" s="100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7467.87584243697</v>
      </c>
      <c r="BF19" s="100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7467.87584243697</v>
      </c>
      <c r="BG19" s="100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7467.87584243697</v>
      </c>
      <c r="BH19" s="100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7467.87584243697</v>
      </c>
      <c r="BI19" s="100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7467.87584243697</v>
      </c>
      <c r="BJ19" s="100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7467.87584243697</v>
      </c>
      <c r="BK19" s="100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7467.87584243697</v>
      </c>
      <c r="BL19" s="100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7467.87584243697</v>
      </c>
      <c r="BM19" s="100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7467.87584243697</v>
      </c>
      <c r="BN19" s="100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7467.87584243697</v>
      </c>
      <c r="BO19" s="100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7467.87584243697</v>
      </c>
      <c r="BP19" s="100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7467.87584243697</v>
      </c>
      <c r="BQ19" s="100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7467.87584243697</v>
      </c>
      <c r="BR19" s="100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7467.87584243697</v>
      </c>
      <c r="BS19" s="100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7467.87584243697</v>
      </c>
      <c r="BT19" s="100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7467.87584243697</v>
      </c>
      <c r="BU19" s="100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7467.87584243697</v>
      </c>
      <c r="BV19" s="100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7467.87584243697</v>
      </c>
      <c r="BW19" s="100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7467.87584243697</v>
      </c>
      <c r="BX19" s="100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7467.87584243697</v>
      </c>
      <c r="BY19" s="100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7467.87584243697</v>
      </c>
      <c r="BZ19" s="100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7467.87584243697</v>
      </c>
      <c r="CA19" s="100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7467.87584243697</v>
      </c>
      <c r="CB19" s="100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7467.87584243697</v>
      </c>
      <c r="CC19" s="100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7467.87584243697</v>
      </c>
      <c r="CD19" s="100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7467.87584243697</v>
      </c>
      <c r="CE19" s="100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7467.87584243697</v>
      </c>
      <c r="CF19" s="100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7467.87584243697</v>
      </c>
      <c r="CG19" s="100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7467.87584243697</v>
      </c>
      <c r="CH19" s="100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7467.87584243697</v>
      </c>
    </row>
    <row r="20" customFormat="false" ht="13.5" hidden="false" customHeight="true" outlineLevel="0" collapsed="false">
      <c r="A20" s="6" t="s">
        <v>500</v>
      </c>
      <c r="C20" s="109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09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09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09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09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09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09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09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09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09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09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09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09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09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09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09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09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09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09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09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09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09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09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09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09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09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09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09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09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09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09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09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09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09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09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09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09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09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09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09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09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09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09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09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09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09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09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09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09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09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09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09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09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09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09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09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09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09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09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09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09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09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09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09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09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09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09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09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09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09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09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09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09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09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09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09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09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09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09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09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09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09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09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09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6" t="s">
        <v>501</v>
      </c>
      <c r="C21" s="110" t="n">
        <f aca="false">IF(C18=0,1,MIN(1,C8/C18))</f>
        <v>1</v>
      </c>
      <c r="D21" s="110" t="n">
        <f aca="false">IF(D18=0,1,MIN(1,D8/D18))</f>
        <v>1</v>
      </c>
      <c r="E21" s="110" t="n">
        <f aca="false">IF(E18=0,1,MIN(1,E8/E18))</f>
        <v>1</v>
      </c>
      <c r="F21" s="110" t="n">
        <f aca="false">IF(F18=0,1,MIN(1,F8/F18))</f>
        <v>1</v>
      </c>
      <c r="G21" s="110" t="n">
        <f aca="false">IF(G18=0,1,MIN(1,G8/G18))</f>
        <v>1</v>
      </c>
      <c r="H21" s="110" t="n">
        <f aca="false">IF(H18=0,1,MIN(1,H8/H18))</f>
        <v>1</v>
      </c>
      <c r="I21" s="110" t="n">
        <f aca="false">IF(I18=0,1,MIN(1,I8/I18))</f>
        <v>1</v>
      </c>
      <c r="J21" s="110" t="n">
        <f aca="false">IF(J18=0,1,MIN(1,J8/J18))</f>
        <v>1</v>
      </c>
      <c r="K21" s="110" t="n">
        <f aca="false">IF(K18=0,1,MIN(1,K8/K18))</f>
        <v>1</v>
      </c>
      <c r="L21" s="110" t="n">
        <f aca="false">IF(L18=0,1,MIN(1,L8/L18))</f>
        <v>1</v>
      </c>
      <c r="M21" s="110" t="n">
        <f aca="false">IF(M18=0,1,MIN(1,M8/M18))</f>
        <v>1</v>
      </c>
      <c r="N21" s="110" t="n">
        <f aca="false">IF(N18=0,1,MIN(1,N8/N18))</f>
        <v>1</v>
      </c>
      <c r="O21" s="110" t="n">
        <f aca="false">IF(O18=0,1,MIN(1,O8/O18))</f>
        <v>1</v>
      </c>
      <c r="P21" s="110" t="n">
        <f aca="false">IF(P18=0,1,MIN(1,P8/P18))</f>
        <v>1</v>
      </c>
      <c r="Q21" s="110" t="n">
        <f aca="false">IF(Q18=0,1,MIN(1,Q8/Q18))</f>
        <v>1</v>
      </c>
      <c r="R21" s="110" t="n">
        <f aca="false">IF(R18=0,1,MIN(1,R8/R18))</f>
        <v>1</v>
      </c>
      <c r="S21" s="110" t="n">
        <f aca="false">IF(S18=0,1,MIN(1,S8/S18))</f>
        <v>1</v>
      </c>
      <c r="T21" s="110" t="n">
        <f aca="false">IF(T18=0,1,MIN(1,T8/T18))</f>
        <v>1</v>
      </c>
      <c r="U21" s="110" t="n">
        <f aca="false">IF(U18=0,1,MIN(1,U8/U18))</f>
        <v>1</v>
      </c>
      <c r="V21" s="110" t="n">
        <f aca="false">IF(V18=0,1,MIN(1,V8/V18))</f>
        <v>1</v>
      </c>
      <c r="W21" s="110" t="n">
        <f aca="false">IF(W18=0,1,MIN(1,W8/W18))</f>
        <v>1</v>
      </c>
      <c r="X21" s="110" t="n">
        <f aca="false">IF(X18=0,1,MIN(1,X8/X18))</f>
        <v>1</v>
      </c>
      <c r="Y21" s="110" t="n">
        <f aca="false">IF(Y18=0,1,MIN(1,Y8/Y18))</f>
        <v>1</v>
      </c>
      <c r="Z21" s="110" t="n">
        <f aca="false">IF(Z18=0,1,MIN(1,Z8/Z18))</f>
        <v>1</v>
      </c>
      <c r="AA21" s="110" t="n">
        <f aca="false">IF(AA18=0,1,MIN(1,AA8/AA18))</f>
        <v>1</v>
      </c>
      <c r="AB21" s="110" t="n">
        <f aca="false">IF(AB18=0,1,MIN(1,AB8/AB18))</f>
        <v>1</v>
      </c>
      <c r="AC21" s="110" t="n">
        <f aca="false">IF(AC18=0,1,MIN(1,AC8/AC18))</f>
        <v>1</v>
      </c>
      <c r="AD21" s="110" t="n">
        <f aca="false">IF(AD18=0,1,MIN(1,AD8/AD18))</f>
        <v>1</v>
      </c>
      <c r="AE21" s="110" t="n">
        <f aca="false">IF(AE18=0,1,MIN(1,AE8/AE18))</f>
        <v>1</v>
      </c>
      <c r="AF21" s="110" t="n">
        <f aca="false">IF(AF18=0,1,MIN(1,AF8/AF18))</f>
        <v>1</v>
      </c>
      <c r="AG21" s="110" t="n">
        <f aca="false">IF(AG18=0,1,MIN(1,AG8/AG18))</f>
        <v>1</v>
      </c>
      <c r="AH21" s="110" t="n">
        <f aca="false">IF(AH18=0,1,MIN(1,AH8/AH18))</f>
        <v>1</v>
      </c>
      <c r="AI21" s="110" t="n">
        <f aca="false">IF(AI18=0,1,MIN(1,AI8/AI18))</f>
        <v>1</v>
      </c>
      <c r="AJ21" s="110" t="n">
        <f aca="false">IF(AJ18=0,1,MIN(1,AJ8/AJ18))</f>
        <v>1</v>
      </c>
      <c r="AK21" s="110" t="n">
        <f aca="false">IF(AK18=0,1,MIN(1,AK8/AK18))</f>
        <v>1</v>
      </c>
      <c r="AL21" s="110" t="n">
        <f aca="false">IF(AL18=0,1,MIN(1,AL8/AL18))</f>
        <v>1</v>
      </c>
      <c r="AM21" s="110" t="n">
        <f aca="false">IF(AM18=0,1,MIN(1,AM8/AM18))</f>
        <v>1</v>
      </c>
      <c r="AN21" s="110" t="n">
        <f aca="false">IF(AN18=0,1,MIN(1,AN8/AN18))</f>
        <v>1</v>
      </c>
      <c r="AO21" s="110" t="n">
        <f aca="false">IF(AO18=0,1,MIN(1,AO8/AO18))</f>
        <v>1</v>
      </c>
      <c r="AP21" s="110" t="n">
        <f aca="false">IF(AP18=0,1,MIN(1,AP8/AP18))</f>
        <v>1</v>
      </c>
      <c r="AQ21" s="110" t="n">
        <f aca="false">IF(AQ18=0,1,MIN(1,AQ8/AQ18))</f>
        <v>1</v>
      </c>
      <c r="AR21" s="110" t="n">
        <f aca="false">IF(AR18=0,1,MIN(1,AR8/AR18))</f>
        <v>1</v>
      </c>
      <c r="AS21" s="110" t="n">
        <f aca="false">IF(AS18=0,1,MIN(1,AS8/AS18))</f>
        <v>1</v>
      </c>
      <c r="AT21" s="110" t="n">
        <f aca="false">IF(AT18=0,1,MIN(1,AT8/AT18))</f>
        <v>1</v>
      </c>
      <c r="AU21" s="110" t="n">
        <f aca="false">IF(AU18=0,1,MIN(1,AU8/AU18))</f>
        <v>1</v>
      </c>
      <c r="AV21" s="110" t="n">
        <f aca="false">IF(AV18=0,1,MIN(1,AV8/AV18))</f>
        <v>1</v>
      </c>
      <c r="AW21" s="110" t="n">
        <f aca="false">IF(AW18=0,1,MIN(1,AW8/AW18))</f>
        <v>1</v>
      </c>
      <c r="AX21" s="110" t="n">
        <f aca="false">IF(AX18=0,1,MIN(1,AX8/AX18))</f>
        <v>1</v>
      </c>
      <c r="AY21" s="110" t="n">
        <f aca="false">IF(AY18=0,1,MIN(1,AY8/AY18))</f>
        <v>1</v>
      </c>
      <c r="AZ21" s="110" t="n">
        <f aca="false">IF(AZ18=0,1,MIN(1,AZ8/AZ18))</f>
        <v>1</v>
      </c>
      <c r="BA21" s="110" t="n">
        <f aca="false">IF(BA18=0,1,MIN(1,BA8/BA18))</f>
        <v>1</v>
      </c>
      <c r="BB21" s="110" t="n">
        <f aca="false">IF(BB18=0,1,MIN(1,BB8/BB18))</f>
        <v>1</v>
      </c>
      <c r="BC21" s="110" t="n">
        <f aca="false">IF(BC18=0,1,MIN(1,BC8/BC18))</f>
        <v>1</v>
      </c>
      <c r="BD21" s="110" t="n">
        <f aca="false">IF(BD18=0,1,MIN(1,BD8/BD18))</f>
        <v>1</v>
      </c>
      <c r="BE21" s="110" t="n">
        <f aca="false">IF(BE18=0,1,MIN(1,BE8/BE18))</f>
        <v>1</v>
      </c>
      <c r="BF21" s="110" t="n">
        <f aca="false">IF(BF18=0,1,MIN(1,BF8/BF18))</f>
        <v>1</v>
      </c>
      <c r="BG21" s="110" t="n">
        <f aca="false">IF(BG18=0,1,MIN(1,BG8/BG18))</f>
        <v>1</v>
      </c>
      <c r="BH21" s="110" t="n">
        <f aca="false">IF(BH18=0,1,MIN(1,BH8/BH18))</f>
        <v>1</v>
      </c>
      <c r="BI21" s="110" t="n">
        <f aca="false">IF(BI18=0,1,MIN(1,BI8/BI18))</f>
        <v>1</v>
      </c>
      <c r="BJ21" s="110" t="n">
        <f aca="false">IF(BJ18=0,1,MIN(1,BJ8/BJ18))</f>
        <v>1</v>
      </c>
      <c r="BK21" s="110" t="n">
        <f aca="false">IF(BK18=0,1,MIN(1,BK8/BK18))</f>
        <v>1</v>
      </c>
      <c r="BL21" s="110" t="n">
        <f aca="false">IF(BL18=0,1,MIN(1,BL8/BL18))</f>
        <v>1</v>
      </c>
      <c r="BM21" s="110" t="n">
        <f aca="false">IF(BM18=0,1,MIN(1,BM8/BM18))</f>
        <v>1</v>
      </c>
      <c r="BN21" s="110" t="n">
        <f aca="false">IF(BN18=0,1,MIN(1,BN8/BN18))</f>
        <v>1</v>
      </c>
      <c r="BO21" s="110" t="n">
        <f aca="false">IF(BO18=0,1,MIN(1,BO8/BO18))</f>
        <v>1</v>
      </c>
      <c r="BP21" s="110" t="n">
        <f aca="false">IF(BP18=0,1,MIN(1,BP8/BP18))</f>
        <v>1</v>
      </c>
      <c r="BQ21" s="110" t="n">
        <f aca="false">IF(BQ18=0,1,MIN(1,BQ8/BQ18))</f>
        <v>1</v>
      </c>
      <c r="BR21" s="110" t="n">
        <f aca="false">IF(BR18=0,1,MIN(1,BR8/BR18))</f>
        <v>1</v>
      </c>
      <c r="BS21" s="110" t="n">
        <f aca="false">IF(BS18=0,1,MIN(1,BS8/BS18))</f>
        <v>1</v>
      </c>
      <c r="BT21" s="110" t="n">
        <f aca="false">IF(BT18=0,1,MIN(1,BT8/BT18))</f>
        <v>1</v>
      </c>
      <c r="BU21" s="110" t="n">
        <f aca="false">IF(BU18=0,1,MIN(1,BU8/BU18))</f>
        <v>1</v>
      </c>
      <c r="BV21" s="110" t="n">
        <f aca="false">IF(BV18=0,1,MIN(1,BV8/BV18))</f>
        <v>1</v>
      </c>
      <c r="BW21" s="110" t="n">
        <f aca="false">IF(BW18=0,1,MIN(1,BW8/BW18))</f>
        <v>1</v>
      </c>
      <c r="BX21" s="110" t="n">
        <f aca="false">IF(BX18=0,1,MIN(1,BX8/BX18))</f>
        <v>1</v>
      </c>
      <c r="BY21" s="110" t="n">
        <f aca="false">IF(BY18=0,1,MIN(1,BY8/BY18))</f>
        <v>1</v>
      </c>
      <c r="BZ21" s="110" t="n">
        <f aca="false">IF(BZ18=0,1,MIN(1,BZ8/BZ18))</f>
        <v>1</v>
      </c>
      <c r="CA21" s="110" t="n">
        <f aca="false">IF(CA18=0,1,MIN(1,CA8/CA18))</f>
        <v>1</v>
      </c>
      <c r="CB21" s="110" t="n">
        <f aca="false">IF(CB18=0,1,MIN(1,CB8/CB18))</f>
        <v>1</v>
      </c>
      <c r="CC21" s="110" t="n">
        <f aca="false">IF(CC18=0,1,MIN(1,CC8/CC18))</f>
        <v>1</v>
      </c>
      <c r="CD21" s="110" t="n">
        <f aca="false">IF(CD18=0,1,MIN(1,CD8/CD18))</f>
        <v>1</v>
      </c>
      <c r="CE21" s="110" t="n">
        <f aca="false">IF(CE18=0,1,MIN(1,CE8/CE18))</f>
        <v>1</v>
      </c>
      <c r="CF21" s="110" t="n">
        <f aca="false">IF(CF18=0,1,MIN(1,CF8/CF18))</f>
        <v>1</v>
      </c>
      <c r="CG21" s="110" t="n">
        <f aca="false">IF(CG18=0,1,MIN(1,CG8/CG18))</f>
        <v>1</v>
      </c>
      <c r="CH21" s="110" t="n">
        <f aca="false">IF(CH18=0,1,MIN(1,CH8/CH18))</f>
        <v>1</v>
      </c>
    </row>
    <row r="22" customFormat="false" ht="13.5" hidden="false" customHeight="true" outlineLevel="0" collapsed="false">
      <c r="A22" s="6" t="s">
        <v>502</v>
      </c>
      <c r="C22" s="110" t="n">
        <f aca="false">MIN(Hipótesis!$D$32,Hipótesis!$D$31+(Hipótesis!$D$32-Hipótesis!$D$31)*MAX(0,1-Hipótesis!$D$29)/Hipótesis!$D$33)</f>
        <v>0</v>
      </c>
      <c r="D22" s="110" t="n">
        <f aca="false">MIN(Hipótesis!$D$32,Hipótesis!$D$31+(Hipótesis!$D$32-Hipótesis!$D$31)*MAX(0,2-Hipótesis!$D$29)/Hipótesis!$D$33)</f>
        <v>0</v>
      </c>
      <c r="E22" s="110" t="n">
        <f aca="false">MIN(Hipótesis!$D$32,Hipótesis!$D$31+(Hipótesis!$D$32-Hipótesis!$D$31)*MAX(0,3-Hipótesis!$D$29)/Hipótesis!$D$33)</f>
        <v>0</v>
      </c>
      <c r="F22" s="110" t="n">
        <f aca="false">MIN(Hipótesis!$D$32,Hipótesis!$D$31+(Hipótesis!$D$32-Hipótesis!$D$31)*MAX(0,4-Hipótesis!$D$29)/Hipótesis!$D$33)</f>
        <v>0</v>
      </c>
      <c r="G22" s="110" t="n">
        <f aca="false">MIN(Hipótesis!$D$32,Hipótesis!$D$31+(Hipótesis!$D$32-Hipótesis!$D$31)*MAX(0,5-Hipótesis!$D$29)/Hipótesis!$D$33)</f>
        <v>0</v>
      </c>
      <c r="H22" s="110" t="n">
        <f aca="false">MIN(Hipótesis!$D$32,Hipótesis!$D$31+(Hipótesis!$D$32-Hipótesis!$D$31)*MAX(0,6-Hipótesis!$D$29)/Hipótesis!$D$33)</f>
        <v>0</v>
      </c>
      <c r="I22" s="110" t="n">
        <f aca="false">MIN(Hipótesis!$D$32,Hipótesis!$D$31+(Hipótesis!$D$32-Hipótesis!$D$31)*MAX(0,7-Hipótesis!$D$29)/Hipótesis!$D$33)</f>
        <v>0.0152777777777778</v>
      </c>
      <c r="J22" s="110" t="n">
        <f aca="false">MIN(Hipótesis!$D$32,Hipótesis!$D$31+(Hipótesis!$D$32-Hipótesis!$D$31)*MAX(0,8-Hipótesis!$D$29)/Hipótesis!$D$33)</f>
        <v>0.0305555555555556</v>
      </c>
      <c r="K22" s="110" t="n">
        <f aca="false">MIN(Hipótesis!$D$32,Hipótesis!$D$31+(Hipótesis!$D$32-Hipótesis!$D$31)*MAX(0,9-Hipótesis!$D$29)/Hipótesis!$D$33)</f>
        <v>0.0458333333333333</v>
      </c>
      <c r="L22" s="110" t="n">
        <f aca="false">MIN(Hipótesis!$D$32,Hipótesis!$D$31+(Hipótesis!$D$32-Hipótesis!$D$31)*MAX(0,10-Hipótesis!$D$29)/Hipótesis!$D$33)</f>
        <v>0.0611111111111111</v>
      </c>
      <c r="M22" s="110" t="n">
        <f aca="false">MIN(Hipótesis!$D$32,Hipótesis!$D$31+(Hipótesis!$D$32-Hipótesis!$D$31)*MAX(0,11-Hipótesis!$D$29)/Hipótesis!$D$33)</f>
        <v>0.0763888888888889</v>
      </c>
      <c r="N22" s="110" t="n">
        <f aca="false">MIN(Hipótesis!$D$32,Hipótesis!$D$31+(Hipótesis!$D$32-Hipótesis!$D$31)*MAX(0,12-Hipótesis!$D$29)/Hipótesis!$D$33)</f>
        <v>0.0916666666666667</v>
      </c>
      <c r="O22" s="110" t="n">
        <f aca="false">MIN(Hipótesis!$D$32,Hipótesis!$D$31+(Hipótesis!$D$32-Hipótesis!$D$31)*MAX(0,13-Hipótesis!$D$29)/Hipótesis!$D$33)</f>
        <v>0.106944444444444</v>
      </c>
      <c r="P22" s="110" t="n">
        <f aca="false">MIN(Hipótesis!$D$32,Hipótesis!$D$31+(Hipótesis!$D$32-Hipótesis!$D$31)*MAX(0,14-Hipótesis!$D$29)/Hipótesis!$D$33)</f>
        <v>0.122222222222222</v>
      </c>
      <c r="Q22" s="110" t="n">
        <f aca="false">MIN(Hipótesis!$D$32,Hipótesis!$D$31+(Hipótesis!$D$32-Hipótesis!$D$31)*MAX(0,15-Hipótesis!$D$29)/Hipótesis!$D$33)</f>
        <v>0.1375</v>
      </c>
      <c r="R22" s="110" t="n">
        <f aca="false">MIN(Hipótesis!$D$32,Hipótesis!$D$31+(Hipótesis!$D$32-Hipótesis!$D$31)*MAX(0,16-Hipótesis!$D$29)/Hipótesis!$D$33)</f>
        <v>0.152777777777778</v>
      </c>
      <c r="S22" s="110" t="n">
        <f aca="false">MIN(Hipótesis!$D$32,Hipótesis!$D$31+(Hipótesis!$D$32-Hipótesis!$D$31)*MAX(0,17-Hipótesis!$D$29)/Hipótesis!$D$33)</f>
        <v>0.168055555555556</v>
      </c>
      <c r="T22" s="110" t="n">
        <f aca="false">MIN(Hipótesis!$D$32,Hipótesis!$D$31+(Hipótesis!$D$32-Hipótesis!$D$31)*MAX(0,18-Hipótesis!$D$29)/Hipótesis!$D$33)</f>
        <v>0.183333333333333</v>
      </c>
      <c r="U22" s="110" t="n">
        <f aca="false">MIN(Hipótesis!$D$32,Hipótesis!$D$31+(Hipótesis!$D$32-Hipótesis!$D$31)*MAX(0,19-Hipótesis!$D$29)/Hipótesis!$D$33)</f>
        <v>0.198611111111111</v>
      </c>
      <c r="V22" s="110" t="n">
        <f aca="false">MIN(Hipótesis!$D$32,Hipótesis!$D$31+(Hipótesis!$D$32-Hipótesis!$D$31)*MAX(0,20-Hipótesis!$D$29)/Hipótesis!$D$33)</f>
        <v>0.213888888888889</v>
      </c>
      <c r="W22" s="110" t="n">
        <f aca="false">MIN(Hipótesis!$D$32,Hipótesis!$D$31+(Hipótesis!$D$32-Hipótesis!$D$31)*MAX(0,21-Hipótesis!$D$29)/Hipótesis!$D$33)</f>
        <v>0.229166666666667</v>
      </c>
      <c r="X22" s="110" t="n">
        <f aca="false">MIN(Hipótesis!$D$32,Hipótesis!$D$31+(Hipótesis!$D$32-Hipótesis!$D$31)*MAX(0,22-Hipótesis!$D$29)/Hipótesis!$D$33)</f>
        <v>0.244444444444444</v>
      </c>
      <c r="Y22" s="110" t="n">
        <f aca="false">MIN(Hipótesis!$D$32,Hipótesis!$D$31+(Hipótesis!$D$32-Hipótesis!$D$31)*MAX(0,23-Hipótesis!$D$29)/Hipótesis!$D$33)</f>
        <v>0.259722222222222</v>
      </c>
      <c r="Z22" s="110" t="n">
        <f aca="false">MIN(Hipótesis!$D$32,Hipótesis!$D$31+(Hipótesis!$D$32-Hipótesis!$D$31)*MAX(0,24-Hipótesis!$D$29)/Hipótesis!$D$33)</f>
        <v>0.275</v>
      </c>
      <c r="AA22" s="110" t="n">
        <f aca="false">MIN(Hipótesis!$D$32,Hipótesis!$D$31+(Hipótesis!$D$32-Hipótesis!$D$31)*MAX(0,25-Hipótesis!$D$29)/Hipótesis!$D$33)</f>
        <v>0.290277777777778</v>
      </c>
      <c r="AB22" s="110" t="n">
        <f aca="false">MIN(Hipótesis!$D$32,Hipótesis!$D$31+(Hipótesis!$D$32-Hipótesis!$D$31)*MAX(0,26-Hipótesis!$D$29)/Hipótesis!$D$33)</f>
        <v>0.305555555555556</v>
      </c>
      <c r="AC22" s="110" t="n">
        <f aca="false">MIN(Hipótesis!$D$32,Hipótesis!$D$31+(Hipótesis!$D$32-Hipótesis!$D$31)*MAX(0,27-Hipótesis!$D$29)/Hipótesis!$D$33)</f>
        <v>0.320833333333333</v>
      </c>
      <c r="AD22" s="110" t="n">
        <f aca="false">MIN(Hipótesis!$D$32,Hipótesis!$D$31+(Hipótesis!$D$32-Hipótesis!$D$31)*MAX(0,28-Hipótesis!$D$29)/Hipótesis!$D$33)</f>
        <v>0.336111111111111</v>
      </c>
      <c r="AE22" s="110" t="n">
        <f aca="false">MIN(Hipótesis!$D$32,Hipótesis!$D$31+(Hipótesis!$D$32-Hipótesis!$D$31)*MAX(0,29-Hipótesis!$D$29)/Hipótesis!$D$33)</f>
        <v>0.351388888888889</v>
      </c>
      <c r="AF22" s="110" t="n">
        <f aca="false">MIN(Hipótesis!$D$32,Hipótesis!$D$31+(Hipótesis!$D$32-Hipótesis!$D$31)*MAX(0,30-Hipótesis!$D$29)/Hipótesis!$D$33)</f>
        <v>0.366666666666667</v>
      </c>
      <c r="AG22" s="110" t="n">
        <f aca="false">MIN(Hipótesis!$D$32,Hipótesis!$D$31+(Hipótesis!$D$32-Hipótesis!$D$31)*MAX(0,31-Hipótesis!$D$29)/Hipótesis!$D$33)</f>
        <v>0.381944444444445</v>
      </c>
      <c r="AH22" s="110" t="n">
        <f aca="false">MIN(Hipótesis!$D$32,Hipótesis!$D$31+(Hipótesis!$D$32-Hipótesis!$D$31)*MAX(0,32-Hipótesis!$D$29)/Hipótesis!$D$33)</f>
        <v>0.397222222222222</v>
      </c>
      <c r="AI22" s="110" t="n">
        <f aca="false">MIN(Hipótesis!$D$32,Hipótesis!$D$31+(Hipótesis!$D$32-Hipótesis!$D$31)*MAX(0,33-Hipótesis!$D$29)/Hipótesis!$D$33)</f>
        <v>0.4125</v>
      </c>
      <c r="AJ22" s="110" t="n">
        <f aca="false">MIN(Hipótesis!$D$32,Hipótesis!$D$31+(Hipótesis!$D$32-Hipótesis!$D$31)*MAX(0,34-Hipótesis!$D$29)/Hipótesis!$D$33)</f>
        <v>0.427777777777778</v>
      </c>
      <c r="AK22" s="110" t="n">
        <f aca="false">MIN(Hipótesis!$D$32,Hipótesis!$D$31+(Hipótesis!$D$32-Hipótesis!$D$31)*MAX(0,35-Hipótesis!$D$29)/Hipótesis!$D$33)</f>
        <v>0.443055555555556</v>
      </c>
      <c r="AL22" s="110" t="n">
        <f aca="false">MIN(Hipótesis!$D$32,Hipótesis!$D$31+(Hipótesis!$D$32-Hipótesis!$D$31)*MAX(0,36-Hipótesis!$D$29)/Hipótesis!$D$33)</f>
        <v>0.458333333333333</v>
      </c>
      <c r="AM22" s="110" t="n">
        <f aca="false">MIN(Hipótesis!$D$32,Hipótesis!$D$31+(Hipótesis!$D$32-Hipótesis!$D$31)*MAX(0,37-Hipótesis!$D$29)/Hipótesis!$D$33)</f>
        <v>0.473611111111111</v>
      </c>
      <c r="AN22" s="110" t="n">
        <f aca="false">MIN(Hipótesis!$D$32,Hipótesis!$D$31+(Hipótesis!$D$32-Hipótesis!$D$31)*MAX(0,38-Hipótesis!$D$29)/Hipótesis!$D$33)</f>
        <v>0.488888888888889</v>
      </c>
      <c r="AO22" s="110" t="n">
        <f aca="false">MIN(Hipótesis!$D$32,Hipótesis!$D$31+(Hipótesis!$D$32-Hipótesis!$D$31)*MAX(0,39-Hipótesis!$D$29)/Hipótesis!$D$33)</f>
        <v>0.504166666666667</v>
      </c>
      <c r="AP22" s="110" t="n">
        <f aca="false">MIN(Hipótesis!$D$32,Hipótesis!$D$31+(Hipótesis!$D$32-Hipótesis!$D$31)*MAX(0,40-Hipótesis!$D$29)/Hipótesis!$D$33)</f>
        <v>0.519444444444445</v>
      </c>
      <c r="AQ22" s="110" t="n">
        <f aca="false">MIN(Hipótesis!$D$32,Hipótesis!$D$31+(Hipótesis!$D$32-Hipótesis!$D$31)*MAX(0,41-Hipótesis!$D$29)/Hipótesis!$D$33)</f>
        <v>0.534722222222222</v>
      </c>
      <c r="AR22" s="110" t="n">
        <f aca="false">MIN(Hipótesis!$D$32,Hipótesis!$D$31+(Hipótesis!$D$32-Hipótesis!$D$31)*MAX(0,42-Hipótesis!$D$29)/Hipótesis!$D$33)</f>
        <v>0.55</v>
      </c>
      <c r="AS22" s="110" t="n">
        <f aca="false">MIN(Hipótesis!$D$32,Hipótesis!$D$31+(Hipótesis!$D$32-Hipótesis!$D$31)*MAX(0,43-Hipótesis!$D$29)/Hipótesis!$D$33)</f>
        <v>0.55</v>
      </c>
      <c r="AT22" s="110" t="n">
        <f aca="false">MIN(Hipótesis!$D$32,Hipótesis!$D$31+(Hipótesis!$D$32-Hipótesis!$D$31)*MAX(0,44-Hipótesis!$D$29)/Hipótesis!$D$33)</f>
        <v>0.55</v>
      </c>
      <c r="AU22" s="110" t="n">
        <f aca="false">MIN(Hipótesis!$D$32,Hipótesis!$D$31+(Hipótesis!$D$32-Hipótesis!$D$31)*MAX(0,45-Hipótesis!$D$29)/Hipótesis!$D$33)</f>
        <v>0.55</v>
      </c>
      <c r="AV22" s="110" t="n">
        <f aca="false">MIN(Hipótesis!$D$32,Hipótesis!$D$31+(Hipótesis!$D$32-Hipótesis!$D$31)*MAX(0,46-Hipótesis!$D$29)/Hipótesis!$D$33)</f>
        <v>0.55</v>
      </c>
      <c r="AW22" s="110" t="n">
        <f aca="false">MIN(Hipótesis!$D$32,Hipótesis!$D$31+(Hipótesis!$D$32-Hipótesis!$D$31)*MAX(0,47-Hipótesis!$D$29)/Hipótesis!$D$33)</f>
        <v>0.55</v>
      </c>
      <c r="AX22" s="110" t="n">
        <f aca="false">MIN(Hipótesis!$D$32,Hipótesis!$D$31+(Hipótesis!$D$32-Hipótesis!$D$31)*MAX(0,48-Hipótesis!$D$29)/Hipótesis!$D$33)</f>
        <v>0.55</v>
      </c>
      <c r="AY22" s="110" t="n">
        <f aca="false">MIN(Hipótesis!$D$32,Hipótesis!$D$31+(Hipótesis!$D$32-Hipótesis!$D$31)*MAX(0,49-Hipótesis!$D$29)/Hipótesis!$D$33)</f>
        <v>0.55</v>
      </c>
      <c r="AZ22" s="110" t="n">
        <f aca="false">MIN(Hipótesis!$D$32,Hipótesis!$D$31+(Hipótesis!$D$32-Hipótesis!$D$31)*MAX(0,50-Hipótesis!$D$29)/Hipótesis!$D$33)</f>
        <v>0.55</v>
      </c>
      <c r="BA22" s="110" t="n">
        <f aca="false">MIN(Hipótesis!$D$32,Hipótesis!$D$31+(Hipótesis!$D$32-Hipótesis!$D$31)*MAX(0,51-Hipótesis!$D$29)/Hipótesis!$D$33)</f>
        <v>0.55</v>
      </c>
      <c r="BB22" s="110" t="n">
        <f aca="false">MIN(Hipótesis!$D$32,Hipótesis!$D$31+(Hipótesis!$D$32-Hipótesis!$D$31)*MAX(0,52-Hipótesis!$D$29)/Hipótesis!$D$33)</f>
        <v>0.55</v>
      </c>
      <c r="BC22" s="110" t="n">
        <f aca="false">MIN(Hipótesis!$D$32,Hipótesis!$D$31+(Hipótesis!$D$32-Hipótesis!$D$31)*MAX(0,53-Hipótesis!$D$29)/Hipótesis!$D$33)</f>
        <v>0.55</v>
      </c>
      <c r="BD22" s="110" t="n">
        <f aca="false">MIN(Hipótesis!$D$32,Hipótesis!$D$31+(Hipótesis!$D$32-Hipótesis!$D$31)*MAX(0,54-Hipótesis!$D$29)/Hipótesis!$D$33)</f>
        <v>0.55</v>
      </c>
      <c r="BE22" s="110" t="n">
        <f aca="false">MIN(Hipótesis!$D$32,Hipótesis!$D$31+(Hipótesis!$D$32-Hipótesis!$D$31)*MAX(0,55-Hipótesis!$D$29)/Hipótesis!$D$33)</f>
        <v>0.55</v>
      </c>
      <c r="BF22" s="110" t="n">
        <f aca="false">MIN(Hipótesis!$D$32,Hipótesis!$D$31+(Hipótesis!$D$32-Hipótesis!$D$31)*MAX(0,56-Hipótesis!$D$29)/Hipótesis!$D$33)</f>
        <v>0.55</v>
      </c>
      <c r="BG22" s="110" t="n">
        <f aca="false">MIN(Hipótesis!$D$32,Hipótesis!$D$31+(Hipótesis!$D$32-Hipótesis!$D$31)*MAX(0,57-Hipótesis!$D$29)/Hipótesis!$D$33)</f>
        <v>0.55</v>
      </c>
      <c r="BH22" s="110" t="n">
        <f aca="false">MIN(Hipótesis!$D$32,Hipótesis!$D$31+(Hipótesis!$D$32-Hipótesis!$D$31)*MAX(0,58-Hipótesis!$D$29)/Hipótesis!$D$33)</f>
        <v>0.55</v>
      </c>
      <c r="BI22" s="110" t="n">
        <f aca="false">MIN(Hipótesis!$D$32,Hipótesis!$D$31+(Hipótesis!$D$32-Hipótesis!$D$31)*MAX(0,59-Hipótesis!$D$29)/Hipótesis!$D$33)</f>
        <v>0.55</v>
      </c>
      <c r="BJ22" s="110" t="n">
        <f aca="false">MIN(Hipótesis!$D$32,Hipótesis!$D$31+(Hipótesis!$D$32-Hipótesis!$D$31)*MAX(0,60-Hipótesis!$D$29)/Hipótesis!$D$33)</f>
        <v>0.55</v>
      </c>
      <c r="BK22" s="110" t="n">
        <f aca="false">MIN(Hipótesis!$D$32,Hipótesis!$D$31+(Hipótesis!$D$32-Hipótesis!$D$31)*MAX(0,61-Hipótesis!$D$29)/Hipótesis!$D$33)</f>
        <v>0.55</v>
      </c>
      <c r="BL22" s="110" t="n">
        <f aca="false">MIN(Hipótesis!$D$32,Hipótesis!$D$31+(Hipótesis!$D$32-Hipótesis!$D$31)*MAX(0,62-Hipótesis!$D$29)/Hipótesis!$D$33)</f>
        <v>0.55</v>
      </c>
      <c r="BM22" s="110" t="n">
        <f aca="false">MIN(Hipótesis!$D$32,Hipótesis!$D$31+(Hipótesis!$D$32-Hipótesis!$D$31)*MAX(0,63-Hipótesis!$D$29)/Hipótesis!$D$33)</f>
        <v>0.55</v>
      </c>
      <c r="BN22" s="110" t="n">
        <f aca="false">MIN(Hipótesis!$D$32,Hipótesis!$D$31+(Hipótesis!$D$32-Hipótesis!$D$31)*MAX(0,64-Hipótesis!$D$29)/Hipótesis!$D$33)</f>
        <v>0.55</v>
      </c>
      <c r="BO22" s="110" t="n">
        <f aca="false">MIN(Hipótesis!$D$32,Hipótesis!$D$31+(Hipótesis!$D$32-Hipótesis!$D$31)*MAX(0,65-Hipótesis!$D$29)/Hipótesis!$D$33)</f>
        <v>0.55</v>
      </c>
      <c r="BP22" s="110" t="n">
        <f aca="false">MIN(Hipótesis!$D$32,Hipótesis!$D$31+(Hipótesis!$D$32-Hipótesis!$D$31)*MAX(0,66-Hipótesis!$D$29)/Hipótesis!$D$33)</f>
        <v>0.55</v>
      </c>
      <c r="BQ22" s="110" t="n">
        <f aca="false">MIN(Hipótesis!$D$32,Hipótesis!$D$31+(Hipótesis!$D$32-Hipótesis!$D$31)*MAX(0,67-Hipótesis!$D$29)/Hipótesis!$D$33)</f>
        <v>0.55</v>
      </c>
      <c r="BR22" s="110" t="n">
        <f aca="false">MIN(Hipótesis!$D$32,Hipótesis!$D$31+(Hipótesis!$D$32-Hipótesis!$D$31)*MAX(0,68-Hipótesis!$D$29)/Hipótesis!$D$33)</f>
        <v>0.55</v>
      </c>
      <c r="BS22" s="110" t="n">
        <f aca="false">MIN(Hipótesis!$D$32,Hipótesis!$D$31+(Hipótesis!$D$32-Hipótesis!$D$31)*MAX(0,69-Hipótesis!$D$29)/Hipótesis!$D$33)</f>
        <v>0.55</v>
      </c>
      <c r="BT22" s="110" t="n">
        <f aca="false">MIN(Hipótesis!$D$32,Hipótesis!$D$31+(Hipótesis!$D$32-Hipótesis!$D$31)*MAX(0,70-Hipótesis!$D$29)/Hipótesis!$D$33)</f>
        <v>0.55</v>
      </c>
      <c r="BU22" s="110" t="n">
        <f aca="false">MIN(Hipótesis!$D$32,Hipótesis!$D$31+(Hipótesis!$D$32-Hipótesis!$D$31)*MAX(0,71-Hipótesis!$D$29)/Hipótesis!$D$33)</f>
        <v>0.55</v>
      </c>
      <c r="BV22" s="110" t="n">
        <f aca="false">MIN(Hipótesis!$D$32,Hipótesis!$D$31+(Hipótesis!$D$32-Hipótesis!$D$31)*MAX(0,72-Hipótesis!$D$29)/Hipótesis!$D$33)</f>
        <v>0.55</v>
      </c>
      <c r="BW22" s="110" t="n">
        <f aca="false">MIN(Hipótesis!$D$32,Hipótesis!$D$31+(Hipótesis!$D$32-Hipótesis!$D$31)*MAX(0,73-Hipótesis!$D$29)/Hipótesis!$D$33)</f>
        <v>0.55</v>
      </c>
      <c r="BX22" s="110" t="n">
        <f aca="false">MIN(Hipótesis!$D$32,Hipótesis!$D$31+(Hipótesis!$D$32-Hipótesis!$D$31)*MAX(0,74-Hipótesis!$D$29)/Hipótesis!$D$33)</f>
        <v>0.55</v>
      </c>
      <c r="BY22" s="110" t="n">
        <f aca="false">MIN(Hipótesis!$D$32,Hipótesis!$D$31+(Hipótesis!$D$32-Hipótesis!$D$31)*MAX(0,75-Hipótesis!$D$29)/Hipótesis!$D$33)</f>
        <v>0.55</v>
      </c>
      <c r="BZ22" s="110" t="n">
        <f aca="false">MIN(Hipótesis!$D$32,Hipótesis!$D$31+(Hipótesis!$D$32-Hipótesis!$D$31)*MAX(0,76-Hipótesis!$D$29)/Hipótesis!$D$33)</f>
        <v>0.55</v>
      </c>
      <c r="CA22" s="110" t="n">
        <f aca="false">MIN(Hipótesis!$D$32,Hipótesis!$D$31+(Hipótesis!$D$32-Hipótesis!$D$31)*MAX(0,77-Hipótesis!$D$29)/Hipótesis!$D$33)</f>
        <v>0.55</v>
      </c>
      <c r="CB22" s="110" t="n">
        <f aca="false">MIN(Hipótesis!$D$32,Hipótesis!$D$31+(Hipótesis!$D$32-Hipótesis!$D$31)*MAX(0,78-Hipótesis!$D$29)/Hipótesis!$D$33)</f>
        <v>0.55</v>
      </c>
      <c r="CC22" s="110" t="n">
        <f aca="false">MIN(Hipótesis!$D$32,Hipótesis!$D$31+(Hipótesis!$D$32-Hipótesis!$D$31)*MAX(0,79-Hipótesis!$D$29)/Hipótesis!$D$33)</f>
        <v>0.55</v>
      </c>
      <c r="CD22" s="110" t="n">
        <f aca="false">MIN(Hipótesis!$D$32,Hipótesis!$D$31+(Hipótesis!$D$32-Hipótesis!$D$31)*MAX(0,80-Hipótesis!$D$29)/Hipótesis!$D$33)</f>
        <v>0.55</v>
      </c>
      <c r="CE22" s="110" t="n">
        <f aca="false">MIN(Hipótesis!$D$32,Hipótesis!$D$31+(Hipótesis!$D$32-Hipótesis!$D$31)*MAX(0,81-Hipótesis!$D$29)/Hipótesis!$D$33)</f>
        <v>0.55</v>
      </c>
      <c r="CF22" s="110" t="n">
        <f aca="false">MIN(Hipótesis!$D$32,Hipótesis!$D$31+(Hipótesis!$D$32-Hipótesis!$D$31)*MAX(0,82-Hipótesis!$D$29)/Hipótesis!$D$33)</f>
        <v>0.55</v>
      </c>
      <c r="CG22" s="110" t="n">
        <f aca="false">MIN(Hipótesis!$D$32,Hipótesis!$D$31+(Hipótesis!$D$32-Hipótesis!$D$31)*MAX(0,83-Hipótesis!$D$29)/Hipótesis!$D$33)</f>
        <v>0.55</v>
      </c>
      <c r="CH22" s="110" t="n">
        <f aca="false">MIN(Hipótesis!$D$32,Hipótesis!$D$31+(Hipótesis!$D$32-Hipótesis!$D$31)*MAX(0,84-Hipótesis!$D$29)/Hipótesis!$D$33)</f>
        <v>0.55</v>
      </c>
    </row>
    <row r="23" customFormat="false" ht="13.5" hidden="false" customHeight="true" outlineLevel="0" collapsed="false">
      <c r="A23" s="6" t="s">
        <v>503</v>
      </c>
      <c r="C23" s="101" t="n">
        <f aca="false">MAX(0,MIN(C8*C22,C8-C18*C21))</f>
        <v>0</v>
      </c>
      <c r="D23" s="101" t="n">
        <f aca="false">MAX(0,MIN(D8*D22,D8-D18*D21))</f>
        <v>0</v>
      </c>
      <c r="E23" s="101" t="n">
        <f aca="false">MAX(0,MIN(E8*E22,E8-E18*E21))</f>
        <v>0</v>
      </c>
      <c r="F23" s="101" t="n">
        <f aca="false">MAX(0,MIN(F8*F22,F8-F18*F21))</f>
        <v>0</v>
      </c>
      <c r="G23" s="101" t="n">
        <f aca="false">MAX(0,MIN(G8*G22,G8-G18*G21))</f>
        <v>0</v>
      </c>
      <c r="H23" s="101" t="n">
        <f aca="false">MAX(0,MIN(H8*H22,H8-H18*H21))</f>
        <v>0</v>
      </c>
      <c r="I23" s="101" t="n">
        <f aca="false">MAX(0,MIN(I8*I22,I8-I18*I21))</f>
        <v>44</v>
      </c>
      <c r="J23" s="101" t="n">
        <f aca="false">MAX(0,MIN(J8*J22,J8-J18*J21))</f>
        <v>88</v>
      </c>
      <c r="K23" s="101" t="n">
        <f aca="false">MAX(0,MIN(K8*K22,K8-K18*K21))</f>
        <v>132</v>
      </c>
      <c r="L23" s="101" t="n">
        <f aca="false">MAX(0,MIN(L8*L22,L8-L18*L21))</f>
        <v>176</v>
      </c>
      <c r="M23" s="101" t="n">
        <f aca="false">MAX(0,MIN(M8*M22,M8-M18*M21))</f>
        <v>220</v>
      </c>
      <c r="N23" s="101" t="n">
        <f aca="false">MAX(0,MIN(N8*N22,N8-N18*N21))</f>
        <v>264</v>
      </c>
      <c r="O23" s="101" t="n">
        <f aca="false">MAX(0,MIN(O8*O22,O8-O18*O21))</f>
        <v>308</v>
      </c>
      <c r="P23" s="101" t="n">
        <f aca="false">MAX(0,MIN(P8*P22,P8-P18*P21))</f>
        <v>352</v>
      </c>
      <c r="Q23" s="101" t="n">
        <f aca="false">MAX(0,MIN(Q8*Q22,Q8-Q18*Q21))</f>
        <v>396</v>
      </c>
      <c r="R23" s="101" t="n">
        <f aca="false">MAX(0,MIN(R8*R22,R8-R18*R21))</f>
        <v>440</v>
      </c>
      <c r="S23" s="101" t="n">
        <f aca="false">MAX(0,MIN(S8*S22,S8-S18*S21))</f>
        <v>484</v>
      </c>
      <c r="T23" s="101" t="n">
        <f aca="false">MAX(0,MIN(T8*T22,T8-T18*T21))</f>
        <v>528</v>
      </c>
      <c r="U23" s="101" t="n">
        <f aca="false">MAX(0,MIN(U8*U22,U8-U18*U21))</f>
        <v>572</v>
      </c>
      <c r="V23" s="101" t="n">
        <f aca="false">MAX(0,MIN(V8*V22,V8-V18*V21))</f>
        <v>616</v>
      </c>
      <c r="W23" s="101" t="n">
        <f aca="false">MAX(0,MIN(W8*W22,W8-W18*W21))</f>
        <v>660</v>
      </c>
      <c r="X23" s="101" t="n">
        <f aca="false">MAX(0,MIN(X8*X22,X8-X18*X21))</f>
        <v>704</v>
      </c>
      <c r="Y23" s="101" t="n">
        <f aca="false">MAX(0,MIN(Y8*Y22,Y8-Y18*Y21))</f>
        <v>748</v>
      </c>
      <c r="Z23" s="101" t="n">
        <f aca="false">MAX(0,MIN(Z8*Z22,Z8-Z18*Z21))</f>
        <v>792</v>
      </c>
      <c r="AA23" s="101" t="n">
        <f aca="false">MAX(0,MIN(AA8*AA22,AA8-AA18*AA21))</f>
        <v>836</v>
      </c>
      <c r="AB23" s="101" t="n">
        <f aca="false">MAX(0,MIN(AB8*AB22,AB8-AB18*AB21))</f>
        <v>880</v>
      </c>
      <c r="AC23" s="101" t="n">
        <f aca="false">MAX(0,MIN(AC8*AC22,AC8-AC18*AC21))</f>
        <v>924</v>
      </c>
      <c r="AD23" s="101" t="n">
        <f aca="false">MAX(0,MIN(AD8*AD22,AD8-AD18*AD21))</f>
        <v>968</v>
      </c>
      <c r="AE23" s="101" t="n">
        <f aca="false">MAX(0,MIN(AE8*AE22,AE8-AE18*AE21))</f>
        <v>1012</v>
      </c>
      <c r="AF23" s="101" t="n">
        <f aca="false">MAX(0,MIN(AF8*AF22,AF8-AF18*AF21))</f>
        <v>1056</v>
      </c>
      <c r="AG23" s="101" t="n">
        <f aca="false">MAX(0,MIN(AG8*AG22,AG8-AG18*AG21))</f>
        <v>1100</v>
      </c>
      <c r="AH23" s="101" t="n">
        <f aca="false">MAX(0,MIN(AH8*AH22,AH8-AH18*AH21))</f>
        <v>1144</v>
      </c>
      <c r="AI23" s="101" t="n">
        <f aca="false">MAX(0,MIN(AI8*AI22,AI8-AI18*AI21))</f>
        <v>1188</v>
      </c>
      <c r="AJ23" s="101" t="n">
        <f aca="false">MAX(0,MIN(AJ8*AJ22,AJ8-AJ18*AJ21))</f>
        <v>1232</v>
      </c>
      <c r="AK23" s="101" t="n">
        <f aca="false">MAX(0,MIN(AK8*AK22,AK8-AK18*AK21))</f>
        <v>1276</v>
      </c>
      <c r="AL23" s="101" t="n">
        <f aca="false">MAX(0,MIN(AL8*AL22,AL8-AL18*AL21))</f>
        <v>1320</v>
      </c>
      <c r="AM23" s="101" t="n">
        <f aca="false">MAX(0,MIN(AM8*AM22,AM8-AM18*AM21))</f>
        <v>1364</v>
      </c>
      <c r="AN23" s="101" t="n">
        <f aca="false">MAX(0,MIN(AN8*AN22,AN8-AN18*AN21))</f>
        <v>1408</v>
      </c>
      <c r="AO23" s="101" t="n">
        <f aca="false">MAX(0,MIN(AO8*AO22,AO8-AO18*AO21))</f>
        <v>1452</v>
      </c>
      <c r="AP23" s="101" t="n">
        <f aca="false">MAX(0,MIN(AP8*AP22,AP8-AP18*AP21))</f>
        <v>1496</v>
      </c>
      <c r="AQ23" s="101" t="n">
        <f aca="false">MAX(0,MIN(AQ8*AQ22,AQ8-AQ18*AQ21))</f>
        <v>1540</v>
      </c>
      <c r="AR23" s="101" t="n">
        <f aca="false">MAX(0,MIN(AR8*AR22,AR8-AR18*AR21))</f>
        <v>1584</v>
      </c>
      <c r="AS23" s="101" t="n">
        <f aca="false">MAX(0,MIN(AS8*AS22,AS8-AS18*AS21))</f>
        <v>1584</v>
      </c>
      <c r="AT23" s="101" t="n">
        <f aca="false">MAX(0,MIN(AT8*AT22,AT8-AT18*AT21))</f>
        <v>1584</v>
      </c>
      <c r="AU23" s="101" t="n">
        <f aca="false">MAX(0,MIN(AU8*AU22,AU8-AU18*AU21))</f>
        <v>1584</v>
      </c>
      <c r="AV23" s="101" t="n">
        <f aca="false">MAX(0,MIN(AV8*AV22,AV8-AV18*AV21))</f>
        <v>1584</v>
      </c>
      <c r="AW23" s="101" t="n">
        <f aca="false">MAX(0,MIN(AW8*AW22,AW8-AW18*AW21))</f>
        <v>1584</v>
      </c>
      <c r="AX23" s="101" t="n">
        <f aca="false">MAX(0,MIN(AX8*AX22,AX8-AX18*AX21))</f>
        <v>1584</v>
      </c>
      <c r="AY23" s="101" t="n">
        <f aca="false">MAX(0,MIN(AY8*AY22,AY8-AY18*AY21))</f>
        <v>1584</v>
      </c>
      <c r="AZ23" s="101" t="n">
        <f aca="false">MAX(0,MIN(AZ8*AZ22,AZ8-AZ18*AZ21))</f>
        <v>1584</v>
      </c>
      <c r="BA23" s="101" t="n">
        <f aca="false">MAX(0,MIN(BA8*BA22,BA8-BA18*BA21))</f>
        <v>1584</v>
      </c>
      <c r="BB23" s="101" t="n">
        <f aca="false">MAX(0,MIN(BB8*BB22,BB8-BB18*BB21))</f>
        <v>1584</v>
      </c>
      <c r="BC23" s="101" t="n">
        <f aca="false">MAX(0,MIN(BC8*BC22,BC8-BC18*BC21))</f>
        <v>1584</v>
      </c>
      <c r="BD23" s="101" t="n">
        <f aca="false">MAX(0,MIN(BD8*BD22,BD8-BD18*BD21))</f>
        <v>1584</v>
      </c>
      <c r="BE23" s="101" t="n">
        <f aca="false">MAX(0,MIN(BE8*BE22,BE8-BE18*BE21))</f>
        <v>1584</v>
      </c>
      <c r="BF23" s="101" t="n">
        <f aca="false">MAX(0,MIN(BF8*BF22,BF8-BF18*BF21))</f>
        <v>1584</v>
      </c>
      <c r="BG23" s="101" t="n">
        <f aca="false">MAX(0,MIN(BG8*BG22,BG8-BG18*BG21))</f>
        <v>1584</v>
      </c>
      <c r="BH23" s="101" t="n">
        <f aca="false">MAX(0,MIN(BH8*BH22,BH8-BH18*BH21))</f>
        <v>1584</v>
      </c>
      <c r="BI23" s="101" t="n">
        <f aca="false">MAX(0,MIN(BI8*BI22,BI8-BI18*BI21))</f>
        <v>1584</v>
      </c>
      <c r="BJ23" s="101" t="n">
        <f aca="false">MAX(0,MIN(BJ8*BJ22,BJ8-BJ18*BJ21))</f>
        <v>1584</v>
      </c>
      <c r="BK23" s="101" t="n">
        <f aca="false">MAX(0,MIN(BK8*BK22,BK8-BK18*BK21))</f>
        <v>1584</v>
      </c>
      <c r="BL23" s="101" t="n">
        <f aca="false">MAX(0,MIN(BL8*BL22,BL8-BL18*BL21))</f>
        <v>1584</v>
      </c>
      <c r="BM23" s="101" t="n">
        <f aca="false">MAX(0,MIN(BM8*BM22,BM8-BM18*BM21))</f>
        <v>1584</v>
      </c>
      <c r="BN23" s="101" t="n">
        <f aca="false">MAX(0,MIN(BN8*BN22,BN8-BN18*BN21))</f>
        <v>1584</v>
      </c>
      <c r="BO23" s="101" t="n">
        <f aca="false">MAX(0,MIN(BO8*BO22,BO8-BO18*BO21))</f>
        <v>1584</v>
      </c>
      <c r="BP23" s="101" t="n">
        <f aca="false">MAX(0,MIN(BP8*BP22,BP8-BP18*BP21))</f>
        <v>1584</v>
      </c>
      <c r="BQ23" s="101" t="n">
        <f aca="false">MAX(0,MIN(BQ8*BQ22,BQ8-BQ18*BQ21))</f>
        <v>1584</v>
      </c>
      <c r="BR23" s="101" t="n">
        <f aca="false">MAX(0,MIN(BR8*BR22,BR8-BR18*BR21))</f>
        <v>1584</v>
      </c>
      <c r="BS23" s="101" t="n">
        <f aca="false">MAX(0,MIN(BS8*BS22,BS8-BS18*BS21))</f>
        <v>1584</v>
      </c>
      <c r="BT23" s="101" t="n">
        <f aca="false">MAX(0,MIN(BT8*BT22,BT8-BT18*BT21))</f>
        <v>1584</v>
      </c>
      <c r="BU23" s="101" t="n">
        <f aca="false">MAX(0,MIN(BU8*BU22,BU8-BU18*BU21))</f>
        <v>1584</v>
      </c>
      <c r="BV23" s="101" t="n">
        <f aca="false">MAX(0,MIN(BV8*BV22,BV8-BV18*BV21))</f>
        <v>1584</v>
      </c>
      <c r="BW23" s="101" t="n">
        <f aca="false">MAX(0,MIN(BW8*BW22,BW8-BW18*BW21))</f>
        <v>1584</v>
      </c>
      <c r="BX23" s="101" t="n">
        <f aca="false">MAX(0,MIN(BX8*BX22,BX8-BX18*BX21))</f>
        <v>1584</v>
      </c>
      <c r="BY23" s="101" t="n">
        <f aca="false">MAX(0,MIN(BY8*BY22,BY8-BY18*BY21))</f>
        <v>1584</v>
      </c>
      <c r="BZ23" s="101" t="n">
        <f aca="false">MAX(0,MIN(BZ8*BZ22,BZ8-BZ18*BZ21))</f>
        <v>1584</v>
      </c>
      <c r="CA23" s="101" t="n">
        <f aca="false">MAX(0,MIN(CA8*CA22,CA8-CA18*CA21))</f>
        <v>1584</v>
      </c>
      <c r="CB23" s="101" t="n">
        <f aca="false">MAX(0,MIN(CB8*CB22,CB8-CB18*CB21))</f>
        <v>1584</v>
      </c>
      <c r="CC23" s="101" t="n">
        <f aca="false">MAX(0,MIN(CC8*CC22,CC8-CC18*CC21))</f>
        <v>1584</v>
      </c>
      <c r="CD23" s="101" t="n">
        <f aca="false">MAX(0,MIN(CD8*CD22,CD8-CD18*CD21))</f>
        <v>1584</v>
      </c>
      <c r="CE23" s="101" t="n">
        <f aca="false">MAX(0,MIN(CE8*CE22,CE8-CE18*CE21))</f>
        <v>1584</v>
      </c>
      <c r="CF23" s="101" t="n">
        <f aca="false">MAX(0,MIN(CF8*CF22,CF8-CF18*CF21))</f>
        <v>1584</v>
      </c>
      <c r="CG23" s="101" t="n">
        <f aca="false">MAX(0,MIN(CG8*CG22,CG8-CG18*CG21))</f>
        <v>1584</v>
      </c>
      <c r="CH23" s="101" t="n">
        <f aca="false">MAX(0,MIN(CH8*CH22,CH8-CH18*CH21))</f>
        <v>1584</v>
      </c>
    </row>
    <row r="24" customFormat="false" ht="13.5" hidden="false" customHeight="true" outlineLevel="0" collapsed="false">
      <c r="A24" s="22" t="s">
        <v>504</v>
      </c>
      <c r="C24" s="101" t="n">
        <f aca="false">C18*C21+C23</f>
        <v>42.5657462195924</v>
      </c>
      <c r="D24" s="101" t="n">
        <f aca="false">D18*D21+D23</f>
        <v>86.9988784468422</v>
      </c>
      <c r="E24" s="101" t="n">
        <f aca="false">E18*E21+E23</f>
        <v>162.939455552931</v>
      </c>
      <c r="F24" s="101" t="n">
        <f aca="false">F18*F21+F23</f>
        <v>196.314286439428</v>
      </c>
      <c r="G24" s="101" t="n">
        <f aca="false">G18*G21+G23</f>
        <v>227.821731318267</v>
      </c>
      <c r="H24" s="101" t="n">
        <f aca="false">H18*H21+H23</f>
        <v>280.726307534848</v>
      </c>
      <c r="I24" s="101" t="n">
        <f aca="false">I18*I21+I23</f>
        <v>377.63088375143</v>
      </c>
      <c r="J24" s="101" t="n">
        <f aca="false">J18*J21+J23</f>
        <v>474.535459968011</v>
      </c>
      <c r="K24" s="101" t="n">
        <f aca="false">K18*K21+K23</f>
        <v>571.440036184592</v>
      </c>
      <c r="L24" s="101" t="n">
        <f aca="false">L18*L21+L23</f>
        <v>668.344612401173</v>
      </c>
      <c r="M24" s="101" t="n">
        <f aca="false">M18*M21+M23</f>
        <v>733.741743738916</v>
      </c>
      <c r="N24" s="101" t="n">
        <f aca="false">N18*N21+N23</f>
        <v>830.261975204283</v>
      </c>
      <c r="O24" s="101" t="n">
        <f aca="false">O18*O21+O23</f>
        <v>926.78220666965</v>
      </c>
      <c r="P24" s="101" t="n">
        <f aca="false">P18*P21+P23</f>
        <v>1014.35454684833</v>
      </c>
      <c r="Q24" s="101" t="n">
        <f aca="false">Q18*Q21+Q23</f>
        <v>1101.926887027</v>
      </c>
      <c r="R24" s="101" t="n">
        <f aca="false">R18*R21+R23</f>
        <v>1189.49922720568</v>
      </c>
      <c r="S24" s="101" t="n">
        <f aca="false">S18*S21+S23</f>
        <v>1277.07156738435</v>
      </c>
      <c r="T24" s="101" t="n">
        <f aca="false">T18*T21+T23</f>
        <v>1364.64390756303</v>
      </c>
      <c r="U24" s="101" t="n">
        <f aca="false">U18*U21+U23</f>
        <v>1452.2162477417</v>
      </c>
      <c r="V24" s="101" t="n">
        <f aca="false">V18*V21+V23</f>
        <v>1539.78858792038</v>
      </c>
      <c r="W24" s="101" t="n">
        <f aca="false">W18*W21+W23</f>
        <v>1627.36092809905</v>
      </c>
      <c r="X24" s="101" t="n">
        <f aca="false">X18*X21+X23</f>
        <v>1683.8101681501</v>
      </c>
      <c r="Y24" s="101" t="n">
        <f aca="false">Y18*Y21+Y23</f>
        <v>1740.25940820115</v>
      </c>
      <c r="Z24" s="101" t="n">
        <f aca="false">Z18*Z21+Z23</f>
        <v>1784.25940820115</v>
      </c>
      <c r="AA24" s="101" t="n">
        <f aca="false">AA18*AA21+AA23</f>
        <v>1828.25940820115</v>
      </c>
      <c r="AB24" s="101" t="n">
        <f aca="false">AB18*AB21+AB23</f>
        <v>1872.25940820115</v>
      </c>
      <c r="AC24" s="101" t="n">
        <f aca="false">AC18*AC21+AC23</f>
        <v>1916.25940820115</v>
      </c>
      <c r="AD24" s="101" t="n">
        <f aca="false">AD18*AD21+AD23</f>
        <v>1960.25940820115</v>
      </c>
      <c r="AE24" s="101" t="n">
        <f aca="false">AE18*AE21+AE23</f>
        <v>2004.25940820115</v>
      </c>
      <c r="AF24" s="101" t="n">
        <f aca="false">AF18*AF21+AF23</f>
        <v>2048.25940820115</v>
      </c>
      <c r="AG24" s="101" t="n">
        <f aca="false">AG18*AG21+AG23</f>
        <v>2092.25940820115</v>
      </c>
      <c r="AH24" s="101" t="n">
        <f aca="false">AH18*AH21+AH23</f>
        <v>2136.25940820115</v>
      </c>
      <c r="AI24" s="101" t="n">
        <f aca="false">AI18*AI21+AI23</f>
        <v>2180.25940820115</v>
      </c>
      <c r="AJ24" s="101" t="n">
        <f aca="false">AJ18*AJ21+AJ23</f>
        <v>2224.25940820115</v>
      </c>
      <c r="AK24" s="101" t="n">
        <f aca="false">AK18*AK21+AK23</f>
        <v>2268.25940820115</v>
      </c>
      <c r="AL24" s="101" t="n">
        <f aca="false">AL18*AL21+AL23</f>
        <v>2312.25940820115</v>
      </c>
      <c r="AM24" s="101" t="n">
        <f aca="false">AM18*AM21+AM23</f>
        <v>2356.25940820115</v>
      </c>
      <c r="AN24" s="101" t="n">
        <f aca="false">AN18*AN21+AN23</f>
        <v>2400.25940820115</v>
      </c>
      <c r="AO24" s="101" t="n">
        <f aca="false">AO18*AO21+AO23</f>
        <v>2444.25940820115</v>
      </c>
      <c r="AP24" s="101" t="n">
        <f aca="false">AP18*AP21+AP23</f>
        <v>2488.25940820115</v>
      </c>
      <c r="AQ24" s="101" t="n">
        <f aca="false">AQ18*AQ21+AQ23</f>
        <v>2532.25940820115</v>
      </c>
      <c r="AR24" s="101" t="n">
        <f aca="false">AR18*AR21+AR23</f>
        <v>2576.25940820115</v>
      </c>
      <c r="AS24" s="101" t="n">
        <f aca="false">AS18*AS21+AS23</f>
        <v>2576.25940820115</v>
      </c>
      <c r="AT24" s="101" t="n">
        <f aca="false">AT18*AT21+AT23</f>
        <v>2576.25940820115</v>
      </c>
      <c r="AU24" s="101" t="n">
        <f aca="false">AU18*AU21+AU23</f>
        <v>2576.25940820115</v>
      </c>
      <c r="AV24" s="101" t="n">
        <f aca="false">AV18*AV21+AV23</f>
        <v>2576.25940820115</v>
      </c>
      <c r="AW24" s="101" t="n">
        <f aca="false">AW18*AW21+AW23</f>
        <v>2576.25940820115</v>
      </c>
      <c r="AX24" s="101" t="n">
        <f aca="false">AX18*AX21+AX23</f>
        <v>2576.25940820115</v>
      </c>
      <c r="AY24" s="101" t="n">
        <f aca="false">AY18*AY21+AY23</f>
        <v>2576.25940820115</v>
      </c>
      <c r="AZ24" s="101" t="n">
        <f aca="false">AZ18*AZ21+AZ23</f>
        <v>2576.25940820115</v>
      </c>
      <c r="BA24" s="101" t="n">
        <f aca="false">BA18*BA21+BA23</f>
        <v>2576.25940820115</v>
      </c>
      <c r="BB24" s="101" t="n">
        <f aca="false">BB18*BB21+BB23</f>
        <v>2576.25940820115</v>
      </c>
      <c r="BC24" s="101" t="n">
        <f aca="false">BC18*BC21+BC23</f>
        <v>2576.25940820115</v>
      </c>
      <c r="BD24" s="101" t="n">
        <f aca="false">BD18*BD21+BD23</f>
        <v>2576.25940820115</v>
      </c>
      <c r="BE24" s="101" t="n">
        <f aca="false">BE18*BE21+BE23</f>
        <v>2576.25940820115</v>
      </c>
      <c r="BF24" s="101" t="n">
        <f aca="false">BF18*BF21+BF23</f>
        <v>2576.25940820115</v>
      </c>
      <c r="BG24" s="101" t="n">
        <f aca="false">BG18*BG21+BG23</f>
        <v>2576.25940820115</v>
      </c>
      <c r="BH24" s="101" t="n">
        <f aca="false">BH18*BH21+BH23</f>
        <v>2576.25940820115</v>
      </c>
      <c r="BI24" s="101" t="n">
        <f aca="false">BI18*BI21+BI23</f>
        <v>2576.25940820115</v>
      </c>
      <c r="BJ24" s="101" t="n">
        <f aca="false">BJ18*BJ21+BJ23</f>
        <v>2576.25940820115</v>
      </c>
      <c r="BK24" s="101" t="n">
        <f aca="false">BK18*BK21+BK23</f>
        <v>2576.25940820115</v>
      </c>
      <c r="BL24" s="101" t="n">
        <f aca="false">BL18*BL21+BL23</f>
        <v>2576.25940820115</v>
      </c>
      <c r="BM24" s="101" t="n">
        <f aca="false">BM18*BM21+BM23</f>
        <v>2576.25940820115</v>
      </c>
      <c r="BN24" s="101" t="n">
        <f aca="false">BN18*BN21+BN23</f>
        <v>2576.25940820115</v>
      </c>
      <c r="BO24" s="101" t="n">
        <f aca="false">BO18*BO21+BO23</f>
        <v>2576.25940820115</v>
      </c>
      <c r="BP24" s="101" t="n">
        <f aca="false">BP18*BP21+BP23</f>
        <v>2576.25940820115</v>
      </c>
      <c r="BQ24" s="101" t="n">
        <f aca="false">BQ18*BQ21+BQ23</f>
        <v>2576.25940820115</v>
      </c>
      <c r="BR24" s="101" t="n">
        <f aca="false">BR18*BR21+BR23</f>
        <v>2576.25940820115</v>
      </c>
      <c r="BS24" s="101" t="n">
        <f aca="false">BS18*BS21+BS23</f>
        <v>2576.25940820115</v>
      </c>
      <c r="BT24" s="101" t="n">
        <f aca="false">BT18*BT21+BT23</f>
        <v>2576.25940820115</v>
      </c>
      <c r="BU24" s="101" t="n">
        <f aca="false">BU18*BU21+BU23</f>
        <v>2576.25940820115</v>
      </c>
      <c r="BV24" s="101" t="n">
        <f aca="false">BV18*BV21+BV23</f>
        <v>2576.25940820115</v>
      </c>
      <c r="BW24" s="101" t="n">
        <f aca="false">BW18*BW21+BW23</f>
        <v>2576.25940820115</v>
      </c>
      <c r="BX24" s="101" t="n">
        <f aca="false">BX18*BX21+BX23</f>
        <v>2576.25940820115</v>
      </c>
      <c r="BY24" s="101" t="n">
        <f aca="false">BY18*BY21+BY23</f>
        <v>2576.25940820115</v>
      </c>
      <c r="BZ24" s="101" t="n">
        <f aca="false">BZ18*BZ21+BZ23</f>
        <v>2576.25940820115</v>
      </c>
      <c r="CA24" s="101" t="n">
        <f aca="false">CA18*CA21+CA23</f>
        <v>2576.25940820115</v>
      </c>
      <c r="CB24" s="101" t="n">
        <f aca="false">CB18*CB21+CB23</f>
        <v>2576.25940820115</v>
      </c>
      <c r="CC24" s="101" t="n">
        <f aca="false">CC18*CC21+CC23</f>
        <v>2576.25940820115</v>
      </c>
      <c r="CD24" s="101" t="n">
        <f aca="false">CD18*CD21+CD23</f>
        <v>2576.25940820115</v>
      </c>
      <c r="CE24" s="101" t="n">
        <f aca="false">CE18*CE21+CE23</f>
        <v>2576.25940820115</v>
      </c>
      <c r="CF24" s="101" t="n">
        <f aca="false">CF18*CF21+CF23</f>
        <v>2576.25940820115</v>
      </c>
      <c r="CG24" s="101" t="n">
        <f aca="false">CG18*CG21+CG23</f>
        <v>2576.25940820115</v>
      </c>
      <c r="CH24" s="101" t="n">
        <f aca="false">CH18*CH21+CH23</f>
        <v>2576.25940820115</v>
      </c>
    </row>
    <row r="25" customFormat="false" ht="13.5" hidden="false" customHeight="true" outlineLevel="0" collapsed="false">
      <c r="A25" s="6" t="s">
        <v>505</v>
      </c>
      <c r="C25" s="110" t="n">
        <f aca="false">IFERROR(C24/C8,0)</f>
        <v>0.044339318978742</v>
      </c>
      <c r="D25" s="110" t="n">
        <f aca="false">IFERROR(D24/D8,0)</f>
        <v>0.0604158878103071</v>
      </c>
      <c r="E25" s="110" t="n">
        <f aca="false">IFERROR(E24/E8,0)</f>
        <v>0.0848642997671517</v>
      </c>
      <c r="F25" s="110" t="n">
        <f aca="false">IFERROR(F24/F8,0)</f>
        <v>0.0817976193497616</v>
      </c>
      <c r="G25" s="110" t="n">
        <f aca="false">IFERROR(G24/G8,0)</f>
        <v>0.0791047678188427</v>
      </c>
      <c r="H25" s="110" t="n">
        <f aca="false">IFERROR(H24/H8,0)</f>
        <v>0.0974744123384889</v>
      </c>
      <c r="I25" s="110" t="n">
        <f aca="false">IFERROR(I24/I8,0)</f>
        <v>0.131121834635913</v>
      </c>
      <c r="J25" s="110" t="n">
        <f aca="false">IFERROR(J24/J8,0)</f>
        <v>0.164769256933337</v>
      </c>
      <c r="K25" s="110" t="n">
        <f aca="false">IFERROR(K24/K8,0)</f>
        <v>0.198416679230761</v>
      </c>
      <c r="L25" s="110" t="n">
        <f aca="false">IFERROR(L24/L8,0)</f>
        <v>0.232064101528185</v>
      </c>
      <c r="M25" s="110" t="n">
        <f aca="false">IFERROR(M24/M8,0)</f>
        <v>0.254771438798235</v>
      </c>
      <c r="N25" s="110" t="n">
        <f aca="false">IFERROR(N24/N8,0)</f>
        <v>0.288285408057043</v>
      </c>
      <c r="O25" s="110" t="n">
        <f aca="false">IFERROR(O24/O8,0)</f>
        <v>0.321799377315851</v>
      </c>
      <c r="P25" s="110" t="n">
        <f aca="false">IFERROR(P24/P8,0)</f>
        <v>0.352206439877891</v>
      </c>
      <c r="Q25" s="110" t="n">
        <f aca="false">IFERROR(Q24/Q8,0)</f>
        <v>0.382613502439931</v>
      </c>
      <c r="R25" s="110" t="n">
        <f aca="false">IFERROR(R24/R8,0)</f>
        <v>0.413020565001971</v>
      </c>
      <c r="S25" s="110" t="n">
        <f aca="false">IFERROR(S24/S8,0)</f>
        <v>0.44342762756401</v>
      </c>
      <c r="T25" s="110" t="n">
        <f aca="false">IFERROR(T24/T8,0)</f>
        <v>0.47383469012605</v>
      </c>
      <c r="U25" s="110" t="n">
        <f aca="false">IFERROR(U24/U8,0)</f>
        <v>0.50424175268809</v>
      </c>
      <c r="V25" s="110" t="n">
        <f aca="false">IFERROR(V24/V8,0)</f>
        <v>0.53464881525013</v>
      </c>
      <c r="W25" s="110" t="n">
        <f aca="false">IFERROR(W24/W8,0)</f>
        <v>0.56505587781217</v>
      </c>
      <c r="X25" s="110" t="n">
        <f aca="false">IFERROR(X24/X8,0)</f>
        <v>0.584656308385451</v>
      </c>
      <c r="Y25" s="110" t="n">
        <f aca="false">IFERROR(Y24/Y8,0)</f>
        <v>0.604256738958733</v>
      </c>
      <c r="Z25" s="110" t="n">
        <f aca="false">IFERROR(Z24/Z8,0)</f>
        <v>0.619534516736511</v>
      </c>
      <c r="AA25" s="110" t="n">
        <f aca="false">IFERROR(AA24/AA8,0)</f>
        <v>0.634812294514288</v>
      </c>
      <c r="AB25" s="110" t="n">
        <f aca="false">IFERROR(AB24/AB8,0)</f>
        <v>0.650090072292066</v>
      </c>
      <c r="AC25" s="110" t="n">
        <f aca="false">IFERROR(AC24/AC8,0)</f>
        <v>0.665367850069844</v>
      </c>
      <c r="AD25" s="110" t="n">
        <f aca="false">IFERROR(AD24/AD8,0)</f>
        <v>0.680645627847622</v>
      </c>
      <c r="AE25" s="110" t="n">
        <f aca="false">IFERROR(AE24/AE8,0)</f>
        <v>0.695923405625399</v>
      </c>
      <c r="AF25" s="110" t="n">
        <f aca="false">IFERROR(AF24/AF8,0)</f>
        <v>0.711201183403177</v>
      </c>
      <c r="AG25" s="110" t="n">
        <f aca="false">IFERROR(AG24/AG8,0)</f>
        <v>0.726478961180955</v>
      </c>
      <c r="AH25" s="110" t="n">
        <f aca="false">IFERROR(AH24/AH8,0)</f>
        <v>0.741756738958733</v>
      </c>
      <c r="AI25" s="110" t="n">
        <f aca="false">IFERROR(AI24/AI8,0)</f>
        <v>0.757034516736511</v>
      </c>
      <c r="AJ25" s="110" t="n">
        <f aca="false">IFERROR(AJ24/AJ8,0)</f>
        <v>0.772312294514288</v>
      </c>
      <c r="AK25" s="110" t="n">
        <f aca="false">IFERROR(AK24/AK8,0)</f>
        <v>0.787590072292066</v>
      </c>
      <c r="AL25" s="110" t="n">
        <f aca="false">IFERROR(AL24/AL8,0)</f>
        <v>0.802867850069844</v>
      </c>
      <c r="AM25" s="110" t="n">
        <f aca="false">IFERROR(AM24/AM8,0)</f>
        <v>0.818145627847622</v>
      </c>
      <c r="AN25" s="110" t="n">
        <f aca="false">IFERROR(AN24/AN8,0)</f>
        <v>0.833423405625399</v>
      </c>
      <c r="AO25" s="110" t="n">
        <f aca="false">IFERROR(AO24/AO8,0)</f>
        <v>0.848701183403177</v>
      </c>
      <c r="AP25" s="110" t="n">
        <f aca="false">IFERROR(AP24/AP8,0)</f>
        <v>0.863978961180955</v>
      </c>
      <c r="AQ25" s="110" t="n">
        <f aca="false">IFERROR(AQ24/AQ8,0)</f>
        <v>0.879256738958733</v>
      </c>
      <c r="AR25" s="110" t="n">
        <f aca="false">IFERROR(AR24/AR8,0)</f>
        <v>0.89453451673651</v>
      </c>
      <c r="AS25" s="110" t="n">
        <f aca="false">IFERROR(AS24/AS8,0)</f>
        <v>0.89453451673651</v>
      </c>
      <c r="AT25" s="110" t="n">
        <f aca="false">IFERROR(AT24/AT8,0)</f>
        <v>0.89453451673651</v>
      </c>
      <c r="AU25" s="110" t="n">
        <f aca="false">IFERROR(AU24/AU8,0)</f>
        <v>0.89453451673651</v>
      </c>
      <c r="AV25" s="110" t="n">
        <f aca="false">IFERROR(AV24/AV8,0)</f>
        <v>0.89453451673651</v>
      </c>
      <c r="AW25" s="110" t="n">
        <f aca="false">IFERROR(AW24/AW8,0)</f>
        <v>0.89453451673651</v>
      </c>
      <c r="AX25" s="110" t="n">
        <f aca="false">IFERROR(AX24/AX8,0)</f>
        <v>0.89453451673651</v>
      </c>
      <c r="AY25" s="110" t="n">
        <f aca="false">IFERROR(AY24/AY8,0)</f>
        <v>0.89453451673651</v>
      </c>
      <c r="AZ25" s="110" t="n">
        <f aca="false">IFERROR(AZ24/AZ8,0)</f>
        <v>0.89453451673651</v>
      </c>
      <c r="BA25" s="110" t="n">
        <f aca="false">IFERROR(BA24/BA8,0)</f>
        <v>0.89453451673651</v>
      </c>
      <c r="BB25" s="110" t="n">
        <f aca="false">IFERROR(BB24/BB8,0)</f>
        <v>0.89453451673651</v>
      </c>
      <c r="BC25" s="110" t="n">
        <f aca="false">IFERROR(BC24/BC8,0)</f>
        <v>0.89453451673651</v>
      </c>
      <c r="BD25" s="110" t="n">
        <f aca="false">IFERROR(BD24/BD8,0)</f>
        <v>0.89453451673651</v>
      </c>
      <c r="BE25" s="110" t="n">
        <f aca="false">IFERROR(BE24/BE8,0)</f>
        <v>0.89453451673651</v>
      </c>
      <c r="BF25" s="110" t="n">
        <f aca="false">IFERROR(BF24/BF8,0)</f>
        <v>0.89453451673651</v>
      </c>
      <c r="BG25" s="110" t="n">
        <f aca="false">IFERROR(BG24/BG8,0)</f>
        <v>0.89453451673651</v>
      </c>
      <c r="BH25" s="110" t="n">
        <f aca="false">IFERROR(BH24/BH8,0)</f>
        <v>0.89453451673651</v>
      </c>
      <c r="BI25" s="110" t="n">
        <f aca="false">IFERROR(BI24/BI8,0)</f>
        <v>0.89453451673651</v>
      </c>
      <c r="BJ25" s="110" t="n">
        <f aca="false">IFERROR(BJ24/BJ8,0)</f>
        <v>0.89453451673651</v>
      </c>
      <c r="BK25" s="110" t="n">
        <f aca="false">IFERROR(BK24/BK8,0)</f>
        <v>0.89453451673651</v>
      </c>
      <c r="BL25" s="110" t="n">
        <f aca="false">IFERROR(BL24/BL8,0)</f>
        <v>0.89453451673651</v>
      </c>
      <c r="BM25" s="110" t="n">
        <f aca="false">IFERROR(BM24/BM8,0)</f>
        <v>0.89453451673651</v>
      </c>
      <c r="BN25" s="110" t="n">
        <f aca="false">IFERROR(BN24/BN8,0)</f>
        <v>0.89453451673651</v>
      </c>
      <c r="BO25" s="110" t="n">
        <f aca="false">IFERROR(BO24/BO8,0)</f>
        <v>0.89453451673651</v>
      </c>
      <c r="BP25" s="110" t="n">
        <f aca="false">IFERROR(BP24/BP8,0)</f>
        <v>0.89453451673651</v>
      </c>
      <c r="BQ25" s="110" t="n">
        <f aca="false">IFERROR(BQ24/BQ8,0)</f>
        <v>0.89453451673651</v>
      </c>
      <c r="BR25" s="110" t="n">
        <f aca="false">IFERROR(BR24/BR8,0)</f>
        <v>0.89453451673651</v>
      </c>
      <c r="BS25" s="110" t="n">
        <f aca="false">IFERROR(BS24/BS8,0)</f>
        <v>0.89453451673651</v>
      </c>
      <c r="BT25" s="110" t="n">
        <f aca="false">IFERROR(BT24/BT8,0)</f>
        <v>0.89453451673651</v>
      </c>
      <c r="BU25" s="110" t="n">
        <f aca="false">IFERROR(BU24/BU8,0)</f>
        <v>0.89453451673651</v>
      </c>
      <c r="BV25" s="110" t="n">
        <f aca="false">IFERROR(BV24/BV8,0)</f>
        <v>0.89453451673651</v>
      </c>
      <c r="BW25" s="110" t="n">
        <f aca="false">IFERROR(BW24/BW8,0)</f>
        <v>0.89453451673651</v>
      </c>
      <c r="BX25" s="110" t="n">
        <f aca="false">IFERROR(BX24/BX8,0)</f>
        <v>0.89453451673651</v>
      </c>
      <c r="BY25" s="110" t="n">
        <f aca="false">IFERROR(BY24/BY8,0)</f>
        <v>0.89453451673651</v>
      </c>
      <c r="BZ25" s="110" t="n">
        <f aca="false">IFERROR(BZ24/BZ8,0)</f>
        <v>0.89453451673651</v>
      </c>
      <c r="CA25" s="110" t="n">
        <f aca="false">IFERROR(CA24/CA8,0)</f>
        <v>0.89453451673651</v>
      </c>
      <c r="CB25" s="110" t="n">
        <f aca="false">IFERROR(CB24/CB8,0)</f>
        <v>0.89453451673651</v>
      </c>
      <c r="CC25" s="110" t="n">
        <f aca="false">IFERROR(CC24/CC8,0)</f>
        <v>0.89453451673651</v>
      </c>
      <c r="CD25" s="110" t="n">
        <f aca="false">IFERROR(CD24/CD8,0)</f>
        <v>0.89453451673651</v>
      </c>
      <c r="CE25" s="110" t="n">
        <f aca="false">IFERROR(CE24/CE8,0)</f>
        <v>0.89453451673651</v>
      </c>
      <c r="CF25" s="110" t="n">
        <f aca="false">IFERROR(CF24/CF8,0)</f>
        <v>0.89453451673651</v>
      </c>
      <c r="CG25" s="110" t="n">
        <f aca="false">IFERROR(CG24/CG8,0)</f>
        <v>0.89453451673651</v>
      </c>
      <c r="CH25" s="110" t="n">
        <f aca="false">IFERROR(CH24/CH8,0)</f>
        <v>0.89453451673651</v>
      </c>
    </row>
    <row r="26" customFormat="false" ht="13.5" hidden="false" customHeight="true" outlineLevel="0" collapsed="false">
      <c r="A26" s="6" t="s">
        <v>241</v>
      </c>
      <c r="C26" s="101" t="n">
        <f aca="false">C20*C21+C23*Hipótesis!$D$23</f>
        <v>12.3975</v>
      </c>
      <c r="D26" s="101" t="n">
        <f aca="false">D20*D21+D23*Hipótesis!$D$23</f>
        <v>27.405</v>
      </c>
      <c r="E26" s="101" t="n">
        <f aca="false">E20*E21+E23*Hipótesis!$D$23</f>
        <v>75.69</v>
      </c>
      <c r="F26" s="101" t="n">
        <f aca="false">F20*F21+F23*Hipótesis!$D$23</f>
        <v>111.5775</v>
      </c>
      <c r="G26" s="101" t="n">
        <f aca="false">G20*G21+G23*Hipótesis!$D$23</f>
        <v>144.855</v>
      </c>
      <c r="H26" s="101" t="n">
        <f aca="false">H20*H21+H23*Hipótesis!$D$23</f>
        <v>208.03875</v>
      </c>
      <c r="I26" s="101" t="n">
        <f aca="false">I20*I21+I23*Hipótesis!$D$23</f>
        <v>320.613267891892</v>
      </c>
      <c r="J26" s="101" t="n">
        <f aca="false">J20*J21+J23*Hipótesis!$D$23</f>
        <v>433.187785783784</v>
      </c>
      <c r="K26" s="101" t="n">
        <f aca="false">K20*K21+K23*Hipótesis!$D$23</f>
        <v>545.762303675676</v>
      </c>
      <c r="L26" s="101" t="n">
        <f aca="false">L20*L21+L23*Hipótesis!$D$23</f>
        <v>658.336821567568</v>
      </c>
      <c r="M26" s="101" t="n">
        <f aca="false">M20*M21+M23*Hipótesis!$D$23</f>
        <v>737.63383945946</v>
      </c>
      <c r="N26" s="101" t="n">
        <f aca="false">N20*N21+N23*Hipótesis!$D$23</f>
        <v>860.430857351351</v>
      </c>
      <c r="O26" s="101" t="n">
        <f aca="false">O20*O21+O23*Hipótesis!$D$23</f>
        <v>983.227875243243</v>
      </c>
      <c r="P26" s="101" t="n">
        <f aca="false">P20*P21+P23*Hipótesis!$D$23</f>
        <v>1093.51864313514</v>
      </c>
      <c r="Q26" s="101" t="n">
        <f aca="false">Q20*Q21+Q23*Hipótesis!$D$23</f>
        <v>1203.80941102703</v>
      </c>
      <c r="R26" s="101" t="n">
        <f aca="false">R20*R21+R23*Hipótesis!$D$23</f>
        <v>1314.10017891892</v>
      </c>
      <c r="S26" s="101" t="n">
        <f aca="false">S20*S21+S23*Hipótesis!$D$23</f>
        <v>1424.39094681081</v>
      </c>
      <c r="T26" s="101" t="n">
        <f aca="false">T20*T21+T23*Hipótesis!$D$23</f>
        <v>1534.6817147027</v>
      </c>
      <c r="U26" s="101" t="n">
        <f aca="false">U20*U21+U23*Hipótesis!$D$23</f>
        <v>1644.97248259459</v>
      </c>
      <c r="V26" s="101" t="n">
        <f aca="false">V20*V21+V23*Hipótesis!$D$23</f>
        <v>1755.26325048649</v>
      </c>
      <c r="W26" s="101" t="n">
        <f aca="false">W20*W21+W23*Hipótesis!$D$23</f>
        <v>1865.55401837838</v>
      </c>
      <c r="X26" s="101" t="n">
        <f aca="false">X20*X21+X23*Hipótesis!$D$23</f>
        <v>1932.34478627027</v>
      </c>
      <c r="Y26" s="101" t="n">
        <f aca="false">Y20*Y21+Y23*Hipótesis!$D$23</f>
        <v>1999.13555416216</v>
      </c>
      <c r="Z26" s="101" t="n">
        <f aca="false">Z20*Z21+Z23*Hipótesis!$D$23</f>
        <v>2048.52632205405</v>
      </c>
      <c r="AA26" s="101" t="n">
        <f aca="false">AA20*AA21+AA23*Hipótesis!$D$23</f>
        <v>2097.91708994595</v>
      </c>
      <c r="AB26" s="101" t="n">
        <f aca="false">AB20*AB21+AB23*Hipótesis!$D$23</f>
        <v>2147.30785783784</v>
      </c>
      <c r="AC26" s="101" t="n">
        <f aca="false">AC20*AC21+AC23*Hipótesis!$D$23</f>
        <v>2196.69862572973</v>
      </c>
      <c r="AD26" s="101" t="n">
        <f aca="false">AD20*AD21+AD23*Hipótesis!$D$23</f>
        <v>2246.08939362162</v>
      </c>
      <c r="AE26" s="101" t="n">
        <f aca="false">AE20*AE21+AE23*Hipótesis!$D$23</f>
        <v>2295.48016151351</v>
      </c>
      <c r="AF26" s="101" t="n">
        <f aca="false">AF20*AF21+AF23*Hipótesis!$D$23</f>
        <v>2344.87092940541</v>
      </c>
      <c r="AG26" s="101" t="n">
        <f aca="false">AG20*AG21+AG23*Hipótesis!$D$23</f>
        <v>2394.2616972973</v>
      </c>
      <c r="AH26" s="101" t="n">
        <f aca="false">AH20*AH21+AH23*Hipótesis!$D$23</f>
        <v>2443.65246518919</v>
      </c>
      <c r="AI26" s="101" t="n">
        <f aca="false">AI20*AI21+AI23*Hipótesis!$D$23</f>
        <v>2493.04323308108</v>
      </c>
      <c r="AJ26" s="101" t="n">
        <f aca="false">AJ20*AJ21+AJ23*Hipótesis!$D$23</f>
        <v>2542.43400097297</v>
      </c>
      <c r="AK26" s="101" t="n">
        <f aca="false">AK20*AK21+AK23*Hipótesis!$D$23</f>
        <v>2591.82476886487</v>
      </c>
      <c r="AL26" s="101" t="n">
        <f aca="false">AL20*AL21+AL23*Hipótesis!$D$23</f>
        <v>2641.21553675676</v>
      </c>
      <c r="AM26" s="101" t="n">
        <f aca="false">AM20*AM21+AM23*Hipótesis!$D$23</f>
        <v>2690.60630464865</v>
      </c>
      <c r="AN26" s="101" t="n">
        <f aca="false">AN20*AN21+AN23*Hipótesis!$D$23</f>
        <v>2739.99707254054</v>
      </c>
      <c r="AO26" s="101" t="n">
        <f aca="false">AO20*AO21+AO23*Hipótesis!$D$23</f>
        <v>2789.38784043243</v>
      </c>
      <c r="AP26" s="101" t="n">
        <f aca="false">AP20*AP21+AP23*Hipótesis!$D$23</f>
        <v>2838.77860832432</v>
      </c>
      <c r="AQ26" s="101" t="n">
        <f aca="false">AQ20*AQ21+AQ23*Hipótesis!$D$23</f>
        <v>2888.16937621622</v>
      </c>
      <c r="AR26" s="101" t="n">
        <f aca="false">AR20*AR21+AR23*Hipótesis!$D$23</f>
        <v>2937.56014410811</v>
      </c>
      <c r="AS26" s="101" t="n">
        <f aca="false">AS20*AS21+AS23*Hipótesis!$D$23</f>
        <v>2937.56014410811</v>
      </c>
      <c r="AT26" s="101" t="n">
        <f aca="false">AT20*AT21+AT23*Hipótesis!$D$23</f>
        <v>2937.56014410811</v>
      </c>
      <c r="AU26" s="101" t="n">
        <f aca="false">AU20*AU21+AU23*Hipótesis!$D$23</f>
        <v>2937.56014410811</v>
      </c>
      <c r="AV26" s="101" t="n">
        <f aca="false">AV20*AV21+AV23*Hipótesis!$D$23</f>
        <v>2937.56014410811</v>
      </c>
      <c r="AW26" s="101" t="n">
        <f aca="false">AW20*AW21+AW23*Hipótesis!$D$23</f>
        <v>2937.56014410811</v>
      </c>
      <c r="AX26" s="101" t="n">
        <f aca="false">AX20*AX21+AX23*Hipótesis!$D$23</f>
        <v>2937.56014410811</v>
      </c>
      <c r="AY26" s="101" t="n">
        <f aca="false">AY20*AY21+AY23*Hipótesis!$D$23</f>
        <v>2937.56014410811</v>
      </c>
      <c r="AZ26" s="101" t="n">
        <f aca="false">AZ20*AZ21+AZ23*Hipótesis!$D$23</f>
        <v>2937.56014410811</v>
      </c>
      <c r="BA26" s="101" t="n">
        <f aca="false">BA20*BA21+BA23*Hipótesis!$D$23</f>
        <v>2937.56014410811</v>
      </c>
      <c r="BB26" s="101" t="n">
        <f aca="false">BB20*BB21+BB23*Hipótesis!$D$23</f>
        <v>2937.56014410811</v>
      </c>
      <c r="BC26" s="101" t="n">
        <f aca="false">BC20*BC21+BC23*Hipótesis!$D$23</f>
        <v>2937.56014410811</v>
      </c>
      <c r="BD26" s="101" t="n">
        <f aca="false">BD20*BD21+BD23*Hipótesis!$D$23</f>
        <v>2937.56014410811</v>
      </c>
      <c r="BE26" s="101" t="n">
        <f aca="false">BE20*BE21+BE23*Hipótesis!$D$23</f>
        <v>2937.56014410811</v>
      </c>
      <c r="BF26" s="101" t="n">
        <f aca="false">BF20*BF21+BF23*Hipótesis!$D$23</f>
        <v>2937.56014410811</v>
      </c>
      <c r="BG26" s="101" t="n">
        <f aca="false">BG20*BG21+BG23*Hipótesis!$D$23</f>
        <v>2937.56014410811</v>
      </c>
      <c r="BH26" s="101" t="n">
        <f aca="false">BH20*BH21+BH23*Hipótesis!$D$23</f>
        <v>2937.56014410811</v>
      </c>
      <c r="BI26" s="101" t="n">
        <f aca="false">BI20*BI21+BI23*Hipótesis!$D$23</f>
        <v>2937.56014410811</v>
      </c>
      <c r="BJ26" s="101" t="n">
        <f aca="false">BJ20*BJ21+BJ23*Hipótesis!$D$23</f>
        <v>2937.56014410811</v>
      </c>
      <c r="BK26" s="101" t="n">
        <f aca="false">BK20*BK21+BK23*Hipótesis!$D$23</f>
        <v>2937.56014410811</v>
      </c>
      <c r="BL26" s="101" t="n">
        <f aca="false">BL20*BL21+BL23*Hipótesis!$D$23</f>
        <v>2937.56014410811</v>
      </c>
      <c r="BM26" s="101" t="n">
        <f aca="false">BM20*BM21+BM23*Hipótesis!$D$23</f>
        <v>2937.56014410811</v>
      </c>
      <c r="BN26" s="101" t="n">
        <f aca="false">BN20*BN21+BN23*Hipótesis!$D$23</f>
        <v>2937.56014410811</v>
      </c>
      <c r="BO26" s="101" t="n">
        <f aca="false">BO20*BO21+BO23*Hipótesis!$D$23</f>
        <v>2937.56014410811</v>
      </c>
      <c r="BP26" s="101" t="n">
        <f aca="false">BP20*BP21+BP23*Hipótesis!$D$23</f>
        <v>2937.56014410811</v>
      </c>
      <c r="BQ26" s="101" t="n">
        <f aca="false">BQ20*BQ21+BQ23*Hipótesis!$D$23</f>
        <v>2937.56014410811</v>
      </c>
      <c r="BR26" s="101" t="n">
        <f aca="false">BR20*BR21+BR23*Hipótesis!$D$23</f>
        <v>2937.56014410811</v>
      </c>
      <c r="BS26" s="101" t="n">
        <f aca="false">BS20*BS21+BS23*Hipótesis!$D$23</f>
        <v>2937.56014410811</v>
      </c>
      <c r="BT26" s="101" t="n">
        <f aca="false">BT20*BT21+BT23*Hipótesis!$D$23</f>
        <v>2937.56014410811</v>
      </c>
      <c r="BU26" s="101" t="n">
        <f aca="false">BU20*BU21+BU23*Hipótesis!$D$23</f>
        <v>2937.56014410811</v>
      </c>
      <c r="BV26" s="101" t="n">
        <f aca="false">BV20*BV21+BV23*Hipótesis!$D$23</f>
        <v>2937.56014410811</v>
      </c>
      <c r="BW26" s="101" t="n">
        <f aca="false">BW20*BW21+BW23*Hipótesis!$D$23</f>
        <v>2937.56014410811</v>
      </c>
      <c r="BX26" s="101" t="n">
        <f aca="false">BX20*BX21+BX23*Hipótesis!$D$23</f>
        <v>2937.56014410811</v>
      </c>
      <c r="BY26" s="101" t="n">
        <f aca="false">BY20*BY21+BY23*Hipótesis!$D$23</f>
        <v>2937.56014410811</v>
      </c>
      <c r="BZ26" s="101" t="n">
        <f aca="false">BZ20*BZ21+BZ23*Hipótesis!$D$23</f>
        <v>2937.56014410811</v>
      </c>
      <c r="CA26" s="101" t="n">
        <f aca="false">CA20*CA21+CA23*Hipótesis!$D$23</f>
        <v>2937.56014410811</v>
      </c>
      <c r="CB26" s="101" t="n">
        <f aca="false">CB20*CB21+CB23*Hipótesis!$D$23</f>
        <v>2937.56014410811</v>
      </c>
      <c r="CC26" s="101" t="n">
        <f aca="false">CC20*CC21+CC23*Hipótesis!$D$23</f>
        <v>2937.56014410811</v>
      </c>
      <c r="CD26" s="101" t="n">
        <f aca="false">CD20*CD21+CD23*Hipótesis!$D$23</f>
        <v>2937.56014410811</v>
      </c>
      <c r="CE26" s="101" t="n">
        <f aca="false">CE20*CE21+CE23*Hipótesis!$D$23</f>
        <v>2937.56014410811</v>
      </c>
      <c r="CF26" s="101" t="n">
        <f aca="false">CF20*CF21+CF23*Hipótesis!$D$23</f>
        <v>2937.56014410811</v>
      </c>
      <c r="CG26" s="101" t="n">
        <f aca="false">CG20*CG21+CG23*Hipótesis!$D$23</f>
        <v>2937.56014410811</v>
      </c>
      <c r="CH26" s="101" t="n">
        <f aca="false">CH20*CH21+CH23*Hipótesis!$D$23</f>
        <v>2937.56014410811</v>
      </c>
    </row>
    <row r="27" customFormat="false" ht="13.5" hidden="false" customHeight="true" outlineLevel="0" collapsed="false">
      <c r="A27" s="6" t="s">
        <v>427</v>
      </c>
      <c r="C27" s="101" t="n">
        <f aca="false">C17*C21+C23*Hipótesis!$D$24</f>
        <v>110.2</v>
      </c>
      <c r="D27" s="101" t="n">
        <f aca="false">D17*D21+D23*Hipótesis!$D$24</f>
        <v>235.752941176471</v>
      </c>
      <c r="E27" s="101" t="n">
        <f aca="false">E17*E21+E23*Hipótesis!$D$24</f>
        <v>565.69762342437</v>
      </c>
      <c r="F27" s="101" t="n">
        <f aca="false">F17*F21+F23*Hipótesis!$D$24</f>
        <v>785.442305672269</v>
      </c>
      <c r="G27" s="101" t="n">
        <f aca="false">G17*G21+G23*Hipótesis!$D$24</f>
        <v>989.834046743697</v>
      </c>
      <c r="H27" s="101" t="n">
        <f aca="false">H17*H21+H23*Hipótesis!$D$24</f>
        <v>1370.14490546218</v>
      </c>
      <c r="I27" s="101" t="n">
        <f aca="false">I17*I21+I23*Hipótesis!$D$24</f>
        <v>2051.97530472121</v>
      </c>
      <c r="J27" s="101" t="n">
        <f aca="false">J17*J21+J23*Hipótesis!$D$24</f>
        <v>2733.80570398024</v>
      </c>
      <c r="K27" s="101" t="n">
        <f aca="false">K17*K21+K23*Hipótesis!$D$24</f>
        <v>3415.63610323927</v>
      </c>
      <c r="L27" s="101" t="n">
        <f aca="false">L17*L21+L23*Hipótesis!$D$24</f>
        <v>4097.4665024983</v>
      </c>
      <c r="M27" s="101" t="n">
        <f aca="false">M17*M21+M23*Hipótesis!$D$24</f>
        <v>4574.9051606859</v>
      </c>
      <c r="N27" s="101" t="n">
        <f aca="false">N17*N21+N23*Hipótesis!$D$24</f>
        <v>5308.22617181467</v>
      </c>
      <c r="O27" s="101" t="n">
        <f aca="false">O17*O21+O23*Hipótesis!$D$24</f>
        <v>6041.54718294345</v>
      </c>
      <c r="P27" s="101" t="n">
        <f aca="false">P17*P21+P23*Hipótesis!$D$24</f>
        <v>6701.30201760164</v>
      </c>
      <c r="Q27" s="101" t="n">
        <f aca="false">Q17*Q21+Q23*Hipótesis!$D$24</f>
        <v>7361.05685225982</v>
      </c>
      <c r="R27" s="101" t="n">
        <f aca="false">R17*R21+R23*Hipótesis!$D$24</f>
        <v>8020.81168691801</v>
      </c>
      <c r="S27" s="101" t="n">
        <f aca="false">S17*S21+S23*Hipótesis!$D$24</f>
        <v>8680.5665215762</v>
      </c>
      <c r="T27" s="101" t="n">
        <f aca="false">T17*T21+T23*Hipótesis!$D$24</f>
        <v>9340.32135623439</v>
      </c>
      <c r="U27" s="101" t="n">
        <f aca="false">U17*U21+U23*Hipótesis!$D$24</f>
        <v>10000.0761908926</v>
      </c>
      <c r="V27" s="101" t="n">
        <f aca="false">V17*V21+V23*Hipótesis!$D$24</f>
        <v>10659.8310255508</v>
      </c>
      <c r="W27" s="101" t="n">
        <f aca="false">W17*W21+W23*Hipótesis!$D$24</f>
        <v>11319.5858602089</v>
      </c>
      <c r="X27" s="101" t="n">
        <f aca="false">X17*X21+X23*Hipótesis!$D$24</f>
        <v>11723.458341926</v>
      </c>
      <c r="Y27" s="101" t="n">
        <f aca="false">Y17*Y21+Y23*Hipótesis!$D$24</f>
        <v>12127.330823643</v>
      </c>
      <c r="Z27" s="101" t="n">
        <f aca="false">Z17*Z21+Z23*Hipótesis!$D$24</f>
        <v>12428.8503641835</v>
      </c>
      <c r="AA27" s="101" t="n">
        <f aca="false">AA17*AA21+AA23*Hipótesis!$D$24</f>
        <v>12730.3699047241</v>
      </c>
      <c r="AB27" s="101" t="n">
        <f aca="false">AB17*AB21+AB23*Hipótesis!$D$24</f>
        <v>13031.8894452646</v>
      </c>
      <c r="AC27" s="101" t="n">
        <f aca="false">AC17*AC21+AC23*Hipótesis!$D$24</f>
        <v>13333.4089858051</v>
      </c>
      <c r="AD27" s="101" t="n">
        <f aca="false">AD17*AD21+AD23*Hipótesis!$D$24</f>
        <v>13634.9285263457</v>
      </c>
      <c r="AE27" s="101" t="n">
        <f aca="false">AE17*AE21+AE23*Hipótesis!$D$24</f>
        <v>13936.4480668862</v>
      </c>
      <c r="AF27" s="101" t="n">
        <f aca="false">AF17*AF21+AF23*Hipótesis!$D$24</f>
        <v>14237.9676074268</v>
      </c>
      <c r="AG27" s="101" t="n">
        <f aca="false">AG17*AG21+AG23*Hipótesis!$D$24</f>
        <v>14539.4871479673</v>
      </c>
      <c r="AH27" s="101" t="n">
        <f aca="false">AH17*AH21+AH23*Hipótesis!$D$24</f>
        <v>14841.0066885078</v>
      </c>
      <c r="AI27" s="101" t="n">
        <f aca="false">AI17*AI21+AI23*Hipótesis!$D$24</f>
        <v>15142.5262290484</v>
      </c>
      <c r="AJ27" s="101" t="n">
        <f aca="false">AJ17*AJ21+AJ23*Hipótesis!$D$24</f>
        <v>15444.0457695889</v>
      </c>
      <c r="AK27" s="101" t="n">
        <f aca="false">AK17*AK21+AK23*Hipótesis!$D$24</f>
        <v>15745.5653101295</v>
      </c>
      <c r="AL27" s="101" t="n">
        <f aca="false">AL17*AL21+AL23*Hipótesis!$D$24</f>
        <v>16047.08485067</v>
      </c>
      <c r="AM27" s="101" t="n">
        <f aca="false">AM17*AM21+AM23*Hipótesis!$D$24</f>
        <v>16348.6043912105</v>
      </c>
      <c r="AN27" s="101" t="n">
        <f aca="false">AN17*AN21+AN23*Hipótesis!$D$24</f>
        <v>16650.1239317511</v>
      </c>
      <c r="AO27" s="101" t="n">
        <f aca="false">AO17*AO21+AO23*Hipótesis!$D$24</f>
        <v>16951.6434722916</v>
      </c>
      <c r="AP27" s="101" t="n">
        <f aca="false">AP17*AP21+AP23*Hipótesis!$D$24</f>
        <v>17253.1630128322</v>
      </c>
      <c r="AQ27" s="101" t="n">
        <f aca="false">AQ17*AQ21+AQ23*Hipótesis!$D$24</f>
        <v>17554.6825533727</v>
      </c>
      <c r="AR27" s="101" t="n">
        <f aca="false">AR17*AR21+AR23*Hipótesis!$D$24</f>
        <v>17856.2020939132</v>
      </c>
      <c r="AS27" s="101" t="n">
        <f aca="false">AS17*AS21+AS23*Hipótesis!$D$24</f>
        <v>17856.2020939132</v>
      </c>
      <c r="AT27" s="101" t="n">
        <f aca="false">AT17*AT21+AT23*Hipótesis!$D$24</f>
        <v>17856.2020939132</v>
      </c>
      <c r="AU27" s="101" t="n">
        <f aca="false">AU17*AU21+AU23*Hipótesis!$D$24</f>
        <v>17856.2020939132</v>
      </c>
      <c r="AV27" s="101" t="n">
        <f aca="false">AV17*AV21+AV23*Hipótesis!$D$24</f>
        <v>17856.2020939132</v>
      </c>
      <c r="AW27" s="101" t="n">
        <f aca="false">AW17*AW21+AW23*Hipótesis!$D$24</f>
        <v>17856.2020939132</v>
      </c>
      <c r="AX27" s="101" t="n">
        <f aca="false">AX17*AX21+AX23*Hipótesis!$D$24</f>
        <v>17856.2020939132</v>
      </c>
      <c r="AY27" s="101" t="n">
        <f aca="false">AY17*AY21+AY23*Hipótesis!$D$24</f>
        <v>17856.2020939132</v>
      </c>
      <c r="AZ27" s="101" t="n">
        <f aca="false">AZ17*AZ21+AZ23*Hipótesis!$D$24</f>
        <v>17856.2020939132</v>
      </c>
      <c r="BA27" s="101" t="n">
        <f aca="false">BA17*BA21+BA23*Hipótesis!$D$24</f>
        <v>17856.2020939132</v>
      </c>
      <c r="BB27" s="101" t="n">
        <f aca="false">BB17*BB21+BB23*Hipótesis!$D$24</f>
        <v>17856.2020939132</v>
      </c>
      <c r="BC27" s="101" t="n">
        <f aca="false">BC17*BC21+BC23*Hipótesis!$D$24</f>
        <v>17856.2020939132</v>
      </c>
      <c r="BD27" s="101" t="n">
        <f aca="false">BD17*BD21+BD23*Hipótesis!$D$24</f>
        <v>17856.2020939132</v>
      </c>
      <c r="BE27" s="101" t="n">
        <f aca="false">BE17*BE21+BE23*Hipótesis!$D$24</f>
        <v>17856.2020939132</v>
      </c>
      <c r="BF27" s="101" t="n">
        <f aca="false">BF17*BF21+BF23*Hipótesis!$D$24</f>
        <v>17856.2020939132</v>
      </c>
      <c r="BG27" s="101" t="n">
        <f aca="false">BG17*BG21+BG23*Hipótesis!$D$24</f>
        <v>17856.2020939132</v>
      </c>
      <c r="BH27" s="101" t="n">
        <f aca="false">BH17*BH21+BH23*Hipótesis!$D$24</f>
        <v>17856.2020939132</v>
      </c>
      <c r="BI27" s="101" t="n">
        <f aca="false">BI17*BI21+BI23*Hipótesis!$D$24</f>
        <v>17856.2020939132</v>
      </c>
      <c r="BJ27" s="101" t="n">
        <f aca="false">BJ17*BJ21+BJ23*Hipótesis!$D$24</f>
        <v>17856.2020939132</v>
      </c>
      <c r="BK27" s="101" t="n">
        <f aca="false">BK17*BK21+BK23*Hipótesis!$D$24</f>
        <v>17856.2020939132</v>
      </c>
      <c r="BL27" s="101" t="n">
        <f aca="false">BL17*BL21+BL23*Hipótesis!$D$24</f>
        <v>17856.2020939132</v>
      </c>
      <c r="BM27" s="101" t="n">
        <f aca="false">BM17*BM21+BM23*Hipótesis!$D$24</f>
        <v>17856.2020939132</v>
      </c>
      <c r="BN27" s="101" t="n">
        <f aca="false">BN17*BN21+BN23*Hipótesis!$D$24</f>
        <v>17856.2020939132</v>
      </c>
      <c r="BO27" s="101" t="n">
        <f aca="false">BO17*BO21+BO23*Hipótesis!$D$24</f>
        <v>17856.2020939132</v>
      </c>
      <c r="BP27" s="101" t="n">
        <f aca="false">BP17*BP21+BP23*Hipótesis!$D$24</f>
        <v>17856.2020939132</v>
      </c>
      <c r="BQ27" s="101" t="n">
        <f aca="false">BQ17*BQ21+BQ23*Hipótesis!$D$24</f>
        <v>17856.2020939132</v>
      </c>
      <c r="BR27" s="101" t="n">
        <f aca="false">BR17*BR21+BR23*Hipótesis!$D$24</f>
        <v>17856.2020939132</v>
      </c>
      <c r="BS27" s="101" t="n">
        <f aca="false">BS17*BS21+BS23*Hipótesis!$D$24</f>
        <v>17856.2020939132</v>
      </c>
      <c r="BT27" s="101" t="n">
        <f aca="false">BT17*BT21+BT23*Hipótesis!$D$24</f>
        <v>17856.2020939132</v>
      </c>
      <c r="BU27" s="101" t="n">
        <f aca="false">BU17*BU21+BU23*Hipótesis!$D$24</f>
        <v>17856.2020939132</v>
      </c>
      <c r="BV27" s="101" t="n">
        <f aca="false">BV17*BV21+BV23*Hipótesis!$D$24</f>
        <v>17856.2020939132</v>
      </c>
      <c r="BW27" s="101" t="n">
        <f aca="false">BW17*BW21+BW23*Hipótesis!$D$24</f>
        <v>17856.2020939132</v>
      </c>
      <c r="BX27" s="101" t="n">
        <f aca="false">BX17*BX21+BX23*Hipótesis!$D$24</f>
        <v>17856.2020939132</v>
      </c>
      <c r="BY27" s="101" t="n">
        <f aca="false">BY17*BY21+BY23*Hipótesis!$D$24</f>
        <v>17856.2020939132</v>
      </c>
      <c r="BZ27" s="101" t="n">
        <f aca="false">BZ17*BZ21+BZ23*Hipótesis!$D$24</f>
        <v>17856.2020939132</v>
      </c>
      <c r="CA27" s="101" t="n">
        <f aca="false">CA17*CA21+CA23*Hipótesis!$D$24</f>
        <v>17856.2020939132</v>
      </c>
      <c r="CB27" s="101" t="n">
        <f aca="false">CB17*CB21+CB23*Hipótesis!$D$24</f>
        <v>17856.2020939132</v>
      </c>
      <c r="CC27" s="101" t="n">
        <f aca="false">CC17*CC21+CC23*Hipótesis!$D$24</f>
        <v>17856.2020939132</v>
      </c>
      <c r="CD27" s="101" t="n">
        <f aca="false">CD17*CD21+CD23*Hipótesis!$D$24</f>
        <v>17856.2020939132</v>
      </c>
      <c r="CE27" s="101" t="n">
        <f aca="false">CE17*CE21+CE23*Hipótesis!$D$24</f>
        <v>17856.2020939132</v>
      </c>
      <c r="CF27" s="101" t="n">
        <f aca="false">CF17*CF21+CF23*Hipótesis!$D$24</f>
        <v>17856.2020939132</v>
      </c>
      <c r="CG27" s="101" t="n">
        <f aca="false">CG17*CG21+CG23*Hipótesis!$D$24</f>
        <v>17856.2020939132</v>
      </c>
      <c r="CH27" s="101" t="n">
        <f aca="false">CH17*CH21+CH23*Hipótesis!$D$24</f>
        <v>17856.2020939132</v>
      </c>
    </row>
    <row r="28" customFormat="false" ht="13.5" hidden="false" customHeight="true" outlineLevel="0" collapsed="false">
      <c r="A28" s="6" t="s">
        <v>506</v>
      </c>
      <c r="C28" s="101" t="n">
        <f aca="false">C27*Producto!$D$9/60</f>
        <v>5.51</v>
      </c>
      <c r="D28" s="101" t="n">
        <f aca="false">D27*Producto!$D$9/60</f>
        <v>11.7876470588235</v>
      </c>
      <c r="E28" s="101" t="n">
        <f aca="false">E27*Producto!$D$9/60</f>
        <v>28.2848811712185</v>
      </c>
      <c r="F28" s="101" t="n">
        <f aca="false">F27*Producto!$D$9/60</f>
        <v>39.2721152836134</v>
      </c>
      <c r="G28" s="101" t="n">
        <f aca="false">G27*Producto!$D$9/60</f>
        <v>49.4917023371849</v>
      </c>
      <c r="H28" s="101" t="n">
        <f aca="false">H27*Producto!$D$9/60</f>
        <v>68.5072452731092</v>
      </c>
      <c r="I28" s="101" t="n">
        <f aca="false">I27*Producto!$D$9/60</f>
        <v>102.598765236061</v>
      </c>
      <c r="J28" s="101" t="n">
        <f aca="false">J27*Producto!$D$9/60</f>
        <v>136.690285199012</v>
      </c>
      <c r="K28" s="101" t="n">
        <f aca="false">K27*Producto!$D$9/60</f>
        <v>170.781805161963</v>
      </c>
      <c r="L28" s="101" t="n">
        <f aca="false">L27*Producto!$D$9/60</f>
        <v>204.873325124915</v>
      </c>
      <c r="M28" s="101" t="n">
        <f aca="false">M27*Producto!$D$9/60</f>
        <v>228.745258034295</v>
      </c>
      <c r="N28" s="101" t="n">
        <f aca="false">N27*Producto!$D$9/60</f>
        <v>265.411308590734</v>
      </c>
      <c r="O28" s="101" t="n">
        <f aca="false">O27*Producto!$D$9/60</f>
        <v>302.077359147172</v>
      </c>
      <c r="P28" s="101" t="n">
        <f aca="false">P27*Producto!$D$9/60</f>
        <v>335.065100880082</v>
      </c>
      <c r="Q28" s="101" t="n">
        <f aca="false">Q27*Producto!$D$9/60</f>
        <v>368.052842612991</v>
      </c>
      <c r="R28" s="101" t="n">
        <f aca="false">R27*Producto!$D$9/60</f>
        <v>401.040584345901</v>
      </c>
      <c r="S28" s="101" t="n">
        <f aca="false">S27*Producto!$D$9/60</f>
        <v>434.02832607881</v>
      </c>
      <c r="T28" s="101" t="n">
        <f aca="false">T27*Producto!$D$9/60</f>
        <v>467.016067811719</v>
      </c>
      <c r="U28" s="101" t="n">
        <f aca="false">U27*Producto!$D$9/60</f>
        <v>500.003809544629</v>
      </c>
      <c r="V28" s="101" t="n">
        <f aca="false">V27*Producto!$D$9/60</f>
        <v>532.991551277538</v>
      </c>
      <c r="W28" s="101" t="n">
        <f aca="false">W27*Producto!$D$9/60</f>
        <v>565.979293010447</v>
      </c>
      <c r="X28" s="101" t="n">
        <f aca="false">X27*Producto!$D$9/60</f>
        <v>586.172917096298</v>
      </c>
      <c r="Y28" s="101" t="n">
        <f aca="false">Y27*Producto!$D$9/60</f>
        <v>606.366541182149</v>
      </c>
      <c r="Z28" s="101" t="n">
        <f aca="false">Z27*Producto!$D$9/60</f>
        <v>621.442518209176</v>
      </c>
      <c r="AA28" s="101" t="n">
        <f aca="false">AA27*Producto!$D$9/60</f>
        <v>636.518495236203</v>
      </c>
      <c r="AB28" s="101" t="n">
        <f aca="false">AB27*Producto!$D$9/60</f>
        <v>651.59447226323</v>
      </c>
      <c r="AC28" s="101" t="n">
        <f aca="false">AC27*Producto!$D$9/60</f>
        <v>666.670449290257</v>
      </c>
      <c r="AD28" s="101" t="n">
        <f aca="false">AD27*Producto!$D$9/60</f>
        <v>681.746426317284</v>
      </c>
      <c r="AE28" s="101" t="n">
        <f aca="false">AE27*Producto!$D$9/60</f>
        <v>696.822403344311</v>
      </c>
      <c r="AF28" s="101" t="n">
        <f aca="false">AF27*Producto!$D$9/60</f>
        <v>711.898380371338</v>
      </c>
      <c r="AG28" s="101" t="n">
        <f aca="false">AG27*Producto!$D$9/60</f>
        <v>726.974357398365</v>
      </c>
      <c r="AH28" s="101" t="n">
        <f aca="false">AH27*Producto!$D$9/60</f>
        <v>742.050334425392</v>
      </c>
      <c r="AI28" s="101" t="n">
        <f aca="false">AI27*Producto!$D$9/60</f>
        <v>757.126311452419</v>
      </c>
      <c r="AJ28" s="101" t="n">
        <f aca="false">AJ27*Producto!$D$9/60</f>
        <v>772.202288479446</v>
      </c>
      <c r="AK28" s="101" t="n">
        <f aca="false">AK27*Producto!$D$9/60</f>
        <v>787.278265506473</v>
      </c>
      <c r="AL28" s="101" t="n">
        <f aca="false">AL27*Producto!$D$9/60</f>
        <v>802.3542425335</v>
      </c>
      <c r="AM28" s="101" t="n">
        <f aca="false">AM27*Producto!$D$9/60</f>
        <v>817.430219560527</v>
      </c>
      <c r="AN28" s="101" t="n">
        <f aca="false">AN27*Producto!$D$9/60</f>
        <v>832.506196587554</v>
      </c>
      <c r="AO28" s="101" t="n">
        <f aca="false">AO27*Producto!$D$9/60</f>
        <v>847.582173614581</v>
      </c>
      <c r="AP28" s="101" t="n">
        <f aca="false">AP27*Producto!$D$9/60</f>
        <v>862.658150641608</v>
      </c>
      <c r="AQ28" s="101" t="n">
        <f aca="false">AQ27*Producto!$D$9/60</f>
        <v>877.734127668635</v>
      </c>
      <c r="AR28" s="101" t="n">
        <f aca="false">AR27*Producto!$D$9/60</f>
        <v>892.810104695662</v>
      </c>
      <c r="AS28" s="101" t="n">
        <f aca="false">AS27*Producto!$D$9/60</f>
        <v>892.810104695662</v>
      </c>
      <c r="AT28" s="101" t="n">
        <f aca="false">AT27*Producto!$D$9/60</f>
        <v>892.810104695662</v>
      </c>
      <c r="AU28" s="101" t="n">
        <f aca="false">AU27*Producto!$D$9/60</f>
        <v>892.810104695662</v>
      </c>
      <c r="AV28" s="101" t="n">
        <f aca="false">AV27*Producto!$D$9/60</f>
        <v>892.810104695662</v>
      </c>
      <c r="AW28" s="101" t="n">
        <f aca="false">AW27*Producto!$D$9/60</f>
        <v>892.810104695662</v>
      </c>
      <c r="AX28" s="101" t="n">
        <f aca="false">AX27*Producto!$D$9/60</f>
        <v>892.810104695662</v>
      </c>
      <c r="AY28" s="101" t="n">
        <f aca="false">AY27*Producto!$D$9/60</f>
        <v>892.810104695662</v>
      </c>
      <c r="AZ28" s="101" t="n">
        <f aca="false">AZ27*Producto!$D$9/60</f>
        <v>892.810104695662</v>
      </c>
      <c r="BA28" s="101" t="n">
        <f aca="false">BA27*Producto!$D$9/60</f>
        <v>892.810104695662</v>
      </c>
      <c r="BB28" s="101" t="n">
        <f aca="false">BB27*Producto!$D$9/60</f>
        <v>892.810104695662</v>
      </c>
      <c r="BC28" s="101" t="n">
        <f aca="false">BC27*Producto!$D$9/60</f>
        <v>892.810104695662</v>
      </c>
      <c r="BD28" s="101" t="n">
        <f aca="false">BD27*Producto!$D$9/60</f>
        <v>892.810104695662</v>
      </c>
      <c r="BE28" s="101" t="n">
        <f aca="false">BE27*Producto!$D$9/60</f>
        <v>892.810104695662</v>
      </c>
      <c r="BF28" s="101" t="n">
        <f aca="false">BF27*Producto!$D$9/60</f>
        <v>892.810104695662</v>
      </c>
      <c r="BG28" s="101" t="n">
        <f aca="false">BG27*Producto!$D$9/60</f>
        <v>892.810104695662</v>
      </c>
      <c r="BH28" s="101" t="n">
        <f aca="false">BH27*Producto!$D$9/60</f>
        <v>892.810104695662</v>
      </c>
      <c r="BI28" s="101" t="n">
        <f aca="false">BI27*Producto!$D$9/60</f>
        <v>892.810104695662</v>
      </c>
      <c r="BJ28" s="101" t="n">
        <f aca="false">BJ27*Producto!$D$9/60</f>
        <v>892.810104695662</v>
      </c>
      <c r="BK28" s="101" t="n">
        <f aca="false">BK27*Producto!$D$9/60</f>
        <v>892.810104695662</v>
      </c>
      <c r="BL28" s="101" t="n">
        <f aca="false">BL27*Producto!$D$9/60</f>
        <v>892.810104695662</v>
      </c>
      <c r="BM28" s="101" t="n">
        <f aca="false">BM27*Producto!$D$9/60</f>
        <v>892.810104695662</v>
      </c>
      <c r="BN28" s="101" t="n">
        <f aca="false">BN27*Producto!$D$9/60</f>
        <v>892.810104695662</v>
      </c>
      <c r="BO28" s="101" t="n">
        <f aca="false">BO27*Producto!$D$9/60</f>
        <v>892.810104695662</v>
      </c>
      <c r="BP28" s="101" t="n">
        <f aca="false">BP27*Producto!$D$9/60</f>
        <v>892.810104695662</v>
      </c>
      <c r="BQ28" s="101" t="n">
        <f aca="false">BQ27*Producto!$D$9/60</f>
        <v>892.810104695662</v>
      </c>
      <c r="BR28" s="101" t="n">
        <f aca="false">BR27*Producto!$D$9/60</f>
        <v>892.810104695662</v>
      </c>
      <c r="BS28" s="101" t="n">
        <f aca="false">BS27*Producto!$D$9/60</f>
        <v>892.810104695662</v>
      </c>
      <c r="BT28" s="101" t="n">
        <f aca="false">BT27*Producto!$D$9/60</f>
        <v>892.810104695662</v>
      </c>
      <c r="BU28" s="101" t="n">
        <f aca="false">BU27*Producto!$D$9/60</f>
        <v>892.810104695662</v>
      </c>
      <c r="BV28" s="101" t="n">
        <f aca="false">BV27*Producto!$D$9/60</f>
        <v>892.810104695662</v>
      </c>
      <c r="BW28" s="101" t="n">
        <f aca="false">BW27*Producto!$D$9/60</f>
        <v>892.810104695662</v>
      </c>
      <c r="BX28" s="101" t="n">
        <f aca="false">BX27*Producto!$D$9/60</f>
        <v>892.810104695662</v>
      </c>
      <c r="BY28" s="101" t="n">
        <f aca="false">BY27*Producto!$D$9/60</f>
        <v>892.810104695662</v>
      </c>
      <c r="BZ28" s="101" t="n">
        <f aca="false">BZ27*Producto!$D$9/60</f>
        <v>892.810104695662</v>
      </c>
      <c r="CA28" s="101" t="n">
        <f aca="false">CA27*Producto!$D$9/60</f>
        <v>892.810104695662</v>
      </c>
      <c r="CB28" s="101" t="n">
        <f aca="false">CB27*Producto!$D$9/60</f>
        <v>892.810104695662</v>
      </c>
      <c r="CC28" s="101" t="n">
        <f aca="false">CC27*Producto!$D$9/60</f>
        <v>892.810104695662</v>
      </c>
      <c r="CD28" s="101" t="n">
        <f aca="false">CD27*Producto!$D$9/60</f>
        <v>892.810104695662</v>
      </c>
      <c r="CE28" s="101" t="n">
        <f aca="false">CE27*Producto!$D$9/60</f>
        <v>892.810104695662</v>
      </c>
      <c r="CF28" s="101" t="n">
        <f aca="false">CF27*Producto!$D$9/60</f>
        <v>892.810104695662</v>
      </c>
      <c r="CG28" s="101" t="n">
        <f aca="false">CG27*Producto!$D$9/60</f>
        <v>892.810104695662</v>
      </c>
      <c r="CH28" s="101" t="n">
        <f aca="false">CH27*Producto!$D$9/60</f>
        <v>892.810104695662</v>
      </c>
    </row>
    <row r="29" customFormat="false" ht="13.5" hidden="false" customHeight="true" outlineLevel="0" collapsed="false">
      <c r="A29" s="6" t="s">
        <v>507</v>
      </c>
      <c r="C29" s="101" t="n">
        <f aca="false">SUMPRODUCT((Hipótesis!$D$48:$D$53&lt;=1)*(Hipótesis!$B$48:$B$53)*(Hipótesis!$F$48:$F$53))</f>
        <v>320</v>
      </c>
      <c r="D29" s="101" t="n">
        <f aca="false">SUMPRODUCT((Hipótesis!$D$48:$D$53&lt;=2)*(Hipótesis!$B$48:$B$53)*(Hipótesis!$F$48:$F$53))</f>
        <v>320</v>
      </c>
      <c r="E29" s="101" t="n">
        <f aca="false">SUMPRODUCT((Hipótesis!$D$48:$D$53&lt;=3)*(Hipótesis!$B$48:$B$53)*(Hipótesis!$F$48:$F$53))</f>
        <v>320</v>
      </c>
      <c r="F29" s="101" t="n">
        <f aca="false">SUMPRODUCT((Hipótesis!$D$48:$D$53&lt;=4)*(Hipótesis!$B$48:$B$53)*(Hipótesis!$F$48:$F$53))</f>
        <v>320</v>
      </c>
      <c r="G29" s="101" t="n">
        <f aca="false">SUMPRODUCT((Hipótesis!$D$48:$D$53&lt;=5)*(Hipótesis!$B$48:$B$53)*(Hipótesis!$F$48:$F$53))</f>
        <v>320</v>
      </c>
      <c r="H29" s="101" t="n">
        <f aca="false">SUMPRODUCT((Hipótesis!$D$48:$D$53&lt;=6)*(Hipótesis!$B$48:$B$53)*(Hipótesis!$F$48:$F$53))</f>
        <v>320</v>
      </c>
      <c r="I29" s="101" t="n">
        <f aca="false">SUMPRODUCT((Hipótesis!$D$48:$D$53&lt;=7)*(Hipótesis!$B$48:$B$53)*(Hipótesis!$F$48:$F$53))</f>
        <v>320</v>
      </c>
      <c r="J29" s="101" t="n">
        <f aca="false">SUMPRODUCT((Hipótesis!$D$48:$D$53&lt;=8)*(Hipótesis!$B$48:$B$53)*(Hipótesis!$F$48:$F$53))</f>
        <v>320</v>
      </c>
      <c r="K29" s="101" t="n">
        <f aca="false">SUMPRODUCT((Hipótesis!$D$48:$D$53&lt;=9)*(Hipótesis!$B$48:$B$53)*(Hipótesis!$F$48:$F$53))</f>
        <v>320</v>
      </c>
      <c r="L29" s="101" t="n">
        <f aca="false">SUMPRODUCT((Hipótesis!$D$48:$D$53&lt;=10)*(Hipótesis!$B$48:$B$53)*(Hipótesis!$F$48:$F$53))</f>
        <v>320</v>
      </c>
      <c r="M29" s="101" t="n">
        <f aca="false">SUMPRODUCT((Hipótesis!$D$48:$D$53&lt;=11)*(Hipótesis!$B$48:$B$53)*(Hipótesis!$F$48:$F$53))</f>
        <v>320</v>
      </c>
      <c r="N29" s="101" t="n">
        <f aca="false">SUMPRODUCT((Hipótesis!$D$48:$D$53&lt;=12)*(Hipótesis!$B$48:$B$53)*(Hipótesis!$F$48:$F$53))</f>
        <v>320</v>
      </c>
      <c r="O29" s="101" t="n">
        <f aca="false">SUMPRODUCT((Hipótesis!$D$48:$D$53&lt;=13)*(Hipótesis!$B$48:$B$53)*(Hipótesis!$F$48:$F$53))</f>
        <v>320</v>
      </c>
      <c r="P29" s="101" t="n">
        <f aca="false">SUMPRODUCT((Hipótesis!$D$48:$D$53&lt;=14)*(Hipótesis!$B$48:$B$53)*(Hipótesis!$F$48:$F$53))</f>
        <v>320</v>
      </c>
      <c r="Q29" s="101" t="n">
        <f aca="false">SUMPRODUCT((Hipótesis!$D$48:$D$53&lt;=15)*(Hipótesis!$B$48:$B$53)*(Hipótesis!$F$48:$F$53))</f>
        <v>320</v>
      </c>
      <c r="R29" s="101" t="n">
        <f aca="false">SUMPRODUCT((Hipótesis!$D$48:$D$53&lt;=16)*(Hipótesis!$B$48:$B$53)*(Hipótesis!$F$48:$F$53))</f>
        <v>320</v>
      </c>
      <c r="S29" s="101" t="n">
        <f aca="false">SUMPRODUCT((Hipótesis!$D$48:$D$53&lt;=17)*(Hipótesis!$B$48:$B$53)*(Hipótesis!$F$48:$F$53))</f>
        <v>320</v>
      </c>
      <c r="T29" s="101" t="n">
        <f aca="false">SUMPRODUCT((Hipótesis!$D$48:$D$53&lt;=18)*(Hipótesis!$B$48:$B$53)*(Hipótesis!$F$48:$F$53))</f>
        <v>320</v>
      </c>
      <c r="U29" s="101" t="n">
        <f aca="false">SUMPRODUCT((Hipótesis!$D$48:$D$53&lt;=19)*(Hipótesis!$B$48:$B$53)*(Hipótesis!$F$48:$F$53))</f>
        <v>320</v>
      </c>
      <c r="V29" s="101" t="n">
        <f aca="false">SUMPRODUCT((Hipótesis!$D$48:$D$53&lt;=20)*(Hipótesis!$B$48:$B$53)*(Hipótesis!$F$48:$F$53))</f>
        <v>320</v>
      </c>
      <c r="W29" s="101" t="n">
        <f aca="false">SUMPRODUCT((Hipótesis!$D$48:$D$53&lt;=21)*(Hipótesis!$B$48:$B$53)*(Hipótesis!$F$48:$F$53))</f>
        <v>320</v>
      </c>
      <c r="X29" s="101" t="n">
        <f aca="false">SUMPRODUCT((Hipótesis!$D$48:$D$53&lt;=22)*(Hipótesis!$B$48:$B$53)*(Hipótesis!$F$48:$F$53))</f>
        <v>320</v>
      </c>
      <c r="Y29" s="101" t="n">
        <f aca="false">SUMPRODUCT((Hipótesis!$D$48:$D$53&lt;=23)*(Hipótesis!$B$48:$B$53)*(Hipótesis!$F$48:$F$53))</f>
        <v>320</v>
      </c>
      <c r="Z29" s="101" t="n">
        <f aca="false">SUMPRODUCT((Hipótesis!$D$48:$D$53&lt;=24)*(Hipótesis!$B$48:$B$53)*(Hipótesis!$F$48:$F$53))</f>
        <v>320</v>
      </c>
      <c r="AA29" s="101" t="n">
        <f aca="false">SUMPRODUCT((Hipótesis!$D$48:$D$53&lt;=25)*(Hipótesis!$B$48:$B$53)*(Hipótesis!$F$48:$F$53))</f>
        <v>320</v>
      </c>
      <c r="AB29" s="101" t="n">
        <f aca="false">SUMPRODUCT((Hipótesis!$D$48:$D$53&lt;=26)*(Hipótesis!$B$48:$B$53)*(Hipótesis!$F$48:$F$53))</f>
        <v>320</v>
      </c>
      <c r="AC29" s="101" t="n">
        <f aca="false">SUMPRODUCT((Hipótesis!$D$48:$D$53&lt;=27)*(Hipótesis!$B$48:$B$53)*(Hipótesis!$F$48:$F$53))</f>
        <v>320</v>
      </c>
      <c r="AD29" s="101" t="n">
        <f aca="false">SUMPRODUCT((Hipótesis!$D$48:$D$53&lt;=28)*(Hipótesis!$B$48:$B$53)*(Hipótesis!$F$48:$F$53))</f>
        <v>320</v>
      </c>
      <c r="AE29" s="101" t="n">
        <f aca="false">SUMPRODUCT((Hipótesis!$D$48:$D$53&lt;=29)*(Hipótesis!$B$48:$B$53)*(Hipótesis!$F$48:$F$53))</f>
        <v>320</v>
      </c>
      <c r="AF29" s="101" t="n">
        <f aca="false">SUMPRODUCT((Hipótesis!$D$48:$D$53&lt;=30)*(Hipótesis!$B$48:$B$53)*(Hipótesis!$F$48:$F$53))</f>
        <v>320</v>
      </c>
      <c r="AG29" s="101" t="n">
        <f aca="false">SUMPRODUCT((Hipótesis!$D$48:$D$53&lt;=31)*(Hipótesis!$B$48:$B$53)*(Hipótesis!$F$48:$F$53))</f>
        <v>320</v>
      </c>
      <c r="AH29" s="101" t="n">
        <f aca="false">SUMPRODUCT((Hipótesis!$D$48:$D$53&lt;=32)*(Hipótesis!$B$48:$B$53)*(Hipótesis!$F$48:$F$53))</f>
        <v>320</v>
      </c>
      <c r="AI29" s="101" t="n">
        <f aca="false">SUMPRODUCT((Hipótesis!$D$48:$D$53&lt;=33)*(Hipótesis!$B$48:$B$53)*(Hipótesis!$F$48:$F$53))</f>
        <v>320</v>
      </c>
      <c r="AJ29" s="101" t="n">
        <f aca="false">SUMPRODUCT((Hipótesis!$D$48:$D$53&lt;=34)*(Hipótesis!$B$48:$B$53)*(Hipótesis!$F$48:$F$53))</f>
        <v>320</v>
      </c>
      <c r="AK29" s="101" t="n">
        <f aca="false">SUMPRODUCT((Hipótesis!$D$48:$D$53&lt;=35)*(Hipótesis!$B$48:$B$53)*(Hipótesis!$F$48:$F$53))</f>
        <v>320</v>
      </c>
      <c r="AL29" s="101" t="n">
        <f aca="false">SUMPRODUCT((Hipótesis!$D$48:$D$53&lt;=36)*(Hipótesis!$B$48:$B$53)*(Hipótesis!$F$48:$F$53))</f>
        <v>320</v>
      </c>
      <c r="AM29" s="101" t="n">
        <f aca="false">SUMPRODUCT((Hipótesis!$D$48:$D$53&lt;=37)*(Hipótesis!$B$48:$B$53)*(Hipótesis!$F$48:$F$53))</f>
        <v>320</v>
      </c>
      <c r="AN29" s="101" t="n">
        <f aca="false">SUMPRODUCT((Hipótesis!$D$48:$D$53&lt;=38)*(Hipótesis!$B$48:$B$53)*(Hipótesis!$F$48:$F$53))</f>
        <v>320</v>
      </c>
      <c r="AO29" s="101" t="n">
        <f aca="false">SUMPRODUCT((Hipótesis!$D$48:$D$53&lt;=39)*(Hipótesis!$B$48:$B$53)*(Hipótesis!$F$48:$F$53))</f>
        <v>320</v>
      </c>
      <c r="AP29" s="101" t="n">
        <f aca="false">SUMPRODUCT((Hipótesis!$D$48:$D$53&lt;=40)*(Hipótesis!$B$48:$B$53)*(Hipótesis!$F$48:$F$53))</f>
        <v>320</v>
      </c>
      <c r="AQ29" s="101" t="n">
        <f aca="false">SUMPRODUCT((Hipótesis!$D$48:$D$53&lt;=41)*(Hipótesis!$B$48:$B$53)*(Hipótesis!$F$48:$F$53))</f>
        <v>320</v>
      </c>
      <c r="AR29" s="101" t="n">
        <f aca="false">SUMPRODUCT((Hipótesis!$D$48:$D$53&lt;=42)*(Hipótesis!$B$48:$B$53)*(Hipótesis!$F$48:$F$53))</f>
        <v>320</v>
      </c>
      <c r="AS29" s="101" t="n">
        <f aca="false">SUMPRODUCT((Hipótesis!$D$48:$D$53&lt;=43)*(Hipótesis!$B$48:$B$53)*(Hipótesis!$F$48:$F$53))</f>
        <v>320</v>
      </c>
      <c r="AT29" s="101" t="n">
        <f aca="false">SUMPRODUCT((Hipótesis!$D$48:$D$53&lt;=44)*(Hipótesis!$B$48:$B$53)*(Hipótesis!$F$48:$F$53))</f>
        <v>320</v>
      </c>
      <c r="AU29" s="101" t="n">
        <f aca="false">SUMPRODUCT((Hipótesis!$D$48:$D$53&lt;=45)*(Hipótesis!$B$48:$B$53)*(Hipótesis!$F$48:$F$53))</f>
        <v>320</v>
      </c>
      <c r="AV29" s="101" t="n">
        <f aca="false">SUMPRODUCT((Hipótesis!$D$48:$D$53&lt;=46)*(Hipótesis!$B$48:$B$53)*(Hipótesis!$F$48:$F$53))</f>
        <v>320</v>
      </c>
      <c r="AW29" s="101" t="n">
        <f aca="false">SUMPRODUCT((Hipótesis!$D$48:$D$53&lt;=47)*(Hipótesis!$B$48:$B$53)*(Hipótesis!$F$48:$F$53))</f>
        <v>320</v>
      </c>
      <c r="AX29" s="101" t="n">
        <f aca="false">SUMPRODUCT((Hipótesis!$D$48:$D$53&lt;=48)*(Hipótesis!$B$48:$B$53)*(Hipótesis!$F$48:$F$53))</f>
        <v>320</v>
      </c>
      <c r="AY29" s="101" t="n">
        <f aca="false">SUMPRODUCT((Hipótesis!$D$48:$D$53&lt;=49)*(Hipótesis!$B$48:$B$53)*(Hipótesis!$F$48:$F$53))</f>
        <v>320</v>
      </c>
      <c r="AZ29" s="101" t="n">
        <f aca="false">SUMPRODUCT((Hipótesis!$D$48:$D$53&lt;=50)*(Hipótesis!$B$48:$B$53)*(Hipótesis!$F$48:$F$53))</f>
        <v>320</v>
      </c>
      <c r="BA29" s="101" t="n">
        <f aca="false">SUMPRODUCT((Hipótesis!$D$48:$D$53&lt;=51)*(Hipótesis!$B$48:$B$53)*(Hipótesis!$F$48:$F$53))</f>
        <v>320</v>
      </c>
      <c r="BB29" s="101" t="n">
        <f aca="false">SUMPRODUCT((Hipótesis!$D$48:$D$53&lt;=52)*(Hipótesis!$B$48:$B$53)*(Hipótesis!$F$48:$F$53))</f>
        <v>320</v>
      </c>
      <c r="BC29" s="101" t="n">
        <f aca="false">SUMPRODUCT((Hipótesis!$D$48:$D$53&lt;=53)*(Hipótesis!$B$48:$B$53)*(Hipótesis!$F$48:$F$53))</f>
        <v>320</v>
      </c>
      <c r="BD29" s="101" t="n">
        <f aca="false">SUMPRODUCT((Hipótesis!$D$48:$D$53&lt;=54)*(Hipótesis!$B$48:$B$53)*(Hipótesis!$F$48:$F$53))</f>
        <v>320</v>
      </c>
      <c r="BE29" s="101" t="n">
        <f aca="false">SUMPRODUCT((Hipótesis!$D$48:$D$53&lt;=55)*(Hipótesis!$B$48:$B$53)*(Hipótesis!$F$48:$F$53))</f>
        <v>320</v>
      </c>
      <c r="BF29" s="101" t="n">
        <f aca="false">SUMPRODUCT((Hipótesis!$D$48:$D$53&lt;=56)*(Hipótesis!$B$48:$B$53)*(Hipótesis!$F$48:$F$53))</f>
        <v>320</v>
      </c>
      <c r="BG29" s="101" t="n">
        <f aca="false">SUMPRODUCT((Hipótesis!$D$48:$D$53&lt;=57)*(Hipótesis!$B$48:$B$53)*(Hipótesis!$F$48:$F$53))</f>
        <v>320</v>
      </c>
      <c r="BH29" s="101" t="n">
        <f aca="false">SUMPRODUCT((Hipótesis!$D$48:$D$53&lt;=58)*(Hipótesis!$B$48:$B$53)*(Hipótesis!$F$48:$F$53))</f>
        <v>320</v>
      </c>
      <c r="BI29" s="101" t="n">
        <f aca="false">SUMPRODUCT((Hipótesis!$D$48:$D$53&lt;=59)*(Hipótesis!$B$48:$B$53)*(Hipótesis!$F$48:$F$53))</f>
        <v>320</v>
      </c>
      <c r="BJ29" s="101" t="n">
        <f aca="false">SUMPRODUCT((Hipótesis!$D$48:$D$53&lt;=60)*(Hipótesis!$B$48:$B$53)*(Hipótesis!$F$48:$F$53))</f>
        <v>320</v>
      </c>
      <c r="BK29" s="101" t="n">
        <f aca="false">SUMPRODUCT((Hipótesis!$D$48:$D$53&lt;=61)*(Hipótesis!$B$48:$B$53)*(Hipótesis!$F$48:$F$53))</f>
        <v>320</v>
      </c>
      <c r="BL29" s="101" t="n">
        <f aca="false">SUMPRODUCT((Hipótesis!$D$48:$D$53&lt;=62)*(Hipótesis!$B$48:$B$53)*(Hipótesis!$F$48:$F$53))</f>
        <v>320</v>
      </c>
      <c r="BM29" s="101" t="n">
        <f aca="false">SUMPRODUCT((Hipótesis!$D$48:$D$53&lt;=63)*(Hipótesis!$B$48:$B$53)*(Hipótesis!$F$48:$F$53))</f>
        <v>320</v>
      </c>
      <c r="BN29" s="101" t="n">
        <f aca="false">SUMPRODUCT((Hipótesis!$D$48:$D$53&lt;=64)*(Hipótesis!$B$48:$B$53)*(Hipótesis!$F$48:$F$53))</f>
        <v>320</v>
      </c>
      <c r="BO29" s="101" t="n">
        <f aca="false">SUMPRODUCT((Hipótesis!$D$48:$D$53&lt;=65)*(Hipótesis!$B$48:$B$53)*(Hipótesis!$F$48:$F$53))</f>
        <v>320</v>
      </c>
      <c r="BP29" s="101" t="n">
        <f aca="false">SUMPRODUCT((Hipótesis!$D$48:$D$53&lt;=66)*(Hipótesis!$B$48:$B$53)*(Hipótesis!$F$48:$F$53))</f>
        <v>320</v>
      </c>
      <c r="BQ29" s="101" t="n">
        <f aca="false">SUMPRODUCT((Hipótesis!$D$48:$D$53&lt;=67)*(Hipótesis!$B$48:$B$53)*(Hipótesis!$F$48:$F$53))</f>
        <v>320</v>
      </c>
      <c r="BR29" s="101" t="n">
        <f aca="false">SUMPRODUCT((Hipótesis!$D$48:$D$53&lt;=68)*(Hipótesis!$B$48:$B$53)*(Hipótesis!$F$48:$F$53))</f>
        <v>320</v>
      </c>
      <c r="BS29" s="101" t="n">
        <f aca="false">SUMPRODUCT((Hipótesis!$D$48:$D$53&lt;=69)*(Hipótesis!$B$48:$B$53)*(Hipótesis!$F$48:$F$53))</f>
        <v>320</v>
      </c>
      <c r="BT29" s="101" t="n">
        <f aca="false">SUMPRODUCT((Hipótesis!$D$48:$D$53&lt;=70)*(Hipótesis!$B$48:$B$53)*(Hipótesis!$F$48:$F$53))</f>
        <v>320</v>
      </c>
      <c r="BU29" s="101" t="n">
        <f aca="false">SUMPRODUCT((Hipótesis!$D$48:$D$53&lt;=71)*(Hipótesis!$B$48:$B$53)*(Hipótesis!$F$48:$F$53))</f>
        <v>320</v>
      </c>
      <c r="BV29" s="101" t="n">
        <f aca="false">SUMPRODUCT((Hipótesis!$D$48:$D$53&lt;=72)*(Hipótesis!$B$48:$B$53)*(Hipótesis!$F$48:$F$53))</f>
        <v>320</v>
      </c>
      <c r="BW29" s="101" t="n">
        <f aca="false">SUMPRODUCT((Hipótesis!$D$48:$D$53&lt;=73)*(Hipótesis!$B$48:$B$53)*(Hipótesis!$F$48:$F$53))</f>
        <v>320</v>
      </c>
      <c r="BX29" s="101" t="n">
        <f aca="false">SUMPRODUCT((Hipótesis!$D$48:$D$53&lt;=74)*(Hipótesis!$B$48:$B$53)*(Hipótesis!$F$48:$F$53))</f>
        <v>320</v>
      </c>
      <c r="BY29" s="101" t="n">
        <f aca="false">SUMPRODUCT((Hipótesis!$D$48:$D$53&lt;=75)*(Hipótesis!$B$48:$B$53)*(Hipótesis!$F$48:$F$53))</f>
        <v>320</v>
      </c>
      <c r="BZ29" s="101" t="n">
        <f aca="false">SUMPRODUCT((Hipótesis!$D$48:$D$53&lt;=76)*(Hipótesis!$B$48:$B$53)*(Hipótesis!$F$48:$F$53))</f>
        <v>320</v>
      </c>
      <c r="CA29" s="101" t="n">
        <f aca="false">SUMPRODUCT((Hipótesis!$D$48:$D$53&lt;=77)*(Hipótesis!$B$48:$B$53)*(Hipótesis!$F$48:$F$53))</f>
        <v>320</v>
      </c>
      <c r="CB29" s="101" t="n">
        <f aca="false">SUMPRODUCT((Hipótesis!$D$48:$D$53&lt;=78)*(Hipótesis!$B$48:$B$53)*(Hipótesis!$F$48:$F$53))</f>
        <v>320</v>
      </c>
      <c r="CC29" s="101" t="n">
        <f aca="false">SUMPRODUCT((Hipótesis!$D$48:$D$53&lt;=79)*(Hipótesis!$B$48:$B$53)*(Hipótesis!$F$48:$F$53))</f>
        <v>320</v>
      </c>
      <c r="CD29" s="101" t="n">
        <f aca="false">SUMPRODUCT((Hipótesis!$D$48:$D$53&lt;=80)*(Hipótesis!$B$48:$B$53)*(Hipótesis!$F$48:$F$53))</f>
        <v>320</v>
      </c>
      <c r="CE29" s="101" t="n">
        <f aca="false">SUMPRODUCT((Hipótesis!$D$48:$D$53&lt;=81)*(Hipótesis!$B$48:$B$53)*(Hipótesis!$F$48:$F$53))</f>
        <v>320</v>
      </c>
      <c r="CF29" s="101" t="n">
        <f aca="false">SUMPRODUCT((Hipótesis!$D$48:$D$53&lt;=82)*(Hipótesis!$B$48:$B$53)*(Hipótesis!$F$48:$F$53))</f>
        <v>320</v>
      </c>
      <c r="CG29" s="101" t="n">
        <f aca="false">SUMPRODUCT((Hipótesis!$D$48:$D$53&lt;=83)*(Hipótesis!$B$48:$B$53)*(Hipótesis!$F$48:$F$53))</f>
        <v>320</v>
      </c>
      <c r="CH29" s="101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22" t="s">
        <v>508</v>
      </c>
      <c r="C30" s="101" t="n">
        <f aca="false">ROUNDUP(MAX(0,C28-C29)/Hipótesis!$D$63,0)</f>
        <v>0</v>
      </c>
      <c r="D30" s="101" t="n">
        <f aca="false">ROUNDUP(MAX(0,D28-D29)/Hipótesis!$D$63,0)</f>
        <v>0</v>
      </c>
      <c r="E30" s="101" t="n">
        <f aca="false">ROUNDUP(MAX(0,E28-E29)/Hipótesis!$D$63,0)</f>
        <v>0</v>
      </c>
      <c r="F30" s="101" t="n">
        <f aca="false">ROUNDUP(MAX(0,F28-F29)/Hipótesis!$D$63,0)</f>
        <v>0</v>
      </c>
      <c r="G30" s="101" t="n">
        <f aca="false">ROUNDUP(MAX(0,G28-G29)/Hipótesis!$D$63,0)</f>
        <v>0</v>
      </c>
      <c r="H30" s="101" t="n">
        <f aca="false">ROUNDUP(MAX(0,H28-H29)/Hipótesis!$D$63,0)</f>
        <v>0</v>
      </c>
      <c r="I30" s="101" t="n">
        <f aca="false">ROUNDUP(MAX(0,I28-I29)/Hipótesis!$D$63,0)</f>
        <v>0</v>
      </c>
      <c r="J30" s="101" t="n">
        <f aca="false">ROUNDUP(MAX(0,J28-J29)/Hipótesis!$D$63,0)</f>
        <v>0</v>
      </c>
      <c r="K30" s="101" t="n">
        <f aca="false">ROUNDUP(MAX(0,K28-K29)/Hipótesis!$D$63,0)</f>
        <v>0</v>
      </c>
      <c r="L30" s="101" t="n">
        <f aca="false">ROUNDUP(MAX(0,L28-L29)/Hipótesis!$D$63,0)</f>
        <v>0</v>
      </c>
      <c r="M30" s="101" t="n">
        <f aca="false">ROUNDUP(MAX(0,M28-M29)/Hipótesis!$D$63,0)</f>
        <v>0</v>
      </c>
      <c r="N30" s="101" t="n">
        <f aca="false">ROUNDUP(MAX(0,N28-N29)/Hipótesis!$D$63,0)</f>
        <v>0</v>
      </c>
      <c r="O30" s="101" t="n">
        <f aca="false">ROUNDUP(MAX(0,O28-O29)/Hipótesis!$D$63,0)</f>
        <v>0</v>
      </c>
      <c r="P30" s="101" t="n">
        <f aca="false">ROUNDUP(MAX(0,P28-P29)/Hipótesis!$D$63,0)</f>
        <v>1</v>
      </c>
      <c r="Q30" s="101" t="n">
        <f aca="false">ROUNDUP(MAX(0,Q28-Q29)/Hipótesis!$D$63,0)</f>
        <v>1</v>
      </c>
      <c r="R30" s="101" t="n">
        <f aca="false">ROUNDUP(MAX(0,R28-R29)/Hipótesis!$D$63,0)</f>
        <v>1</v>
      </c>
      <c r="S30" s="101" t="n">
        <f aca="false">ROUNDUP(MAX(0,S28-S29)/Hipótesis!$D$63,0)</f>
        <v>1</v>
      </c>
      <c r="T30" s="101" t="n">
        <f aca="false">ROUNDUP(MAX(0,T28-T29)/Hipótesis!$D$63,0)</f>
        <v>1</v>
      </c>
      <c r="U30" s="101" t="n">
        <f aca="false">ROUNDUP(MAX(0,U28-U29)/Hipótesis!$D$63,0)</f>
        <v>2</v>
      </c>
      <c r="V30" s="101" t="n">
        <f aca="false">ROUNDUP(MAX(0,V28-V29)/Hipótesis!$D$63,0)</f>
        <v>2</v>
      </c>
      <c r="W30" s="101" t="n">
        <f aca="false">ROUNDUP(MAX(0,W28-W29)/Hipótesis!$D$63,0)</f>
        <v>2</v>
      </c>
      <c r="X30" s="101" t="n">
        <f aca="false">ROUNDUP(MAX(0,X28-X29)/Hipótesis!$D$63,0)</f>
        <v>2</v>
      </c>
      <c r="Y30" s="101" t="n">
        <f aca="false">ROUNDUP(MAX(0,Y28-Y29)/Hipótesis!$D$63,0)</f>
        <v>2</v>
      </c>
      <c r="Z30" s="101" t="n">
        <f aca="false">ROUNDUP(MAX(0,Z28-Z29)/Hipótesis!$D$63,0)</f>
        <v>2</v>
      </c>
      <c r="AA30" s="101" t="n">
        <f aca="false">ROUNDUP(MAX(0,AA28-AA29)/Hipótesis!$D$63,0)</f>
        <v>2</v>
      </c>
      <c r="AB30" s="101" t="n">
        <f aca="false">ROUNDUP(MAX(0,AB28-AB29)/Hipótesis!$D$63,0)</f>
        <v>3</v>
      </c>
      <c r="AC30" s="101" t="n">
        <f aca="false">ROUNDUP(MAX(0,AC28-AC29)/Hipótesis!$D$63,0)</f>
        <v>3</v>
      </c>
      <c r="AD30" s="101" t="n">
        <f aca="false">ROUNDUP(MAX(0,AD28-AD29)/Hipótesis!$D$63,0)</f>
        <v>3</v>
      </c>
      <c r="AE30" s="101" t="n">
        <f aca="false">ROUNDUP(MAX(0,AE28-AE29)/Hipótesis!$D$63,0)</f>
        <v>3</v>
      </c>
      <c r="AF30" s="101" t="n">
        <f aca="false">ROUNDUP(MAX(0,AF28-AF29)/Hipótesis!$D$63,0)</f>
        <v>3</v>
      </c>
      <c r="AG30" s="101" t="n">
        <f aca="false">ROUNDUP(MAX(0,AG28-AG29)/Hipótesis!$D$63,0)</f>
        <v>3</v>
      </c>
      <c r="AH30" s="101" t="n">
        <f aca="false">ROUNDUP(MAX(0,AH28-AH29)/Hipótesis!$D$63,0)</f>
        <v>3</v>
      </c>
      <c r="AI30" s="101" t="n">
        <f aca="false">ROUNDUP(MAX(0,AI28-AI29)/Hipótesis!$D$63,0)</f>
        <v>3</v>
      </c>
      <c r="AJ30" s="101" t="n">
        <f aca="false">ROUNDUP(MAX(0,AJ28-AJ29)/Hipótesis!$D$63,0)</f>
        <v>3</v>
      </c>
      <c r="AK30" s="101" t="n">
        <f aca="false">ROUNDUP(MAX(0,AK28-AK29)/Hipótesis!$D$63,0)</f>
        <v>3</v>
      </c>
      <c r="AL30" s="101" t="n">
        <f aca="false">ROUNDUP(MAX(0,AL28-AL29)/Hipótesis!$D$63,0)</f>
        <v>4</v>
      </c>
      <c r="AM30" s="101" t="n">
        <f aca="false">ROUNDUP(MAX(0,AM28-AM29)/Hipótesis!$D$63,0)</f>
        <v>4</v>
      </c>
      <c r="AN30" s="101" t="n">
        <f aca="false">ROUNDUP(MAX(0,AN28-AN29)/Hipótesis!$D$63,0)</f>
        <v>4</v>
      </c>
      <c r="AO30" s="101" t="n">
        <f aca="false">ROUNDUP(MAX(0,AO28-AO29)/Hipótesis!$D$63,0)</f>
        <v>4</v>
      </c>
      <c r="AP30" s="101" t="n">
        <f aca="false">ROUNDUP(MAX(0,AP28-AP29)/Hipótesis!$D$63,0)</f>
        <v>4</v>
      </c>
      <c r="AQ30" s="101" t="n">
        <f aca="false">ROUNDUP(MAX(0,AQ28-AQ29)/Hipótesis!$D$63,0)</f>
        <v>4</v>
      </c>
      <c r="AR30" s="101" t="n">
        <f aca="false">ROUNDUP(MAX(0,AR28-AR29)/Hipótesis!$D$63,0)</f>
        <v>4</v>
      </c>
      <c r="AS30" s="101" t="n">
        <f aca="false">ROUNDUP(MAX(0,AS28-AS29)/Hipótesis!$D$63,0)</f>
        <v>4</v>
      </c>
      <c r="AT30" s="101" t="n">
        <f aca="false">ROUNDUP(MAX(0,AT28-AT29)/Hipótesis!$D$63,0)</f>
        <v>4</v>
      </c>
      <c r="AU30" s="101" t="n">
        <f aca="false">ROUNDUP(MAX(0,AU28-AU29)/Hipótesis!$D$63,0)</f>
        <v>4</v>
      </c>
      <c r="AV30" s="101" t="n">
        <f aca="false">ROUNDUP(MAX(0,AV28-AV29)/Hipótesis!$D$63,0)</f>
        <v>4</v>
      </c>
      <c r="AW30" s="101" t="n">
        <f aca="false">ROUNDUP(MAX(0,AW28-AW29)/Hipótesis!$D$63,0)</f>
        <v>4</v>
      </c>
      <c r="AX30" s="101" t="n">
        <f aca="false">ROUNDUP(MAX(0,AX28-AX29)/Hipótesis!$D$63,0)</f>
        <v>4</v>
      </c>
      <c r="AY30" s="101" t="n">
        <f aca="false">ROUNDUP(MAX(0,AY28-AY29)/Hipótesis!$D$63,0)</f>
        <v>4</v>
      </c>
      <c r="AZ30" s="101" t="n">
        <f aca="false">ROUNDUP(MAX(0,AZ28-AZ29)/Hipótesis!$D$63,0)</f>
        <v>4</v>
      </c>
      <c r="BA30" s="101" t="n">
        <f aca="false">ROUNDUP(MAX(0,BA28-BA29)/Hipótesis!$D$63,0)</f>
        <v>4</v>
      </c>
      <c r="BB30" s="101" t="n">
        <f aca="false">ROUNDUP(MAX(0,BB28-BB29)/Hipótesis!$D$63,0)</f>
        <v>4</v>
      </c>
      <c r="BC30" s="101" t="n">
        <f aca="false">ROUNDUP(MAX(0,BC28-BC29)/Hipótesis!$D$63,0)</f>
        <v>4</v>
      </c>
      <c r="BD30" s="101" t="n">
        <f aca="false">ROUNDUP(MAX(0,BD28-BD29)/Hipótesis!$D$63,0)</f>
        <v>4</v>
      </c>
      <c r="BE30" s="101" t="n">
        <f aca="false">ROUNDUP(MAX(0,BE28-BE29)/Hipótesis!$D$63,0)</f>
        <v>4</v>
      </c>
      <c r="BF30" s="101" t="n">
        <f aca="false">ROUNDUP(MAX(0,BF28-BF29)/Hipótesis!$D$63,0)</f>
        <v>4</v>
      </c>
      <c r="BG30" s="101" t="n">
        <f aca="false">ROUNDUP(MAX(0,BG28-BG29)/Hipótesis!$D$63,0)</f>
        <v>4</v>
      </c>
      <c r="BH30" s="101" t="n">
        <f aca="false">ROUNDUP(MAX(0,BH28-BH29)/Hipótesis!$D$63,0)</f>
        <v>4</v>
      </c>
      <c r="BI30" s="101" t="n">
        <f aca="false">ROUNDUP(MAX(0,BI28-BI29)/Hipótesis!$D$63,0)</f>
        <v>4</v>
      </c>
      <c r="BJ30" s="101" t="n">
        <f aca="false">ROUNDUP(MAX(0,BJ28-BJ29)/Hipótesis!$D$63,0)</f>
        <v>4</v>
      </c>
      <c r="BK30" s="101" t="n">
        <f aca="false">ROUNDUP(MAX(0,BK28-BK29)/Hipótesis!$D$63,0)</f>
        <v>4</v>
      </c>
      <c r="BL30" s="101" t="n">
        <f aca="false">ROUNDUP(MAX(0,BL28-BL29)/Hipótesis!$D$63,0)</f>
        <v>4</v>
      </c>
      <c r="BM30" s="101" t="n">
        <f aca="false">ROUNDUP(MAX(0,BM28-BM29)/Hipótesis!$D$63,0)</f>
        <v>4</v>
      </c>
      <c r="BN30" s="101" t="n">
        <f aca="false">ROUNDUP(MAX(0,BN28-BN29)/Hipótesis!$D$63,0)</f>
        <v>4</v>
      </c>
      <c r="BO30" s="101" t="n">
        <f aca="false">ROUNDUP(MAX(0,BO28-BO29)/Hipótesis!$D$63,0)</f>
        <v>4</v>
      </c>
      <c r="BP30" s="101" t="n">
        <f aca="false">ROUNDUP(MAX(0,BP28-BP29)/Hipótesis!$D$63,0)</f>
        <v>4</v>
      </c>
      <c r="BQ30" s="101" t="n">
        <f aca="false">ROUNDUP(MAX(0,BQ28-BQ29)/Hipótesis!$D$63,0)</f>
        <v>4</v>
      </c>
      <c r="BR30" s="101" t="n">
        <f aca="false">ROUNDUP(MAX(0,BR28-BR29)/Hipótesis!$D$63,0)</f>
        <v>4</v>
      </c>
      <c r="BS30" s="101" t="n">
        <f aca="false">ROUNDUP(MAX(0,BS28-BS29)/Hipótesis!$D$63,0)</f>
        <v>4</v>
      </c>
      <c r="BT30" s="101" t="n">
        <f aca="false">ROUNDUP(MAX(0,BT28-BT29)/Hipótesis!$D$63,0)</f>
        <v>4</v>
      </c>
      <c r="BU30" s="101" t="n">
        <f aca="false">ROUNDUP(MAX(0,BU28-BU29)/Hipótesis!$D$63,0)</f>
        <v>4</v>
      </c>
      <c r="BV30" s="101" t="n">
        <f aca="false">ROUNDUP(MAX(0,BV28-BV29)/Hipótesis!$D$63,0)</f>
        <v>4</v>
      </c>
      <c r="BW30" s="101" t="n">
        <f aca="false">ROUNDUP(MAX(0,BW28-BW29)/Hipótesis!$D$63,0)</f>
        <v>4</v>
      </c>
      <c r="BX30" s="101" t="n">
        <f aca="false">ROUNDUP(MAX(0,BX28-BX29)/Hipótesis!$D$63,0)</f>
        <v>4</v>
      </c>
      <c r="BY30" s="101" t="n">
        <f aca="false">ROUNDUP(MAX(0,BY28-BY29)/Hipótesis!$D$63,0)</f>
        <v>4</v>
      </c>
      <c r="BZ30" s="101" t="n">
        <f aca="false">ROUNDUP(MAX(0,BZ28-BZ29)/Hipótesis!$D$63,0)</f>
        <v>4</v>
      </c>
      <c r="CA30" s="101" t="n">
        <f aca="false">ROUNDUP(MAX(0,CA28-CA29)/Hipótesis!$D$63,0)</f>
        <v>4</v>
      </c>
      <c r="CB30" s="101" t="n">
        <f aca="false">ROUNDUP(MAX(0,CB28-CB29)/Hipótesis!$D$63,0)</f>
        <v>4</v>
      </c>
      <c r="CC30" s="101" t="n">
        <f aca="false">ROUNDUP(MAX(0,CC28-CC29)/Hipótesis!$D$63,0)</f>
        <v>4</v>
      </c>
      <c r="CD30" s="101" t="n">
        <f aca="false">ROUNDUP(MAX(0,CD28-CD29)/Hipótesis!$D$63,0)</f>
        <v>4</v>
      </c>
      <c r="CE30" s="101" t="n">
        <f aca="false">ROUNDUP(MAX(0,CE28-CE29)/Hipótesis!$D$63,0)</f>
        <v>4</v>
      </c>
      <c r="CF30" s="101" t="n">
        <f aca="false">ROUNDUP(MAX(0,CF28-CF29)/Hipótesis!$D$63,0)</f>
        <v>4</v>
      </c>
      <c r="CG30" s="101" t="n">
        <f aca="false">ROUNDUP(MAX(0,CG28-CG29)/Hipótesis!$D$63,0)</f>
        <v>4</v>
      </c>
      <c r="CH30" s="101" t="n">
        <f aca="false">ROUNDUP(MAX(0,CH28-CH29)/Hipótesis!$D$63,0)</f>
        <v>4</v>
      </c>
    </row>
    <row r="31" customFormat="false" ht="13.5" hidden="false" customHeight="true" outlineLevel="0" collapsed="false">
      <c r="A31" s="22" t="s">
        <v>509</v>
      </c>
      <c r="C31" s="101" t="n">
        <f aca="false">SUMPRODUCT((Hipótesis!$D$48:$D$53&lt;=1)*(Hipótesis!$B$48:$B$53))+C30</f>
        <v>4</v>
      </c>
      <c r="D31" s="101" t="n">
        <f aca="false">SUMPRODUCT((Hipótesis!$D$48:$D$53&lt;=2)*(Hipótesis!$B$48:$B$53))+D30</f>
        <v>4</v>
      </c>
      <c r="E31" s="101" t="n">
        <f aca="false">SUMPRODUCT((Hipótesis!$D$48:$D$53&lt;=3)*(Hipótesis!$B$48:$B$53))+E30</f>
        <v>4</v>
      </c>
      <c r="F31" s="101" t="n">
        <f aca="false">SUMPRODUCT((Hipótesis!$D$48:$D$53&lt;=4)*(Hipótesis!$B$48:$B$53))+F30</f>
        <v>4</v>
      </c>
      <c r="G31" s="101" t="n">
        <f aca="false">SUMPRODUCT((Hipótesis!$D$48:$D$53&lt;=5)*(Hipótesis!$B$48:$B$53))+G30</f>
        <v>4</v>
      </c>
      <c r="H31" s="101" t="n">
        <f aca="false">SUMPRODUCT((Hipótesis!$D$48:$D$53&lt;=6)*(Hipótesis!$B$48:$B$53))+H30</f>
        <v>4</v>
      </c>
      <c r="I31" s="101" t="n">
        <f aca="false">SUMPRODUCT((Hipótesis!$D$48:$D$53&lt;=7)*(Hipótesis!$B$48:$B$53))+I30</f>
        <v>4</v>
      </c>
      <c r="J31" s="101" t="n">
        <f aca="false">SUMPRODUCT((Hipótesis!$D$48:$D$53&lt;=8)*(Hipótesis!$B$48:$B$53))+J30</f>
        <v>4</v>
      </c>
      <c r="K31" s="101" t="n">
        <f aca="false">SUMPRODUCT((Hipótesis!$D$48:$D$53&lt;=9)*(Hipótesis!$B$48:$B$53))+K30</f>
        <v>4</v>
      </c>
      <c r="L31" s="101" t="n">
        <f aca="false">SUMPRODUCT((Hipótesis!$D$48:$D$53&lt;=10)*(Hipótesis!$B$48:$B$53))+L30</f>
        <v>4</v>
      </c>
      <c r="M31" s="101" t="n">
        <f aca="false">SUMPRODUCT((Hipótesis!$D$48:$D$53&lt;=11)*(Hipótesis!$B$48:$B$53))+M30</f>
        <v>4</v>
      </c>
      <c r="N31" s="101" t="n">
        <f aca="false">SUMPRODUCT((Hipótesis!$D$48:$D$53&lt;=12)*(Hipótesis!$B$48:$B$53))+N30</f>
        <v>4</v>
      </c>
      <c r="O31" s="101" t="n">
        <f aca="false">SUMPRODUCT((Hipótesis!$D$48:$D$53&lt;=13)*(Hipótesis!$B$48:$B$53))+O30</f>
        <v>4</v>
      </c>
      <c r="P31" s="101" t="n">
        <f aca="false">SUMPRODUCT((Hipótesis!$D$48:$D$53&lt;=14)*(Hipótesis!$B$48:$B$53))+P30</f>
        <v>5</v>
      </c>
      <c r="Q31" s="101" t="n">
        <f aca="false">SUMPRODUCT((Hipótesis!$D$48:$D$53&lt;=15)*(Hipótesis!$B$48:$B$53))+Q30</f>
        <v>5</v>
      </c>
      <c r="R31" s="101" t="n">
        <f aca="false">SUMPRODUCT((Hipótesis!$D$48:$D$53&lt;=16)*(Hipótesis!$B$48:$B$53))+R30</f>
        <v>5</v>
      </c>
      <c r="S31" s="101" t="n">
        <f aca="false">SUMPRODUCT((Hipótesis!$D$48:$D$53&lt;=17)*(Hipótesis!$B$48:$B$53))+S30</f>
        <v>5</v>
      </c>
      <c r="T31" s="101" t="n">
        <f aca="false">SUMPRODUCT((Hipótesis!$D$48:$D$53&lt;=18)*(Hipótesis!$B$48:$B$53))+T30</f>
        <v>5</v>
      </c>
      <c r="U31" s="101" t="n">
        <f aca="false">SUMPRODUCT((Hipótesis!$D$48:$D$53&lt;=19)*(Hipótesis!$B$48:$B$53))+U30</f>
        <v>6</v>
      </c>
      <c r="V31" s="101" t="n">
        <f aca="false">SUMPRODUCT((Hipótesis!$D$48:$D$53&lt;=20)*(Hipótesis!$B$48:$B$53))+V30</f>
        <v>7</v>
      </c>
      <c r="W31" s="101" t="n">
        <f aca="false">SUMPRODUCT((Hipótesis!$D$48:$D$53&lt;=21)*(Hipótesis!$B$48:$B$53))+W30</f>
        <v>7</v>
      </c>
      <c r="X31" s="101" t="n">
        <f aca="false">SUMPRODUCT((Hipótesis!$D$48:$D$53&lt;=22)*(Hipótesis!$B$48:$B$53))+X30</f>
        <v>7</v>
      </c>
      <c r="Y31" s="101" t="n">
        <f aca="false">SUMPRODUCT((Hipótesis!$D$48:$D$53&lt;=23)*(Hipótesis!$B$48:$B$53))+Y30</f>
        <v>7</v>
      </c>
      <c r="Z31" s="101" t="n">
        <f aca="false">SUMPRODUCT((Hipótesis!$D$48:$D$53&lt;=24)*(Hipótesis!$B$48:$B$53))+Z30</f>
        <v>7</v>
      </c>
      <c r="AA31" s="101" t="n">
        <f aca="false">SUMPRODUCT((Hipótesis!$D$48:$D$53&lt;=25)*(Hipótesis!$B$48:$B$53))+AA30</f>
        <v>7</v>
      </c>
      <c r="AB31" s="101" t="n">
        <f aca="false">SUMPRODUCT((Hipótesis!$D$48:$D$53&lt;=26)*(Hipótesis!$B$48:$B$53))+AB30</f>
        <v>8</v>
      </c>
      <c r="AC31" s="101" t="n">
        <f aca="false">SUMPRODUCT((Hipótesis!$D$48:$D$53&lt;=27)*(Hipótesis!$B$48:$B$53))+AC30</f>
        <v>8</v>
      </c>
      <c r="AD31" s="101" t="n">
        <f aca="false">SUMPRODUCT((Hipótesis!$D$48:$D$53&lt;=28)*(Hipótesis!$B$48:$B$53))+AD30</f>
        <v>8</v>
      </c>
      <c r="AE31" s="101" t="n">
        <f aca="false">SUMPRODUCT((Hipótesis!$D$48:$D$53&lt;=29)*(Hipótesis!$B$48:$B$53))+AE30</f>
        <v>8</v>
      </c>
      <c r="AF31" s="101" t="n">
        <f aca="false">SUMPRODUCT((Hipótesis!$D$48:$D$53&lt;=30)*(Hipótesis!$B$48:$B$53))+AF30</f>
        <v>8</v>
      </c>
      <c r="AG31" s="101" t="n">
        <f aca="false">SUMPRODUCT((Hipótesis!$D$48:$D$53&lt;=31)*(Hipótesis!$B$48:$B$53))+AG30</f>
        <v>8</v>
      </c>
      <c r="AH31" s="101" t="n">
        <f aca="false">SUMPRODUCT((Hipótesis!$D$48:$D$53&lt;=32)*(Hipótesis!$B$48:$B$53))+AH30</f>
        <v>8</v>
      </c>
      <c r="AI31" s="101" t="n">
        <f aca="false">SUMPRODUCT((Hipótesis!$D$48:$D$53&lt;=33)*(Hipótesis!$B$48:$B$53))+AI30</f>
        <v>8</v>
      </c>
      <c r="AJ31" s="101" t="n">
        <f aca="false">SUMPRODUCT((Hipótesis!$D$48:$D$53&lt;=34)*(Hipótesis!$B$48:$B$53))+AJ30</f>
        <v>8</v>
      </c>
      <c r="AK31" s="101" t="n">
        <f aca="false">SUMPRODUCT((Hipótesis!$D$48:$D$53&lt;=35)*(Hipótesis!$B$48:$B$53))+AK30</f>
        <v>8</v>
      </c>
      <c r="AL31" s="101" t="n">
        <f aca="false">SUMPRODUCT((Hipótesis!$D$48:$D$53&lt;=36)*(Hipótesis!$B$48:$B$53))+AL30</f>
        <v>9</v>
      </c>
      <c r="AM31" s="101" t="n">
        <f aca="false">SUMPRODUCT((Hipótesis!$D$48:$D$53&lt;=37)*(Hipótesis!$B$48:$B$53))+AM30</f>
        <v>9</v>
      </c>
      <c r="AN31" s="101" t="n">
        <f aca="false">SUMPRODUCT((Hipótesis!$D$48:$D$53&lt;=38)*(Hipótesis!$B$48:$B$53))+AN30</f>
        <v>9</v>
      </c>
      <c r="AO31" s="101" t="n">
        <f aca="false">SUMPRODUCT((Hipótesis!$D$48:$D$53&lt;=39)*(Hipótesis!$B$48:$B$53))+AO30</f>
        <v>9</v>
      </c>
      <c r="AP31" s="101" t="n">
        <f aca="false">SUMPRODUCT((Hipótesis!$D$48:$D$53&lt;=40)*(Hipótesis!$B$48:$B$53))+AP30</f>
        <v>9</v>
      </c>
      <c r="AQ31" s="101" t="n">
        <f aca="false">SUMPRODUCT((Hipótesis!$D$48:$D$53&lt;=41)*(Hipótesis!$B$48:$B$53))+AQ30</f>
        <v>9</v>
      </c>
      <c r="AR31" s="101" t="n">
        <f aca="false">SUMPRODUCT((Hipótesis!$D$48:$D$53&lt;=42)*(Hipótesis!$B$48:$B$53))+AR30</f>
        <v>9</v>
      </c>
      <c r="AS31" s="101" t="n">
        <f aca="false">SUMPRODUCT((Hipótesis!$D$48:$D$53&lt;=43)*(Hipótesis!$B$48:$B$53))+AS30</f>
        <v>9</v>
      </c>
      <c r="AT31" s="101" t="n">
        <f aca="false">SUMPRODUCT((Hipótesis!$D$48:$D$53&lt;=44)*(Hipótesis!$B$48:$B$53))+AT30</f>
        <v>9</v>
      </c>
      <c r="AU31" s="101" t="n">
        <f aca="false">SUMPRODUCT((Hipótesis!$D$48:$D$53&lt;=45)*(Hipótesis!$B$48:$B$53))+AU30</f>
        <v>9</v>
      </c>
      <c r="AV31" s="101" t="n">
        <f aca="false">SUMPRODUCT((Hipótesis!$D$48:$D$53&lt;=46)*(Hipótesis!$B$48:$B$53))+AV30</f>
        <v>9</v>
      </c>
      <c r="AW31" s="101" t="n">
        <f aca="false">SUMPRODUCT((Hipótesis!$D$48:$D$53&lt;=47)*(Hipótesis!$B$48:$B$53))+AW30</f>
        <v>9</v>
      </c>
      <c r="AX31" s="101" t="n">
        <f aca="false">SUMPRODUCT((Hipótesis!$D$48:$D$53&lt;=48)*(Hipótesis!$B$48:$B$53))+AX30</f>
        <v>9</v>
      </c>
      <c r="AY31" s="101" t="n">
        <f aca="false">SUMPRODUCT((Hipótesis!$D$48:$D$53&lt;=49)*(Hipótesis!$B$48:$B$53))+AY30</f>
        <v>9</v>
      </c>
      <c r="AZ31" s="101" t="n">
        <f aca="false">SUMPRODUCT((Hipótesis!$D$48:$D$53&lt;=50)*(Hipótesis!$B$48:$B$53))+AZ30</f>
        <v>9</v>
      </c>
      <c r="BA31" s="101" t="n">
        <f aca="false">SUMPRODUCT((Hipótesis!$D$48:$D$53&lt;=51)*(Hipótesis!$B$48:$B$53))+BA30</f>
        <v>9</v>
      </c>
      <c r="BB31" s="101" t="n">
        <f aca="false">SUMPRODUCT((Hipótesis!$D$48:$D$53&lt;=52)*(Hipótesis!$B$48:$B$53))+BB30</f>
        <v>9</v>
      </c>
      <c r="BC31" s="101" t="n">
        <f aca="false">SUMPRODUCT((Hipótesis!$D$48:$D$53&lt;=53)*(Hipótesis!$B$48:$B$53))+BC30</f>
        <v>9</v>
      </c>
      <c r="BD31" s="101" t="n">
        <f aca="false">SUMPRODUCT((Hipótesis!$D$48:$D$53&lt;=54)*(Hipótesis!$B$48:$B$53))+BD30</f>
        <v>9</v>
      </c>
      <c r="BE31" s="101" t="n">
        <f aca="false">SUMPRODUCT((Hipótesis!$D$48:$D$53&lt;=55)*(Hipótesis!$B$48:$B$53))+BE30</f>
        <v>9</v>
      </c>
      <c r="BF31" s="101" t="n">
        <f aca="false">SUMPRODUCT((Hipótesis!$D$48:$D$53&lt;=56)*(Hipótesis!$B$48:$B$53))+BF30</f>
        <v>9</v>
      </c>
      <c r="BG31" s="101" t="n">
        <f aca="false">SUMPRODUCT((Hipótesis!$D$48:$D$53&lt;=57)*(Hipótesis!$B$48:$B$53))+BG30</f>
        <v>9</v>
      </c>
      <c r="BH31" s="101" t="n">
        <f aca="false">SUMPRODUCT((Hipótesis!$D$48:$D$53&lt;=58)*(Hipótesis!$B$48:$B$53))+BH30</f>
        <v>9</v>
      </c>
      <c r="BI31" s="101" t="n">
        <f aca="false">SUMPRODUCT((Hipótesis!$D$48:$D$53&lt;=59)*(Hipótesis!$B$48:$B$53))+BI30</f>
        <v>9</v>
      </c>
      <c r="BJ31" s="101" t="n">
        <f aca="false">SUMPRODUCT((Hipótesis!$D$48:$D$53&lt;=60)*(Hipótesis!$B$48:$B$53))+BJ30</f>
        <v>9</v>
      </c>
      <c r="BK31" s="101" t="n">
        <f aca="false">SUMPRODUCT((Hipótesis!$D$48:$D$53&lt;=61)*(Hipótesis!$B$48:$B$53))+BK30</f>
        <v>9</v>
      </c>
      <c r="BL31" s="101" t="n">
        <f aca="false">SUMPRODUCT((Hipótesis!$D$48:$D$53&lt;=62)*(Hipótesis!$B$48:$B$53))+BL30</f>
        <v>9</v>
      </c>
      <c r="BM31" s="101" t="n">
        <f aca="false">SUMPRODUCT((Hipótesis!$D$48:$D$53&lt;=63)*(Hipótesis!$B$48:$B$53))+BM30</f>
        <v>9</v>
      </c>
      <c r="BN31" s="101" t="n">
        <f aca="false">SUMPRODUCT((Hipótesis!$D$48:$D$53&lt;=64)*(Hipótesis!$B$48:$B$53))+BN30</f>
        <v>9</v>
      </c>
      <c r="BO31" s="101" t="n">
        <f aca="false">SUMPRODUCT((Hipótesis!$D$48:$D$53&lt;=65)*(Hipótesis!$B$48:$B$53))+BO30</f>
        <v>9</v>
      </c>
      <c r="BP31" s="101" t="n">
        <f aca="false">SUMPRODUCT((Hipótesis!$D$48:$D$53&lt;=66)*(Hipótesis!$B$48:$B$53))+BP30</f>
        <v>9</v>
      </c>
      <c r="BQ31" s="101" t="n">
        <f aca="false">SUMPRODUCT((Hipótesis!$D$48:$D$53&lt;=67)*(Hipótesis!$B$48:$B$53))+BQ30</f>
        <v>9</v>
      </c>
      <c r="BR31" s="101" t="n">
        <f aca="false">SUMPRODUCT((Hipótesis!$D$48:$D$53&lt;=68)*(Hipótesis!$B$48:$B$53))+BR30</f>
        <v>9</v>
      </c>
      <c r="BS31" s="101" t="n">
        <f aca="false">SUMPRODUCT((Hipótesis!$D$48:$D$53&lt;=69)*(Hipótesis!$B$48:$B$53))+BS30</f>
        <v>9</v>
      </c>
      <c r="BT31" s="101" t="n">
        <f aca="false">SUMPRODUCT((Hipótesis!$D$48:$D$53&lt;=70)*(Hipótesis!$B$48:$B$53))+BT30</f>
        <v>9</v>
      </c>
      <c r="BU31" s="101" t="n">
        <f aca="false">SUMPRODUCT((Hipótesis!$D$48:$D$53&lt;=71)*(Hipótesis!$B$48:$B$53))+BU30</f>
        <v>9</v>
      </c>
      <c r="BV31" s="101" t="n">
        <f aca="false">SUMPRODUCT((Hipótesis!$D$48:$D$53&lt;=72)*(Hipótesis!$B$48:$B$53))+BV30</f>
        <v>9</v>
      </c>
      <c r="BW31" s="101" t="n">
        <f aca="false">SUMPRODUCT((Hipótesis!$D$48:$D$53&lt;=73)*(Hipótesis!$B$48:$B$53))+BW30</f>
        <v>9</v>
      </c>
      <c r="BX31" s="101" t="n">
        <f aca="false">SUMPRODUCT((Hipótesis!$D$48:$D$53&lt;=74)*(Hipótesis!$B$48:$B$53))+BX30</f>
        <v>9</v>
      </c>
      <c r="BY31" s="101" t="n">
        <f aca="false">SUMPRODUCT((Hipótesis!$D$48:$D$53&lt;=75)*(Hipótesis!$B$48:$B$53))+BY30</f>
        <v>9</v>
      </c>
      <c r="BZ31" s="101" t="n">
        <f aca="false">SUMPRODUCT((Hipótesis!$D$48:$D$53&lt;=76)*(Hipótesis!$B$48:$B$53))+BZ30</f>
        <v>9</v>
      </c>
      <c r="CA31" s="101" t="n">
        <f aca="false">SUMPRODUCT((Hipótesis!$D$48:$D$53&lt;=77)*(Hipótesis!$B$48:$B$53))+CA30</f>
        <v>9</v>
      </c>
      <c r="CB31" s="101" t="n">
        <f aca="false">SUMPRODUCT((Hipótesis!$D$48:$D$53&lt;=78)*(Hipótesis!$B$48:$B$53))+CB30</f>
        <v>9</v>
      </c>
      <c r="CC31" s="101" t="n">
        <f aca="false">SUMPRODUCT((Hipótesis!$D$48:$D$53&lt;=79)*(Hipótesis!$B$48:$B$53))+CC30</f>
        <v>9</v>
      </c>
      <c r="CD31" s="101" t="n">
        <f aca="false">SUMPRODUCT((Hipótesis!$D$48:$D$53&lt;=80)*(Hipótesis!$B$48:$B$53))+CD30</f>
        <v>9</v>
      </c>
      <c r="CE31" s="101" t="n">
        <f aca="false">SUMPRODUCT((Hipótesis!$D$48:$D$53&lt;=81)*(Hipótesis!$B$48:$B$53))+CE30</f>
        <v>9</v>
      </c>
      <c r="CF31" s="101" t="n">
        <f aca="false">SUMPRODUCT((Hipótesis!$D$48:$D$53&lt;=82)*(Hipótesis!$B$48:$B$53))+CF30</f>
        <v>9</v>
      </c>
      <c r="CG31" s="101" t="n">
        <f aca="false">SUMPRODUCT((Hipótesis!$D$48:$D$53&lt;=83)*(Hipótesis!$B$48:$B$53))+CG30</f>
        <v>9</v>
      </c>
      <c r="CH31" s="101" t="n">
        <f aca="false">SUMPRODUCT((Hipótesis!$D$48:$D$53&lt;=84)*(Hipótesis!$B$48:$B$53))+CH30</f>
        <v>9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9" t="s">
        <v>510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</row>
    <row r="34" customFormat="false" ht="13.5" hidden="false" customHeight="true" outlineLevel="0" collapsed="false">
      <c r="A34" s="6" t="s">
        <v>511</v>
      </c>
      <c r="C34" s="100" t="n">
        <f aca="false">C16*C21*Hipótesis!$D$16</f>
        <v>1206.69</v>
      </c>
      <c r="D34" s="100" t="n">
        <f aca="false">D16*D21*Hipótesis!$D$16</f>
        <v>2507.34</v>
      </c>
      <c r="E34" s="100" t="n">
        <f aca="false">E16*E21*Hipótesis!$D$16</f>
        <v>5222.28375</v>
      </c>
      <c r="F34" s="100" t="n">
        <f aca="false">F16*F21*Hipótesis!$D$16</f>
        <v>6730.5375</v>
      </c>
      <c r="G34" s="100" t="n">
        <f aca="false">G16*G21*Hipótesis!$D$16</f>
        <v>8144.83125</v>
      </c>
      <c r="H34" s="100" t="n">
        <f aca="false">H16*H21*Hipótesis!$D$16</f>
        <v>10420.425</v>
      </c>
      <c r="I34" s="100" t="n">
        <f aca="false">I16*I21*Hipótesis!$D$16</f>
        <v>12696.01875</v>
      </c>
      <c r="J34" s="100" t="n">
        <f aca="false">J16*J21*Hipótesis!$D$16</f>
        <v>14971.6125</v>
      </c>
      <c r="K34" s="100" t="n">
        <f aca="false">K16*K21*Hipótesis!$D$16</f>
        <v>17247.20625</v>
      </c>
      <c r="L34" s="100" t="n">
        <f aca="false">L16*L21*Hipótesis!$D$16</f>
        <v>19522.8</v>
      </c>
      <c r="M34" s="100" t="n">
        <f aca="false">M16*M21*Hipótesis!$D$16</f>
        <v>20384.1</v>
      </c>
      <c r="N34" s="100" t="n">
        <f aca="false">N16*N21*Hipótesis!$D$16</f>
        <v>22419.9</v>
      </c>
      <c r="O34" s="100" t="n">
        <f aca="false">O16*O21*Hipótesis!$D$16</f>
        <v>24455.7</v>
      </c>
      <c r="P34" s="100" t="n">
        <f aca="false">P16*P21*Hipótesis!$D$16</f>
        <v>26068.68</v>
      </c>
      <c r="Q34" s="100" t="n">
        <f aca="false">Q16*Q21*Hipótesis!$D$16</f>
        <v>27681.66</v>
      </c>
      <c r="R34" s="100" t="n">
        <f aca="false">R16*R21*Hipótesis!$D$16</f>
        <v>29294.64</v>
      </c>
      <c r="S34" s="100" t="n">
        <f aca="false">S16*S21*Hipótesis!$D$16</f>
        <v>30907.62</v>
      </c>
      <c r="T34" s="100" t="n">
        <f aca="false">T16*T21*Hipótesis!$D$16</f>
        <v>32520.6</v>
      </c>
      <c r="U34" s="100" t="n">
        <f aca="false">U16*U21*Hipótesis!$D$16</f>
        <v>34133.58</v>
      </c>
      <c r="V34" s="100" t="n">
        <f aca="false">V16*V21*Hipótesis!$D$16</f>
        <v>35746.56</v>
      </c>
      <c r="W34" s="100" t="n">
        <f aca="false">W16*W21*Hipótesis!$D$16</f>
        <v>37359.54</v>
      </c>
      <c r="X34" s="100" t="n">
        <f aca="false">X16*X21*Hipótesis!$D$16</f>
        <v>37798.02</v>
      </c>
      <c r="Y34" s="100" t="n">
        <f aca="false">Y16*Y21*Hipótesis!$D$16</f>
        <v>38236.5</v>
      </c>
      <c r="Z34" s="100" t="n">
        <f aca="false">Z16*Z21*Hipótesis!$D$16</f>
        <v>38236.5</v>
      </c>
      <c r="AA34" s="100" t="n">
        <f aca="false">AA16*AA21*Hipótesis!$D$16</f>
        <v>38236.5</v>
      </c>
      <c r="AB34" s="100" t="n">
        <f aca="false">AB16*AB21*Hipótesis!$D$16</f>
        <v>38236.5</v>
      </c>
      <c r="AC34" s="100" t="n">
        <f aca="false">AC16*AC21*Hipótesis!$D$16</f>
        <v>38236.5</v>
      </c>
      <c r="AD34" s="100" t="n">
        <f aca="false">AD16*AD21*Hipótesis!$D$16</f>
        <v>38236.5</v>
      </c>
      <c r="AE34" s="100" t="n">
        <f aca="false">AE16*AE21*Hipótesis!$D$16</f>
        <v>38236.5</v>
      </c>
      <c r="AF34" s="100" t="n">
        <f aca="false">AF16*AF21*Hipótesis!$D$16</f>
        <v>38236.5</v>
      </c>
      <c r="AG34" s="100" t="n">
        <f aca="false">AG16*AG21*Hipótesis!$D$16</f>
        <v>38236.5</v>
      </c>
      <c r="AH34" s="100" t="n">
        <f aca="false">AH16*AH21*Hipótesis!$D$16</f>
        <v>38236.5</v>
      </c>
      <c r="AI34" s="100" t="n">
        <f aca="false">AI16*AI21*Hipótesis!$D$16</f>
        <v>38236.5</v>
      </c>
      <c r="AJ34" s="100" t="n">
        <f aca="false">AJ16*AJ21*Hipótesis!$D$16</f>
        <v>38236.5</v>
      </c>
      <c r="AK34" s="100" t="n">
        <f aca="false">AK16*AK21*Hipótesis!$D$16</f>
        <v>38236.5</v>
      </c>
      <c r="AL34" s="100" t="n">
        <f aca="false">AL16*AL21*Hipótesis!$D$16</f>
        <v>38236.5</v>
      </c>
      <c r="AM34" s="100" t="n">
        <f aca="false">AM16*AM21*Hipótesis!$D$16</f>
        <v>38236.5</v>
      </c>
      <c r="AN34" s="100" t="n">
        <f aca="false">AN16*AN21*Hipótesis!$D$16</f>
        <v>38236.5</v>
      </c>
      <c r="AO34" s="100" t="n">
        <f aca="false">AO16*AO21*Hipótesis!$D$16</f>
        <v>38236.5</v>
      </c>
      <c r="AP34" s="100" t="n">
        <f aca="false">AP16*AP21*Hipótesis!$D$16</f>
        <v>38236.5</v>
      </c>
      <c r="AQ34" s="100" t="n">
        <f aca="false">AQ16*AQ21*Hipótesis!$D$16</f>
        <v>38236.5</v>
      </c>
      <c r="AR34" s="100" t="n">
        <f aca="false">AR16*AR21*Hipótesis!$D$16</f>
        <v>38236.5</v>
      </c>
      <c r="AS34" s="100" t="n">
        <f aca="false">AS16*AS21*Hipótesis!$D$16</f>
        <v>38236.5</v>
      </c>
      <c r="AT34" s="100" t="n">
        <f aca="false">AT16*AT21*Hipótesis!$D$16</f>
        <v>38236.5</v>
      </c>
      <c r="AU34" s="100" t="n">
        <f aca="false">AU16*AU21*Hipótesis!$D$16</f>
        <v>38236.5</v>
      </c>
      <c r="AV34" s="100" t="n">
        <f aca="false">AV16*AV21*Hipótesis!$D$16</f>
        <v>38236.5</v>
      </c>
      <c r="AW34" s="100" t="n">
        <f aca="false">AW16*AW21*Hipótesis!$D$16</f>
        <v>38236.5</v>
      </c>
      <c r="AX34" s="100" t="n">
        <f aca="false">AX16*AX21*Hipótesis!$D$16</f>
        <v>38236.5</v>
      </c>
      <c r="AY34" s="100" t="n">
        <f aca="false">AY16*AY21*Hipótesis!$D$16</f>
        <v>38236.5</v>
      </c>
      <c r="AZ34" s="100" t="n">
        <f aca="false">AZ16*AZ21*Hipótesis!$D$16</f>
        <v>38236.5</v>
      </c>
      <c r="BA34" s="100" t="n">
        <f aca="false">BA16*BA21*Hipótesis!$D$16</f>
        <v>38236.5</v>
      </c>
      <c r="BB34" s="100" t="n">
        <f aca="false">BB16*BB21*Hipótesis!$D$16</f>
        <v>38236.5</v>
      </c>
      <c r="BC34" s="100" t="n">
        <f aca="false">BC16*BC21*Hipótesis!$D$16</f>
        <v>38236.5</v>
      </c>
      <c r="BD34" s="100" t="n">
        <f aca="false">BD16*BD21*Hipótesis!$D$16</f>
        <v>38236.5</v>
      </c>
      <c r="BE34" s="100" t="n">
        <f aca="false">BE16*BE21*Hipótesis!$D$16</f>
        <v>38236.5</v>
      </c>
      <c r="BF34" s="100" t="n">
        <f aca="false">BF16*BF21*Hipótesis!$D$16</f>
        <v>38236.5</v>
      </c>
      <c r="BG34" s="100" t="n">
        <f aca="false">BG16*BG21*Hipótesis!$D$16</f>
        <v>38236.5</v>
      </c>
      <c r="BH34" s="100" t="n">
        <f aca="false">BH16*BH21*Hipótesis!$D$16</f>
        <v>38236.5</v>
      </c>
      <c r="BI34" s="100" t="n">
        <f aca="false">BI16*BI21*Hipótesis!$D$16</f>
        <v>38236.5</v>
      </c>
      <c r="BJ34" s="100" t="n">
        <f aca="false">BJ16*BJ21*Hipótesis!$D$16</f>
        <v>38236.5</v>
      </c>
      <c r="BK34" s="100" t="n">
        <f aca="false">BK16*BK21*Hipótesis!$D$16</f>
        <v>38236.5</v>
      </c>
      <c r="BL34" s="100" t="n">
        <f aca="false">BL16*BL21*Hipótesis!$D$16</f>
        <v>38236.5</v>
      </c>
      <c r="BM34" s="100" t="n">
        <f aca="false">BM16*BM21*Hipótesis!$D$16</f>
        <v>38236.5</v>
      </c>
      <c r="BN34" s="100" t="n">
        <f aca="false">BN16*BN21*Hipótesis!$D$16</f>
        <v>38236.5</v>
      </c>
      <c r="BO34" s="100" t="n">
        <f aca="false">BO16*BO21*Hipótesis!$D$16</f>
        <v>38236.5</v>
      </c>
      <c r="BP34" s="100" t="n">
        <f aca="false">BP16*BP21*Hipótesis!$D$16</f>
        <v>38236.5</v>
      </c>
      <c r="BQ34" s="100" t="n">
        <f aca="false">BQ16*BQ21*Hipótesis!$D$16</f>
        <v>38236.5</v>
      </c>
      <c r="BR34" s="100" t="n">
        <f aca="false">BR16*BR21*Hipótesis!$D$16</f>
        <v>38236.5</v>
      </c>
      <c r="BS34" s="100" t="n">
        <f aca="false">BS16*BS21*Hipótesis!$D$16</f>
        <v>38236.5</v>
      </c>
      <c r="BT34" s="100" t="n">
        <f aca="false">BT16*BT21*Hipótesis!$D$16</f>
        <v>38236.5</v>
      </c>
      <c r="BU34" s="100" t="n">
        <f aca="false">BU16*BU21*Hipótesis!$D$16</f>
        <v>38236.5</v>
      </c>
      <c r="BV34" s="100" t="n">
        <f aca="false">BV16*BV21*Hipótesis!$D$16</f>
        <v>38236.5</v>
      </c>
      <c r="BW34" s="100" t="n">
        <f aca="false">BW16*BW21*Hipótesis!$D$16</f>
        <v>38236.5</v>
      </c>
      <c r="BX34" s="100" t="n">
        <f aca="false">BX16*BX21*Hipótesis!$D$16</f>
        <v>38236.5</v>
      </c>
      <c r="BY34" s="100" t="n">
        <f aca="false">BY16*BY21*Hipótesis!$D$16</f>
        <v>38236.5</v>
      </c>
      <c r="BZ34" s="100" t="n">
        <f aca="false">BZ16*BZ21*Hipótesis!$D$16</f>
        <v>38236.5</v>
      </c>
      <c r="CA34" s="100" t="n">
        <f aca="false">CA16*CA21*Hipótesis!$D$16</f>
        <v>38236.5</v>
      </c>
      <c r="CB34" s="100" t="n">
        <f aca="false">CB16*CB21*Hipótesis!$D$16</f>
        <v>38236.5</v>
      </c>
      <c r="CC34" s="100" t="n">
        <f aca="false">CC16*CC21*Hipótesis!$D$16</f>
        <v>38236.5</v>
      </c>
      <c r="CD34" s="100" t="n">
        <f aca="false">CD16*CD21*Hipótesis!$D$16</f>
        <v>38236.5</v>
      </c>
      <c r="CE34" s="100" t="n">
        <f aca="false">CE16*CE21*Hipótesis!$D$16</f>
        <v>38236.5</v>
      </c>
      <c r="CF34" s="100" t="n">
        <f aca="false">CF16*CF21*Hipótesis!$D$16</f>
        <v>38236.5</v>
      </c>
      <c r="CG34" s="100" t="n">
        <f aca="false">CG16*CG21*Hipótesis!$D$16</f>
        <v>38236.5</v>
      </c>
      <c r="CH34" s="100" t="n">
        <f aca="false">CH16*CH21*Hipótesis!$D$16</f>
        <v>38236.5</v>
      </c>
    </row>
    <row r="35" customFormat="false" ht="13.5" hidden="false" customHeight="true" outlineLevel="0" collapsed="false">
      <c r="A35" s="6" t="s">
        <v>512</v>
      </c>
      <c r="C35" s="100" t="n">
        <f aca="false">C23*(Hipótesis!$D$30*Hipótesis!$D$20+(1-Hipótesis!$D$30)*Hipótesis!$D$21)</f>
        <v>0</v>
      </c>
      <c r="D35" s="100" t="n">
        <f aca="false">D23*(Hipótesis!$D$30*Hipótesis!$D$20+(1-Hipótesis!$D$30)*Hipótesis!$D$21)</f>
        <v>0</v>
      </c>
      <c r="E35" s="100" t="n">
        <f aca="false">E23*(Hipótesis!$D$30*Hipótesis!$D$20+(1-Hipótesis!$D$30)*Hipótesis!$D$21)</f>
        <v>0</v>
      </c>
      <c r="F35" s="100" t="n">
        <f aca="false">F23*(Hipótesis!$D$30*Hipótesis!$D$20+(1-Hipótesis!$D$30)*Hipótesis!$D$21)</f>
        <v>0</v>
      </c>
      <c r="G35" s="100" t="n">
        <f aca="false">G23*(Hipótesis!$D$30*Hipótesis!$D$20+(1-Hipótesis!$D$30)*Hipótesis!$D$21)</f>
        <v>0</v>
      </c>
      <c r="H35" s="100" t="n">
        <f aca="false">H23*(Hipótesis!$D$30*Hipótesis!$D$20+(1-Hipótesis!$D$30)*Hipótesis!$D$21)</f>
        <v>0</v>
      </c>
      <c r="I35" s="100" t="n">
        <f aca="false">I23*(Hipótesis!$D$30*Hipótesis!$D$20+(1-Hipótesis!$D$30)*Hipótesis!$D$21)</f>
        <v>1954.05122036757</v>
      </c>
      <c r="J35" s="100" t="n">
        <f aca="false">J23*(Hipótesis!$D$30*Hipótesis!$D$20+(1-Hipótesis!$D$30)*Hipótesis!$D$21)</f>
        <v>3908.10244073514</v>
      </c>
      <c r="K35" s="100" t="n">
        <f aca="false">K23*(Hipótesis!$D$30*Hipótesis!$D$20+(1-Hipótesis!$D$30)*Hipótesis!$D$21)</f>
        <v>5862.1536611027</v>
      </c>
      <c r="L35" s="100" t="n">
        <f aca="false">L23*(Hipótesis!$D$30*Hipótesis!$D$20+(1-Hipótesis!$D$30)*Hipótesis!$D$21)</f>
        <v>7816.20488147027</v>
      </c>
      <c r="M35" s="100" t="n">
        <f aca="false">M23*(Hipótesis!$D$30*Hipótesis!$D$20+(1-Hipótesis!$D$30)*Hipótesis!$D$21)</f>
        <v>9770.25610183784</v>
      </c>
      <c r="N35" s="100" t="n">
        <f aca="false">N23*(Hipótesis!$D$30*Hipótesis!$D$20+(1-Hipótesis!$D$30)*Hipótesis!$D$21)</f>
        <v>11724.3073222054</v>
      </c>
      <c r="O35" s="100" t="n">
        <f aca="false">O23*(Hipótesis!$D$30*Hipótesis!$D$20+(1-Hipótesis!$D$30)*Hipótesis!$D$21)</f>
        <v>13678.358542573</v>
      </c>
      <c r="P35" s="100" t="n">
        <f aca="false">P23*(Hipótesis!$D$30*Hipótesis!$D$20+(1-Hipótesis!$D$30)*Hipótesis!$D$21)</f>
        <v>15632.4097629405</v>
      </c>
      <c r="Q35" s="100" t="n">
        <f aca="false">Q23*(Hipótesis!$D$30*Hipótesis!$D$20+(1-Hipótesis!$D$30)*Hipótesis!$D$21)</f>
        <v>17586.4609833081</v>
      </c>
      <c r="R35" s="100" t="n">
        <f aca="false">R23*(Hipótesis!$D$30*Hipótesis!$D$20+(1-Hipótesis!$D$30)*Hipótesis!$D$21)</f>
        <v>19540.5122036757</v>
      </c>
      <c r="S35" s="100" t="n">
        <f aca="false">S23*(Hipótesis!$D$30*Hipótesis!$D$20+(1-Hipótesis!$D$30)*Hipótesis!$D$21)</f>
        <v>21494.5634240433</v>
      </c>
      <c r="T35" s="100" t="n">
        <f aca="false">T23*(Hipótesis!$D$30*Hipótesis!$D$20+(1-Hipótesis!$D$30)*Hipótesis!$D$21)</f>
        <v>23448.6146444108</v>
      </c>
      <c r="U35" s="100" t="n">
        <f aca="false">U23*(Hipótesis!$D$30*Hipótesis!$D$20+(1-Hipótesis!$D$30)*Hipótesis!$D$21)</f>
        <v>25402.6658647784</v>
      </c>
      <c r="V35" s="100" t="n">
        <f aca="false">V23*(Hipótesis!$D$30*Hipótesis!$D$20+(1-Hipótesis!$D$30)*Hipótesis!$D$21)</f>
        <v>27356.717085146</v>
      </c>
      <c r="W35" s="100" t="n">
        <f aca="false">W23*(Hipótesis!$D$30*Hipótesis!$D$20+(1-Hipótesis!$D$30)*Hipótesis!$D$21)</f>
        <v>29310.7683055135</v>
      </c>
      <c r="X35" s="100" t="n">
        <f aca="false">X23*(Hipótesis!$D$30*Hipótesis!$D$20+(1-Hipótesis!$D$30)*Hipótesis!$D$21)</f>
        <v>31264.8195258811</v>
      </c>
      <c r="Y35" s="100" t="n">
        <f aca="false">Y23*(Hipótesis!$D$30*Hipótesis!$D$20+(1-Hipótesis!$D$30)*Hipótesis!$D$21)</f>
        <v>33218.8707462487</v>
      </c>
      <c r="Z35" s="100" t="n">
        <f aca="false">Z23*(Hipótesis!$D$30*Hipótesis!$D$20+(1-Hipótesis!$D$30)*Hipótesis!$D$21)</f>
        <v>35172.9219666162</v>
      </c>
      <c r="AA35" s="100" t="n">
        <f aca="false">AA23*(Hipótesis!$D$30*Hipótesis!$D$20+(1-Hipótesis!$D$30)*Hipótesis!$D$21)</f>
        <v>37126.9731869838</v>
      </c>
      <c r="AB35" s="100" t="n">
        <f aca="false">AB23*(Hipótesis!$D$30*Hipótesis!$D$20+(1-Hipótesis!$D$30)*Hipótesis!$D$21)</f>
        <v>39081.0244073514</v>
      </c>
      <c r="AC35" s="100" t="n">
        <f aca="false">AC23*(Hipótesis!$D$30*Hipótesis!$D$20+(1-Hipótesis!$D$30)*Hipótesis!$D$21)</f>
        <v>41035.0756277189</v>
      </c>
      <c r="AD35" s="100" t="n">
        <f aca="false">AD23*(Hipótesis!$D$30*Hipótesis!$D$20+(1-Hipótesis!$D$30)*Hipótesis!$D$21)</f>
        <v>42989.1268480865</v>
      </c>
      <c r="AE35" s="100" t="n">
        <f aca="false">AE23*(Hipótesis!$D$30*Hipótesis!$D$20+(1-Hipótesis!$D$30)*Hipótesis!$D$21)</f>
        <v>44943.1780684541</v>
      </c>
      <c r="AF35" s="100" t="n">
        <f aca="false">AF23*(Hipótesis!$D$30*Hipótesis!$D$20+(1-Hipótesis!$D$30)*Hipótesis!$D$21)</f>
        <v>46897.2292888216</v>
      </c>
      <c r="AG35" s="100" t="n">
        <f aca="false">AG23*(Hipótesis!$D$30*Hipótesis!$D$20+(1-Hipótesis!$D$30)*Hipótesis!$D$21)</f>
        <v>48851.2805091892</v>
      </c>
      <c r="AH35" s="100" t="n">
        <f aca="false">AH23*(Hipótesis!$D$30*Hipótesis!$D$20+(1-Hipótesis!$D$30)*Hipótesis!$D$21)</f>
        <v>50805.3317295568</v>
      </c>
      <c r="AI35" s="100" t="n">
        <f aca="false">AI23*(Hipótesis!$D$30*Hipótesis!$D$20+(1-Hipótesis!$D$30)*Hipótesis!$D$21)</f>
        <v>52759.3829499243</v>
      </c>
      <c r="AJ35" s="100" t="n">
        <f aca="false">AJ23*(Hipótesis!$D$30*Hipótesis!$D$20+(1-Hipótesis!$D$30)*Hipótesis!$D$21)</f>
        <v>54713.4341702919</v>
      </c>
      <c r="AK35" s="100" t="n">
        <f aca="false">AK23*(Hipótesis!$D$30*Hipótesis!$D$20+(1-Hipótesis!$D$30)*Hipótesis!$D$21)</f>
        <v>56667.4853906595</v>
      </c>
      <c r="AL35" s="100" t="n">
        <f aca="false">AL23*(Hipótesis!$D$30*Hipótesis!$D$20+(1-Hipótesis!$D$30)*Hipótesis!$D$21)</f>
        <v>58621.536611027</v>
      </c>
      <c r="AM35" s="100" t="n">
        <f aca="false">AM23*(Hipótesis!$D$30*Hipótesis!$D$20+(1-Hipótesis!$D$30)*Hipótesis!$D$21)</f>
        <v>60575.5878313946</v>
      </c>
      <c r="AN35" s="100" t="n">
        <f aca="false">AN23*(Hipótesis!$D$30*Hipótesis!$D$20+(1-Hipótesis!$D$30)*Hipótesis!$D$21)</f>
        <v>62529.6390517622</v>
      </c>
      <c r="AO35" s="100" t="n">
        <f aca="false">AO23*(Hipótesis!$D$30*Hipótesis!$D$20+(1-Hipótesis!$D$30)*Hipótesis!$D$21)</f>
        <v>64483.6902721298</v>
      </c>
      <c r="AP35" s="100" t="n">
        <f aca="false">AP23*(Hipótesis!$D$30*Hipótesis!$D$20+(1-Hipótesis!$D$30)*Hipótesis!$D$21)</f>
        <v>66437.7414924973</v>
      </c>
      <c r="AQ35" s="100" t="n">
        <f aca="false">AQ23*(Hipótesis!$D$30*Hipótesis!$D$20+(1-Hipótesis!$D$30)*Hipótesis!$D$21)</f>
        <v>68391.7927128649</v>
      </c>
      <c r="AR35" s="100" t="n">
        <f aca="false">AR23*(Hipótesis!$D$30*Hipótesis!$D$20+(1-Hipótesis!$D$30)*Hipótesis!$D$21)</f>
        <v>70345.8439332325</v>
      </c>
      <c r="AS35" s="100" t="n">
        <f aca="false">AS23*(Hipótesis!$D$30*Hipótesis!$D$20+(1-Hipótesis!$D$30)*Hipótesis!$D$21)</f>
        <v>70345.8439332325</v>
      </c>
      <c r="AT35" s="100" t="n">
        <f aca="false">AT23*(Hipótesis!$D$30*Hipótesis!$D$20+(1-Hipótesis!$D$30)*Hipótesis!$D$21)</f>
        <v>70345.8439332325</v>
      </c>
      <c r="AU35" s="100" t="n">
        <f aca="false">AU23*(Hipótesis!$D$30*Hipótesis!$D$20+(1-Hipótesis!$D$30)*Hipótesis!$D$21)</f>
        <v>70345.8439332325</v>
      </c>
      <c r="AV35" s="100" t="n">
        <f aca="false">AV23*(Hipótesis!$D$30*Hipótesis!$D$20+(1-Hipótesis!$D$30)*Hipótesis!$D$21)</f>
        <v>70345.8439332325</v>
      </c>
      <c r="AW35" s="100" t="n">
        <f aca="false">AW23*(Hipótesis!$D$30*Hipótesis!$D$20+(1-Hipótesis!$D$30)*Hipótesis!$D$21)</f>
        <v>70345.8439332325</v>
      </c>
      <c r="AX35" s="100" t="n">
        <f aca="false">AX23*(Hipótesis!$D$30*Hipótesis!$D$20+(1-Hipótesis!$D$30)*Hipótesis!$D$21)</f>
        <v>70345.8439332325</v>
      </c>
      <c r="AY35" s="100" t="n">
        <f aca="false">AY23*(Hipótesis!$D$30*Hipótesis!$D$20+(1-Hipótesis!$D$30)*Hipótesis!$D$21)</f>
        <v>70345.8439332325</v>
      </c>
      <c r="AZ35" s="100" t="n">
        <f aca="false">AZ23*(Hipótesis!$D$30*Hipótesis!$D$20+(1-Hipótesis!$D$30)*Hipótesis!$D$21)</f>
        <v>70345.8439332325</v>
      </c>
      <c r="BA35" s="100" t="n">
        <f aca="false">BA23*(Hipótesis!$D$30*Hipótesis!$D$20+(1-Hipótesis!$D$30)*Hipótesis!$D$21)</f>
        <v>70345.8439332325</v>
      </c>
      <c r="BB35" s="100" t="n">
        <f aca="false">BB23*(Hipótesis!$D$30*Hipótesis!$D$20+(1-Hipótesis!$D$30)*Hipótesis!$D$21)</f>
        <v>70345.8439332325</v>
      </c>
      <c r="BC35" s="100" t="n">
        <f aca="false">BC23*(Hipótesis!$D$30*Hipótesis!$D$20+(1-Hipótesis!$D$30)*Hipótesis!$D$21)</f>
        <v>70345.8439332325</v>
      </c>
      <c r="BD35" s="100" t="n">
        <f aca="false">BD23*(Hipótesis!$D$30*Hipótesis!$D$20+(1-Hipótesis!$D$30)*Hipótesis!$D$21)</f>
        <v>70345.8439332325</v>
      </c>
      <c r="BE35" s="100" t="n">
        <f aca="false">BE23*(Hipótesis!$D$30*Hipótesis!$D$20+(1-Hipótesis!$D$30)*Hipótesis!$D$21)</f>
        <v>70345.8439332325</v>
      </c>
      <c r="BF35" s="100" t="n">
        <f aca="false">BF23*(Hipótesis!$D$30*Hipótesis!$D$20+(1-Hipótesis!$D$30)*Hipótesis!$D$21)</f>
        <v>70345.8439332325</v>
      </c>
      <c r="BG35" s="100" t="n">
        <f aca="false">BG23*(Hipótesis!$D$30*Hipótesis!$D$20+(1-Hipótesis!$D$30)*Hipótesis!$D$21)</f>
        <v>70345.8439332325</v>
      </c>
      <c r="BH35" s="100" t="n">
        <f aca="false">BH23*(Hipótesis!$D$30*Hipótesis!$D$20+(1-Hipótesis!$D$30)*Hipótesis!$D$21)</f>
        <v>70345.8439332325</v>
      </c>
      <c r="BI35" s="100" t="n">
        <f aca="false">BI23*(Hipótesis!$D$30*Hipótesis!$D$20+(1-Hipótesis!$D$30)*Hipótesis!$D$21)</f>
        <v>70345.8439332325</v>
      </c>
      <c r="BJ35" s="100" t="n">
        <f aca="false">BJ23*(Hipótesis!$D$30*Hipótesis!$D$20+(1-Hipótesis!$D$30)*Hipótesis!$D$21)</f>
        <v>70345.8439332325</v>
      </c>
      <c r="BK35" s="100" t="n">
        <f aca="false">BK23*(Hipótesis!$D$30*Hipótesis!$D$20+(1-Hipótesis!$D$30)*Hipótesis!$D$21)</f>
        <v>70345.8439332325</v>
      </c>
      <c r="BL35" s="100" t="n">
        <f aca="false">BL23*(Hipótesis!$D$30*Hipótesis!$D$20+(1-Hipótesis!$D$30)*Hipótesis!$D$21)</f>
        <v>70345.8439332325</v>
      </c>
      <c r="BM35" s="100" t="n">
        <f aca="false">BM23*(Hipótesis!$D$30*Hipótesis!$D$20+(1-Hipótesis!$D$30)*Hipótesis!$D$21)</f>
        <v>70345.8439332325</v>
      </c>
      <c r="BN35" s="100" t="n">
        <f aca="false">BN23*(Hipótesis!$D$30*Hipótesis!$D$20+(1-Hipótesis!$D$30)*Hipótesis!$D$21)</f>
        <v>70345.8439332325</v>
      </c>
      <c r="BO35" s="100" t="n">
        <f aca="false">BO23*(Hipótesis!$D$30*Hipótesis!$D$20+(1-Hipótesis!$D$30)*Hipótesis!$D$21)</f>
        <v>70345.8439332325</v>
      </c>
      <c r="BP35" s="100" t="n">
        <f aca="false">BP23*(Hipótesis!$D$30*Hipótesis!$D$20+(1-Hipótesis!$D$30)*Hipótesis!$D$21)</f>
        <v>70345.8439332325</v>
      </c>
      <c r="BQ35" s="100" t="n">
        <f aca="false">BQ23*(Hipótesis!$D$30*Hipótesis!$D$20+(1-Hipótesis!$D$30)*Hipótesis!$D$21)</f>
        <v>70345.8439332325</v>
      </c>
      <c r="BR35" s="100" t="n">
        <f aca="false">BR23*(Hipótesis!$D$30*Hipótesis!$D$20+(1-Hipótesis!$D$30)*Hipótesis!$D$21)</f>
        <v>70345.8439332325</v>
      </c>
      <c r="BS35" s="100" t="n">
        <f aca="false">BS23*(Hipótesis!$D$30*Hipótesis!$D$20+(1-Hipótesis!$D$30)*Hipótesis!$D$21)</f>
        <v>70345.8439332325</v>
      </c>
      <c r="BT35" s="100" t="n">
        <f aca="false">BT23*(Hipótesis!$D$30*Hipótesis!$D$20+(1-Hipótesis!$D$30)*Hipótesis!$D$21)</f>
        <v>70345.8439332325</v>
      </c>
      <c r="BU35" s="100" t="n">
        <f aca="false">BU23*(Hipótesis!$D$30*Hipótesis!$D$20+(1-Hipótesis!$D$30)*Hipótesis!$D$21)</f>
        <v>70345.8439332325</v>
      </c>
      <c r="BV35" s="100" t="n">
        <f aca="false">BV23*(Hipótesis!$D$30*Hipótesis!$D$20+(1-Hipótesis!$D$30)*Hipótesis!$D$21)</f>
        <v>70345.8439332325</v>
      </c>
      <c r="BW35" s="100" t="n">
        <f aca="false">BW23*(Hipótesis!$D$30*Hipótesis!$D$20+(1-Hipótesis!$D$30)*Hipótesis!$D$21)</f>
        <v>70345.8439332325</v>
      </c>
      <c r="BX35" s="100" t="n">
        <f aca="false">BX23*(Hipótesis!$D$30*Hipótesis!$D$20+(1-Hipótesis!$D$30)*Hipótesis!$D$21)</f>
        <v>70345.8439332325</v>
      </c>
      <c r="BY35" s="100" t="n">
        <f aca="false">BY23*(Hipótesis!$D$30*Hipótesis!$D$20+(1-Hipótesis!$D$30)*Hipótesis!$D$21)</f>
        <v>70345.8439332325</v>
      </c>
      <c r="BZ35" s="100" t="n">
        <f aca="false">BZ23*(Hipótesis!$D$30*Hipótesis!$D$20+(1-Hipótesis!$D$30)*Hipótesis!$D$21)</f>
        <v>70345.8439332325</v>
      </c>
      <c r="CA35" s="100" t="n">
        <f aca="false">CA23*(Hipótesis!$D$30*Hipótesis!$D$20+(1-Hipótesis!$D$30)*Hipótesis!$D$21)</f>
        <v>70345.8439332325</v>
      </c>
      <c r="CB35" s="100" t="n">
        <f aca="false">CB23*(Hipótesis!$D$30*Hipótesis!$D$20+(1-Hipótesis!$D$30)*Hipótesis!$D$21)</f>
        <v>70345.8439332325</v>
      </c>
      <c r="CC35" s="100" t="n">
        <f aca="false">CC23*(Hipótesis!$D$30*Hipótesis!$D$20+(1-Hipótesis!$D$30)*Hipótesis!$D$21)</f>
        <v>70345.8439332325</v>
      </c>
      <c r="CD35" s="100" t="n">
        <f aca="false">CD23*(Hipótesis!$D$30*Hipótesis!$D$20+(1-Hipótesis!$D$30)*Hipótesis!$D$21)</f>
        <v>70345.8439332325</v>
      </c>
      <c r="CE35" s="100" t="n">
        <f aca="false">CE23*(Hipótesis!$D$30*Hipótesis!$D$20+(1-Hipótesis!$D$30)*Hipótesis!$D$21)</f>
        <v>70345.8439332325</v>
      </c>
      <c r="CF35" s="100" t="n">
        <f aca="false">CF23*(Hipótesis!$D$30*Hipótesis!$D$20+(1-Hipótesis!$D$30)*Hipótesis!$D$21)</f>
        <v>70345.8439332325</v>
      </c>
      <c r="CG35" s="100" t="n">
        <f aca="false">CG23*(Hipótesis!$D$30*Hipótesis!$D$20+(1-Hipótesis!$D$30)*Hipótesis!$D$21)</f>
        <v>70345.8439332325</v>
      </c>
      <c r="CH35" s="100" t="n">
        <f aca="false">CH23*(Hipótesis!$D$30*Hipótesis!$D$20+(1-Hipótesis!$D$30)*Hipótesis!$D$21)</f>
        <v>70345.8439332325</v>
      </c>
    </row>
    <row r="36" customFormat="false" ht="13.5" hidden="false" customHeight="true" outlineLevel="0" collapsed="false">
      <c r="A36" s="22" t="s">
        <v>513</v>
      </c>
      <c r="C36" s="100" t="n">
        <f aca="false">C34+C35</f>
        <v>1206.69</v>
      </c>
      <c r="D36" s="100" t="n">
        <f aca="false">D34+D35</f>
        <v>2507.34</v>
      </c>
      <c r="E36" s="100" t="n">
        <f aca="false">E34+E35</f>
        <v>5222.28375</v>
      </c>
      <c r="F36" s="100" t="n">
        <f aca="false">F34+F35</f>
        <v>6730.5375</v>
      </c>
      <c r="G36" s="100" t="n">
        <f aca="false">G34+G35</f>
        <v>8144.83125</v>
      </c>
      <c r="H36" s="100" t="n">
        <f aca="false">H34+H35</f>
        <v>10420.425</v>
      </c>
      <c r="I36" s="100" t="n">
        <f aca="false">I34+I35</f>
        <v>14650.0699703676</v>
      </c>
      <c r="J36" s="100" t="n">
        <f aca="false">J34+J35</f>
        <v>18879.7149407351</v>
      </c>
      <c r="K36" s="100" t="n">
        <f aca="false">K34+K35</f>
        <v>23109.3599111027</v>
      </c>
      <c r="L36" s="100" t="n">
        <f aca="false">L34+L35</f>
        <v>27339.0048814703</v>
      </c>
      <c r="M36" s="100" t="n">
        <f aca="false">M34+M35</f>
        <v>30154.3561018378</v>
      </c>
      <c r="N36" s="100" t="n">
        <f aca="false">N34+N35</f>
        <v>34144.2073222054</v>
      </c>
      <c r="O36" s="100" t="n">
        <f aca="false">O34+O35</f>
        <v>38134.058542573</v>
      </c>
      <c r="P36" s="100" t="n">
        <f aca="false">P34+P35</f>
        <v>41701.0897629405</v>
      </c>
      <c r="Q36" s="100" t="n">
        <f aca="false">Q34+Q35</f>
        <v>45268.1209833081</v>
      </c>
      <c r="R36" s="100" t="n">
        <f aca="false">R34+R35</f>
        <v>48835.1522036757</v>
      </c>
      <c r="S36" s="100" t="n">
        <f aca="false">S34+S35</f>
        <v>52402.1834240432</v>
      </c>
      <c r="T36" s="100" t="n">
        <f aca="false">T34+T35</f>
        <v>55969.2146444108</v>
      </c>
      <c r="U36" s="100" t="n">
        <f aca="false">U34+U35</f>
        <v>59536.2458647784</v>
      </c>
      <c r="V36" s="100" t="n">
        <f aca="false">V34+V35</f>
        <v>63103.277085146</v>
      </c>
      <c r="W36" s="100" t="n">
        <f aca="false">W34+W35</f>
        <v>66670.3083055135</v>
      </c>
      <c r="X36" s="100" t="n">
        <f aca="false">X34+X35</f>
        <v>69062.8395258811</v>
      </c>
      <c r="Y36" s="100" t="n">
        <f aca="false">Y34+Y35</f>
        <v>71455.3707462487</v>
      </c>
      <c r="Z36" s="100" t="n">
        <f aca="false">Z34+Z35</f>
        <v>73409.4219666162</v>
      </c>
      <c r="AA36" s="100" t="n">
        <f aca="false">AA34+AA35</f>
        <v>75363.4731869838</v>
      </c>
      <c r="AB36" s="100" t="n">
        <f aca="false">AB34+AB35</f>
        <v>77317.5244073514</v>
      </c>
      <c r="AC36" s="100" t="n">
        <f aca="false">AC34+AC35</f>
        <v>79271.5756277189</v>
      </c>
      <c r="AD36" s="100" t="n">
        <f aca="false">AD34+AD35</f>
        <v>81225.6268480865</v>
      </c>
      <c r="AE36" s="100" t="n">
        <f aca="false">AE34+AE35</f>
        <v>83179.6780684541</v>
      </c>
      <c r="AF36" s="100" t="n">
        <f aca="false">AF34+AF35</f>
        <v>85133.7292888216</v>
      </c>
      <c r="AG36" s="100" t="n">
        <f aca="false">AG34+AG35</f>
        <v>87087.7805091892</v>
      </c>
      <c r="AH36" s="100" t="n">
        <f aca="false">AH34+AH35</f>
        <v>89041.8317295568</v>
      </c>
      <c r="AI36" s="100" t="n">
        <f aca="false">AI34+AI35</f>
        <v>90995.8829499243</v>
      </c>
      <c r="AJ36" s="100" t="n">
        <f aca="false">AJ34+AJ35</f>
        <v>92949.9341702919</v>
      </c>
      <c r="AK36" s="100" t="n">
        <f aca="false">AK34+AK35</f>
        <v>94903.9853906595</v>
      </c>
      <c r="AL36" s="100" t="n">
        <f aca="false">AL34+AL35</f>
        <v>96858.036611027</v>
      </c>
      <c r="AM36" s="100" t="n">
        <f aca="false">AM34+AM35</f>
        <v>98812.0878313946</v>
      </c>
      <c r="AN36" s="100" t="n">
        <f aca="false">AN34+AN35</f>
        <v>100766.139051762</v>
      </c>
      <c r="AO36" s="100" t="n">
        <f aca="false">AO34+AO35</f>
        <v>102720.19027213</v>
      </c>
      <c r="AP36" s="100" t="n">
        <f aca="false">AP34+AP35</f>
        <v>104674.241492497</v>
      </c>
      <c r="AQ36" s="100" t="n">
        <f aca="false">AQ34+AQ35</f>
        <v>106628.292712865</v>
      </c>
      <c r="AR36" s="100" t="n">
        <f aca="false">AR34+AR35</f>
        <v>108582.343933232</v>
      </c>
      <c r="AS36" s="100" t="n">
        <f aca="false">AS34+AS35</f>
        <v>108582.343933232</v>
      </c>
      <c r="AT36" s="100" t="n">
        <f aca="false">AT34+AT35</f>
        <v>108582.343933232</v>
      </c>
      <c r="AU36" s="100" t="n">
        <f aca="false">AU34+AU35</f>
        <v>108582.343933232</v>
      </c>
      <c r="AV36" s="100" t="n">
        <f aca="false">AV34+AV35</f>
        <v>108582.343933232</v>
      </c>
      <c r="AW36" s="100" t="n">
        <f aca="false">AW34+AW35</f>
        <v>108582.343933232</v>
      </c>
      <c r="AX36" s="100" t="n">
        <f aca="false">AX34+AX35</f>
        <v>108582.343933232</v>
      </c>
      <c r="AY36" s="100" t="n">
        <f aca="false">AY34+AY35</f>
        <v>108582.343933232</v>
      </c>
      <c r="AZ36" s="100" t="n">
        <f aca="false">AZ34+AZ35</f>
        <v>108582.343933232</v>
      </c>
      <c r="BA36" s="100" t="n">
        <f aca="false">BA34+BA35</f>
        <v>108582.343933232</v>
      </c>
      <c r="BB36" s="100" t="n">
        <f aca="false">BB34+BB35</f>
        <v>108582.343933232</v>
      </c>
      <c r="BC36" s="100" t="n">
        <f aca="false">BC34+BC35</f>
        <v>108582.343933232</v>
      </c>
      <c r="BD36" s="100" t="n">
        <f aca="false">BD34+BD35</f>
        <v>108582.343933232</v>
      </c>
      <c r="BE36" s="100" t="n">
        <f aca="false">BE34+BE35</f>
        <v>108582.343933232</v>
      </c>
      <c r="BF36" s="100" t="n">
        <f aca="false">BF34+BF35</f>
        <v>108582.343933232</v>
      </c>
      <c r="BG36" s="100" t="n">
        <f aca="false">BG34+BG35</f>
        <v>108582.343933232</v>
      </c>
      <c r="BH36" s="100" t="n">
        <f aca="false">BH34+BH35</f>
        <v>108582.343933232</v>
      </c>
      <c r="BI36" s="100" t="n">
        <f aca="false">BI34+BI35</f>
        <v>108582.343933232</v>
      </c>
      <c r="BJ36" s="100" t="n">
        <f aca="false">BJ34+BJ35</f>
        <v>108582.343933232</v>
      </c>
      <c r="BK36" s="100" t="n">
        <f aca="false">BK34+BK35</f>
        <v>108582.343933232</v>
      </c>
      <c r="BL36" s="100" t="n">
        <f aca="false">BL34+BL35</f>
        <v>108582.343933232</v>
      </c>
      <c r="BM36" s="100" t="n">
        <f aca="false">BM34+BM35</f>
        <v>108582.343933232</v>
      </c>
      <c r="BN36" s="100" t="n">
        <f aca="false">BN34+BN35</f>
        <v>108582.343933232</v>
      </c>
      <c r="BO36" s="100" t="n">
        <f aca="false">BO34+BO35</f>
        <v>108582.343933232</v>
      </c>
      <c r="BP36" s="100" t="n">
        <f aca="false">BP34+BP35</f>
        <v>108582.343933232</v>
      </c>
      <c r="BQ36" s="100" t="n">
        <f aca="false">BQ34+BQ35</f>
        <v>108582.343933232</v>
      </c>
      <c r="BR36" s="100" t="n">
        <f aca="false">BR34+BR35</f>
        <v>108582.343933232</v>
      </c>
      <c r="BS36" s="100" t="n">
        <f aca="false">BS34+BS35</f>
        <v>108582.343933232</v>
      </c>
      <c r="BT36" s="100" t="n">
        <f aca="false">BT34+BT35</f>
        <v>108582.343933232</v>
      </c>
      <c r="BU36" s="100" t="n">
        <f aca="false">BU34+BU35</f>
        <v>108582.343933232</v>
      </c>
      <c r="BV36" s="100" t="n">
        <f aca="false">BV34+BV35</f>
        <v>108582.343933232</v>
      </c>
      <c r="BW36" s="100" t="n">
        <f aca="false">BW34+BW35</f>
        <v>108582.343933232</v>
      </c>
      <c r="BX36" s="100" t="n">
        <f aca="false">BX34+BX35</f>
        <v>108582.343933232</v>
      </c>
      <c r="BY36" s="100" t="n">
        <f aca="false">BY34+BY35</f>
        <v>108582.343933232</v>
      </c>
      <c r="BZ36" s="100" t="n">
        <f aca="false">BZ34+BZ35</f>
        <v>108582.343933232</v>
      </c>
      <c r="CA36" s="100" t="n">
        <f aca="false">CA34+CA35</f>
        <v>108582.343933232</v>
      </c>
      <c r="CB36" s="100" t="n">
        <f aca="false">CB34+CB35</f>
        <v>108582.343933232</v>
      </c>
      <c r="CC36" s="100" t="n">
        <f aca="false">CC34+CC35</f>
        <v>108582.343933232</v>
      </c>
      <c r="CD36" s="100" t="n">
        <f aca="false">CD34+CD35</f>
        <v>108582.343933232</v>
      </c>
      <c r="CE36" s="100" t="n">
        <f aca="false">CE34+CE35</f>
        <v>108582.343933232</v>
      </c>
      <c r="CF36" s="100" t="n">
        <f aca="false">CF34+CF35</f>
        <v>108582.343933232</v>
      </c>
      <c r="CG36" s="100" t="n">
        <f aca="false">CG34+CG35</f>
        <v>108582.343933232</v>
      </c>
      <c r="CH36" s="100" t="n">
        <f aca="false">CH34+CH35</f>
        <v>108582.343933232</v>
      </c>
    </row>
    <row r="37" customFormat="false" ht="13.5" hidden="false" customHeight="true" outlineLevel="0" collapsed="false">
      <c r="A37" s="6" t="s">
        <v>514</v>
      </c>
      <c r="C37" s="100" t="n">
        <f aca="false">-C36*Hipótesis!$D$34</f>
        <v>-120.669</v>
      </c>
      <c r="D37" s="100" t="n">
        <f aca="false">-D36*Hipótesis!$D$34</f>
        <v>-250.734</v>
      </c>
      <c r="E37" s="100" t="n">
        <f aca="false">-E36*Hipótesis!$D$34</f>
        <v>-522.228375</v>
      </c>
      <c r="F37" s="100" t="n">
        <f aca="false">-F36*Hipótesis!$D$34</f>
        <v>-673.05375</v>
      </c>
      <c r="G37" s="100" t="n">
        <f aca="false">-G36*Hipótesis!$D$34</f>
        <v>-814.483125</v>
      </c>
      <c r="H37" s="100" t="n">
        <f aca="false">-H36*Hipótesis!$D$34</f>
        <v>-1042.0425</v>
      </c>
      <c r="I37" s="100" t="n">
        <f aca="false">-I36*Hipótesis!$D$34</f>
        <v>-1465.00699703676</v>
      </c>
      <c r="J37" s="100" t="n">
        <f aca="false">-J36*Hipótesis!$D$34</f>
        <v>-1887.97149407351</v>
      </c>
      <c r="K37" s="100" t="n">
        <f aca="false">-K36*Hipótesis!$D$34</f>
        <v>-2310.93599111027</v>
      </c>
      <c r="L37" s="100" t="n">
        <f aca="false">-L36*Hipótesis!$D$34</f>
        <v>-2733.90048814703</v>
      </c>
      <c r="M37" s="100" t="n">
        <f aca="false">-M36*Hipótesis!$D$34</f>
        <v>-3015.43561018378</v>
      </c>
      <c r="N37" s="100" t="n">
        <f aca="false">-N36*Hipótesis!$D$34</f>
        <v>-3414.42073222054</v>
      </c>
      <c r="O37" s="100" t="n">
        <f aca="false">-O36*Hipótesis!$D$34</f>
        <v>-3813.4058542573</v>
      </c>
      <c r="P37" s="100" t="n">
        <f aca="false">-P36*Hipótesis!$D$34</f>
        <v>-4170.10897629406</v>
      </c>
      <c r="Q37" s="100" t="n">
        <f aca="false">-Q36*Hipótesis!$D$34</f>
        <v>-4526.81209833081</v>
      </c>
      <c r="R37" s="100" t="n">
        <f aca="false">-R36*Hipótesis!$D$34</f>
        <v>-4883.51522036757</v>
      </c>
      <c r="S37" s="100" t="n">
        <f aca="false">-S36*Hipótesis!$D$34</f>
        <v>-5240.21834240433</v>
      </c>
      <c r="T37" s="100" t="n">
        <f aca="false">-T36*Hipótesis!$D$34</f>
        <v>-5596.92146444108</v>
      </c>
      <c r="U37" s="100" t="n">
        <f aca="false">-U36*Hipótesis!$D$34</f>
        <v>-5953.62458647784</v>
      </c>
      <c r="V37" s="100" t="n">
        <f aca="false">-V36*Hipótesis!$D$34</f>
        <v>-6310.3277085146</v>
      </c>
      <c r="W37" s="100" t="n">
        <f aca="false">-W36*Hipótesis!$D$34</f>
        <v>-6667.03083055135</v>
      </c>
      <c r="X37" s="100" t="n">
        <f aca="false">-X36*Hipótesis!$D$34</f>
        <v>-6906.28395258811</v>
      </c>
      <c r="Y37" s="100" t="n">
        <f aca="false">-Y36*Hipótesis!$D$34</f>
        <v>-7145.53707462487</v>
      </c>
      <c r="Z37" s="100" t="n">
        <f aca="false">-Z36*Hipótesis!$D$34</f>
        <v>-7340.94219666162</v>
      </c>
      <c r="AA37" s="100" t="n">
        <f aca="false">-AA36*Hipótesis!$D$34</f>
        <v>-7536.34731869838</v>
      </c>
      <c r="AB37" s="100" t="n">
        <f aca="false">-AB36*Hipótesis!$D$34</f>
        <v>-7731.75244073514</v>
      </c>
      <c r="AC37" s="100" t="n">
        <f aca="false">-AC36*Hipótesis!$D$34</f>
        <v>-7927.15756277189</v>
      </c>
      <c r="AD37" s="100" t="n">
        <f aca="false">-AD36*Hipótesis!$D$34</f>
        <v>-8122.56268480865</v>
      </c>
      <c r="AE37" s="100" t="n">
        <f aca="false">-AE36*Hipótesis!$D$34</f>
        <v>-8317.96780684541</v>
      </c>
      <c r="AF37" s="100" t="n">
        <f aca="false">-AF36*Hipótesis!$D$34</f>
        <v>-8513.37292888216</v>
      </c>
      <c r="AG37" s="100" t="n">
        <f aca="false">-AG36*Hipótesis!$D$34</f>
        <v>-8708.77805091892</v>
      </c>
      <c r="AH37" s="100" t="n">
        <f aca="false">-AH36*Hipótesis!$D$34</f>
        <v>-8904.18317295568</v>
      </c>
      <c r="AI37" s="100" t="n">
        <f aca="false">-AI36*Hipótesis!$D$34</f>
        <v>-9099.58829499243</v>
      </c>
      <c r="AJ37" s="100" t="n">
        <f aca="false">-AJ36*Hipótesis!$D$34</f>
        <v>-9294.99341702919</v>
      </c>
      <c r="AK37" s="100" t="n">
        <f aca="false">-AK36*Hipótesis!$D$34</f>
        <v>-9490.39853906595</v>
      </c>
      <c r="AL37" s="100" t="n">
        <f aca="false">-AL36*Hipótesis!$D$34</f>
        <v>-9685.8036611027</v>
      </c>
      <c r="AM37" s="100" t="n">
        <f aca="false">-AM36*Hipótesis!$D$34</f>
        <v>-9881.20878313946</v>
      </c>
      <c r="AN37" s="100" t="n">
        <f aca="false">-AN36*Hipótesis!$D$34</f>
        <v>-10076.6139051762</v>
      </c>
      <c r="AO37" s="100" t="n">
        <f aca="false">-AO36*Hipótesis!$D$34</f>
        <v>-10272.019027213</v>
      </c>
      <c r="AP37" s="100" t="n">
        <f aca="false">-AP36*Hipótesis!$D$34</f>
        <v>-10467.4241492497</v>
      </c>
      <c r="AQ37" s="100" t="n">
        <f aca="false">-AQ36*Hipótesis!$D$34</f>
        <v>-10662.8292712865</v>
      </c>
      <c r="AR37" s="100" t="n">
        <f aca="false">-AR36*Hipótesis!$D$34</f>
        <v>-10858.2343933232</v>
      </c>
      <c r="AS37" s="100" t="n">
        <f aca="false">-AS36*Hipótesis!$D$34</f>
        <v>-10858.2343933232</v>
      </c>
      <c r="AT37" s="100" t="n">
        <f aca="false">-AT36*Hipótesis!$D$34</f>
        <v>-10858.2343933232</v>
      </c>
      <c r="AU37" s="100" t="n">
        <f aca="false">-AU36*Hipótesis!$D$34</f>
        <v>-10858.2343933232</v>
      </c>
      <c r="AV37" s="100" t="n">
        <f aca="false">-AV36*Hipótesis!$D$34</f>
        <v>-10858.2343933232</v>
      </c>
      <c r="AW37" s="100" t="n">
        <f aca="false">-AW36*Hipótesis!$D$34</f>
        <v>-10858.2343933232</v>
      </c>
      <c r="AX37" s="100" t="n">
        <f aca="false">-AX36*Hipótesis!$D$34</f>
        <v>-10858.2343933232</v>
      </c>
      <c r="AY37" s="100" t="n">
        <f aca="false">-AY36*Hipótesis!$D$34</f>
        <v>-10858.2343933232</v>
      </c>
      <c r="AZ37" s="100" t="n">
        <f aca="false">-AZ36*Hipótesis!$D$34</f>
        <v>-10858.2343933232</v>
      </c>
      <c r="BA37" s="100" t="n">
        <f aca="false">-BA36*Hipótesis!$D$34</f>
        <v>-10858.2343933232</v>
      </c>
      <c r="BB37" s="100" t="n">
        <f aca="false">-BB36*Hipótesis!$D$34</f>
        <v>-10858.2343933232</v>
      </c>
      <c r="BC37" s="100" t="n">
        <f aca="false">-BC36*Hipótesis!$D$34</f>
        <v>-10858.2343933232</v>
      </c>
      <c r="BD37" s="100" t="n">
        <f aca="false">-BD36*Hipótesis!$D$34</f>
        <v>-10858.2343933232</v>
      </c>
      <c r="BE37" s="100" t="n">
        <f aca="false">-BE36*Hipótesis!$D$34</f>
        <v>-10858.2343933232</v>
      </c>
      <c r="BF37" s="100" t="n">
        <f aca="false">-BF36*Hipótesis!$D$34</f>
        <v>-10858.2343933232</v>
      </c>
      <c r="BG37" s="100" t="n">
        <f aca="false">-BG36*Hipótesis!$D$34</f>
        <v>-10858.2343933232</v>
      </c>
      <c r="BH37" s="100" t="n">
        <f aca="false">-BH36*Hipótesis!$D$34</f>
        <v>-10858.2343933232</v>
      </c>
      <c r="BI37" s="100" t="n">
        <f aca="false">-BI36*Hipótesis!$D$34</f>
        <v>-10858.2343933232</v>
      </c>
      <c r="BJ37" s="100" t="n">
        <f aca="false">-BJ36*Hipótesis!$D$34</f>
        <v>-10858.2343933232</v>
      </c>
      <c r="BK37" s="100" t="n">
        <f aca="false">-BK36*Hipótesis!$D$34</f>
        <v>-10858.2343933232</v>
      </c>
      <c r="BL37" s="100" t="n">
        <f aca="false">-BL36*Hipótesis!$D$34</f>
        <v>-10858.2343933232</v>
      </c>
      <c r="BM37" s="100" t="n">
        <f aca="false">-BM36*Hipótesis!$D$34</f>
        <v>-10858.2343933232</v>
      </c>
      <c r="BN37" s="100" t="n">
        <f aca="false">-BN36*Hipótesis!$D$34</f>
        <v>-10858.2343933232</v>
      </c>
      <c r="BO37" s="100" t="n">
        <f aca="false">-BO36*Hipótesis!$D$34</f>
        <v>-10858.2343933232</v>
      </c>
      <c r="BP37" s="100" t="n">
        <f aca="false">-BP36*Hipótesis!$D$34</f>
        <v>-10858.2343933232</v>
      </c>
      <c r="BQ37" s="100" t="n">
        <f aca="false">-BQ36*Hipótesis!$D$34</f>
        <v>-10858.2343933232</v>
      </c>
      <c r="BR37" s="100" t="n">
        <f aca="false">-BR36*Hipótesis!$D$34</f>
        <v>-10858.2343933232</v>
      </c>
      <c r="BS37" s="100" t="n">
        <f aca="false">-BS36*Hipótesis!$D$34</f>
        <v>-10858.2343933232</v>
      </c>
      <c r="BT37" s="100" t="n">
        <f aca="false">-BT36*Hipótesis!$D$34</f>
        <v>-10858.2343933232</v>
      </c>
      <c r="BU37" s="100" t="n">
        <f aca="false">-BU36*Hipótesis!$D$34</f>
        <v>-10858.2343933232</v>
      </c>
      <c r="BV37" s="100" t="n">
        <f aca="false">-BV36*Hipótesis!$D$34</f>
        <v>-10858.2343933232</v>
      </c>
      <c r="BW37" s="100" t="n">
        <f aca="false">-BW36*Hipótesis!$D$34</f>
        <v>-10858.2343933232</v>
      </c>
      <c r="BX37" s="100" t="n">
        <f aca="false">-BX36*Hipótesis!$D$34</f>
        <v>-10858.2343933232</v>
      </c>
      <c r="BY37" s="100" t="n">
        <f aca="false">-BY36*Hipótesis!$D$34</f>
        <v>-10858.2343933232</v>
      </c>
      <c r="BZ37" s="100" t="n">
        <f aca="false">-BZ36*Hipótesis!$D$34</f>
        <v>-10858.2343933232</v>
      </c>
      <c r="CA37" s="100" t="n">
        <f aca="false">-CA36*Hipótesis!$D$34</f>
        <v>-10858.2343933232</v>
      </c>
      <c r="CB37" s="100" t="n">
        <f aca="false">-CB36*Hipótesis!$D$34</f>
        <v>-10858.2343933232</v>
      </c>
      <c r="CC37" s="100" t="n">
        <f aca="false">-CC36*Hipótesis!$D$34</f>
        <v>-10858.2343933232</v>
      </c>
      <c r="CD37" s="100" t="n">
        <f aca="false">-CD36*Hipótesis!$D$34</f>
        <v>-10858.2343933232</v>
      </c>
      <c r="CE37" s="100" t="n">
        <f aca="false">-CE36*Hipótesis!$D$34</f>
        <v>-10858.2343933232</v>
      </c>
      <c r="CF37" s="100" t="n">
        <f aca="false">-CF36*Hipótesis!$D$34</f>
        <v>-10858.2343933232</v>
      </c>
      <c r="CG37" s="100" t="n">
        <f aca="false">-CG36*Hipótesis!$D$34</f>
        <v>-10858.2343933232</v>
      </c>
      <c r="CH37" s="100" t="n">
        <f aca="false">-CH36*Hipótesis!$D$34</f>
        <v>-10858.2343933232</v>
      </c>
    </row>
    <row r="38" customFormat="false" ht="13.5" hidden="false" customHeight="true" outlineLevel="0" collapsed="false">
      <c r="A38" s="22" t="s">
        <v>515</v>
      </c>
      <c r="C38" s="100" t="n">
        <f aca="false">C36+C37</f>
        <v>1086.021</v>
      </c>
      <c r="D38" s="100" t="n">
        <f aca="false">D36+D37</f>
        <v>2256.606</v>
      </c>
      <c r="E38" s="100" t="n">
        <f aca="false">E36+E37</f>
        <v>4700.055375</v>
      </c>
      <c r="F38" s="100" t="n">
        <f aca="false">F36+F37</f>
        <v>6057.48375</v>
      </c>
      <c r="G38" s="100" t="n">
        <f aca="false">G36+G37</f>
        <v>7330.348125</v>
      </c>
      <c r="H38" s="100" t="n">
        <f aca="false">H36+H37</f>
        <v>9378.3825</v>
      </c>
      <c r="I38" s="100" t="n">
        <f aca="false">I36+I37</f>
        <v>13185.0629733308</v>
      </c>
      <c r="J38" s="100" t="n">
        <f aca="false">J36+J37</f>
        <v>16991.7434466616</v>
      </c>
      <c r="K38" s="100" t="n">
        <f aca="false">K36+K37</f>
        <v>20798.4239199924</v>
      </c>
      <c r="L38" s="100" t="n">
        <f aca="false">L36+L37</f>
        <v>24605.1043933232</v>
      </c>
      <c r="M38" s="100" t="n">
        <f aca="false">M36+M37</f>
        <v>27138.9204916541</v>
      </c>
      <c r="N38" s="100" t="n">
        <f aca="false">N36+N37</f>
        <v>30729.7865899849</v>
      </c>
      <c r="O38" s="100" t="n">
        <f aca="false">O36+O37</f>
        <v>34320.6526883157</v>
      </c>
      <c r="P38" s="100" t="n">
        <f aca="false">P36+P37</f>
        <v>37530.9807866465</v>
      </c>
      <c r="Q38" s="100" t="n">
        <f aca="false">Q36+Q37</f>
        <v>40741.3088849773</v>
      </c>
      <c r="R38" s="100" t="n">
        <f aca="false">R36+R37</f>
        <v>43951.6369833081</v>
      </c>
      <c r="S38" s="100" t="n">
        <f aca="false">S36+S37</f>
        <v>47161.9650816389</v>
      </c>
      <c r="T38" s="100" t="n">
        <f aca="false">T36+T37</f>
        <v>50372.2931799697</v>
      </c>
      <c r="U38" s="100" t="n">
        <f aca="false">U36+U37</f>
        <v>53582.6212783005</v>
      </c>
      <c r="V38" s="100" t="n">
        <f aca="false">V36+V37</f>
        <v>56792.9493766314</v>
      </c>
      <c r="W38" s="100" t="n">
        <f aca="false">W36+W37</f>
        <v>60003.2774749622</v>
      </c>
      <c r="X38" s="100" t="n">
        <f aca="false">X36+X37</f>
        <v>62156.555573293</v>
      </c>
      <c r="Y38" s="100" t="n">
        <f aca="false">Y36+Y37</f>
        <v>64309.8336716238</v>
      </c>
      <c r="Z38" s="100" t="n">
        <f aca="false">Z36+Z37</f>
        <v>66068.4797699546</v>
      </c>
      <c r="AA38" s="100" t="n">
        <f aca="false">AA36+AA37</f>
        <v>67827.1258682854</v>
      </c>
      <c r="AB38" s="100" t="n">
        <f aca="false">AB36+AB37</f>
        <v>69585.7719666162</v>
      </c>
      <c r="AC38" s="100" t="n">
        <f aca="false">AC36+AC37</f>
        <v>71344.418064947</v>
      </c>
      <c r="AD38" s="100" t="n">
        <f aca="false">AD36+AD37</f>
        <v>73103.0641632778</v>
      </c>
      <c r="AE38" s="100" t="n">
        <f aca="false">AE36+AE37</f>
        <v>74861.7102616087</v>
      </c>
      <c r="AF38" s="100" t="n">
        <f aca="false">AF36+AF37</f>
        <v>76620.3563599395</v>
      </c>
      <c r="AG38" s="100" t="n">
        <f aca="false">AG36+AG37</f>
        <v>78379.0024582703</v>
      </c>
      <c r="AH38" s="100" t="n">
        <f aca="false">AH36+AH37</f>
        <v>80137.6485566011</v>
      </c>
      <c r="AI38" s="100" t="n">
        <f aca="false">AI36+AI37</f>
        <v>81896.2946549319</v>
      </c>
      <c r="AJ38" s="100" t="n">
        <f aca="false">AJ36+AJ37</f>
        <v>83654.9407532627</v>
      </c>
      <c r="AK38" s="100" t="n">
        <f aca="false">AK36+AK37</f>
        <v>85413.5868515935</v>
      </c>
      <c r="AL38" s="100" t="n">
        <f aca="false">AL36+AL37</f>
        <v>87172.2329499243</v>
      </c>
      <c r="AM38" s="100" t="n">
        <f aca="false">AM36+AM37</f>
        <v>88930.8790482551</v>
      </c>
      <c r="AN38" s="100" t="n">
        <f aca="false">AN36+AN37</f>
        <v>90689.525146586</v>
      </c>
      <c r="AO38" s="100" t="n">
        <f aca="false">AO36+AO37</f>
        <v>92448.1712449168</v>
      </c>
      <c r="AP38" s="100" t="n">
        <f aca="false">AP36+AP37</f>
        <v>94206.8173432476</v>
      </c>
      <c r="AQ38" s="100" t="n">
        <f aca="false">AQ36+AQ37</f>
        <v>95965.4634415784</v>
      </c>
      <c r="AR38" s="100" t="n">
        <f aca="false">AR36+AR37</f>
        <v>97724.1095399092</v>
      </c>
      <c r="AS38" s="100" t="n">
        <f aca="false">AS36+AS37</f>
        <v>97724.1095399092</v>
      </c>
      <c r="AT38" s="100" t="n">
        <f aca="false">AT36+AT37</f>
        <v>97724.1095399092</v>
      </c>
      <c r="AU38" s="100" t="n">
        <f aca="false">AU36+AU37</f>
        <v>97724.1095399092</v>
      </c>
      <c r="AV38" s="100" t="n">
        <f aca="false">AV36+AV37</f>
        <v>97724.1095399092</v>
      </c>
      <c r="AW38" s="100" t="n">
        <f aca="false">AW36+AW37</f>
        <v>97724.1095399092</v>
      </c>
      <c r="AX38" s="100" t="n">
        <f aca="false">AX36+AX37</f>
        <v>97724.1095399092</v>
      </c>
      <c r="AY38" s="100" t="n">
        <f aca="false">AY36+AY37</f>
        <v>97724.1095399092</v>
      </c>
      <c r="AZ38" s="100" t="n">
        <f aca="false">AZ36+AZ37</f>
        <v>97724.1095399092</v>
      </c>
      <c r="BA38" s="100" t="n">
        <f aca="false">BA36+BA37</f>
        <v>97724.1095399092</v>
      </c>
      <c r="BB38" s="100" t="n">
        <f aca="false">BB36+BB37</f>
        <v>97724.1095399092</v>
      </c>
      <c r="BC38" s="100" t="n">
        <f aca="false">BC36+BC37</f>
        <v>97724.1095399092</v>
      </c>
      <c r="BD38" s="100" t="n">
        <f aca="false">BD36+BD37</f>
        <v>97724.1095399092</v>
      </c>
      <c r="BE38" s="100" t="n">
        <f aca="false">BE36+BE37</f>
        <v>97724.1095399092</v>
      </c>
      <c r="BF38" s="100" t="n">
        <f aca="false">BF36+BF37</f>
        <v>97724.1095399092</v>
      </c>
      <c r="BG38" s="100" t="n">
        <f aca="false">BG36+BG37</f>
        <v>97724.1095399092</v>
      </c>
      <c r="BH38" s="100" t="n">
        <f aca="false">BH36+BH37</f>
        <v>97724.1095399092</v>
      </c>
      <c r="BI38" s="100" t="n">
        <f aca="false">BI36+BI37</f>
        <v>97724.1095399092</v>
      </c>
      <c r="BJ38" s="100" t="n">
        <f aca="false">BJ36+BJ37</f>
        <v>97724.1095399092</v>
      </c>
      <c r="BK38" s="100" t="n">
        <f aca="false">BK36+BK37</f>
        <v>97724.1095399092</v>
      </c>
      <c r="BL38" s="100" t="n">
        <f aca="false">BL36+BL37</f>
        <v>97724.1095399092</v>
      </c>
      <c r="BM38" s="100" t="n">
        <f aca="false">BM36+BM37</f>
        <v>97724.1095399092</v>
      </c>
      <c r="BN38" s="100" t="n">
        <f aca="false">BN36+BN37</f>
        <v>97724.1095399092</v>
      </c>
      <c r="BO38" s="100" t="n">
        <f aca="false">BO36+BO37</f>
        <v>97724.1095399092</v>
      </c>
      <c r="BP38" s="100" t="n">
        <f aca="false">BP36+BP37</f>
        <v>97724.1095399092</v>
      </c>
      <c r="BQ38" s="100" t="n">
        <f aca="false">BQ36+BQ37</f>
        <v>97724.1095399092</v>
      </c>
      <c r="BR38" s="100" t="n">
        <f aca="false">BR36+BR37</f>
        <v>97724.1095399092</v>
      </c>
      <c r="BS38" s="100" t="n">
        <f aca="false">BS36+BS37</f>
        <v>97724.1095399092</v>
      </c>
      <c r="BT38" s="100" t="n">
        <f aca="false">BT36+BT37</f>
        <v>97724.1095399092</v>
      </c>
      <c r="BU38" s="100" t="n">
        <f aca="false">BU36+BU37</f>
        <v>97724.1095399092</v>
      </c>
      <c r="BV38" s="100" t="n">
        <f aca="false">BV36+BV37</f>
        <v>97724.1095399092</v>
      </c>
      <c r="BW38" s="100" t="n">
        <f aca="false">BW36+BW37</f>
        <v>97724.1095399092</v>
      </c>
      <c r="BX38" s="100" t="n">
        <f aca="false">BX36+BX37</f>
        <v>97724.1095399092</v>
      </c>
      <c r="BY38" s="100" t="n">
        <f aca="false">BY36+BY37</f>
        <v>97724.1095399092</v>
      </c>
      <c r="BZ38" s="100" t="n">
        <f aca="false">BZ36+BZ37</f>
        <v>97724.1095399092</v>
      </c>
      <c r="CA38" s="100" t="n">
        <f aca="false">CA36+CA37</f>
        <v>97724.1095399092</v>
      </c>
      <c r="CB38" s="100" t="n">
        <f aca="false">CB36+CB37</f>
        <v>97724.1095399092</v>
      </c>
      <c r="CC38" s="100" t="n">
        <f aca="false">CC36+CC37</f>
        <v>97724.1095399092</v>
      </c>
      <c r="CD38" s="100" t="n">
        <f aca="false">CD36+CD37</f>
        <v>97724.1095399092</v>
      </c>
      <c r="CE38" s="100" t="n">
        <f aca="false">CE36+CE37</f>
        <v>97724.1095399092</v>
      </c>
      <c r="CF38" s="100" t="n">
        <f aca="false">CF36+CF37</f>
        <v>97724.1095399092</v>
      </c>
      <c r="CG38" s="100" t="n">
        <f aca="false">CG36+CG37</f>
        <v>97724.1095399092</v>
      </c>
      <c r="CH38" s="100" t="n">
        <f aca="false">CH36+CH37</f>
        <v>97724.1095399092</v>
      </c>
    </row>
    <row r="39" customFormat="false" ht="13.5" hidden="false" customHeight="true" outlineLevel="0" collapsed="false">
      <c r="A39" s="6" t="s">
        <v>516</v>
      </c>
      <c r="C39" s="100" t="n">
        <f aca="false">-(C19*C21*Hipótesis!$D$18+C23*Hipótesis!$D$22)</f>
        <v>-92.7333</v>
      </c>
      <c r="D39" s="100" t="n">
        <f aca="false">-(D19*D21*Hipótesis!$D$18+D23*Hipótesis!$D$22)</f>
        <v>-199.4301</v>
      </c>
      <c r="E39" s="100" t="n">
        <f aca="false">-(E19*E21*Hipótesis!$D$18+E23*Hipótesis!$D$22)</f>
        <v>-492.310220758928</v>
      </c>
      <c r="F39" s="100" t="n">
        <f aca="false">-(F19*F21*Hipótesis!$D$18+F23*Hipótesis!$D$22)</f>
        <v>-692.457041517857</v>
      </c>
      <c r="G39" s="100" t="n">
        <f aca="false">-(G19*G21*Hipótesis!$D$18+G23*Hipótesis!$D$22)</f>
        <v>-878.640362276786</v>
      </c>
      <c r="H39" s="100" t="n">
        <f aca="false">-(H19*H21*Hipótesis!$D$18+H23*Hipótesis!$D$22)</f>
        <v>-1224.82212053571</v>
      </c>
      <c r="I39" s="100" t="n">
        <f aca="false">-(I19*I21*Hipótesis!$D$18+I23*Hipótesis!$D$22)</f>
        <v>-1857.98786611626</v>
      </c>
      <c r="J39" s="100" t="n">
        <f aca="false">-(J19*J21*Hipótesis!$D$18+J23*Hipótesis!$D$22)</f>
        <v>-2491.15361169682</v>
      </c>
      <c r="K39" s="100" t="n">
        <f aca="false">-(K19*K21*Hipótesis!$D$18+K23*Hipótesis!$D$22)</f>
        <v>-3124.31935727737</v>
      </c>
      <c r="L39" s="100" t="n">
        <f aca="false">-(L19*L21*Hipótesis!$D$18+L23*Hipótesis!$D$22)</f>
        <v>-3757.48510285792</v>
      </c>
      <c r="M39" s="100" t="n">
        <f aca="false">-(M19*M21*Hipótesis!$D$18+M23*Hipótesis!$D$22)</f>
        <v>-4204.46752767954</v>
      </c>
      <c r="N39" s="100" t="n">
        <f aca="false">-(N19*N21*Hipótesis!$D$18+N23*Hipótesis!$D$22)</f>
        <v>-4884.17495250116</v>
      </c>
      <c r="O39" s="100" t="n">
        <f aca="false">-(O19*O21*Hipótesis!$D$18+O23*Hipótesis!$D$22)</f>
        <v>-5563.88237732278</v>
      </c>
      <c r="P39" s="100" t="n">
        <f aca="false">-(P19*P21*Hipótesis!$D$18+P23*Hipótesis!$D$22)</f>
        <v>-6176.6813646444</v>
      </c>
      <c r="Q39" s="100" t="n">
        <f aca="false">-(Q19*Q21*Hipótesis!$D$18+Q23*Hipótesis!$D$22)</f>
        <v>-6789.48035196602</v>
      </c>
      <c r="R39" s="100" t="n">
        <f aca="false">-(R19*R21*Hipótesis!$D$18+R23*Hipótesis!$D$22)</f>
        <v>-7402.27933928765</v>
      </c>
      <c r="S39" s="100" t="n">
        <f aca="false">-(S19*S21*Hipótesis!$D$18+S23*Hipótesis!$D$22)</f>
        <v>-8015.07832660927</v>
      </c>
      <c r="T39" s="100" t="n">
        <f aca="false">-(T19*T21*Hipótesis!$D$18+T23*Hipótesis!$D$22)</f>
        <v>-8627.87731393089</v>
      </c>
      <c r="U39" s="100" t="n">
        <f aca="false">-(U19*U21*Hipótesis!$D$18+U23*Hipótesis!$D$22)</f>
        <v>-9240.67630125251</v>
      </c>
      <c r="V39" s="100" t="n">
        <f aca="false">-(V19*V21*Hipótesis!$D$18+V23*Hipótesis!$D$22)</f>
        <v>-9853.47528857413</v>
      </c>
      <c r="W39" s="100" t="n">
        <f aca="false">-(W19*W21*Hipótesis!$D$18+W23*Hipótesis!$D$22)</f>
        <v>-10466.2742758958</v>
      </c>
      <c r="X39" s="100" t="n">
        <f aca="false">-(X19*X21*Hipótesis!$D$18+X23*Hipótesis!$D$22)</f>
        <v>-10846.3482632174</v>
      </c>
      <c r="Y39" s="100" t="n">
        <f aca="false">-(Y19*Y21*Hipótesis!$D$18+Y23*Hipótesis!$D$22)</f>
        <v>-11226.422250539</v>
      </c>
      <c r="Z39" s="100" t="n">
        <f aca="false">-(Z19*Z21*Hipótesis!$D$18+Z23*Hipótesis!$D$22)</f>
        <v>-11513.4062378606</v>
      </c>
      <c r="AA39" s="100" t="n">
        <f aca="false">-(AA19*AA21*Hipótesis!$D$18+AA23*Hipótesis!$D$22)</f>
        <v>-11800.3902251822</v>
      </c>
      <c r="AB39" s="100" t="n">
        <f aca="false">-(AB19*AB21*Hipótesis!$D$18+AB23*Hipótesis!$D$22)</f>
        <v>-12087.3742125039</v>
      </c>
      <c r="AC39" s="100" t="n">
        <f aca="false">-(AC19*AC21*Hipótesis!$D$18+AC23*Hipótesis!$D$22)</f>
        <v>-12374.3581998255</v>
      </c>
      <c r="AD39" s="100" t="n">
        <f aca="false">-(AD19*AD21*Hipótesis!$D$18+AD23*Hipótesis!$D$22)</f>
        <v>-12661.3421871471</v>
      </c>
      <c r="AE39" s="100" t="n">
        <f aca="false">-(AE19*AE21*Hipótesis!$D$18+AE23*Hipótesis!$D$22)</f>
        <v>-12948.3261744687</v>
      </c>
      <c r="AF39" s="100" t="n">
        <f aca="false">-(AF19*AF21*Hipótesis!$D$18+AF23*Hipótesis!$D$22)</f>
        <v>-13235.3101617903</v>
      </c>
      <c r="AG39" s="100" t="n">
        <f aca="false">-(AG19*AG21*Hipótesis!$D$18+AG23*Hipótesis!$D$22)</f>
        <v>-13522.294149112</v>
      </c>
      <c r="AH39" s="100" t="n">
        <f aca="false">-(AH19*AH21*Hipótesis!$D$18+AH23*Hipótesis!$D$22)</f>
        <v>-13809.2781364336</v>
      </c>
      <c r="AI39" s="100" t="n">
        <f aca="false">-(AI19*AI21*Hipótesis!$D$18+AI23*Hipótesis!$D$22)</f>
        <v>-14096.2621237552</v>
      </c>
      <c r="AJ39" s="100" t="n">
        <f aca="false">-(AJ19*AJ21*Hipótesis!$D$18+AJ23*Hipótesis!$D$22)</f>
        <v>-14383.2461110768</v>
      </c>
      <c r="AK39" s="100" t="n">
        <f aca="false">-(AK19*AK21*Hipótesis!$D$18+AK23*Hipótesis!$D$22)</f>
        <v>-14670.2300983985</v>
      </c>
      <c r="AL39" s="100" t="n">
        <f aca="false">-(AL19*AL21*Hipótesis!$D$18+AL23*Hipótesis!$D$22)</f>
        <v>-14957.2140857201</v>
      </c>
      <c r="AM39" s="100" t="n">
        <f aca="false">-(AM19*AM21*Hipótesis!$D$18+AM23*Hipótesis!$D$22)</f>
        <v>-15244.1980730417</v>
      </c>
      <c r="AN39" s="100" t="n">
        <f aca="false">-(AN19*AN21*Hipótesis!$D$18+AN23*Hipótesis!$D$22)</f>
        <v>-15531.1820603633</v>
      </c>
      <c r="AO39" s="100" t="n">
        <f aca="false">-(AO19*AO21*Hipótesis!$D$18+AO23*Hipótesis!$D$22)</f>
        <v>-15818.1660476849</v>
      </c>
      <c r="AP39" s="100" t="n">
        <f aca="false">-(AP19*AP21*Hipótesis!$D$18+AP23*Hipótesis!$D$22)</f>
        <v>-16105.1500350066</v>
      </c>
      <c r="AQ39" s="100" t="n">
        <f aca="false">-(AQ19*AQ21*Hipótesis!$D$18+AQ23*Hipótesis!$D$22)</f>
        <v>-16392.1340223282</v>
      </c>
      <c r="AR39" s="100" t="n">
        <f aca="false">-(AR19*AR21*Hipótesis!$D$18+AR23*Hipótesis!$D$22)</f>
        <v>-16679.1180096498</v>
      </c>
      <c r="AS39" s="100" t="n">
        <f aca="false">-(AS19*AS21*Hipótesis!$D$18+AS23*Hipótesis!$D$22)</f>
        <v>-16679.1180096498</v>
      </c>
      <c r="AT39" s="100" t="n">
        <f aca="false">-(AT19*AT21*Hipótesis!$D$18+AT23*Hipótesis!$D$22)</f>
        <v>-16679.1180096498</v>
      </c>
      <c r="AU39" s="100" t="n">
        <f aca="false">-(AU19*AU21*Hipótesis!$D$18+AU23*Hipótesis!$D$22)</f>
        <v>-16679.1180096498</v>
      </c>
      <c r="AV39" s="100" t="n">
        <f aca="false">-(AV19*AV21*Hipótesis!$D$18+AV23*Hipótesis!$D$22)</f>
        <v>-16679.1180096498</v>
      </c>
      <c r="AW39" s="100" t="n">
        <f aca="false">-(AW19*AW21*Hipótesis!$D$18+AW23*Hipótesis!$D$22)</f>
        <v>-16679.1180096498</v>
      </c>
      <c r="AX39" s="100" t="n">
        <f aca="false">-(AX19*AX21*Hipótesis!$D$18+AX23*Hipótesis!$D$22)</f>
        <v>-16679.1180096498</v>
      </c>
      <c r="AY39" s="100" t="n">
        <f aca="false">-(AY19*AY21*Hipótesis!$D$18+AY23*Hipótesis!$D$22)</f>
        <v>-16679.1180096498</v>
      </c>
      <c r="AZ39" s="100" t="n">
        <f aca="false">-(AZ19*AZ21*Hipótesis!$D$18+AZ23*Hipótesis!$D$22)</f>
        <v>-16679.1180096498</v>
      </c>
      <c r="BA39" s="100" t="n">
        <f aca="false">-(BA19*BA21*Hipótesis!$D$18+BA23*Hipótesis!$D$22)</f>
        <v>-16679.1180096498</v>
      </c>
      <c r="BB39" s="100" t="n">
        <f aca="false">-(BB19*BB21*Hipótesis!$D$18+BB23*Hipótesis!$D$22)</f>
        <v>-16679.1180096498</v>
      </c>
      <c r="BC39" s="100" t="n">
        <f aca="false">-(BC19*BC21*Hipótesis!$D$18+BC23*Hipótesis!$D$22)</f>
        <v>-16679.1180096498</v>
      </c>
      <c r="BD39" s="100" t="n">
        <f aca="false">-(BD19*BD21*Hipótesis!$D$18+BD23*Hipótesis!$D$22)</f>
        <v>-16679.1180096498</v>
      </c>
      <c r="BE39" s="100" t="n">
        <f aca="false">-(BE19*BE21*Hipótesis!$D$18+BE23*Hipótesis!$D$22)</f>
        <v>-16679.1180096498</v>
      </c>
      <c r="BF39" s="100" t="n">
        <f aca="false">-(BF19*BF21*Hipótesis!$D$18+BF23*Hipótesis!$D$22)</f>
        <v>-16679.1180096498</v>
      </c>
      <c r="BG39" s="100" t="n">
        <f aca="false">-(BG19*BG21*Hipótesis!$D$18+BG23*Hipótesis!$D$22)</f>
        <v>-16679.1180096498</v>
      </c>
      <c r="BH39" s="100" t="n">
        <f aca="false">-(BH19*BH21*Hipótesis!$D$18+BH23*Hipótesis!$D$22)</f>
        <v>-16679.1180096498</v>
      </c>
      <c r="BI39" s="100" t="n">
        <f aca="false">-(BI19*BI21*Hipótesis!$D$18+BI23*Hipótesis!$D$22)</f>
        <v>-16679.1180096498</v>
      </c>
      <c r="BJ39" s="100" t="n">
        <f aca="false">-(BJ19*BJ21*Hipótesis!$D$18+BJ23*Hipótesis!$D$22)</f>
        <v>-16679.1180096498</v>
      </c>
      <c r="BK39" s="100" t="n">
        <f aca="false">-(BK19*BK21*Hipótesis!$D$18+BK23*Hipótesis!$D$22)</f>
        <v>-16679.1180096498</v>
      </c>
      <c r="BL39" s="100" t="n">
        <f aca="false">-(BL19*BL21*Hipótesis!$D$18+BL23*Hipótesis!$D$22)</f>
        <v>-16679.1180096498</v>
      </c>
      <c r="BM39" s="100" t="n">
        <f aca="false">-(BM19*BM21*Hipótesis!$D$18+BM23*Hipótesis!$D$22)</f>
        <v>-16679.1180096498</v>
      </c>
      <c r="BN39" s="100" t="n">
        <f aca="false">-(BN19*BN21*Hipótesis!$D$18+BN23*Hipótesis!$D$22)</f>
        <v>-16679.1180096498</v>
      </c>
      <c r="BO39" s="100" t="n">
        <f aca="false">-(BO19*BO21*Hipótesis!$D$18+BO23*Hipótesis!$D$22)</f>
        <v>-16679.1180096498</v>
      </c>
      <c r="BP39" s="100" t="n">
        <f aca="false">-(BP19*BP21*Hipótesis!$D$18+BP23*Hipótesis!$D$22)</f>
        <v>-16679.1180096498</v>
      </c>
      <c r="BQ39" s="100" t="n">
        <f aca="false">-(BQ19*BQ21*Hipótesis!$D$18+BQ23*Hipótesis!$D$22)</f>
        <v>-16679.1180096498</v>
      </c>
      <c r="BR39" s="100" t="n">
        <f aca="false">-(BR19*BR21*Hipótesis!$D$18+BR23*Hipótesis!$D$22)</f>
        <v>-16679.1180096498</v>
      </c>
      <c r="BS39" s="100" t="n">
        <f aca="false">-(BS19*BS21*Hipótesis!$D$18+BS23*Hipótesis!$D$22)</f>
        <v>-16679.1180096498</v>
      </c>
      <c r="BT39" s="100" t="n">
        <f aca="false">-(BT19*BT21*Hipótesis!$D$18+BT23*Hipótesis!$D$22)</f>
        <v>-16679.1180096498</v>
      </c>
      <c r="BU39" s="100" t="n">
        <f aca="false">-(BU19*BU21*Hipótesis!$D$18+BU23*Hipótesis!$D$22)</f>
        <v>-16679.1180096498</v>
      </c>
      <c r="BV39" s="100" t="n">
        <f aca="false">-(BV19*BV21*Hipótesis!$D$18+BV23*Hipótesis!$D$22)</f>
        <v>-16679.1180096498</v>
      </c>
      <c r="BW39" s="100" t="n">
        <f aca="false">-(BW19*BW21*Hipótesis!$D$18+BW23*Hipótesis!$D$22)</f>
        <v>-16679.1180096498</v>
      </c>
      <c r="BX39" s="100" t="n">
        <f aca="false">-(BX19*BX21*Hipótesis!$D$18+BX23*Hipótesis!$D$22)</f>
        <v>-16679.1180096498</v>
      </c>
      <c r="BY39" s="100" t="n">
        <f aca="false">-(BY19*BY21*Hipótesis!$D$18+BY23*Hipótesis!$D$22)</f>
        <v>-16679.1180096498</v>
      </c>
      <c r="BZ39" s="100" t="n">
        <f aca="false">-(BZ19*BZ21*Hipótesis!$D$18+BZ23*Hipótesis!$D$22)</f>
        <v>-16679.1180096498</v>
      </c>
      <c r="CA39" s="100" t="n">
        <f aca="false">-(CA19*CA21*Hipótesis!$D$18+CA23*Hipótesis!$D$22)</f>
        <v>-16679.1180096498</v>
      </c>
      <c r="CB39" s="100" t="n">
        <f aca="false">-(CB19*CB21*Hipótesis!$D$18+CB23*Hipótesis!$D$22)</f>
        <v>-16679.1180096498</v>
      </c>
      <c r="CC39" s="100" t="n">
        <f aca="false">-(CC19*CC21*Hipótesis!$D$18+CC23*Hipótesis!$D$22)</f>
        <v>-16679.1180096498</v>
      </c>
      <c r="CD39" s="100" t="n">
        <f aca="false">-(CD19*CD21*Hipótesis!$D$18+CD23*Hipótesis!$D$22)</f>
        <v>-16679.1180096498</v>
      </c>
      <c r="CE39" s="100" t="n">
        <f aca="false">-(CE19*CE21*Hipótesis!$D$18+CE23*Hipótesis!$D$22)</f>
        <v>-16679.1180096498</v>
      </c>
      <c r="CF39" s="100" t="n">
        <f aca="false">-(CF19*CF21*Hipótesis!$D$18+CF23*Hipótesis!$D$22)</f>
        <v>-16679.1180096498</v>
      </c>
      <c r="CG39" s="100" t="n">
        <f aca="false">-(CG19*CG21*Hipótesis!$D$18+CG23*Hipótesis!$D$22)</f>
        <v>-16679.1180096498</v>
      </c>
      <c r="CH39" s="100" t="n">
        <f aca="false">-(CH19*CH21*Hipótesis!$D$18+CH23*Hipótesis!$D$22)</f>
        <v>-16679.1180096498</v>
      </c>
    </row>
    <row r="40" customFormat="false" ht="13.5" hidden="false" customHeight="true" outlineLevel="0" collapsed="false">
      <c r="A40" s="46" t="s">
        <v>517</v>
      </c>
      <c r="C40" s="63" t="n">
        <f aca="false">C38+C39</f>
        <v>993.2877</v>
      </c>
      <c r="D40" s="63" t="n">
        <f aca="false">D38+D39</f>
        <v>2057.1759</v>
      </c>
      <c r="E40" s="63" t="n">
        <f aca="false">E38+E39</f>
        <v>4207.74515424107</v>
      </c>
      <c r="F40" s="63" t="n">
        <f aca="false">F38+F39</f>
        <v>5365.02670848214</v>
      </c>
      <c r="G40" s="63" t="n">
        <f aca="false">G38+G39</f>
        <v>6451.70776272321</v>
      </c>
      <c r="H40" s="63" t="n">
        <f aca="false">H38+H39</f>
        <v>8153.56037946429</v>
      </c>
      <c r="I40" s="63" t="n">
        <f aca="false">I38+I39</f>
        <v>11327.0751072145</v>
      </c>
      <c r="J40" s="63" t="n">
        <f aca="false">J38+J39</f>
        <v>14500.5898349648</v>
      </c>
      <c r="K40" s="63" t="n">
        <f aca="false">K38+K39</f>
        <v>17674.1045627151</v>
      </c>
      <c r="L40" s="63" t="n">
        <f aca="false">L38+L39</f>
        <v>20847.6192904653</v>
      </c>
      <c r="M40" s="63" t="n">
        <f aca="false">M38+M39</f>
        <v>22934.4529639745</v>
      </c>
      <c r="N40" s="63" t="n">
        <f aca="false">N38+N39</f>
        <v>25845.6116374837</v>
      </c>
      <c r="O40" s="63" t="n">
        <f aca="false">O38+O39</f>
        <v>28756.7703109929</v>
      </c>
      <c r="P40" s="63" t="n">
        <f aca="false">P38+P39</f>
        <v>31354.2994220021</v>
      </c>
      <c r="Q40" s="63" t="n">
        <f aca="false">Q38+Q39</f>
        <v>33951.8285330113</v>
      </c>
      <c r="R40" s="63" t="n">
        <f aca="false">R38+R39</f>
        <v>36549.3576440205</v>
      </c>
      <c r="S40" s="63" t="n">
        <f aca="false">S38+S39</f>
        <v>39146.8867550297</v>
      </c>
      <c r="T40" s="63" t="n">
        <f aca="false">T38+T39</f>
        <v>41744.4158660388</v>
      </c>
      <c r="U40" s="63" t="n">
        <f aca="false">U38+U39</f>
        <v>44341.944977048</v>
      </c>
      <c r="V40" s="63" t="n">
        <f aca="false">V38+V39</f>
        <v>46939.4740880572</v>
      </c>
      <c r="W40" s="63" t="n">
        <f aca="false">W38+W39</f>
        <v>49537.0031990664</v>
      </c>
      <c r="X40" s="63" t="n">
        <f aca="false">X38+X39</f>
        <v>51310.2073100756</v>
      </c>
      <c r="Y40" s="63" t="n">
        <f aca="false">Y38+Y39</f>
        <v>53083.4114210848</v>
      </c>
      <c r="Z40" s="63" t="n">
        <f aca="false">Z38+Z39</f>
        <v>54555.073532094</v>
      </c>
      <c r="AA40" s="63" t="n">
        <f aca="false">AA38+AA39</f>
        <v>56026.7356431032</v>
      </c>
      <c r="AB40" s="63" t="n">
        <f aca="false">AB38+AB39</f>
        <v>57498.3977541124</v>
      </c>
      <c r="AC40" s="63" t="n">
        <f aca="false">AC38+AC39</f>
        <v>58970.0598651216</v>
      </c>
      <c r="AD40" s="63" t="n">
        <f aca="false">AD38+AD39</f>
        <v>60441.7219761307</v>
      </c>
      <c r="AE40" s="63" t="n">
        <f aca="false">AE38+AE39</f>
        <v>61913.3840871399</v>
      </c>
      <c r="AF40" s="63" t="n">
        <f aca="false">AF38+AF39</f>
        <v>63385.0461981491</v>
      </c>
      <c r="AG40" s="63" t="n">
        <f aca="false">AG38+AG39</f>
        <v>64856.7083091583</v>
      </c>
      <c r="AH40" s="63" t="n">
        <f aca="false">AH38+AH39</f>
        <v>66328.3704201675</v>
      </c>
      <c r="AI40" s="63" t="n">
        <f aca="false">AI38+AI39</f>
        <v>67800.0325311767</v>
      </c>
      <c r="AJ40" s="63" t="n">
        <f aca="false">AJ38+AJ39</f>
        <v>69271.6946421859</v>
      </c>
      <c r="AK40" s="63" t="n">
        <f aca="false">AK38+AK39</f>
        <v>70743.3567531951</v>
      </c>
      <c r="AL40" s="63" t="n">
        <f aca="false">AL38+AL39</f>
        <v>72215.0188642043</v>
      </c>
      <c r="AM40" s="63" t="n">
        <f aca="false">AM38+AM39</f>
        <v>73686.6809752134</v>
      </c>
      <c r="AN40" s="63" t="n">
        <f aca="false">AN38+AN39</f>
        <v>75158.3430862226</v>
      </c>
      <c r="AO40" s="63" t="n">
        <f aca="false">AO38+AO39</f>
        <v>76630.0051972318</v>
      </c>
      <c r="AP40" s="63" t="n">
        <f aca="false">AP38+AP39</f>
        <v>78101.667308241</v>
      </c>
      <c r="AQ40" s="63" t="n">
        <f aca="false">AQ38+AQ39</f>
        <v>79573.3294192502</v>
      </c>
      <c r="AR40" s="63" t="n">
        <f aca="false">AR38+AR39</f>
        <v>81044.9915302594</v>
      </c>
      <c r="AS40" s="63" t="n">
        <f aca="false">AS38+AS39</f>
        <v>81044.9915302594</v>
      </c>
      <c r="AT40" s="63" t="n">
        <f aca="false">AT38+AT39</f>
        <v>81044.9915302594</v>
      </c>
      <c r="AU40" s="63" t="n">
        <f aca="false">AU38+AU39</f>
        <v>81044.9915302594</v>
      </c>
      <c r="AV40" s="63" t="n">
        <f aca="false">AV38+AV39</f>
        <v>81044.9915302594</v>
      </c>
      <c r="AW40" s="63" t="n">
        <f aca="false">AW38+AW39</f>
        <v>81044.9915302594</v>
      </c>
      <c r="AX40" s="63" t="n">
        <f aca="false">AX38+AX39</f>
        <v>81044.9915302594</v>
      </c>
      <c r="AY40" s="63" t="n">
        <f aca="false">AY38+AY39</f>
        <v>81044.9915302594</v>
      </c>
      <c r="AZ40" s="63" t="n">
        <f aca="false">AZ38+AZ39</f>
        <v>81044.9915302594</v>
      </c>
      <c r="BA40" s="63" t="n">
        <f aca="false">BA38+BA39</f>
        <v>81044.9915302594</v>
      </c>
      <c r="BB40" s="63" t="n">
        <f aca="false">BB38+BB39</f>
        <v>81044.9915302594</v>
      </c>
      <c r="BC40" s="63" t="n">
        <f aca="false">BC38+BC39</f>
        <v>81044.9915302594</v>
      </c>
      <c r="BD40" s="63" t="n">
        <f aca="false">BD38+BD39</f>
        <v>81044.9915302594</v>
      </c>
      <c r="BE40" s="63" t="n">
        <f aca="false">BE38+BE39</f>
        <v>81044.9915302594</v>
      </c>
      <c r="BF40" s="63" t="n">
        <f aca="false">BF38+BF39</f>
        <v>81044.9915302594</v>
      </c>
      <c r="BG40" s="63" t="n">
        <f aca="false">BG38+BG39</f>
        <v>81044.9915302594</v>
      </c>
      <c r="BH40" s="63" t="n">
        <f aca="false">BH38+BH39</f>
        <v>81044.9915302594</v>
      </c>
      <c r="BI40" s="63" t="n">
        <f aca="false">BI38+BI39</f>
        <v>81044.9915302594</v>
      </c>
      <c r="BJ40" s="63" t="n">
        <f aca="false">BJ38+BJ39</f>
        <v>81044.9915302594</v>
      </c>
      <c r="BK40" s="63" t="n">
        <f aca="false">BK38+BK39</f>
        <v>81044.9915302594</v>
      </c>
      <c r="BL40" s="63" t="n">
        <f aca="false">BL38+BL39</f>
        <v>81044.9915302594</v>
      </c>
      <c r="BM40" s="63" t="n">
        <f aca="false">BM38+BM39</f>
        <v>81044.9915302594</v>
      </c>
      <c r="BN40" s="63" t="n">
        <f aca="false">BN38+BN39</f>
        <v>81044.9915302594</v>
      </c>
      <c r="BO40" s="63" t="n">
        <f aca="false">BO38+BO39</f>
        <v>81044.9915302594</v>
      </c>
      <c r="BP40" s="63" t="n">
        <f aca="false">BP38+BP39</f>
        <v>81044.9915302594</v>
      </c>
      <c r="BQ40" s="63" t="n">
        <f aca="false">BQ38+BQ39</f>
        <v>81044.9915302594</v>
      </c>
      <c r="BR40" s="63" t="n">
        <f aca="false">BR38+BR39</f>
        <v>81044.9915302594</v>
      </c>
      <c r="BS40" s="63" t="n">
        <f aca="false">BS38+BS39</f>
        <v>81044.9915302594</v>
      </c>
      <c r="BT40" s="63" t="n">
        <f aca="false">BT38+BT39</f>
        <v>81044.9915302594</v>
      </c>
      <c r="BU40" s="63" t="n">
        <f aca="false">BU38+BU39</f>
        <v>81044.9915302594</v>
      </c>
      <c r="BV40" s="63" t="n">
        <f aca="false">BV38+BV39</f>
        <v>81044.9915302594</v>
      </c>
      <c r="BW40" s="63" t="n">
        <f aca="false">BW38+BW39</f>
        <v>81044.9915302594</v>
      </c>
      <c r="BX40" s="63" t="n">
        <f aca="false">BX38+BX39</f>
        <v>81044.9915302594</v>
      </c>
      <c r="BY40" s="63" t="n">
        <f aca="false">BY38+BY39</f>
        <v>81044.9915302594</v>
      </c>
      <c r="BZ40" s="63" t="n">
        <f aca="false">BZ38+BZ39</f>
        <v>81044.9915302594</v>
      </c>
      <c r="CA40" s="63" t="n">
        <f aca="false">CA38+CA39</f>
        <v>81044.9915302594</v>
      </c>
      <c r="CB40" s="63" t="n">
        <f aca="false">CB38+CB39</f>
        <v>81044.9915302594</v>
      </c>
      <c r="CC40" s="63" t="n">
        <f aca="false">CC38+CC39</f>
        <v>81044.9915302594</v>
      </c>
      <c r="CD40" s="63" t="n">
        <f aca="false">CD38+CD39</f>
        <v>81044.9915302594</v>
      </c>
      <c r="CE40" s="63" t="n">
        <f aca="false">CE38+CE39</f>
        <v>81044.9915302594</v>
      </c>
      <c r="CF40" s="63" t="n">
        <f aca="false">CF38+CF39</f>
        <v>81044.9915302594</v>
      </c>
      <c r="CG40" s="63" t="n">
        <f aca="false">CG38+CG39</f>
        <v>81044.9915302594</v>
      </c>
      <c r="CH40" s="63" t="n">
        <f aca="false">CH38+CH39</f>
        <v>81044.9915302594</v>
      </c>
    </row>
    <row r="41" customFormat="false" ht="13.5" hidden="false" customHeight="true" outlineLevel="0" collapsed="false">
      <c r="A41" s="6" t="s">
        <v>518</v>
      </c>
      <c r="C41" s="110" t="n">
        <f aca="false">IFERROR(C40/C38,0)</f>
        <v>0.914611872146119</v>
      </c>
      <c r="D41" s="110" t="n">
        <f aca="false">IFERROR(D40/D38,0)</f>
        <v>0.911623872310895</v>
      </c>
      <c r="E41" s="110" t="n">
        <f aca="false">IFERROR(E40/E38,0)</f>
        <v>0.895254378623374</v>
      </c>
      <c r="F41" s="110" t="n">
        <f aca="false">IFERROR(F40/F38,0)</f>
        <v>0.885685695563301</v>
      </c>
      <c r="G41" s="110" t="n">
        <f aca="false">IFERROR(G40/G38,0)</f>
        <v>0.880136611891569</v>
      </c>
      <c r="H41" s="110" t="n">
        <f aca="false">IFERROR(H40/H38,0)</f>
        <v>0.869399427829296</v>
      </c>
      <c r="I41" s="110" t="n">
        <f aca="false">IFERROR(I40/I38,0)</f>
        <v>0.859083883795293</v>
      </c>
      <c r="J41" s="110" t="n">
        <f aca="false">IFERROR(J40/J38,0)</f>
        <v>0.853390346934278</v>
      </c>
      <c r="K41" s="110" t="n">
        <f aca="false">IFERROR(K40/K38,0)</f>
        <v>0.849780956033206</v>
      </c>
      <c r="L41" s="110" t="n">
        <f aca="false">IFERROR(L40/L38,0)</f>
        <v>0.847288390132678</v>
      </c>
      <c r="M41" s="110" t="n">
        <f aca="false">IFERROR(M40/M38,0)</f>
        <v>0.845076095455878</v>
      </c>
      <c r="N41" s="110" t="n">
        <f aca="false">IFERROR(N40/N38,0)</f>
        <v>0.841060563886475</v>
      </c>
      <c r="O41" s="110" t="n">
        <f aca="false">IFERROR(O40/O38,0)</f>
        <v>0.837885298165761</v>
      </c>
      <c r="P41" s="110" t="n">
        <f aca="false">IFERROR(P40/P38,0)</f>
        <v>0.83542446173317</v>
      </c>
      <c r="Q41" s="110" t="n">
        <f aca="false">IFERROR(Q40/Q38,0)</f>
        <v>0.833351442607443</v>
      </c>
      <c r="R41" s="110" t="n">
        <f aca="false">IFERROR(R40/R38,0)</f>
        <v>0.831581259599071</v>
      </c>
      <c r="S41" s="110" t="n">
        <f aca="false">IFERROR(S40/S38,0)</f>
        <v>0.830052070291496</v>
      </c>
      <c r="T41" s="110" t="n">
        <f aca="false">IFERROR(T40/T38,0)</f>
        <v>0.82871779763718</v>
      </c>
      <c r="U41" s="110" t="n">
        <f aca="false">IFERROR(U40/U38,0)</f>
        <v>0.827543407157001</v>
      </c>
      <c r="V41" s="110" t="n">
        <f aca="false">IFERROR(V40/V38,0)</f>
        <v>0.826501785930693</v>
      </c>
      <c r="W41" s="110" t="n">
        <f aca="false">IFERROR(W40/W38,0)</f>
        <v>0.825571623479017</v>
      </c>
      <c r="X41" s="110" t="n">
        <f aca="false">IFERROR(X40/X38,0)</f>
        <v>0.825499528357428</v>
      </c>
      <c r="Y41" s="110" t="n">
        <f aca="false">IFERROR(Y40/Y38,0)</f>
        <v>0.825432261139674</v>
      </c>
      <c r="Z41" s="110" t="n">
        <f aca="false">IFERROR(Z40/Z38,0)</f>
        <v>0.825735263200403</v>
      </c>
      <c r="AA41" s="110" t="n">
        <f aca="false">IFERROR(AA40/AA38,0)</f>
        <v>0.826022552568458</v>
      </c>
      <c r="AB41" s="110" t="n">
        <f aca="false">IFERROR(AB40/AB38,0)</f>
        <v>0.826295320567791</v>
      </c>
      <c r="AC41" s="110" t="n">
        <f aca="false">IFERROR(AC40/AC38,0)</f>
        <v>0.826554641057402</v>
      </c>
      <c r="AD41" s="110" t="n">
        <f aca="false">IFERROR(AD40/AD38,0)</f>
        <v>0.826801484560652</v>
      </c>
      <c r="AE41" s="110" t="n">
        <f aca="false">IFERROR(AE40/AE38,0)</f>
        <v>0.827036730403032</v>
      </c>
      <c r="AF41" s="110" t="n">
        <f aca="false">IFERROR(AF40/AF38,0)</f>
        <v>0.827261177178362</v>
      </c>
      <c r="AG41" s="110" t="n">
        <f aca="false">IFERROR(AG40/AG38,0)</f>
        <v>0.827475551805965</v>
      </c>
      <c r="AH41" s="110" t="n">
        <f aca="false">IFERROR(AH40/AH38,0)</f>
        <v>0.827680517395265</v>
      </c>
      <c r="AI41" s="110" t="n">
        <f aca="false">IFERROR(AI40/AI38,0)</f>
        <v>0.827876680097073</v>
      </c>
      <c r="AJ41" s="110" t="n">
        <f aca="false">IFERROR(AJ40/AJ38,0)</f>
        <v>0.828064595090687</v>
      </c>
      <c r="AK41" s="110" t="n">
        <f aca="false">IFERROR(AK40/AK38,0)</f>
        <v>0.828244771831348</v>
      </c>
      <c r="AL41" s="110" t="n">
        <f aca="false">IFERROR(AL40/AL38,0)</f>
        <v>0.828417678662514</v>
      </c>
      <c r="AM41" s="110" t="n">
        <f aca="false">IFERROR(AM40/AM38,0)</f>
        <v>0.828583746880878</v>
      </c>
      <c r="AN41" s="110" t="n">
        <f aca="false">IFERROR(AN40/AN38,0)</f>
        <v>0.828743374328408</v>
      </c>
      <c r="AO41" s="110" t="n">
        <f aca="false">IFERROR(AO40/AO38,0)</f>
        <v>0.828896928574402</v>
      </c>
      <c r="AP41" s="110" t="n">
        <f aca="false">IFERROR(AP40/AP38,0)</f>
        <v>0.82904474974113</v>
      </c>
      <c r="AQ41" s="110" t="n">
        <f aca="false">IFERROR(AQ40/AQ38,0)</f>
        <v>0.82918715301878</v>
      </c>
      <c r="AR41" s="110" t="n">
        <f aca="false">IFERROR(AR40/AR38,0)</f>
        <v>0.829324430908851</v>
      </c>
      <c r="AS41" s="110" t="n">
        <f aca="false">IFERROR(AS40/AS38,0)</f>
        <v>0.829324430908851</v>
      </c>
      <c r="AT41" s="110" t="n">
        <f aca="false">IFERROR(AT40/AT38,0)</f>
        <v>0.829324430908851</v>
      </c>
      <c r="AU41" s="110" t="n">
        <f aca="false">IFERROR(AU40/AU38,0)</f>
        <v>0.829324430908851</v>
      </c>
      <c r="AV41" s="110" t="n">
        <f aca="false">IFERROR(AV40/AV38,0)</f>
        <v>0.829324430908851</v>
      </c>
      <c r="AW41" s="110" t="n">
        <f aca="false">IFERROR(AW40/AW38,0)</f>
        <v>0.829324430908851</v>
      </c>
      <c r="AX41" s="110" t="n">
        <f aca="false">IFERROR(AX40/AX38,0)</f>
        <v>0.829324430908851</v>
      </c>
      <c r="AY41" s="110" t="n">
        <f aca="false">IFERROR(AY40/AY38,0)</f>
        <v>0.829324430908851</v>
      </c>
      <c r="AZ41" s="110" t="n">
        <f aca="false">IFERROR(AZ40/AZ38,0)</f>
        <v>0.829324430908851</v>
      </c>
      <c r="BA41" s="110" t="n">
        <f aca="false">IFERROR(BA40/BA38,0)</f>
        <v>0.829324430908851</v>
      </c>
      <c r="BB41" s="110" t="n">
        <f aca="false">IFERROR(BB40/BB38,0)</f>
        <v>0.829324430908851</v>
      </c>
      <c r="BC41" s="110" t="n">
        <f aca="false">IFERROR(BC40/BC38,0)</f>
        <v>0.829324430908851</v>
      </c>
      <c r="BD41" s="110" t="n">
        <f aca="false">IFERROR(BD40/BD38,0)</f>
        <v>0.829324430908851</v>
      </c>
      <c r="BE41" s="110" t="n">
        <f aca="false">IFERROR(BE40/BE38,0)</f>
        <v>0.829324430908851</v>
      </c>
      <c r="BF41" s="110" t="n">
        <f aca="false">IFERROR(BF40/BF38,0)</f>
        <v>0.829324430908851</v>
      </c>
      <c r="BG41" s="110" t="n">
        <f aca="false">IFERROR(BG40/BG38,0)</f>
        <v>0.829324430908851</v>
      </c>
      <c r="BH41" s="110" t="n">
        <f aca="false">IFERROR(BH40/BH38,0)</f>
        <v>0.829324430908851</v>
      </c>
      <c r="BI41" s="110" t="n">
        <f aca="false">IFERROR(BI40/BI38,0)</f>
        <v>0.829324430908851</v>
      </c>
      <c r="BJ41" s="110" t="n">
        <f aca="false">IFERROR(BJ40/BJ38,0)</f>
        <v>0.829324430908851</v>
      </c>
      <c r="BK41" s="110" t="n">
        <f aca="false">IFERROR(BK40/BK38,0)</f>
        <v>0.829324430908851</v>
      </c>
      <c r="BL41" s="110" t="n">
        <f aca="false">IFERROR(BL40/BL38,0)</f>
        <v>0.829324430908851</v>
      </c>
      <c r="BM41" s="110" t="n">
        <f aca="false">IFERROR(BM40/BM38,0)</f>
        <v>0.829324430908851</v>
      </c>
      <c r="BN41" s="110" t="n">
        <f aca="false">IFERROR(BN40/BN38,0)</f>
        <v>0.829324430908851</v>
      </c>
      <c r="BO41" s="110" t="n">
        <f aca="false">IFERROR(BO40/BO38,0)</f>
        <v>0.829324430908851</v>
      </c>
      <c r="BP41" s="110" t="n">
        <f aca="false">IFERROR(BP40/BP38,0)</f>
        <v>0.829324430908851</v>
      </c>
      <c r="BQ41" s="110" t="n">
        <f aca="false">IFERROR(BQ40/BQ38,0)</f>
        <v>0.829324430908851</v>
      </c>
      <c r="BR41" s="110" t="n">
        <f aca="false">IFERROR(BR40/BR38,0)</f>
        <v>0.829324430908851</v>
      </c>
      <c r="BS41" s="110" t="n">
        <f aca="false">IFERROR(BS40/BS38,0)</f>
        <v>0.829324430908851</v>
      </c>
      <c r="BT41" s="110" t="n">
        <f aca="false">IFERROR(BT40/BT38,0)</f>
        <v>0.829324430908851</v>
      </c>
      <c r="BU41" s="110" t="n">
        <f aca="false">IFERROR(BU40/BU38,0)</f>
        <v>0.829324430908851</v>
      </c>
      <c r="BV41" s="110" t="n">
        <f aca="false">IFERROR(BV40/BV38,0)</f>
        <v>0.829324430908851</v>
      </c>
      <c r="BW41" s="110" t="n">
        <f aca="false">IFERROR(BW40/BW38,0)</f>
        <v>0.829324430908851</v>
      </c>
      <c r="BX41" s="110" t="n">
        <f aca="false">IFERROR(BX40/BX38,0)</f>
        <v>0.829324430908851</v>
      </c>
      <c r="BY41" s="110" t="n">
        <f aca="false">IFERROR(BY40/BY38,0)</f>
        <v>0.829324430908851</v>
      </c>
      <c r="BZ41" s="110" t="n">
        <f aca="false">IFERROR(BZ40/BZ38,0)</f>
        <v>0.829324430908851</v>
      </c>
      <c r="CA41" s="110" t="n">
        <f aca="false">IFERROR(CA40/CA38,0)</f>
        <v>0.829324430908851</v>
      </c>
      <c r="CB41" s="110" t="n">
        <f aca="false">IFERROR(CB40/CB38,0)</f>
        <v>0.829324430908851</v>
      </c>
      <c r="CC41" s="110" t="n">
        <f aca="false">IFERROR(CC40/CC38,0)</f>
        <v>0.829324430908851</v>
      </c>
      <c r="CD41" s="110" t="n">
        <f aca="false">IFERROR(CD40/CD38,0)</f>
        <v>0.829324430908851</v>
      </c>
      <c r="CE41" s="110" t="n">
        <f aca="false">IFERROR(CE40/CE38,0)</f>
        <v>0.829324430908851</v>
      </c>
      <c r="CF41" s="110" t="n">
        <f aca="false">IFERROR(CF40/CF38,0)</f>
        <v>0.829324430908851</v>
      </c>
      <c r="CG41" s="110" t="n">
        <f aca="false">IFERROR(CG40/CG38,0)</f>
        <v>0.829324430908851</v>
      </c>
      <c r="CH41" s="110" t="n">
        <f aca="false">IFERROR(CH40/CH38,0)</f>
        <v>0.829324430908851</v>
      </c>
    </row>
    <row r="42" customFormat="false" ht="13.5" hidden="false" customHeight="true" outlineLevel="0" collapsed="false">
      <c r="A42" s="6" t="s">
        <v>519</v>
      </c>
      <c r="C42" s="100" t="n">
        <f aca="false">-Hipótesis!$D$36</f>
        <v>-2000</v>
      </c>
      <c r="D42" s="100" t="n">
        <f aca="false">-Hipótesis!$D$36</f>
        <v>-2000</v>
      </c>
      <c r="E42" s="100" t="n">
        <f aca="false">-Hipótesis!$D$36</f>
        <v>-2000</v>
      </c>
      <c r="F42" s="100" t="n">
        <f aca="false">-Hipótesis!$D$36</f>
        <v>-2000</v>
      </c>
      <c r="G42" s="100" t="n">
        <f aca="false">-Hipótesis!$D$36</f>
        <v>-2000</v>
      </c>
      <c r="H42" s="100" t="n">
        <f aca="false">-Hipótesis!$D$36</f>
        <v>-2000</v>
      </c>
      <c r="I42" s="100" t="n">
        <f aca="false">-Hipótesis!$D$36</f>
        <v>-2000</v>
      </c>
      <c r="J42" s="100" t="n">
        <f aca="false">-Hipótesis!$D$36</f>
        <v>-2000</v>
      </c>
      <c r="K42" s="100" t="n">
        <f aca="false">-Hipótesis!$D$36</f>
        <v>-2000</v>
      </c>
      <c r="L42" s="100" t="n">
        <f aca="false">-Hipótesis!$D$36</f>
        <v>-2000</v>
      </c>
      <c r="M42" s="100" t="n">
        <f aca="false">-Hipótesis!$D$36</f>
        <v>-2000</v>
      </c>
      <c r="N42" s="100" t="n">
        <f aca="false">-Hipótesis!$D$36</f>
        <v>-2000</v>
      </c>
      <c r="O42" s="100" t="n">
        <f aca="false">-Hipótesis!$D$36</f>
        <v>-2000</v>
      </c>
      <c r="P42" s="100" t="n">
        <f aca="false">-Hipótesis!$D$36</f>
        <v>-2000</v>
      </c>
      <c r="Q42" s="100" t="n">
        <f aca="false">-Hipótesis!$D$36</f>
        <v>-2000</v>
      </c>
      <c r="R42" s="100" t="n">
        <f aca="false">-Hipótesis!$D$36</f>
        <v>-2000</v>
      </c>
      <c r="S42" s="100" t="n">
        <f aca="false">-Hipótesis!$D$36</f>
        <v>-2000</v>
      </c>
      <c r="T42" s="100" t="n">
        <f aca="false">-Hipótesis!$D$36</f>
        <v>-2000</v>
      </c>
      <c r="U42" s="100" t="n">
        <f aca="false">-Hipótesis!$D$36</f>
        <v>-2000</v>
      </c>
      <c r="V42" s="100" t="n">
        <f aca="false">-Hipótesis!$D$36</f>
        <v>-2000</v>
      </c>
      <c r="W42" s="100" t="n">
        <f aca="false">-Hipótesis!$D$36</f>
        <v>-2000</v>
      </c>
      <c r="X42" s="100" t="n">
        <f aca="false">-Hipótesis!$D$36</f>
        <v>-2000</v>
      </c>
      <c r="Y42" s="100" t="n">
        <f aca="false">-Hipótesis!$D$36</f>
        <v>-2000</v>
      </c>
      <c r="Z42" s="100" t="n">
        <f aca="false">-Hipótesis!$D$36</f>
        <v>-2000</v>
      </c>
      <c r="AA42" s="100" t="n">
        <f aca="false">-Hipótesis!$D$36</f>
        <v>-2000</v>
      </c>
      <c r="AB42" s="100" t="n">
        <f aca="false">-Hipótesis!$D$36</f>
        <v>-2000</v>
      </c>
      <c r="AC42" s="100" t="n">
        <f aca="false">-Hipótesis!$D$36</f>
        <v>-2000</v>
      </c>
      <c r="AD42" s="100" t="n">
        <f aca="false">-Hipótesis!$D$36</f>
        <v>-2000</v>
      </c>
      <c r="AE42" s="100" t="n">
        <f aca="false">-Hipótesis!$D$36</f>
        <v>-2000</v>
      </c>
      <c r="AF42" s="100" t="n">
        <f aca="false">-Hipótesis!$D$36</f>
        <v>-2000</v>
      </c>
      <c r="AG42" s="100" t="n">
        <f aca="false">-Hipótesis!$D$36</f>
        <v>-2000</v>
      </c>
      <c r="AH42" s="100" t="n">
        <f aca="false">-Hipótesis!$D$36</f>
        <v>-2000</v>
      </c>
      <c r="AI42" s="100" t="n">
        <f aca="false">-Hipótesis!$D$36</f>
        <v>-2000</v>
      </c>
      <c r="AJ42" s="100" t="n">
        <f aca="false">-Hipótesis!$D$36</f>
        <v>-2000</v>
      </c>
      <c r="AK42" s="100" t="n">
        <f aca="false">-Hipótesis!$D$36</f>
        <v>-2000</v>
      </c>
      <c r="AL42" s="100" t="n">
        <f aca="false">-Hipótesis!$D$36</f>
        <v>-2000</v>
      </c>
      <c r="AM42" s="100" t="n">
        <f aca="false">-Hipótesis!$D$36</f>
        <v>-2000</v>
      </c>
      <c r="AN42" s="100" t="n">
        <f aca="false">-Hipótesis!$D$36</f>
        <v>-2000</v>
      </c>
      <c r="AO42" s="100" t="n">
        <f aca="false">-Hipótesis!$D$36</f>
        <v>-2000</v>
      </c>
      <c r="AP42" s="100" t="n">
        <f aca="false">-Hipótesis!$D$36</f>
        <v>-2000</v>
      </c>
      <c r="AQ42" s="100" t="n">
        <f aca="false">-Hipótesis!$D$36</f>
        <v>-2000</v>
      </c>
      <c r="AR42" s="100" t="n">
        <f aca="false">-Hipótesis!$D$36</f>
        <v>-2000</v>
      </c>
      <c r="AS42" s="100" t="n">
        <f aca="false">-Hipótesis!$D$36</f>
        <v>-2000</v>
      </c>
      <c r="AT42" s="100" t="n">
        <f aca="false">-Hipótesis!$D$36</f>
        <v>-2000</v>
      </c>
      <c r="AU42" s="100" t="n">
        <f aca="false">-Hipótesis!$D$36</f>
        <v>-2000</v>
      </c>
      <c r="AV42" s="100" t="n">
        <f aca="false">-Hipótesis!$D$36</f>
        <v>-2000</v>
      </c>
      <c r="AW42" s="100" t="n">
        <f aca="false">-Hipótesis!$D$36</f>
        <v>-2000</v>
      </c>
      <c r="AX42" s="100" t="n">
        <f aca="false">-Hipótesis!$D$36</f>
        <v>-2000</v>
      </c>
      <c r="AY42" s="100" t="n">
        <f aca="false">-Hipótesis!$D$36</f>
        <v>-2000</v>
      </c>
      <c r="AZ42" s="100" t="n">
        <f aca="false">-Hipótesis!$D$36</f>
        <v>-2000</v>
      </c>
      <c r="BA42" s="100" t="n">
        <f aca="false">-Hipótesis!$D$36</f>
        <v>-2000</v>
      </c>
      <c r="BB42" s="100" t="n">
        <f aca="false">-Hipótesis!$D$36</f>
        <v>-2000</v>
      </c>
      <c r="BC42" s="100" t="n">
        <f aca="false">-Hipótesis!$D$36</f>
        <v>-2000</v>
      </c>
      <c r="BD42" s="100" t="n">
        <f aca="false">-Hipótesis!$D$36</f>
        <v>-2000</v>
      </c>
      <c r="BE42" s="100" t="n">
        <f aca="false">-Hipótesis!$D$36</f>
        <v>-2000</v>
      </c>
      <c r="BF42" s="100" t="n">
        <f aca="false">-Hipótesis!$D$36</f>
        <v>-2000</v>
      </c>
      <c r="BG42" s="100" t="n">
        <f aca="false">-Hipótesis!$D$36</f>
        <v>-2000</v>
      </c>
      <c r="BH42" s="100" t="n">
        <f aca="false">-Hipótesis!$D$36</f>
        <v>-2000</v>
      </c>
      <c r="BI42" s="100" t="n">
        <f aca="false">-Hipótesis!$D$36</f>
        <v>-2000</v>
      </c>
      <c r="BJ42" s="100" t="n">
        <f aca="false">-Hipótesis!$D$36</f>
        <v>-2000</v>
      </c>
      <c r="BK42" s="100" t="n">
        <f aca="false">-Hipótesis!$D$36</f>
        <v>-2000</v>
      </c>
      <c r="BL42" s="100" t="n">
        <f aca="false">-Hipótesis!$D$36</f>
        <v>-2000</v>
      </c>
      <c r="BM42" s="100" t="n">
        <f aca="false">-Hipótesis!$D$36</f>
        <v>-2000</v>
      </c>
      <c r="BN42" s="100" t="n">
        <f aca="false">-Hipótesis!$D$36</f>
        <v>-2000</v>
      </c>
      <c r="BO42" s="100" t="n">
        <f aca="false">-Hipótesis!$D$36</f>
        <v>-2000</v>
      </c>
      <c r="BP42" s="100" t="n">
        <f aca="false">-Hipótesis!$D$36</f>
        <v>-2000</v>
      </c>
      <c r="BQ42" s="100" t="n">
        <f aca="false">-Hipótesis!$D$36</f>
        <v>-2000</v>
      </c>
      <c r="BR42" s="100" t="n">
        <f aca="false">-Hipótesis!$D$36</f>
        <v>-2000</v>
      </c>
      <c r="BS42" s="100" t="n">
        <f aca="false">-Hipótesis!$D$36</f>
        <v>-2000</v>
      </c>
      <c r="BT42" s="100" t="n">
        <f aca="false">-Hipótesis!$D$36</f>
        <v>-2000</v>
      </c>
      <c r="BU42" s="100" t="n">
        <f aca="false">-Hipótesis!$D$36</f>
        <v>-2000</v>
      </c>
      <c r="BV42" s="100" t="n">
        <f aca="false">-Hipótesis!$D$36</f>
        <v>-2000</v>
      </c>
      <c r="BW42" s="100" t="n">
        <f aca="false">-Hipótesis!$D$36</f>
        <v>-2000</v>
      </c>
      <c r="BX42" s="100" t="n">
        <f aca="false">-Hipótesis!$D$36</f>
        <v>-2000</v>
      </c>
      <c r="BY42" s="100" t="n">
        <f aca="false">-Hipótesis!$D$36</f>
        <v>-2000</v>
      </c>
      <c r="BZ42" s="100" t="n">
        <f aca="false">-Hipótesis!$D$36</f>
        <v>-2000</v>
      </c>
      <c r="CA42" s="100" t="n">
        <f aca="false">-Hipótesis!$D$36</f>
        <v>-2000</v>
      </c>
      <c r="CB42" s="100" t="n">
        <f aca="false">-Hipótesis!$D$36</f>
        <v>-2000</v>
      </c>
      <c r="CC42" s="100" t="n">
        <f aca="false">-Hipótesis!$D$36</f>
        <v>-2000</v>
      </c>
      <c r="CD42" s="100" t="n">
        <f aca="false">-Hipótesis!$D$36</f>
        <v>-2000</v>
      </c>
      <c r="CE42" s="100" t="n">
        <f aca="false">-Hipótesis!$D$36</f>
        <v>-2000</v>
      </c>
      <c r="CF42" s="100" t="n">
        <f aca="false">-Hipótesis!$D$36</f>
        <v>-2000</v>
      </c>
      <c r="CG42" s="100" t="n">
        <f aca="false">-Hipótesis!$D$36</f>
        <v>-2000</v>
      </c>
      <c r="CH42" s="100" t="n">
        <f aca="false">-Hipótesis!$D$36</f>
        <v>-2000</v>
      </c>
    </row>
    <row r="43" customFormat="false" ht="13.5" hidden="false" customHeight="true" outlineLevel="0" collapsed="false">
      <c r="A43" s="6" t="s">
        <v>520</v>
      </c>
      <c r="C43" s="100" t="n">
        <f aca="false">-(Hipótesis!$D$37+C24*Hipótesis!$D$38)</f>
        <v>-1023.41116042078</v>
      </c>
      <c r="D43" s="100" t="n">
        <f aca="false">-(Hipótesis!$D$37+D24*Hipótesis!$D$38)</f>
        <v>-1047.84938314576</v>
      </c>
      <c r="E43" s="100" t="n">
        <f aca="false">-(Hipótesis!$D$37+E24*Hipótesis!$D$38)</f>
        <v>-1089.61670055411</v>
      </c>
      <c r="F43" s="100" t="n">
        <f aca="false">-(Hipótesis!$D$37+F24*Hipótesis!$D$38)</f>
        <v>-1107.97285754169</v>
      </c>
      <c r="G43" s="100" t="n">
        <f aca="false">-(Hipótesis!$D$37+G24*Hipótesis!$D$38)</f>
        <v>-1125.30195222505</v>
      </c>
      <c r="H43" s="100" t="n">
        <f aca="false">-(Hipótesis!$D$37+H24*Hipótesis!$D$38)</f>
        <v>-1154.39946914417</v>
      </c>
      <c r="I43" s="100" t="n">
        <f aca="false">-(Hipótesis!$D$37+I24*Hipótesis!$D$38)</f>
        <v>-1207.69698606329</v>
      </c>
      <c r="J43" s="100" t="n">
        <f aca="false">-(Hipótesis!$D$37+J24*Hipótesis!$D$38)</f>
        <v>-1260.99450298241</v>
      </c>
      <c r="K43" s="100" t="n">
        <f aca="false">-(Hipótesis!$D$37+K24*Hipótesis!$D$38)</f>
        <v>-1314.29201990153</v>
      </c>
      <c r="L43" s="100" t="n">
        <f aca="false">-(Hipótesis!$D$37+L24*Hipótesis!$D$38)</f>
        <v>-1367.58953682065</v>
      </c>
      <c r="M43" s="100" t="n">
        <f aca="false">-(Hipótesis!$D$37+M24*Hipótesis!$D$38)</f>
        <v>-1403.5579590564</v>
      </c>
      <c r="N43" s="100" t="n">
        <f aca="false">-(Hipótesis!$D$37+N24*Hipótesis!$D$38)</f>
        <v>-1456.64408636236</v>
      </c>
      <c r="O43" s="100" t="n">
        <f aca="false">-(Hipótesis!$D$37+O24*Hipótesis!$D$38)</f>
        <v>-1509.73021366831</v>
      </c>
      <c r="P43" s="100" t="n">
        <f aca="false">-(Hipótesis!$D$37+P24*Hipótesis!$D$38)</f>
        <v>-1557.89500076658</v>
      </c>
      <c r="Q43" s="100" t="n">
        <f aca="false">-(Hipótesis!$D$37+Q24*Hipótesis!$D$38)</f>
        <v>-1606.05978786485</v>
      </c>
      <c r="R43" s="100" t="n">
        <f aca="false">-(Hipótesis!$D$37+R24*Hipótesis!$D$38)</f>
        <v>-1654.22457496312</v>
      </c>
      <c r="S43" s="100" t="n">
        <f aca="false">-(Hipótesis!$D$37+S24*Hipótesis!$D$38)</f>
        <v>-1702.38936206139</v>
      </c>
      <c r="T43" s="100" t="n">
        <f aca="false">-(Hipótesis!$D$37+T24*Hipótesis!$D$38)</f>
        <v>-1750.55414915966</v>
      </c>
      <c r="U43" s="100" t="n">
        <f aca="false">-(Hipótesis!$D$37+U24*Hipótesis!$D$38)</f>
        <v>-1798.71893625794</v>
      </c>
      <c r="V43" s="100" t="n">
        <f aca="false">-(Hipótesis!$D$37+V24*Hipótesis!$D$38)</f>
        <v>-1846.88372335621</v>
      </c>
      <c r="W43" s="100" t="n">
        <f aca="false">-(Hipótesis!$D$37+W24*Hipótesis!$D$38)</f>
        <v>-1895.04851045448</v>
      </c>
      <c r="X43" s="100" t="n">
        <f aca="false">-(Hipótesis!$D$37+X24*Hipótesis!$D$38)</f>
        <v>-1926.09559248256</v>
      </c>
      <c r="Y43" s="100" t="n">
        <f aca="false">-(Hipótesis!$D$37+Y24*Hipótesis!$D$38)</f>
        <v>-1957.14267451063</v>
      </c>
      <c r="Z43" s="100" t="n">
        <f aca="false">-(Hipótesis!$D$37+Z24*Hipótesis!$D$38)</f>
        <v>-1981.34267451063</v>
      </c>
      <c r="AA43" s="100" t="n">
        <f aca="false">-(Hipótesis!$D$37+AA24*Hipótesis!$D$38)</f>
        <v>-2005.54267451063</v>
      </c>
      <c r="AB43" s="100" t="n">
        <f aca="false">-(Hipótesis!$D$37+AB24*Hipótesis!$D$38)</f>
        <v>-2029.74267451063</v>
      </c>
      <c r="AC43" s="100" t="n">
        <f aca="false">-(Hipótesis!$D$37+AC24*Hipótesis!$D$38)</f>
        <v>-2053.94267451063</v>
      </c>
      <c r="AD43" s="100" t="n">
        <f aca="false">-(Hipótesis!$D$37+AD24*Hipótesis!$D$38)</f>
        <v>-2078.14267451063</v>
      </c>
      <c r="AE43" s="100" t="n">
        <f aca="false">-(Hipótesis!$D$37+AE24*Hipótesis!$D$38)</f>
        <v>-2102.34267451063</v>
      </c>
      <c r="AF43" s="100" t="n">
        <f aca="false">-(Hipótesis!$D$37+AF24*Hipótesis!$D$38)</f>
        <v>-2126.54267451063</v>
      </c>
      <c r="AG43" s="100" t="n">
        <f aca="false">-(Hipótesis!$D$37+AG24*Hipótesis!$D$38)</f>
        <v>-2150.74267451063</v>
      </c>
      <c r="AH43" s="100" t="n">
        <f aca="false">-(Hipótesis!$D$37+AH24*Hipótesis!$D$38)</f>
        <v>-2174.94267451063</v>
      </c>
      <c r="AI43" s="100" t="n">
        <f aca="false">-(Hipótesis!$D$37+AI24*Hipótesis!$D$38)</f>
        <v>-2199.14267451063</v>
      </c>
      <c r="AJ43" s="100" t="n">
        <f aca="false">-(Hipótesis!$D$37+AJ24*Hipótesis!$D$38)</f>
        <v>-2223.34267451063</v>
      </c>
      <c r="AK43" s="100" t="n">
        <f aca="false">-(Hipótesis!$D$37+AK24*Hipótesis!$D$38)</f>
        <v>-2247.54267451063</v>
      </c>
      <c r="AL43" s="100" t="n">
        <f aca="false">-(Hipótesis!$D$37+AL24*Hipótesis!$D$38)</f>
        <v>-2271.74267451063</v>
      </c>
      <c r="AM43" s="100" t="n">
        <f aca="false">-(Hipótesis!$D$37+AM24*Hipótesis!$D$38)</f>
        <v>-2295.94267451063</v>
      </c>
      <c r="AN43" s="100" t="n">
        <f aca="false">-(Hipótesis!$D$37+AN24*Hipótesis!$D$38)</f>
        <v>-2320.14267451063</v>
      </c>
      <c r="AO43" s="100" t="n">
        <f aca="false">-(Hipótesis!$D$37+AO24*Hipótesis!$D$38)</f>
        <v>-2344.34267451063</v>
      </c>
      <c r="AP43" s="100" t="n">
        <f aca="false">-(Hipótesis!$D$37+AP24*Hipótesis!$D$38)</f>
        <v>-2368.54267451063</v>
      </c>
      <c r="AQ43" s="100" t="n">
        <f aca="false">-(Hipótesis!$D$37+AQ24*Hipótesis!$D$38)</f>
        <v>-2392.74267451063</v>
      </c>
      <c r="AR43" s="100" t="n">
        <f aca="false">-(Hipótesis!$D$37+AR24*Hipótesis!$D$38)</f>
        <v>-2416.94267451063</v>
      </c>
      <c r="AS43" s="100" t="n">
        <f aca="false">-(Hipótesis!$D$37+AS24*Hipótesis!$D$38)</f>
        <v>-2416.94267451063</v>
      </c>
      <c r="AT43" s="100" t="n">
        <f aca="false">-(Hipótesis!$D$37+AT24*Hipótesis!$D$38)</f>
        <v>-2416.94267451063</v>
      </c>
      <c r="AU43" s="100" t="n">
        <f aca="false">-(Hipótesis!$D$37+AU24*Hipótesis!$D$38)</f>
        <v>-2416.94267451063</v>
      </c>
      <c r="AV43" s="100" t="n">
        <f aca="false">-(Hipótesis!$D$37+AV24*Hipótesis!$D$38)</f>
        <v>-2416.94267451063</v>
      </c>
      <c r="AW43" s="100" t="n">
        <f aca="false">-(Hipótesis!$D$37+AW24*Hipótesis!$D$38)</f>
        <v>-2416.94267451063</v>
      </c>
      <c r="AX43" s="100" t="n">
        <f aca="false">-(Hipótesis!$D$37+AX24*Hipótesis!$D$38)</f>
        <v>-2416.94267451063</v>
      </c>
      <c r="AY43" s="100" t="n">
        <f aca="false">-(Hipótesis!$D$37+AY24*Hipótesis!$D$38)</f>
        <v>-2416.94267451063</v>
      </c>
      <c r="AZ43" s="100" t="n">
        <f aca="false">-(Hipótesis!$D$37+AZ24*Hipótesis!$D$38)</f>
        <v>-2416.94267451063</v>
      </c>
      <c r="BA43" s="100" t="n">
        <f aca="false">-(Hipótesis!$D$37+BA24*Hipótesis!$D$38)</f>
        <v>-2416.94267451063</v>
      </c>
      <c r="BB43" s="100" t="n">
        <f aca="false">-(Hipótesis!$D$37+BB24*Hipótesis!$D$38)</f>
        <v>-2416.94267451063</v>
      </c>
      <c r="BC43" s="100" t="n">
        <f aca="false">-(Hipótesis!$D$37+BC24*Hipótesis!$D$38)</f>
        <v>-2416.94267451063</v>
      </c>
      <c r="BD43" s="100" t="n">
        <f aca="false">-(Hipótesis!$D$37+BD24*Hipótesis!$D$38)</f>
        <v>-2416.94267451063</v>
      </c>
      <c r="BE43" s="100" t="n">
        <f aca="false">-(Hipótesis!$D$37+BE24*Hipótesis!$D$38)</f>
        <v>-2416.94267451063</v>
      </c>
      <c r="BF43" s="100" t="n">
        <f aca="false">-(Hipótesis!$D$37+BF24*Hipótesis!$D$38)</f>
        <v>-2416.94267451063</v>
      </c>
      <c r="BG43" s="100" t="n">
        <f aca="false">-(Hipótesis!$D$37+BG24*Hipótesis!$D$38)</f>
        <v>-2416.94267451063</v>
      </c>
      <c r="BH43" s="100" t="n">
        <f aca="false">-(Hipótesis!$D$37+BH24*Hipótesis!$D$38)</f>
        <v>-2416.94267451063</v>
      </c>
      <c r="BI43" s="100" t="n">
        <f aca="false">-(Hipótesis!$D$37+BI24*Hipótesis!$D$38)</f>
        <v>-2416.94267451063</v>
      </c>
      <c r="BJ43" s="100" t="n">
        <f aca="false">-(Hipótesis!$D$37+BJ24*Hipótesis!$D$38)</f>
        <v>-2416.94267451063</v>
      </c>
      <c r="BK43" s="100" t="n">
        <f aca="false">-(Hipótesis!$D$37+BK24*Hipótesis!$D$38)</f>
        <v>-2416.94267451063</v>
      </c>
      <c r="BL43" s="100" t="n">
        <f aca="false">-(Hipótesis!$D$37+BL24*Hipótesis!$D$38)</f>
        <v>-2416.94267451063</v>
      </c>
      <c r="BM43" s="100" t="n">
        <f aca="false">-(Hipótesis!$D$37+BM24*Hipótesis!$D$38)</f>
        <v>-2416.94267451063</v>
      </c>
      <c r="BN43" s="100" t="n">
        <f aca="false">-(Hipótesis!$D$37+BN24*Hipótesis!$D$38)</f>
        <v>-2416.94267451063</v>
      </c>
      <c r="BO43" s="100" t="n">
        <f aca="false">-(Hipótesis!$D$37+BO24*Hipótesis!$D$38)</f>
        <v>-2416.94267451063</v>
      </c>
      <c r="BP43" s="100" t="n">
        <f aca="false">-(Hipótesis!$D$37+BP24*Hipótesis!$D$38)</f>
        <v>-2416.94267451063</v>
      </c>
      <c r="BQ43" s="100" t="n">
        <f aca="false">-(Hipótesis!$D$37+BQ24*Hipótesis!$D$38)</f>
        <v>-2416.94267451063</v>
      </c>
      <c r="BR43" s="100" t="n">
        <f aca="false">-(Hipótesis!$D$37+BR24*Hipótesis!$D$38)</f>
        <v>-2416.94267451063</v>
      </c>
      <c r="BS43" s="100" t="n">
        <f aca="false">-(Hipótesis!$D$37+BS24*Hipótesis!$D$38)</f>
        <v>-2416.94267451063</v>
      </c>
      <c r="BT43" s="100" t="n">
        <f aca="false">-(Hipótesis!$D$37+BT24*Hipótesis!$D$38)</f>
        <v>-2416.94267451063</v>
      </c>
      <c r="BU43" s="100" t="n">
        <f aca="false">-(Hipótesis!$D$37+BU24*Hipótesis!$D$38)</f>
        <v>-2416.94267451063</v>
      </c>
      <c r="BV43" s="100" t="n">
        <f aca="false">-(Hipótesis!$D$37+BV24*Hipótesis!$D$38)</f>
        <v>-2416.94267451063</v>
      </c>
      <c r="BW43" s="100" t="n">
        <f aca="false">-(Hipótesis!$D$37+BW24*Hipótesis!$D$38)</f>
        <v>-2416.94267451063</v>
      </c>
      <c r="BX43" s="100" t="n">
        <f aca="false">-(Hipótesis!$D$37+BX24*Hipótesis!$D$38)</f>
        <v>-2416.94267451063</v>
      </c>
      <c r="BY43" s="100" t="n">
        <f aca="false">-(Hipótesis!$D$37+BY24*Hipótesis!$D$38)</f>
        <v>-2416.94267451063</v>
      </c>
      <c r="BZ43" s="100" t="n">
        <f aca="false">-(Hipótesis!$D$37+BZ24*Hipótesis!$D$38)</f>
        <v>-2416.94267451063</v>
      </c>
      <c r="CA43" s="100" t="n">
        <f aca="false">-(Hipótesis!$D$37+CA24*Hipótesis!$D$38)</f>
        <v>-2416.94267451063</v>
      </c>
      <c r="CB43" s="100" t="n">
        <f aca="false">-(Hipótesis!$D$37+CB24*Hipótesis!$D$38)</f>
        <v>-2416.94267451063</v>
      </c>
      <c r="CC43" s="100" t="n">
        <f aca="false">-(Hipótesis!$D$37+CC24*Hipótesis!$D$38)</f>
        <v>-2416.94267451063</v>
      </c>
      <c r="CD43" s="100" t="n">
        <f aca="false">-(Hipótesis!$D$37+CD24*Hipótesis!$D$38)</f>
        <v>-2416.94267451063</v>
      </c>
      <c r="CE43" s="100" t="n">
        <f aca="false">-(Hipótesis!$D$37+CE24*Hipótesis!$D$38)</f>
        <v>-2416.94267451063</v>
      </c>
      <c r="CF43" s="100" t="n">
        <f aca="false">-(Hipótesis!$D$37+CF24*Hipótesis!$D$38)</f>
        <v>-2416.94267451063</v>
      </c>
      <c r="CG43" s="100" t="n">
        <f aca="false">-(Hipótesis!$D$37+CG24*Hipótesis!$D$38)</f>
        <v>-2416.94267451063</v>
      </c>
      <c r="CH43" s="100" t="n">
        <f aca="false">-(Hipótesis!$D$37+CH24*Hipótesis!$D$38)</f>
        <v>-2416.94267451063</v>
      </c>
    </row>
    <row r="44" customFormat="false" ht="13.5" hidden="false" customHeight="true" outlineLevel="0" collapsed="false">
      <c r="A44" s="6" t="s">
        <v>521</v>
      </c>
      <c r="C44" s="100" t="n">
        <f aca="false">-IF(AND(1&gt;=Hipótesis!$D$48,Hipótesis!$B$48=1),IF(Hipótesis!$G$48=1,Hipótesis!$C$44,Hipótesis!$C$48*(1+Hipótesis!$D$45)^0)*(1+Hipótesis!$D$42),0)</f>
        <v>-2904</v>
      </c>
      <c r="D44" s="100" t="n">
        <f aca="false">-IF(AND(2&gt;=Hipótesis!$D$48,Hipótesis!$B$48=1),IF(Hipótesis!$G$48=1,Hipótesis!$C$44,Hipótesis!$C$48*(1+Hipótesis!$D$45)^0)*(1+Hipótesis!$D$42),0)</f>
        <v>-2904</v>
      </c>
      <c r="E44" s="100" t="n">
        <f aca="false">-IF(AND(3&gt;=Hipótesis!$D$48,Hipótesis!$B$48=1),IF(Hipótesis!$G$48=1,Hipótesis!$C$44,Hipótesis!$C$48*(1+Hipótesis!$D$45)^0)*(1+Hipótesis!$D$42),0)</f>
        <v>-2904</v>
      </c>
      <c r="F44" s="100" t="n">
        <f aca="false">-IF(AND(4&gt;=Hipótesis!$D$48,Hipótesis!$B$48=1),IF(Hipótesis!$G$48=1,Hipótesis!$C$44,Hipótesis!$C$48*(1+Hipótesis!$D$45)^0)*(1+Hipótesis!$D$42),0)</f>
        <v>-2904</v>
      </c>
      <c r="G44" s="100" t="n">
        <f aca="false">-IF(AND(5&gt;=Hipótesis!$D$48,Hipótesis!$B$48=1),IF(Hipótesis!$G$48=1,Hipótesis!$C$44,Hipótesis!$C$48*(1+Hipótesis!$D$45)^0)*(1+Hipótesis!$D$42),0)</f>
        <v>-2904</v>
      </c>
      <c r="H44" s="100" t="n">
        <f aca="false">-IF(AND(6&gt;=Hipótesis!$D$48,Hipótesis!$B$48=1),IF(Hipótesis!$G$48=1,Hipótesis!$C$44,Hipótesis!$C$48*(1+Hipótesis!$D$45)^0)*(1+Hipótesis!$D$42),0)</f>
        <v>-2904</v>
      </c>
      <c r="I44" s="100" t="n">
        <f aca="false">-IF(AND(7&gt;=Hipótesis!$D$48,Hipótesis!$B$48=1),IF(Hipótesis!$G$48=1,Hipótesis!$C$44,Hipótesis!$C$48*(1+Hipótesis!$D$45)^0)*(1+Hipótesis!$D$42),0)</f>
        <v>-2904</v>
      </c>
      <c r="J44" s="100" t="n">
        <f aca="false">-IF(AND(8&gt;=Hipótesis!$D$48,Hipótesis!$B$48=1),IF(Hipótesis!$G$48=1,Hipótesis!$C$44,Hipótesis!$C$48*(1+Hipótesis!$D$45)^0)*(1+Hipótesis!$D$42),0)</f>
        <v>-2904</v>
      </c>
      <c r="K44" s="100" t="n">
        <f aca="false">-IF(AND(9&gt;=Hipótesis!$D$48,Hipótesis!$B$48=1),IF(Hipótesis!$G$48=1,Hipótesis!$C$44,Hipótesis!$C$48*(1+Hipótesis!$D$45)^0)*(1+Hipótesis!$D$42),0)</f>
        <v>-2904</v>
      </c>
      <c r="L44" s="100" t="n">
        <f aca="false">-IF(AND(10&gt;=Hipótesis!$D$48,Hipótesis!$B$48=1),IF(Hipótesis!$G$48=1,Hipótesis!$C$44,Hipótesis!$C$48*(1+Hipótesis!$D$45)^0)*(1+Hipótesis!$D$42),0)</f>
        <v>-2904</v>
      </c>
      <c r="M44" s="100" t="n">
        <f aca="false">-IF(AND(11&gt;=Hipótesis!$D$48,Hipótesis!$B$48=1),IF(Hipótesis!$G$48=1,Hipótesis!$C$44,Hipótesis!$C$48*(1+Hipótesis!$D$45)^0)*(1+Hipótesis!$D$42),0)</f>
        <v>-2904</v>
      </c>
      <c r="N44" s="100" t="n">
        <f aca="false">-IF(AND(12&gt;=Hipótesis!$D$48,Hipótesis!$B$48=1),IF(Hipótesis!$G$48=1,Hipótesis!$C$44,Hipótesis!$C$48*(1+Hipótesis!$D$45)^0)*(1+Hipótesis!$D$42),0)</f>
        <v>-2904</v>
      </c>
      <c r="O44" s="100" t="n">
        <f aca="false">-IF(AND(13&gt;=Hipótesis!$D$48,Hipótesis!$B$48=1),IF(Hipótesis!$G$48=1,Hipótesis!$D$44,Hipótesis!$C$48*(1+Hipótesis!$D$45)^1)*(1+Hipótesis!$D$42),0)</f>
        <v>-4620</v>
      </c>
      <c r="P44" s="100" t="n">
        <f aca="false">-IF(AND(14&gt;=Hipótesis!$D$48,Hipótesis!$B$48=1),IF(Hipótesis!$G$48=1,Hipótesis!$D$44,Hipótesis!$C$48*(1+Hipótesis!$D$45)^1)*(1+Hipótesis!$D$42),0)</f>
        <v>-4620</v>
      </c>
      <c r="Q44" s="100" t="n">
        <f aca="false">-IF(AND(15&gt;=Hipótesis!$D$48,Hipótesis!$B$48=1),IF(Hipótesis!$G$48=1,Hipótesis!$D$44,Hipótesis!$C$48*(1+Hipótesis!$D$45)^1)*(1+Hipótesis!$D$42),0)</f>
        <v>-4620</v>
      </c>
      <c r="R44" s="100" t="n">
        <f aca="false">-IF(AND(16&gt;=Hipótesis!$D$48,Hipótesis!$B$48=1),IF(Hipótesis!$G$48=1,Hipótesis!$D$44,Hipótesis!$C$48*(1+Hipótesis!$D$45)^1)*(1+Hipótesis!$D$42),0)</f>
        <v>-4620</v>
      </c>
      <c r="S44" s="100" t="n">
        <f aca="false">-IF(AND(17&gt;=Hipótesis!$D$48,Hipótesis!$B$48=1),IF(Hipótesis!$G$48=1,Hipótesis!$D$44,Hipótesis!$C$48*(1+Hipótesis!$D$45)^1)*(1+Hipótesis!$D$42),0)</f>
        <v>-4620</v>
      </c>
      <c r="T44" s="100" t="n">
        <f aca="false">-IF(AND(18&gt;=Hipótesis!$D$48,Hipótesis!$B$48=1),IF(Hipótesis!$G$48=1,Hipótesis!$D$44,Hipótesis!$C$48*(1+Hipótesis!$D$45)^1)*(1+Hipótesis!$D$42),0)</f>
        <v>-4620</v>
      </c>
      <c r="U44" s="100" t="n">
        <f aca="false">-IF(AND(19&gt;=Hipótesis!$D$48,Hipótesis!$B$48=1),IF(Hipótesis!$G$48=1,Hipótesis!$D$44,Hipótesis!$C$48*(1+Hipótesis!$D$45)^1)*(1+Hipótesis!$D$42),0)</f>
        <v>-4620</v>
      </c>
      <c r="V44" s="100" t="n">
        <f aca="false">-IF(AND(20&gt;=Hipótesis!$D$48,Hipótesis!$B$48=1),IF(Hipótesis!$G$48=1,Hipótesis!$D$44,Hipótesis!$C$48*(1+Hipótesis!$D$45)^1)*(1+Hipótesis!$D$42),0)</f>
        <v>-4620</v>
      </c>
      <c r="W44" s="100" t="n">
        <f aca="false">-IF(AND(21&gt;=Hipótesis!$D$48,Hipótesis!$B$48=1),IF(Hipótesis!$G$48=1,Hipótesis!$D$44,Hipótesis!$C$48*(1+Hipótesis!$D$45)^1)*(1+Hipótesis!$D$42),0)</f>
        <v>-4620</v>
      </c>
      <c r="X44" s="100" t="n">
        <f aca="false">-IF(AND(22&gt;=Hipótesis!$D$48,Hipótesis!$B$48=1),IF(Hipótesis!$G$48=1,Hipótesis!$D$44,Hipótesis!$C$48*(1+Hipótesis!$D$45)^1)*(1+Hipótesis!$D$42),0)</f>
        <v>-4620</v>
      </c>
      <c r="Y44" s="100" t="n">
        <f aca="false">-IF(AND(23&gt;=Hipótesis!$D$48,Hipótesis!$B$48=1),IF(Hipótesis!$G$48=1,Hipótesis!$D$44,Hipótesis!$C$48*(1+Hipótesis!$D$45)^1)*(1+Hipótesis!$D$42),0)</f>
        <v>-4620</v>
      </c>
      <c r="Z44" s="100" t="n">
        <f aca="false">-IF(AND(24&gt;=Hipótesis!$D$48,Hipótesis!$B$48=1),IF(Hipótesis!$G$48=1,Hipótesis!$D$44,Hipótesis!$C$48*(1+Hipótesis!$D$45)^1)*(1+Hipótesis!$D$42),0)</f>
        <v>-4620</v>
      </c>
      <c r="AA44" s="100" t="n">
        <f aca="false">-IF(AND(25&gt;=Hipótesis!$D$48,Hipótesis!$B$48=1),IF(Hipótesis!$G$48=1,Hipótesis!$E$44,Hipótesis!$C$48*(1+Hipótesis!$D$45)^2)*(1+Hipótesis!$D$42),0)</f>
        <v>-5280</v>
      </c>
      <c r="AB44" s="100" t="n">
        <f aca="false">-IF(AND(26&gt;=Hipótesis!$D$48,Hipótesis!$B$48=1),IF(Hipótesis!$G$48=1,Hipótesis!$E$44,Hipótesis!$C$48*(1+Hipótesis!$D$45)^2)*(1+Hipótesis!$D$42),0)</f>
        <v>-5280</v>
      </c>
      <c r="AC44" s="100" t="n">
        <f aca="false">-IF(AND(27&gt;=Hipótesis!$D$48,Hipótesis!$B$48=1),IF(Hipótesis!$G$48=1,Hipótesis!$E$44,Hipótesis!$C$48*(1+Hipótesis!$D$45)^2)*(1+Hipótesis!$D$42),0)</f>
        <v>-5280</v>
      </c>
      <c r="AD44" s="100" t="n">
        <f aca="false">-IF(AND(28&gt;=Hipótesis!$D$48,Hipótesis!$B$48=1),IF(Hipótesis!$G$48=1,Hipótesis!$E$44,Hipótesis!$C$48*(1+Hipótesis!$D$45)^2)*(1+Hipótesis!$D$42),0)</f>
        <v>-5280</v>
      </c>
      <c r="AE44" s="100" t="n">
        <f aca="false">-IF(AND(29&gt;=Hipótesis!$D$48,Hipótesis!$B$48=1),IF(Hipótesis!$G$48=1,Hipótesis!$E$44,Hipótesis!$C$48*(1+Hipótesis!$D$45)^2)*(1+Hipótesis!$D$42),0)</f>
        <v>-5280</v>
      </c>
      <c r="AF44" s="100" t="n">
        <f aca="false">-IF(AND(30&gt;=Hipótesis!$D$48,Hipótesis!$B$48=1),IF(Hipótesis!$G$48=1,Hipótesis!$E$44,Hipótesis!$C$48*(1+Hipótesis!$D$45)^2)*(1+Hipótesis!$D$42),0)</f>
        <v>-5280</v>
      </c>
      <c r="AG44" s="100" t="n">
        <f aca="false">-IF(AND(31&gt;=Hipótesis!$D$48,Hipótesis!$B$48=1),IF(Hipótesis!$G$48=1,Hipótesis!$E$44,Hipótesis!$C$48*(1+Hipótesis!$D$45)^2)*(1+Hipótesis!$D$42),0)</f>
        <v>-5280</v>
      </c>
      <c r="AH44" s="100" t="n">
        <f aca="false">-IF(AND(32&gt;=Hipótesis!$D$48,Hipótesis!$B$48=1),IF(Hipótesis!$G$48=1,Hipótesis!$E$44,Hipótesis!$C$48*(1+Hipótesis!$D$45)^2)*(1+Hipótesis!$D$42),0)</f>
        <v>-5280</v>
      </c>
      <c r="AI44" s="100" t="n">
        <f aca="false">-IF(AND(33&gt;=Hipótesis!$D$48,Hipótesis!$B$48=1),IF(Hipótesis!$G$48=1,Hipótesis!$E$44,Hipótesis!$C$48*(1+Hipótesis!$D$45)^2)*(1+Hipótesis!$D$42),0)</f>
        <v>-5280</v>
      </c>
      <c r="AJ44" s="100" t="n">
        <f aca="false">-IF(AND(34&gt;=Hipótesis!$D$48,Hipótesis!$B$48=1),IF(Hipótesis!$G$48=1,Hipótesis!$E$44,Hipótesis!$C$48*(1+Hipótesis!$D$45)^2)*(1+Hipótesis!$D$42),0)</f>
        <v>-5280</v>
      </c>
      <c r="AK44" s="100" t="n">
        <f aca="false">-IF(AND(35&gt;=Hipótesis!$D$48,Hipótesis!$B$48=1),IF(Hipótesis!$G$48=1,Hipótesis!$E$44,Hipótesis!$C$48*(1+Hipótesis!$D$45)^2)*(1+Hipótesis!$D$42),0)</f>
        <v>-5280</v>
      </c>
      <c r="AL44" s="100" t="n">
        <f aca="false">-IF(AND(36&gt;=Hipótesis!$D$48,Hipótesis!$B$48=1),IF(Hipótesis!$G$48=1,Hipótesis!$E$44,Hipótesis!$C$48*(1+Hipótesis!$D$45)^2)*(1+Hipótesis!$D$42),0)</f>
        <v>-5280</v>
      </c>
      <c r="AM44" s="100" t="n">
        <f aca="false">-IF(AND(37&gt;=Hipótesis!$D$48,Hipótesis!$B$48=1),IF(Hipótesis!$G$48=1,Hipótesis!$F$44,Hipótesis!$C$48*(1+Hipótesis!$D$45)^3)*(1+Hipótesis!$D$42),0)</f>
        <v>-5940</v>
      </c>
      <c r="AN44" s="100" t="n">
        <f aca="false">-IF(AND(38&gt;=Hipótesis!$D$48,Hipótesis!$B$48=1),IF(Hipótesis!$G$48=1,Hipótesis!$F$44,Hipótesis!$C$48*(1+Hipótesis!$D$45)^3)*(1+Hipótesis!$D$42),0)</f>
        <v>-5940</v>
      </c>
      <c r="AO44" s="100" t="n">
        <f aca="false">-IF(AND(39&gt;=Hipótesis!$D$48,Hipótesis!$B$48=1),IF(Hipótesis!$G$48=1,Hipótesis!$F$44,Hipótesis!$C$48*(1+Hipótesis!$D$45)^3)*(1+Hipótesis!$D$42),0)</f>
        <v>-5940</v>
      </c>
      <c r="AP44" s="100" t="n">
        <f aca="false">-IF(AND(40&gt;=Hipótesis!$D$48,Hipótesis!$B$48=1),IF(Hipótesis!$G$48=1,Hipótesis!$F$44,Hipótesis!$C$48*(1+Hipótesis!$D$45)^3)*(1+Hipótesis!$D$42),0)</f>
        <v>-5940</v>
      </c>
      <c r="AQ44" s="100" t="n">
        <f aca="false">-IF(AND(41&gt;=Hipótesis!$D$48,Hipótesis!$B$48=1),IF(Hipótesis!$G$48=1,Hipótesis!$F$44,Hipótesis!$C$48*(1+Hipótesis!$D$45)^3)*(1+Hipótesis!$D$42),0)</f>
        <v>-5940</v>
      </c>
      <c r="AR44" s="100" t="n">
        <f aca="false">-IF(AND(42&gt;=Hipótesis!$D$48,Hipótesis!$B$48=1),IF(Hipótesis!$G$48=1,Hipótesis!$F$44,Hipótesis!$C$48*(1+Hipótesis!$D$45)^3)*(1+Hipótesis!$D$42),0)</f>
        <v>-5940</v>
      </c>
      <c r="AS44" s="100" t="n">
        <f aca="false">-IF(AND(43&gt;=Hipótesis!$D$48,Hipótesis!$B$48=1),IF(Hipótesis!$G$48=1,Hipótesis!$F$44,Hipótesis!$C$48*(1+Hipótesis!$D$45)^3)*(1+Hipótesis!$D$42),0)</f>
        <v>-5940</v>
      </c>
      <c r="AT44" s="100" t="n">
        <f aca="false">-IF(AND(44&gt;=Hipótesis!$D$48,Hipótesis!$B$48=1),IF(Hipótesis!$G$48=1,Hipótesis!$F$44,Hipótesis!$C$48*(1+Hipótesis!$D$45)^3)*(1+Hipótesis!$D$42),0)</f>
        <v>-5940</v>
      </c>
      <c r="AU44" s="100" t="n">
        <f aca="false">-IF(AND(45&gt;=Hipótesis!$D$48,Hipótesis!$B$48=1),IF(Hipótesis!$G$48=1,Hipótesis!$F$44,Hipótesis!$C$48*(1+Hipótesis!$D$45)^3)*(1+Hipótesis!$D$42),0)</f>
        <v>-5940</v>
      </c>
      <c r="AV44" s="100" t="n">
        <f aca="false">-IF(AND(46&gt;=Hipótesis!$D$48,Hipótesis!$B$48=1),IF(Hipótesis!$G$48=1,Hipótesis!$F$44,Hipótesis!$C$48*(1+Hipótesis!$D$45)^3)*(1+Hipótesis!$D$42),0)</f>
        <v>-5940</v>
      </c>
      <c r="AW44" s="100" t="n">
        <f aca="false">-IF(AND(47&gt;=Hipótesis!$D$48,Hipótesis!$B$48=1),IF(Hipótesis!$G$48=1,Hipótesis!$F$44,Hipótesis!$C$48*(1+Hipótesis!$D$45)^3)*(1+Hipótesis!$D$42),0)</f>
        <v>-5940</v>
      </c>
      <c r="AX44" s="100" t="n">
        <f aca="false">-IF(AND(48&gt;=Hipótesis!$D$48,Hipótesis!$B$48=1),IF(Hipótesis!$G$48=1,Hipótesis!$F$44,Hipótesis!$C$48*(1+Hipótesis!$D$45)^3)*(1+Hipótesis!$D$42),0)</f>
        <v>-5940</v>
      </c>
      <c r="AY44" s="100" t="n">
        <f aca="false">-IF(AND(49&gt;=Hipótesis!$D$48,Hipótesis!$B$48=1),IF(Hipótesis!$G$48=1,Hipótesis!$G$44,Hipótesis!$C$48*(1+Hipótesis!$D$45)^4)*(1+Hipótesis!$D$42),0)</f>
        <v>-6600</v>
      </c>
      <c r="AZ44" s="100" t="n">
        <f aca="false">-IF(AND(50&gt;=Hipótesis!$D$48,Hipótesis!$B$48=1),IF(Hipótesis!$G$48=1,Hipótesis!$G$44,Hipótesis!$C$48*(1+Hipótesis!$D$45)^4)*(1+Hipótesis!$D$42),0)</f>
        <v>-6600</v>
      </c>
      <c r="BA44" s="100" t="n">
        <f aca="false">-IF(AND(51&gt;=Hipótesis!$D$48,Hipótesis!$B$48=1),IF(Hipótesis!$G$48=1,Hipótesis!$G$44,Hipótesis!$C$48*(1+Hipótesis!$D$45)^4)*(1+Hipótesis!$D$42),0)</f>
        <v>-6600</v>
      </c>
      <c r="BB44" s="100" t="n">
        <f aca="false">-IF(AND(52&gt;=Hipótesis!$D$48,Hipótesis!$B$48=1),IF(Hipótesis!$G$48=1,Hipótesis!$G$44,Hipótesis!$C$48*(1+Hipótesis!$D$45)^4)*(1+Hipótesis!$D$42),0)</f>
        <v>-6600</v>
      </c>
      <c r="BC44" s="100" t="n">
        <f aca="false">-IF(AND(53&gt;=Hipótesis!$D$48,Hipótesis!$B$48=1),IF(Hipótesis!$G$48=1,Hipótesis!$G$44,Hipótesis!$C$48*(1+Hipótesis!$D$45)^4)*(1+Hipótesis!$D$42),0)</f>
        <v>-6600</v>
      </c>
      <c r="BD44" s="100" t="n">
        <f aca="false">-IF(AND(54&gt;=Hipótesis!$D$48,Hipótesis!$B$48=1),IF(Hipótesis!$G$48=1,Hipótesis!$G$44,Hipótesis!$C$48*(1+Hipótesis!$D$45)^4)*(1+Hipótesis!$D$42),0)</f>
        <v>-6600</v>
      </c>
      <c r="BE44" s="100" t="n">
        <f aca="false">-IF(AND(55&gt;=Hipótesis!$D$48,Hipótesis!$B$48=1),IF(Hipótesis!$G$48=1,Hipótesis!$G$44,Hipótesis!$C$48*(1+Hipótesis!$D$45)^4)*(1+Hipótesis!$D$42),0)</f>
        <v>-6600</v>
      </c>
      <c r="BF44" s="100" t="n">
        <f aca="false">-IF(AND(56&gt;=Hipótesis!$D$48,Hipótesis!$B$48=1),IF(Hipótesis!$G$48=1,Hipótesis!$G$44,Hipótesis!$C$48*(1+Hipótesis!$D$45)^4)*(1+Hipótesis!$D$42),0)</f>
        <v>-6600</v>
      </c>
      <c r="BG44" s="100" t="n">
        <f aca="false">-IF(AND(57&gt;=Hipótesis!$D$48,Hipótesis!$B$48=1),IF(Hipótesis!$G$48=1,Hipótesis!$G$44,Hipótesis!$C$48*(1+Hipótesis!$D$45)^4)*(1+Hipótesis!$D$42),0)</f>
        <v>-6600</v>
      </c>
      <c r="BH44" s="100" t="n">
        <f aca="false">-IF(AND(58&gt;=Hipótesis!$D$48,Hipótesis!$B$48=1),IF(Hipótesis!$G$48=1,Hipótesis!$G$44,Hipótesis!$C$48*(1+Hipótesis!$D$45)^4)*(1+Hipótesis!$D$42),0)</f>
        <v>-6600</v>
      </c>
      <c r="BI44" s="100" t="n">
        <f aca="false">-IF(AND(59&gt;=Hipótesis!$D$48,Hipótesis!$B$48=1),IF(Hipótesis!$G$48=1,Hipótesis!$G$44,Hipótesis!$C$48*(1+Hipótesis!$D$45)^4)*(1+Hipótesis!$D$42),0)</f>
        <v>-6600</v>
      </c>
      <c r="BJ44" s="100" t="n">
        <f aca="false">-IF(AND(60&gt;=Hipótesis!$D$48,Hipótesis!$B$48=1),IF(Hipótesis!$G$48=1,Hipótesis!$G$44,Hipótesis!$C$48*(1+Hipótesis!$D$45)^4)*(1+Hipótesis!$D$42),0)</f>
        <v>-6600</v>
      </c>
      <c r="BK44" s="100" t="n">
        <f aca="false">-IF(AND(61&gt;=Hipótesis!$D$48,Hipótesis!$B$48=1),IF(Hipótesis!$G$48=1,Hipótesis!$H$44,Hipótesis!$C$48*(1+Hipótesis!$D$45)^5)*(1+Hipótesis!$D$42),0)</f>
        <v>-7260</v>
      </c>
      <c r="BL44" s="100" t="n">
        <f aca="false">-IF(AND(62&gt;=Hipótesis!$D$48,Hipótesis!$B$48=1),IF(Hipótesis!$G$48=1,Hipótesis!$H$44,Hipótesis!$C$48*(1+Hipótesis!$D$45)^5)*(1+Hipótesis!$D$42),0)</f>
        <v>-7260</v>
      </c>
      <c r="BM44" s="100" t="n">
        <f aca="false">-IF(AND(63&gt;=Hipótesis!$D$48,Hipótesis!$B$48=1),IF(Hipótesis!$G$48=1,Hipótesis!$H$44,Hipótesis!$C$48*(1+Hipótesis!$D$45)^5)*(1+Hipótesis!$D$42),0)</f>
        <v>-7260</v>
      </c>
      <c r="BN44" s="100" t="n">
        <f aca="false">-IF(AND(64&gt;=Hipótesis!$D$48,Hipótesis!$B$48=1),IF(Hipótesis!$G$48=1,Hipótesis!$H$44,Hipótesis!$C$48*(1+Hipótesis!$D$45)^5)*(1+Hipótesis!$D$42),0)</f>
        <v>-7260</v>
      </c>
      <c r="BO44" s="100" t="n">
        <f aca="false">-IF(AND(65&gt;=Hipótesis!$D$48,Hipótesis!$B$48=1),IF(Hipótesis!$G$48=1,Hipótesis!$H$44,Hipótesis!$C$48*(1+Hipótesis!$D$45)^5)*(1+Hipótesis!$D$42),0)</f>
        <v>-7260</v>
      </c>
      <c r="BP44" s="100" t="n">
        <f aca="false">-IF(AND(66&gt;=Hipótesis!$D$48,Hipótesis!$B$48=1),IF(Hipótesis!$G$48=1,Hipótesis!$H$44,Hipótesis!$C$48*(1+Hipótesis!$D$45)^5)*(1+Hipótesis!$D$42),0)</f>
        <v>-7260</v>
      </c>
      <c r="BQ44" s="100" t="n">
        <f aca="false">-IF(AND(67&gt;=Hipótesis!$D$48,Hipótesis!$B$48=1),IF(Hipótesis!$G$48=1,Hipótesis!$H$44,Hipótesis!$C$48*(1+Hipótesis!$D$45)^5)*(1+Hipótesis!$D$42),0)</f>
        <v>-7260</v>
      </c>
      <c r="BR44" s="100" t="n">
        <f aca="false">-IF(AND(68&gt;=Hipótesis!$D$48,Hipótesis!$B$48=1),IF(Hipótesis!$G$48=1,Hipótesis!$H$44,Hipótesis!$C$48*(1+Hipótesis!$D$45)^5)*(1+Hipótesis!$D$42),0)</f>
        <v>-7260</v>
      </c>
      <c r="BS44" s="100" t="n">
        <f aca="false">-IF(AND(69&gt;=Hipótesis!$D$48,Hipótesis!$B$48=1),IF(Hipótesis!$G$48=1,Hipótesis!$H$44,Hipótesis!$C$48*(1+Hipótesis!$D$45)^5)*(1+Hipótesis!$D$42),0)</f>
        <v>-7260</v>
      </c>
      <c r="BT44" s="100" t="n">
        <f aca="false">-IF(AND(70&gt;=Hipótesis!$D$48,Hipótesis!$B$48=1),IF(Hipótesis!$G$48=1,Hipótesis!$H$44,Hipótesis!$C$48*(1+Hipótesis!$D$45)^5)*(1+Hipótesis!$D$42),0)</f>
        <v>-7260</v>
      </c>
      <c r="BU44" s="100" t="n">
        <f aca="false">-IF(AND(71&gt;=Hipótesis!$D$48,Hipótesis!$B$48=1),IF(Hipótesis!$G$48=1,Hipótesis!$H$44,Hipótesis!$C$48*(1+Hipótesis!$D$45)^5)*(1+Hipótesis!$D$42),0)</f>
        <v>-7260</v>
      </c>
      <c r="BV44" s="100" t="n">
        <f aca="false">-IF(AND(72&gt;=Hipótesis!$D$48,Hipótesis!$B$48=1),IF(Hipótesis!$G$48=1,Hipótesis!$H$44,Hipótesis!$C$48*(1+Hipótesis!$D$45)^5)*(1+Hipótesis!$D$42),0)</f>
        <v>-7260</v>
      </c>
      <c r="BW44" s="100" t="n">
        <f aca="false">-IF(AND(73&gt;=Hipótesis!$D$48,Hipótesis!$B$48=1),IF(Hipótesis!$G$48=1,Hipótesis!$I$44,Hipótesis!$C$48*(1+Hipótesis!$D$45)^6)*(1+Hipótesis!$D$42),0)</f>
        <v>-7920</v>
      </c>
      <c r="BX44" s="100" t="n">
        <f aca="false">-IF(AND(74&gt;=Hipótesis!$D$48,Hipótesis!$B$48=1),IF(Hipótesis!$G$48=1,Hipótesis!$I$44,Hipótesis!$C$48*(1+Hipótesis!$D$45)^6)*(1+Hipótesis!$D$42),0)</f>
        <v>-7920</v>
      </c>
      <c r="BY44" s="100" t="n">
        <f aca="false">-IF(AND(75&gt;=Hipótesis!$D$48,Hipótesis!$B$48=1),IF(Hipótesis!$G$48=1,Hipótesis!$I$44,Hipótesis!$C$48*(1+Hipótesis!$D$45)^6)*(1+Hipótesis!$D$42),0)</f>
        <v>-7920</v>
      </c>
      <c r="BZ44" s="100" t="n">
        <f aca="false">-IF(AND(76&gt;=Hipótesis!$D$48,Hipótesis!$B$48=1),IF(Hipótesis!$G$48=1,Hipótesis!$I$44,Hipótesis!$C$48*(1+Hipótesis!$D$45)^6)*(1+Hipótesis!$D$42),0)</f>
        <v>-7920</v>
      </c>
      <c r="CA44" s="100" t="n">
        <f aca="false">-IF(AND(77&gt;=Hipótesis!$D$48,Hipótesis!$B$48=1),IF(Hipótesis!$G$48=1,Hipótesis!$I$44,Hipótesis!$C$48*(1+Hipótesis!$D$45)^6)*(1+Hipótesis!$D$42),0)</f>
        <v>-7920</v>
      </c>
      <c r="CB44" s="100" t="n">
        <f aca="false">-IF(AND(78&gt;=Hipótesis!$D$48,Hipótesis!$B$48=1),IF(Hipótesis!$G$48=1,Hipótesis!$I$44,Hipótesis!$C$48*(1+Hipótesis!$D$45)^6)*(1+Hipótesis!$D$42),0)</f>
        <v>-7920</v>
      </c>
      <c r="CC44" s="100" t="n">
        <f aca="false">-IF(AND(79&gt;=Hipótesis!$D$48,Hipótesis!$B$48=1),IF(Hipótesis!$G$48=1,Hipótesis!$I$44,Hipótesis!$C$48*(1+Hipótesis!$D$45)^6)*(1+Hipótesis!$D$42),0)</f>
        <v>-7920</v>
      </c>
      <c r="CD44" s="100" t="n">
        <f aca="false">-IF(AND(80&gt;=Hipótesis!$D$48,Hipótesis!$B$48=1),IF(Hipótesis!$G$48=1,Hipótesis!$I$44,Hipótesis!$C$48*(1+Hipótesis!$D$45)^6)*(1+Hipótesis!$D$42),0)</f>
        <v>-7920</v>
      </c>
      <c r="CE44" s="100" t="n">
        <f aca="false">-IF(AND(81&gt;=Hipótesis!$D$48,Hipótesis!$B$48=1),IF(Hipótesis!$G$48=1,Hipótesis!$I$44,Hipótesis!$C$48*(1+Hipótesis!$D$45)^6)*(1+Hipótesis!$D$42),0)</f>
        <v>-7920</v>
      </c>
      <c r="CF44" s="100" t="n">
        <f aca="false">-IF(AND(82&gt;=Hipótesis!$D$48,Hipótesis!$B$48=1),IF(Hipótesis!$G$48=1,Hipótesis!$I$44,Hipótesis!$C$48*(1+Hipótesis!$D$45)^6)*(1+Hipótesis!$D$42),0)</f>
        <v>-7920</v>
      </c>
      <c r="CG44" s="100" t="n">
        <f aca="false">-IF(AND(83&gt;=Hipótesis!$D$48,Hipótesis!$B$48=1),IF(Hipótesis!$G$48=1,Hipótesis!$I$44,Hipótesis!$C$48*(1+Hipótesis!$D$45)^6)*(1+Hipótesis!$D$42),0)</f>
        <v>-7920</v>
      </c>
      <c r="CH44" s="100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6" t="s">
        <v>522</v>
      </c>
      <c r="C45" s="100" t="n">
        <f aca="false">-IF(AND(1&gt;=Hipótesis!$D$49,Hipótesis!$B$49=1),IF(Hipótesis!$G$49=1,Hipótesis!$C$44,Hipótesis!$C$49*(1+Hipótesis!$D$45)^0)*(1+Hipótesis!$D$42),0)</f>
        <v>-2904</v>
      </c>
      <c r="D45" s="100" t="n">
        <f aca="false">-IF(AND(2&gt;=Hipótesis!$D$49,Hipótesis!$B$49=1),IF(Hipótesis!$G$49=1,Hipótesis!$C$44,Hipótesis!$C$49*(1+Hipótesis!$D$45)^0)*(1+Hipótesis!$D$42),0)</f>
        <v>-2904</v>
      </c>
      <c r="E45" s="100" t="n">
        <f aca="false">-IF(AND(3&gt;=Hipótesis!$D$49,Hipótesis!$B$49=1),IF(Hipótesis!$G$49=1,Hipótesis!$C$44,Hipótesis!$C$49*(1+Hipótesis!$D$45)^0)*(1+Hipótesis!$D$42),0)</f>
        <v>-2904</v>
      </c>
      <c r="F45" s="100" t="n">
        <f aca="false">-IF(AND(4&gt;=Hipótesis!$D$49,Hipótesis!$B$49=1),IF(Hipótesis!$G$49=1,Hipótesis!$C$44,Hipótesis!$C$49*(1+Hipótesis!$D$45)^0)*(1+Hipótesis!$D$42),0)</f>
        <v>-2904</v>
      </c>
      <c r="G45" s="100" t="n">
        <f aca="false">-IF(AND(5&gt;=Hipótesis!$D$49,Hipótesis!$B$49=1),IF(Hipótesis!$G$49=1,Hipótesis!$C$44,Hipótesis!$C$49*(1+Hipótesis!$D$45)^0)*(1+Hipótesis!$D$42),0)</f>
        <v>-2904</v>
      </c>
      <c r="H45" s="100" t="n">
        <f aca="false">-IF(AND(6&gt;=Hipótesis!$D$49,Hipótesis!$B$49=1),IF(Hipótesis!$G$49=1,Hipótesis!$C$44,Hipótesis!$C$49*(1+Hipótesis!$D$45)^0)*(1+Hipótesis!$D$42),0)</f>
        <v>-2904</v>
      </c>
      <c r="I45" s="100" t="n">
        <f aca="false">-IF(AND(7&gt;=Hipótesis!$D$49,Hipótesis!$B$49=1),IF(Hipótesis!$G$49=1,Hipótesis!$C$44,Hipótesis!$C$49*(1+Hipótesis!$D$45)^0)*(1+Hipótesis!$D$42),0)</f>
        <v>-2904</v>
      </c>
      <c r="J45" s="100" t="n">
        <f aca="false">-IF(AND(8&gt;=Hipótesis!$D$49,Hipótesis!$B$49=1),IF(Hipótesis!$G$49=1,Hipótesis!$C$44,Hipótesis!$C$49*(1+Hipótesis!$D$45)^0)*(1+Hipótesis!$D$42),0)</f>
        <v>-2904</v>
      </c>
      <c r="K45" s="100" t="n">
        <f aca="false">-IF(AND(9&gt;=Hipótesis!$D$49,Hipótesis!$B$49=1),IF(Hipótesis!$G$49=1,Hipótesis!$C$44,Hipótesis!$C$49*(1+Hipótesis!$D$45)^0)*(1+Hipótesis!$D$42),0)</f>
        <v>-2904</v>
      </c>
      <c r="L45" s="100" t="n">
        <f aca="false">-IF(AND(10&gt;=Hipótesis!$D$49,Hipótesis!$B$49=1),IF(Hipótesis!$G$49=1,Hipótesis!$C$44,Hipótesis!$C$49*(1+Hipótesis!$D$45)^0)*(1+Hipótesis!$D$42),0)</f>
        <v>-2904</v>
      </c>
      <c r="M45" s="100" t="n">
        <f aca="false">-IF(AND(11&gt;=Hipótesis!$D$49,Hipótesis!$B$49=1),IF(Hipótesis!$G$49=1,Hipótesis!$C$44,Hipótesis!$C$49*(1+Hipótesis!$D$45)^0)*(1+Hipótesis!$D$42),0)</f>
        <v>-2904</v>
      </c>
      <c r="N45" s="100" t="n">
        <f aca="false">-IF(AND(12&gt;=Hipótesis!$D$49,Hipótesis!$B$49=1),IF(Hipótesis!$G$49=1,Hipótesis!$C$44,Hipótesis!$C$49*(1+Hipótesis!$D$45)^0)*(1+Hipótesis!$D$42),0)</f>
        <v>-2904</v>
      </c>
      <c r="O45" s="100" t="n">
        <f aca="false">-IF(AND(13&gt;=Hipótesis!$D$49,Hipótesis!$B$49=1),IF(Hipótesis!$G$49=1,Hipótesis!$D$44,Hipótesis!$C$49*(1+Hipótesis!$D$45)^1)*(1+Hipótesis!$D$42),0)</f>
        <v>-4620</v>
      </c>
      <c r="P45" s="100" t="n">
        <f aca="false">-IF(AND(14&gt;=Hipótesis!$D$49,Hipótesis!$B$49=1),IF(Hipótesis!$G$49=1,Hipótesis!$D$44,Hipótesis!$C$49*(1+Hipótesis!$D$45)^1)*(1+Hipótesis!$D$42),0)</f>
        <v>-4620</v>
      </c>
      <c r="Q45" s="100" t="n">
        <f aca="false">-IF(AND(15&gt;=Hipótesis!$D$49,Hipótesis!$B$49=1),IF(Hipótesis!$G$49=1,Hipótesis!$D$44,Hipótesis!$C$49*(1+Hipótesis!$D$45)^1)*(1+Hipótesis!$D$42),0)</f>
        <v>-4620</v>
      </c>
      <c r="R45" s="100" t="n">
        <f aca="false">-IF(AND(16&gt;=Hipótesis!$D$49,Hipótesis!$B$49=1),IF(Hipótesis!$G$49=1,Hipótesis!$D$44,Hipótesis!$C$49*(1+Hipótesis!$D$45)^1)*(1+Hipótesis!$D$42),0)</f>
        <v>-4620</v>
      </c>
      <c r="S45" s="100" t="n">
        <f aca="false">-IF(AND(17&gt;=Hipótesis!$D$49,Hipótesis!$B$49=1),IF(Hipótesis!$G$49=1,Hipótesis!$D$44,Hipótesis!$C$49*(1+Hipótesis!$D$45)^1)*(1+Hipótesis!$D$42),0)</f>
        <v>-4620</v>
      </c>
      <c r="T45" s="100" t="n">
        <f aca="false">-IF(AND(18&gt;=Hipótesis!$D$49,Hipótesis!$B$49=1),IF(Hipótesis!$G$49=1,Hipótesis!$D$44,Hipótesis!$C$49*(1+Hipótesis!$D$45)^1)*(1+Hipótesis!$D$42),0)</f>
        <v>-4620</v>
      </c>
      <c r="U45" s="100" t="n">
        <f aca="false">-IF(AND(19&gt;=Hipótesis!$D$49,Hipótesis!$B$49=1),IF(Hipótesis!$G$49=1,Hipótesis!$D$44,Hipótesis!$C$49*(1+Hipótesis!$D$45)^1)*(1+Hipótesis!$D$42),0)</f>
        <v>-4620</v>
      </c>
      <c r="V45" s="100" t="n">
        <f aca="false">-IF(AND(20&gt;=Hipótesis!$D$49,Hipótesis!$B$49=1),IF(Hipótesis!$G$49=1,Hipótesis!$D$44,Hipótesis!$C$49*(1+Hipótesis!$D$45)^1)*(1+Hipótesis!$D$42),0)</f>
        <v>-4620</v>
      </c>
      <c r="W45" s="100" t="n">
        <f aca="false">-IF(AND(21&gt;=Hipótesis!$D$49,Hipótesis!$B$49=1),IF(Hipótesis!$G$49=1,Hipótesis!$D$44,Hipótesis!$C$49*(1+Hipótesis!$D$45)^1)*(1+Hipótesis!$D$42),0)</f>
        <v>-4620</v>
      </c>
      <c r="X45" s="100" t="n">
        <f aca="false">-IF(AND(22&gt;=Hipótesis!$D$49,Hipótesis!$B$49=1),IF(Hipótesis!$G$49=1,Hipótesis!$D$44,Hipótesis!$C$49*(1+Hipótesis!$D$45)^1)*(1+Hipótesis!$D$42),0)</f>
        <v>-4620</v>
      </c>
      <c r="Y45" s="100" t="n">
        <f aca="false">-IF(AND(23&gt;=Hipótesis!$D$49,Hipótesis!$B$49=1),IF(Hipótesis!$G$49=1,Hipótesis!$D$44,Hipótesis!$C$49*(1+Hipótesis!$D$45)^1)*(1+Hipótesis!$D$42),0)</f>
        <v>-4620</v>
      </c>
      <c r="Z45" s="100" t="n">
        <f aca="false">-IF(AND(24&gt;=Hipótesis!$D$49,Hipótesis!$B$49=1),IF(Hipótesis!$G$49=1,Hipótesis!$D$44,Hipótesis!$C$49*(1+Hipótesis!$D$45)^1)*(1+Hipótesis!$D$42),0)</f>
        <v>-4620</v>
      </c>
      <c r="AA45" s="100" t="n">
        <f aca="false">-IF(AND(25&gt;=Hipótesis!$D$49,Hipótesis!$B$49=1),IF(Hipótesis!$G$49=1,Hipótesis!$E$44,Hipótesis!$C$49*(1+Hipótesis!$D$45)^2)*(1+Hipótesis!$D$42),0)</f>
        <v>-5280</v>
      </c>
      <c r="AB45" s="100" t="n">
        <f aca="false">-IF(AND(26&gt;=Hipótesis!$D$49,Hipótesis!$B$49=1),IF(Hipótesis!$G$49=1,Hipótesis!$E$44,Hipótesis!$C$49*(1+Hipótesis!$D$45)^2)*(1+Hipótesis!$D$42),0)</f>
        <v>-5280</v>
      </c>
      <c r="AC45" s="100" t="n">
        <f aca="false">-IF(AND(27&gt;=Hipótesis!$D$49,Hipótesis!$B$49=1),IF(Hipótesis!$G$49=1,Hipótesis!$E$44,Hipótesis!$C$49*(1+Hipótesis!$D$45)^2)*(1+Hipótesis!$D$42),0)</f>
        <v>-5280</v>
      </c>
      <c r="AD45" s="100" t="n">
        <f aca="false">-IF(AND(28&gt;=Hipótesis!$D$49,Hipótesis!$B$49=1),IF(Hipótesis!$G$49=1,Hipótesis!$E$44,Hipótesis!$C$49*(1+Hipótesis!$D$45)^2)*(1+Hipótesis!$D$42),0)</f>
        <v>-5280</v>
      </c>
      <c r="AE45" s="100" t="n">
        <f aca="false">-IF(AND(29&gt;=Hipótesis!$D$49,Hipótesis!$B$49=1),IF(Hipótesis!$G$49=1,Hipótesis!$E$44,Hipótesis!$C$49*(1+Hipótesis!$D$45)^2)*(1+Hipótesis!$D$42),0)</f>
        <v>-5280</v>
      </c>
      <c r="AF45" s="100" t="n">
        <f aca="false">-IF(AND(30&gt;=Hipótesis!$D$49,Hipótesis!$B$49=1),IF(Hipótesis!$G$49=1,Hipótesis!$E$44,Hipótesis!$C$49*(1+Hipótesis!$D$45)^2)*(1+Hipótesis!$D$42),0)</f>
        <v>-5280</v>
      </c>
      <c r="AG45" s="100" t="n">
        <f aca="false">-IF(AND(31&gt;=Hipótesis!$D$49,Hipótesis!$B$49=1),IF(Hipótesis!$G$49=1,Hipótesis!$E$44,Hipótesis!$C$49*(1+Hipótesis!$D$45)^2)*(1+Hipótesis!$D$42),0)</f>
        <v>-5280</v>
      </c>
      <c r="AH45" s="100" t="n">
        <f aca="false">-IF(AND(32&gt;=Hipótesis!$D$49,Hipótesis!$B$49=1),IF(Hipótesis!$G$49=1,Hipótesis!$E$44,Hipótesis!$C$49*(1+Hipótesis!$D$45)^2)*(1+Hipótesis!$D$42),0)</f>
        <v>-5280</v>
      </c>
      <c r="AI45" s="100" t="n">
        <f aca="false">-IF(AND(33&gt;=Hipótesis!$D$49,Hipótesis!$B$49=1),IF(Hipótesis!$G$49=1,Hipótesis!$E$44,Hipótesis!$C$49*(1+Hipótesis!$D$45)^2)*(1+Hipótesis!$D$42),0)</f>
        <v>-5280</v>
      </c>
      <c r="AJ45" s="100" t="n">
        <f aca="false">-IF(AND(34&gt;=Hipótesis!$D$49,Hipótesis!$B$49=1),IF(Hipótesis!$G$49=1,Hipótesis!$E$44,Hipótesis!$C$49*(1+Hipótesis!$D$45)^2)*(1+Hipótesis!$D$42),0)</f>
        <v>-5280</v>
      </c>
      <c r="AK45" s="100" t="n">
        <f aca="false">-IF(AND(35&gt;=Hipótesis!$D$49,Hipótesis!$B$49=1),IF(Hipótesis!$G$49=1,Hipótesis!$E$44,Hipótesis!$C$49*(1+Hipótesis!$D$45)^2)*(1+Hipótesis!$D$42),0)</f>
        <v>-5280</v>
      </c>
      <c r="AL45" s="100" t="n">
        <f aca="false">-IF(AND(36&gt;=Hipótesis!$D$49,Hipótesis!$B$49=1),IF(Hipótesis!$G$49=1,Hipótesis!$E$44,Hipótesis!$C$49*(1+Hipótesis!$D$45)^2)*(1+Hipótesis!$D$42),0)</f>
        <v>-5280</v>
      </c>
      <c r="AM45" s="100" t="n">
        <f aca="false">-IF(AND(37&gt;=Hipótesis!$D$49,Hipótesis!$B$49=1),IF(Hipótesis!$G$49=1,Hipótesis!$F$44,Hipótesis!$C$49*(1+Hipótesis!$D$45)^3)*(1+Hipótesis!$D$42),0)</f>
        <v>-5940</v>
      </c>
      <c r="AN45" s="100" t="n">
        <f aca="false">-IF(AND(38&gt;=Hipótesis!$D$49,Hipótesis!$B$49=1),IF(Hipótesis!$G$49=1,Hipótesis!$F$44,Hipótesis!$C$49*(1+Hipótesis!$D$45)^3)*(1+Hipótesis!$D$42),0)</f>
        <v>-5940</v>
      </c>
      <c r="AO45" s="100" t="n">
        <f aca="false">-IF(AND(39&gt;=Hipótesis!$D$49,Hipótesis!$B$49=1),IF(Hipótesis!$G$49=1,Hipótesis!$F$44,Hipótesis!$C$49*(1+Hipótesis!$D$45)^3)*(1+Hipótesis!$D$42),0)</f>
        <v>-5940</v>
      </c>
      <c r="AP45" s="100" t="n">
        <f aca="false">-IF(AND(40&gt;=Hipótesis!$D$49,Hipótesis!$B$49=1),IF(Hipótesis!$G$49=1,Hipótesis!$F$44,Hipótesis!$C$49*(1+Hipótesis!$D$45)^3)*(1+Hipótesis!$D$42),0)</f>
        <v>-5940</v>
      </c>
      <c r="AQ45" s="100" t="n">
        <f aca="false">-IF(AND(41&gt;=Hipótesis!$D$49,Hipótesis!$B$49=1),IF(Hipótesis!$G$49=1,Hipótesis!$F$44,Hipótesis!$C$49*(1+Hipótesis!$D$45)^3)*(1+Hipótesis!$D$42),0)</f>
        <v>-5940</v>
      </c>
      <c r="AR45" s="100" t="n">
        <f aca="false">-IF(AND(42&gt;=Hipótesis!$D$49,Hipótesis!$B$49=1),IF(Hipótesis!$G$49=1,Hipótesis!$F$44,Hipótesis!$C$49*(1+Hipótesis!$D$45)^3)*(1+Hipótesis!$D$42),0)</f>
        <v>-5940</v>
      </c>
      <c r="AS45" s="100" t="n">
        <f aca="false">-IF(AND(43&gt;=Hipótesis!$D$49,Hipótesis!$B$49=1),IF(Hipótesis!$G$49=1,Hipótesis!$F$44,Hipótesis!$C$49*(1+Hipótesis!$D$45)^3)*(1+Hipótesis!$D$42),0)</f>
        <v>-5940</v>
      </c>
      <c r="AT45" s="100" t="n">
        <f aca="false">-IF(AND(44&gt;=Hipótesis!$D$49,Hipótesis!$B$49=1),IF(Hipótesis!$G$49=1,Hipótesis!$F$44,Hipótesis!$C$49*(1+Hipótesis!$D$45)^3)*(1+Hipótesis!$D$42),0)</f>
        <v>-5940</v>
      </c>
      <c r="AU45" s="100" t="n">
        <f aca="false">-IF(AND(45&gt;=Hipótesis!$D$49,Hipótesis!$B$49=1),IF(Hipótesis!$G$49=1,Hipótesis!$F$44,Hipótesis!$C$49*(1+Hipótesis!$D$45)^3)*(1+Hipótesis!$D$42),0)</f>
        <v>-5940</v>
      </c>
      <c r="AV45" s="100" t="n">
        <f aca="false">-IF(AND(46&gt;=Hipótesis!$D$49,Hipótesis!$B$49=1),IF(Hipótesis!$G$49=1,Hipótesis!$F$44,Hipótesis!$C$49*(1+Hipótesis!$D$45)^3)*(1+Hipótesis!$D$42),0)</f>
        <v>-5940</v>
      </c>
      <c r="AW45" s="100" t="n">
        <f aca="false">-IF(AND(47&gt;=Hipótesis!$D$49,Hipótesis!$B$49=1),IF(Hipótesis!$G$49=1,Hipótesis!$F$44,Hipótesis!$C$49*(1+Hipótesis!$D$45)^3)*(1+Hipótesis!$D$42),0)</f>
        <v>-5940</v>
      </c>
      <c r="AX45" s="100" t="n">
        <f aca="false">-IF(AND(48&gt;=Hipótesis!$D$49,Hipótesis!$B$49=1),IF(Hipótesis!$G$49=1,Hipótesis!$F$44,Hipótesis!$C$49*(1+Hipótesis!$D$45)^3)*(1+Hipótesis!$D$42),0)</f>
        <v>-5940</v>
      </c>
      <c r="AY45" s="100" t="n">
        <f aca="false">-IF(AND(49&gt;=Hipótesis!$D$49,Hipótesis!$B$49=1),IF(Hipótesis!$G$49=1,Hipótesis!$G$44,Hipótesis!$C$49*(1+Hipótesis!$D$45)^4)*(1+Hipótesis!$D$42),0)</f>
        <v>-6600</v>
      </c>
      <c r="AZ45" s="100" t="n">
        <f aca="false">-IF(AND(50&gt;=Hipótesis!$D$49,Hipótesis!$B$49=1),IF(Hipótesis!$G$49=1,Hipótesis!$G$44,Hipótesis!$C$49*(1+Hipótesis!$D$45)^4)*(1+Hipótesis!$D$42),0)</f>
        <v>-6600</v>
      </c>
      <c r="BA45" s="100" t="n">
        <f aca="false">-IF(AND(51&gt;=Hipótesis!$D$49,Hipótesis!$B$49=1),IF(Hipótesis!$G$49=1,Hipótesis!$G$44,Hipótesis!$C$49*(1+Hipótesis!$D$45)^4)*(1+Hipótesis!$D$42),0)</f>
        <v>-6600</v>
      </c>
      <c r="BB45" s="100" t="n">
        <f aca="false">-IF(AND(52&gt;=Hipótesis!$D$49,Hipótesis!$B$49=1),IF(Hipótesis!$G$49=1,Hipótesis!$G$44,Hipótesis!$C$49*(1+Hipótesis!$D$45)^4)*(1+Hipótesis!$D$42),0)</f>
        <v>-6600</v>
      </c>
      <c r="BC45" s="100" t="n">
        <f aca="false">-IF(AND(53&gt;=Hipótesis!$D$49,Hipótesis!$B$49=1),IF(Hipótesis!$G$49=1,Hipótesis!$G$44,Hipótesis!$C$49*(1+Hipótesis!$D$45)^4)*(1+Hipótesis!$D$42),0)</f>
        <v>-6600</v>
      </c>
      <c r="BD45" s="100" t="n">
        <f aca="false">-IF(AND(54&gt;=Hipótesis!$D$49,Hipótesis!$B$49=1),IF(Hipótesis!$G$49=1,Hipótesis!$G$44,Hipótesis!$C$49*(1+Hipótesis!$D$45)^4)*(1+Hipótesis!$D$42),0)</f>
        <v>-6600</v>
      </c>
      <c r="BE45" s="100" t="n">
        <f aca="false">-IF(AND(55&gt;=Hipótesis!$D$49,Hipótesis!$B$49=1),IF(Hipótesis!$G$49=1,Hipótesis!$G$44,Hipótesis!$C$49*(1+Hipótesis!$D$45)^4)*(1+Hipótesis!$D$42),0)</f>
        <v>-6600</v>
      </c>
      <c r="BF45" s="100" t="n">
        <f aca="false">-IF(AND(56&gt;=Hipótesis!$D$49,Hipótesis!$B$49=1),IF(Hipótesis!$G$49=1,Hipótesis!$G$44,Hipótesis!$C$49*(1+Hipótesis!$D$45)^4)*(1+Hipótesis!$D$42),0)</f>
        <v>-6600</v>
      </c>
      <c r="BG45" s="100" t="n">
        <f aca="false">-IF(AND(57&gt;=Hipótesis!$D$49,Hipótesis!$B$49=1),IF(Hipótesis!$G$49=1,Hipótesis!$G$44,Hipótesis!$C$49*(1+Hipótesis!$D$45)^4)*(1+Hipótesis!$D$42),0)</f>
        <v>-6600</v>
      </c>
      <c r="BH45" s="100" t="n">
        <f aca="false">-IF(AND(58&gt;=Hipótesis!$D$49,Hipótesis!$B$49=1),IF(Hipótesis!$G$49=1,Hipótesis!$G$44,Hipótesis!$C$49*(1+Hipótesis!$D$45)^4)*(1+Hipótesis!$D$42),0)</f>
        <v>-6600</v>
      </c>
      <c r="BI45" s="100" t="n">
        <f aca="false">-IF(AND(59&gt;=Hipótesis!$D$49,Hipótesis!$B$49=1),IF(Hipótesis!$G$49=1,Hipótesis!$G$44,Hipótesis!$C$49*(1+Hipótesis!$D$45)^4)*(1+Hipótesis!$D$42),0)</f>
        <v>-6600</v>
      </c>
      <c r="BJ45" s="100" t="n">
        <f aca="false">-IF(AND(60&gt;=Hipótesis!$D$49,Hipótesis!$B$49=1),IF(Hipótesis!$G$49=1,Hipótesis!$G$44,Hipótesis!$C$49*(1+Hipótesis!$D$45)^4)*(1+Hipótesis!$D$42),0)</f>
        <v>-6600</v>
      </c>
      <c r="BK45" s="100" t="n">
        <f aca="false">-IF(AND(61&gt;=Hipótesis!$D$49,Hipótesis!$B$49=1),IF(Hipótesis!$G$49=1,Hipótesis!$H$44,Hipótesis!$C$49*(1+Hipótesis!$D$45)^5)*(1+Hipótesis!$D$42),0)</f>
        <v>-7260</v>
      </c>
      <c r="BL45" s="100" t="n">
        <f aca="false">-IF(AND(62&gt;=Hipótesis!$D$49,Hipótesis!$B$49=1),IF(Hipótesis!$G$49=1,Hipótesis!$H$44,Hipótesis!$C$49*(1+Hipótesis!$D$45)^5)*(1+Hipótesis!$D$42),0)</f>
        <v>-7260</v>
      </c>
      <c r="BM45" s="100" t="n">
        <f aca="false">-IF(AND(63&gt;=Hipótesis!$D$49,Hipótesis!$B$49=1),IF(Hipótesis!$G$49=1,Hipótesis!$H$44,Hipótesis!$C$49*(1+Hipótesis!$D$45)^5)*(1+Hipótesis!$D$42),0)</f>
        <v>-7260</v>
      </c>
      <c r="BN45" s="100" t="n">
        <f aca="false">-IF(AND(64&gt;=Hipótesis!$D$49,Hipótesis!$B$49=1),IF(Hipótesis!$G$49=1,Hipótesis!$H$44,Hipótesis!$C$49*(1+Hipótesis!$D$45)^5)*(1+Hipótesis!$D$42),0)</f>
        <v>-7260</v>
      </c>
      <c r="BO45" s="100" t="n">
        <f aca="false">-IF(AND(65&gt;=Hipótesis!$D$49,Hipótesis!$B$49=1),IF(Hipótesis!$G$49=1,Hipótesis!$H$44,Hipótesis!$C$49*(1+Hipótesis!$D$45)^5)*(1+Hipótesis!$D$42),0)</f>
        <v>-7260</v>
      </c>
      <c r="BP45" s="100" t="n">
        <f aca="false">-IF(AND(66&gt;=Hipótesis!$D$49,Hipótesis!$B$49=1),IF(Hipótesis!$G$49=1,Hipótesis!$H$44,Hipótesis!$C$49*(1+Hipótesis!$D$45)^5)*(1+Hipótesis!$D$42),0)</f>
        <v>-7260</v>
      </c>
      <c r="BQ45" s="100" t="n">
        <f aca="false">-IF(AND(67&gt;=Hipótesis!$D$49,Hipótesis!$B$49=1),IF(Hipótesis!$G$49=1,Hipótesis!$H$44,Hipótesis!$C$49*(1+Hipótesis!$D$45)^5)*(1+Hipótesis!$D$42),0)</f>
        <v>-7260</v>
      </c>
      <c r="BR45" s="100" t="n">
        <f aca="false">-IF(AND(68&gt;=Hipótesis!$D$49,Hipótesis!$B$49=1),IF(Hipótesis!$G$49=1,Hipótesis!$H$44,Hipótesis!$C$49*(1+Hipótesis!$D$45)^5)*(1+Hipótesis!$D$42),0)</f>
        <v>-7260</v>
      </c>
      <c r="BS45" s="100" t="n">
        <f aca="false">-IF(AND(69&gt;=Hipótesis!$D$49,Hipótesis!$B$49=1),IF(Hipótesis!$G$49=1,Hipótesis!$H$44,Hipótesis!$C$49*(1+Hipótesis!$D$45)^5)*(1+Hipótesis!$D$42),0)</f>
        <v>-7260</v>
      </c>
      <c r="BT45" s="100" t="n">
        <f aca="false">-IF(AND(70&gt;=Hipótesis!$D$49,Hipótesis!$B$49=1),IF(Hipótesis!$G$49=1,Hipótesis!$H$44,Hipótesis!$C$49*(1+Hipótesis!$D$45)^5)*(1+Hipótesis!$D$42),0)</f>
        <v>-7260</v>
      </c>
      <c r="BU45" s="100" t="n">
        <f aca="false">-IF(AND(71&gt;=Hipótesis!$D$49,Hipótesis!$B$49=1),IF(Hipótesis!$G$49=1,Hipótesis!$H$44,Hipótesis!$C$49*(1+Hipótesis!$D$45)^5)*(1+Hipótesis!$D$42),0)</f>
        <v>-7260</v>
      </c>
      <c r="BV45" s="100" t="n">
        <f aca="false">-IF(AND(72&gt;=Hipótesis!$D$49,Hipótesis!$B$49=1),IF(Hipótesis!$G$49=1,Hipótesis!$H$44,Hipótesis!$C$49*(1+Hipótesis!$D$45)^5)*(1+Hipótesis!$D$42),0)</f>
        <v>-7260</v>
      </c>
      <c r="BW45" s="100" t="n">
        <f aca="false">-IF(AND(73&gt;=Hipótesis!$D$49,Hipótesis!$B$49=1),IF(Hipótesis!$G$49=1,Hipótesis!$I$44,Hipótesis!$C$49*(1+Hipótesis!$D$45)^6)*(1+Hipótesis!$D$42),0)</f>
        <v>-7920</v>
      </c>
      <c r="BX45" s="100" t="n">
        <f aca="false">-IF(AND(74&gt;=Hipótesis!$D$49,Hipótesis!$B$49=1),IF(Hipótesis!$G$49=1,Hipótesis!$I$44,Hipótesis!$C$49*(1+Hipótesis!$D$45)^6)*(1+Hipótesis!$D$42),0)</f>
        <v>-7920</v>
      </c>
      <c r="BY45" s="100" t="n">
        <f aca="false">-IF(AND(75&gt;=Hipótesis!$D$49,Hipótesis!$B$49=1),IF(Hipótesis!$G$49=1,Hipótesis!$I$44,Hipótesis!$C$49*(1+Hipótesis!$D$45)^6)*(1+Hipótesis!$D$42),0)</f>
        <v>-7920</v>
      </c>
      <c r="BZ45" s="100" t="n">
        <f aca="false">-IF(AND(76&gt;=Hipótesis!$D$49,Hipótesis!$B$49=1),IF(Hipótesis!$G$49=1,Hipótesis!$I$44,Hipótesis!$C$49*(1+Hipótesis!$D$45)^6)*(1+Hipótesis!$D$42),0)</f>
        <v>-7920</v>
      </c>
      <c r="CA45" s="100" t="n">
        <f aca="false">-IF(AND(77&gt;=Hipótesis!$D$49,Hipótesis!$B$49=1),IF(Hipótesis!$G$49=1,Hipótesis!$I$44,Hipótesis!$C$49*(1+Hipótesis!$D$45)^6)*(1+Hipótesis!$D$42),0)</f>
        <v>-7920</v>
      </c>
      <c r="CB45" s="100" t="n">
        <f aca="false">-IF(AND(78&gt;=Hipótesis!$D$49,Hipótesis!$B$49=1),IF(Hipótesis!$G$49=1,Hipótesis!$I$44,Hipótesis!$C$49*(1+Hipótesis!$D$45)^6)*(1+Hipótesis!$D$42),0)</f>
        <v>-7920</v>
      </c>
      <c r="CC45" s="100" t="n">
        <f aca="false">-IF(AND(79&gt;=Hipótesis!$D$49,Hipótesis!$B$49=1),IF(Hipótesis!$G$49=1,Hipótesis!$I$44,Hipótesis!$C$49*(1+Hipótesis!$D$45)^6)*(1+Hipótesis!$D$42),0)</f>
        <v>-7920</v>
      </c>
      <c r="CD45" s="100" t="n">
        <f aca="false">-IF(AND(80&gt;=Hipótesis!$D$49,Hipótesis!$B$49=1),IF(Hipótesis!$G$49=1,Hipótesis!$I$44,Hipótesis!$C$49*(1+Hipótesis!$D$45)^6)*(1+Hipótesis!$D$42),0)</f>
        <v>-7920</v>
      </c>
      <c r="CE45" s="100" t="n">
        <f aca="false">-IF(AND(81&gt;=Hipótesis!$D$49,Hipótesis!$B$49=1),IF(Hipótesis!$G$49=1,Hipótesis!$I$44,Hipótesis!$C$49*(1+Hipótesis!$D$45)^6)*(1+Hipótesis!$D$42),0)</f>
        <v>-7920</v>
      </c>
      <c r="CF45" s="100" t="n">
        <f aca="false">-IF(AND(82&gt;=Hipótesis!$D$49,Hipótesis!$B$49=1),IF(Hipótesis!$G$49=1,Hipótesis!$I$44,Hipótesis!$C$49*(1+Hipótesis!$D$45)^6)*(1+Hipótesis!$D$42),0)</f>
        <v>-7920</v>
      </c>
      <c r="CG45" s="100" t="n">
        <f aca="false">-IF(AND(83&gt;=Hipótesis!$D$49,Hipótesis!$B$49=1),IF(Hipótesis!$G$49=1,Hipótesis!$I$44,Hipótesis!$C$49*(1+Hipótesis!$D$45)^6)*(1+Hipótesis!$D$42),0)</f>
        <v>-7920</v>
      </c>
      <c r="CH45" s="100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6" t="s">
        <v>523</v>
      </c>
      <c r="C46" s="100" t="n">
        <f aca="false">-IF(AND(1&gt;=Hipótesis!$D$50,Hipótesis!$B$50=1),IF(Hipótesis!$G$50=1,Hipótesis!$C$44,Hipótesis!$C$50*(1+Hipótesis!$D$45)^0)*(1+Hipótesis!$D$42),0)</f>
        <v>-2904</v>
      </c>
      <c r="D46" s="100" t="n">
        <f aca="false">-IF(AND(2&gt;=Hipótesis!$D$50,Hipótesis!$B$50=1),IF(Hipótesis!$G$50=1,Hipótesis!$C$44,Hipótesis!$C$50*(1+Hipótesis!$D$45)^0)*(1+Hipótesis!$D$42),0)</f>
        <v>-2904</v>
      </c>
      <c r="E46" s="100" t="n">
        <f aca="false">-IF(AND(3&gt;=Hipótesis!$D$50,Hipótesis!$B$50=1),IF(Hipótesis!$G$50=1,Hipótesis!$C$44,Hipótesis!$C$50*(1+Hipótesis!$D$45)^0)*(1+Hipótesis!$D$42),0)</f>
        <v>-2904</v>
      </c>
      <c r="F46" s="100" t="n">
        <f aca="false">-IF(AND(4&gt;=Hipótesis!$D$50,Hipótesis!$B$50=1),IF(Hipótesis!$G$50=1,Hipótesis!$C$44,Hipótesis!$C$50*(1+Hipótesis!$D$45)^0)*(1+Hipótesis!$D$42),0)</f>
        <v>-2904</v>
      </c>
      <c r="G46" s="100" t="n">
        <f aca="false">-IF(AND(5&gt;=Hipótesis!$D$50,Hipótesis!$B$50=1),IF(Hipótesis!$G$50=1,Hipótesis!$C$44,Hipótesis!$C$50*(1+Hipótesis!$D$45)^0)*(1+Hipótesis!$D$42),0)</f>
        <v>-2904</v>
      </c>
      <c r="H46" s="100" t="n">
        <f aca="false">-IF(AND(6&gt;=Hipótesis!$D$50,Hipótesis!$B$50=1),IF(Hipótesis!$G$50=1,Hipótesis!$C$44,Hipótesis!$C$50*(1+Hipótesis!$D$45)^0)*(1+Hipótesis!$D$42),0)</f>
        <v>-2904</v>
      </c>
      <c r="I46" s="100" t="n">
        <f aca="false">-IF(AND(7&gt;=Hipótesis!$D$50,Hipótesis!$B$50=1),IF(Hipótesis!$G$50=1,Hipótesis!$C$44,Hipótesis!$C$50*(1+Hipótesis!$D$45)^0)*(1+Hipótesis!$D$42),0)</f>
        <v>-2904</v>
      </c>
      <c r="J46" s="100" t="n">
        <f aca="false">-IF(AND(8&gt;=Hipótesis!$D$50,Hipótesis!$B$50=1),IF(Hipótesis!$G$50=1,Hipótesis!$C$44,Hipótesis!$C$50*(1+Hipótesis!$D$45)^0)*(1+Hipótesis!$D$42),0)</f>
        <v>-2904</v>
      </c>
      <c r="K46" s="100" t="n">
        <f aca="false">-IF(AND(9&gt;=Hipótesis!$D$50,Hipótesis!$B$50=1),IF(Hipótesis!$G$50=1,Hipótesis!$C$44,Hipótesis!$C$50*(1+Hipótesis!$D$45)^0)*(1+Hipótesis!$D$42),0)</f>
        <v>-2904</v>
      </c>
      <c r="L46" s="100" t="n">
        <f aca="false">-IF(AND(10&gt;=Hipótesis!$D$50,Hipótesis!$B$50=1),IF(Hipótesis!$G$50=1,Hipótesis!$C$44,Hipótesis!$C$50*(1+Hipótesis!$D$45)^0)*(1+Hipótesis!$D$42),0)</f>
        <v>-2904</v>
      </c>
      <c r="M46" s="100" t="n">
        <f aca="false">-IF(AND(11&gt;=Hipótesis!$D$50,Hipótesis!$B$50=1),IF(Hipótesis!$G$50=1,Hipótesis!$C$44,Hipótesis!$C$50*(1+Hipótesis!$D$45)^0)*(1+Hipótesis!$D$42),0)</f>
        <v>-2904</v>
      </c>
      <c r="N46" s="100" t="n">
        <f aca="false">-IF(AND(12&gt;=Hipótesis!$D$50,Hipótesis!$B$50=1),IF(Hipótesis!$G$50=1,Hipótesis!$C$44,Hipótesis!$C$50*(1+Hipótesis!$D$45)^0)*(1+Hipótesis!$D$42),0)</f>
        <v>-2904</v>
      </c>
      <c r="O46" s="100" t="n">
        <f aca="false">-IF(AND(13&gt;=Hipótesis!$D$50,Hipótesis!$B$50=1),IF(Hipótesis!$G$50=1,Hipótesis!$D$44,Hipótesis!$C$50*(1+Hipótesis!$D$45)^1)*(1+Hipótesis!$D$42),0)</f>
        <v>-4620</v>
      </c>
      <c r="P46" s="100" t="n">
        <f aca="false">-IF(AND(14&gt;=Hipótesis!$D$50,Hipótesis!$B$50=1),IF(Hipótesis!$G$50=1,Hipótesis!$D$44,Hipótesis!$C$50*(1+Hipótesis!$D$45)^1)*(1+Hipótesis!$D$42),0)</f>
        <v>-4620</v>
      </c>
      <c r="Q46" s="100" t="n">
        <f aca="false">-IF(AND(15&gt;=Hipótesis!$D$50,Hipótesis!$B$50=1),IF(Hipótesis!$G$50=1,Hipótesis!$D$44,Hipótesis!$C$50*(1+Hipótesis!$D$45)^1)*(1+Hipótesis!$D$42),0)</f>
        <v>-4620</v>
      </c>
      <c r="R46" s="100" t="n">
        <f aca="false">-IF(AND(16&gt;=Hipótesis!$D$50,Hipótesis!$B$50=1),IF(Hipótesis!$G$50=1,Hipótesis!$D$44,Hipótesis!$C$50*(1+Hipótesis!$D$45)^1)*(1+Hipótesis!$D$42),0)</f>
        <v>-4620</v>
      </c>
      <c r="S46" s="100" t="n">
        <f aca="false">-IF(AND(17&gt;=Hipótesis!$D$50,Hipótesis!$B$50=1),IF(Hipótesis!$G$50=1,Hipótesis!$D$44,Hipótesis!$C$50*(1+Hipótesis!$D$45)^1)*(1+Hipótesis!$D$42),0)</f>
        <v>-4620</v>
      </c>
      <c r="T46" s="100" t="n">
        <f aca="false">-IF(AND(18&gt;=Hipótesis!$D$50,Hipótesis!$B$50=1),IF(Hipótesis!$G$50=1,Hipótesis!$D$44,Hipótesis!$C$50*(1+Hipótesis!$D$45)^1)*(1+Hipótesis!$D$42),0)</f>
        <v>-4620</v>
      </c>
      <c r="U46" s="100" t="n">
        <f aca="false">-IF(AND(19&gt;=Hipótesis!$D$50,Hipótesis!$B$50=1),IF(Hipótesis!$G$50=1,Hipótesis!$D$44,Hipótesis!$C$50*(1+Hipótesis!$D$45)^1)*(1+Hipótesis!$D$42),0)</f>
        <v>-4620</v>
      </c>
      <c r="V46" s="100" t="n">
        <f aca="false">-IF(AND(20&gt;=Hipótesis!$D$50,Hipótesis!$B$50=1),IF(Hipótesis!$G$50=1,Hipótesis!$D$44,Hipótesis!$C$50*(1+Hipótesis!$D$45)^1)*(1+Hipótesis!$D$42),0)</f>
        <v>-4620</v>
      </c>
      <c r="W46" s="100" t="n">
        <f aca="false">-IF(AND(21&gt;=Hipótesis!$D$50,Hipótesis!$B$50=1),IF(Hipótesis!$G$50=1,Hipótesis!$D$44,Hipótesis!$C$50*(1+Hipótesis!$D$45)^1)*(1+Hipótesis!$D$42),0)</f>
        <v>-4620</v>
      </c>
      <c r="X46" s="100" t="n">
        <f aca="false">-IF(AND(22&gt;=Hipótesis!$D$50,Hipótesis!$B$50=1),IF(Hipótesis!$G$50=1,Hipótesis!$D$44,Hipótesis!$C$50*(1+Hipótesis!$D$45)^1)*(1+Hipótesis!$D$42),0)</f>
        <v>-4620</v>
      </c>
      <c r="Y46" s="100" t="n">
        <f aca="false">-IF(AND(23&gt;=Hipótesis!$D$50,Hipótesis!$B$50=1),IF(Hipótesis!$G$50=1,Hipótesis!$D$44,Hipótesis!$C$50*(1+Hipótesis!$D$45)^1)*(1+Hipótesis!$D$42),0)</f>
        <v>-4620</v>
      </c>
      <c r="Z46" s="100" t="n">
        <f aca="false">-IF(AND(24&gt;=Hipótesis!$D$50,Hipótesis!$B$50=1),IF(Hipótesis!$G$50=1,Hipótesis!$D$44,Hipótesis!$C$50*(1+Hipótesis!$D$45)^1)*(1+Hipótesis!$D$42),0)</f>
        <v>-4620</v>
      </c>
      <c r="AA46" s="100" t="n">
        <f aca="false">-IF(AND(25&gt;=Hipótesis!$D$50,Hipótesis!$B$50=1),IF(Hipótesis!$G$50=1,Hipótesis!$E$44,Hipótesis!$C$50*(1+Hipótesis!$D$45)^2)*(1+Hipótesis!$D$42),0)</f>
        <v>-5280</v>
      </c>
      <c r="AB46" s="100" t="n">
        <f aca="false">-IF(AND(26&gt;=Hipótesis!$D$50,Hipótesis!$B$50=1),IF(Hipótesis!$G$50=1,Hipótesis!$E$44,Hipótesis!$C$50*(1+Hipótesis!$D$45)^2)*(1+Hipótesis!$D$42),0)</f>
        <v>-5280</v>
      </c>
      <c r="AC46" s="100" t="n">
        <f aca="false">-IF(AND(27&gt;=Hipótesis!$D$50,Hipótesis!$B$50=1),IF(Hipótesis!$G$50=1,Hipótesis!$E$44,Hipótesis!$C$50*(1+Hipótesis!$D$45)^2)*(1+Hipótesis!$D$42),0)</f>
        <v>-5280</v>
      </c>
      <c r="AD46" s="100" t="n">
        <f aca="false">-IF(AND(28&gt;=Hipótesis!$D$50,Hipótesis!$B$50=1),IF(Hipótesis!$G$50=1,Hipótesis!$E$44,Hipótesis!$C$50*(1+Hipótesis!$D$45)^2)*(1+Hipótesis!$D$42),0)</f>
        <v>-5280</v>
      </c>
      <c r="AE46" s="100" t="n">
        <f aca="false">-IF(AND(29&gt;=Hipótesis!$D$50,Hipótesis!$B$50=1),IF(Hipótesis!$G$50=1,Hipótesis!$E$44,Hipótesis!$C$50*(1+Hipótesis!$D$45)^2)*(1+Hipótesis!$D$42),0)</f>
        <v>-5280</v>
      </c>
      <c r="AF46" s="100" t="n">
        <f aca="false">-IF(AND(30&gt;=Hipótesis!$D$50,Hipótesis!$B$50=1),IF(Hipótesis!$G$50=1,Hipótesis!$E$44,Hipótesis!$C$50*(1+Hipótesis!$D$45)^2)*(1+Hipótesis!$D$42),0)</f>
        <v>-5280</v>
      </c>
      <c r="AG46" s="100" t="n">
        <f aca="false">-IF(AND(31&gt;=Hipótesis!$D$50,Hipótesis!$B$50=1),IF(Hipótesis!$G$50=1,Hipótesis!$E$44,Hipótesis!$C$50*(1+Hipótesis!$D$45)^2)*(1+Hipótesis!$D$42),0)</f>
        <v>-5280</v>
      </c>
      <c r="AH46" s="100" t="n">
        <f aca="false">-IF(AND(32&gt;=Hipótesis!$D$50,Hipótesis!$B$50=1),IF(Hipótesis!$G$50=1,Hipótesis!$E$44,Hipótesis!$C$50*(1+Hipótesis!$D$45)^2)*(1+Hipótesis!$D$42),0)</f>
        <v>-5280</v>
      </c>
      <c r="AI46" s="100" t="n">
        <f aca="false">-IF(AND(33&gt;=Hipótesis!$D$50,Hipótesis!$B$50=1),IF(Hipótesis!$G$50=1,Hipótesis!$E$44,Hipótesis!$C$50*(1+Hipótesis!$D$45)^2)*(1+Hipótesis!$D$42),0)</f>
        <v>-5280</v>
      </c>
      <c r="AJ46" s="100" t="n">
        <f aca="false">-IF(AND(34&gt;=Hipótesis!$D$50,Hipótesis!$B$50=1),IF(Hipótesis!$G$50=1,Hipótesis!$E$44,Hipótesis!$C$50*(1+Hipótesis!$D$45)^2)*(1+Hipótesis!$D$42),0)</f>
        <v>-5280</v>
      </c>
      <c r="AK46" s="100" t="n">
        <f aca="false">-IF(AND(35&gt;=Hipótesis!$D$50,Hipótesis!$B$50=1),IF(Hipótesis!$G$50=1,Hipótesis!$E$44,Hipótesis!$C$50*(1+Hipótesis!$D$45)^2)*(1+Hipótesis!$D$42),0)</f>
        <v>-5280</v>
      </c>
      <c r="AL46" s="100" t="n">
        <f aca="false">-IF(AND(36&gt;=Hipótesis!$D$50,Hipótesis!$B$50=1),IF(Hipótesis!$G$50=1,Hipótesis!$E$44,Hipótesis!$C$50*(1+Hipótesis!$D$45)^2)*(1+Hipótesis!$D$42),0)</f>
        <v>-5280</v>
      </c>
      <c r="AM46" s="100" t="n">
        <f aca="false">-IF(AND(37&gt;=Hipótesis!$D$50,Hipótesis!$B$50=1),IF(Hipótesis!$G$50=1,Hipótesis!$F$44,Hipótesis!$C$50*(1+Hipótesis!$D$45)^3)*(1+Hipótesis!$D$42),0)</f>
        <v>-5940</v>
      </c>
      <c r="AN46" s="100" t="n">
        <f aca="false">-IF(AND(38&gt;=Hipótesis!$D$50,Hipótesis!$B$50=1),IF(Hipótesis!$G$50=1,Hipótesis!$F$44,Hipótesis!$C$50*(1+Hipótesis!$D$45)^3)*(1+Hipótesis!$D$42),0)</f>
        <v>-5940</v>
      </c>
      <c r="AO46" s="100" t="n">
        <f aca="false">-IF(AND(39&gt;=Hipótesis!$D$50,Hipótesis!$B$50=1),IF(Hipótesis!$G$50=1,Hipótesis!$F$44,Hipótesis!$C$50*(1+Hipótesis!$D$45)^3)*(1+Hipótesis!$D$42),0)</f>
        <v>-5940</v>
      </c>
      <c r="AP46" s="100" t="n">
        <f aca="false">-IF(AND(40&gt;=Hipótesis!$D$50,Hipótesis!$B$50=1),IF(Hipótesis!$G$50=1,Hipótesis!$F$44,Hipótesis!$C$50*(1+Hipótesis!$D$45)^3)*(1+Hipótesis!$D$42),0)</f>
        <v>-5940</v>
      </c>
      <c r="AQ46" s="100" t="n">
        <f aca="false">-IF(AND(41&gt;=Hipótesis!$D$50,Hipótesis!$B$50=1),IF(Hipótesis!$G$50=1,Hipótesis!$F$44,Hipótesis!$C$50*(1+Hipótesis!$D$45)^3)*(1+Hipótesis!$D$42),0)</f>
        <v>-5940</v>
      </c>
      <c r="AR46" s="100" t="n">
        <f aca="false">-IF(AND(42&gt;=Hipótesis!$D$50,Hipótesis!$B$50=1),IF(Hipótesis!$G$50=1,Hipótesis!$F$44,Hipótesis!$C$50*(1+Hipótesis!$D$45)^3)*(1+Hipótesis!$D$42),0)</f>
        <v>-5940</v>
      </c>
      <c r="AS46" s="100" t="n">
        <f aca="false">-IF(AND(43&gt;=Hipótesis!$D$50,Hipótesis!$B$50=1),IF(Hipótesis!$G$50=1,Hipótesis!$F$44,Hipótesis!$C$50*(1+Hipótesis!$D$45)^3)*(1+Hipótesis!$D$42),0)</f>
        <v>-5940</v>
      </c>
      <c r="AT46" s="100" t="n">
        <f aca="false">-IF(AND(44&gt;=Hipótesis!$D$50,Hipótesis!$B$50=1),IF(Hipótesis!$G$50=1,Hipótesis!$F$44,Hipótesis!$C$50*(1+Hipótesis!$D$45)^3)*(1+Hipótesis!$D$42),0)</f>
        <v>-5940</v>
      </c>
      <c r="AU46" s="100" t="n">
        <f aca="false">-IF(AND(45&gt;=Hipótesis!$D$50,Hipótesis!$B$50=1),IF(Hipótesis!$G$50=1,Hipótesis!$F$44,Hipótesis!$C$50*(1+Hipótesis!$D$45)^3)*(1+Hipótesis!$D$42),0)</f>
        <v>-5940</v>
      </c>
      <c r="AV46" s="100" t="n">
        <f aca="false">-IF(AND(46&gt;=Hipótesis!$D$50,Hipótesis!$B$50=1),IF(Hipótesis!$G$50=1,Hipótesis!$F$44,Hipótesis!$C$50*(1+Hipótesis!$D$45)^3)*(1+Hipótesis!$D$42),0)</f>
        <v>-5940</v>
      </c>
      <c r="AW46" s="100" t="n">
        <f aca="false">-IF(AND(47&gt;=Hipótesis!$D$50,Hipótesis!$B$50=1),IF(Hipótesis!$G$50=1,Hipótesis!$F$44,Hipótesis!$C$50*(1+Hipótesis!$D$45)^3)*(1+Hipótesis!$D$42),0)</f>
        <v>-5940</v>
      </c>
      <c r="AX46" s="100" t="n">
        <f aca="false">-IF(AND(48&gt;=Hipótesis!$D$50,Hipótesis!$B$50=1),IF(Hipótesis!$G$50=1,Hipótesis!$F$44,Hipótesis!$C$50*(1+Hipótesis!$D$45)^3)*(1+Hipótesis!$D$42),0)</f>
        <v>-5940</v>
      </c>
      <c r="AY46" s="100" t="n">
        <f aca="false">-IF(AND(49&gt;=Hipótesis!$D$50,Hipótesis!$B$50=1),IF(Hipótesis!$G$50=1,Hipótesis!$G$44,Hipótesis!$C$50*(1+Hipótesis!$D$45)^4)*(1+Hipótesis!$D$42),0)</f>
        <v>-6600</v>
      </c>
      <c r="AZ46" s="100" t="n">
        <f aca="false">-IF(AND(50&gt;=Hipótesis!$D$50,Hipótesis!$B$50=1),IF(Hipótesis!$G$50=1,Hipótesis!$G$44,Hipótesis!$C$50*(1+Hipótesis!$D$45)^4)*(1+Hipótesis!$D$42),0)</f>
        <v>-6600</v>
      </c>
      <c r="BA46" s="100" t="n">
        <f aca="false">-IF(AND(51&gt;=Hipótesis!$D$50,Hipótesis!$B$50=1),IF(Hipótesis!$G$50=1,Hipótesis!$G$44,Hipótesis!$C$50*(1+Hipótesis!$D$45)^4)*(1+Hipótesis!$D$42),0)</f>
        <v>-6600</v>
      </c>
      <c r="BB46" s="100" t="n">
        <f aca="false">-IF(AND(52&gt;=Hipótesis!$D$50,Hipótesis!$B$50=1),IF(Hipótesis!$G$50=1,Hipótesis!$G$44,Hipótesis!$C$50*(1+Hipótesis!$D$45)^4)*(1+Hipótesis!$D$42),0)</f>
        <v>-6600</v>
      </c>
      <c r="BC46" s="100" t="n">
        <f aca="false">-IF(AND(53&gt;=Hipótesis!$D$50,Hipótesis!$B$50=1),IF(Hipótesis!$G$50=1,Hipótesis!$G$44,Hipótesis!$C$50*(1+Hipótesis!$D$45)^4)*(1+Hipótesis!$D$42),0)</f>
        <v>-6600</v>
      </c>
      <c r="BD46" s="100" t="n">
        <f aca="false">-IF(AND(54&gt;=Hipótesis!$D$50,Hipótesis!$B$50=1),IF(Hipótesis!$G$50=1,Hipótesis!$G$44,Hipótesis!$C$50*(1+Hipótesis!$D$45)^4)*(1+Hipótesis!$D$42),0)</f>
        <v>-6600</v>
      </c>
      <c r="BE46" s="100" t="n">
        <f aca="false">-IF(AND(55&gt;=Hipótesis!$D$50,Hipótesis!$B$50=1),IF(Hipótesis!$G$50=1,Hipótesis!$G$44,Hipótesis!$C$50*(1+Hipótesis!$D$45)^4)*(1+Hipótesis!$D$42),0)</f>
        <v>-6600</v>
      </c>
      <c r="BF46" s="100" t="n">
        <f aca="false">-IF(AND(56&gt;=Hipótesis!$D$50,Hipótesis!$B$50=1),IF(Hipótesis!$G$50=1,Hipótesis!$G$44,Hipótesis!$C$50*(1+Hipótesis!$D$45)^4)*(1+Hipótesis!$D$42),0)</f>
        <v>-6600</v>
      </c>
      <c r="BG46" s="100" t="n">
        <f aca="false">-IF(AND(57&gt;=Hipótesis!$D$50,Hipótesis!$B$50=1),IF(Hipótesis!$G$50=1,Hipótesis!$G$44,Hipótesis!$C$50*(1+Hipótesis!$D$45)^4)*(1+Hipótesis!$D$42),0)</f>
        <v>-6600</v>
      </c>
      <c r="BH46" s="100" t="n">
        <f aca="false">-IF(AND(58&gt;=Hipótesis!$D$50,Hipótesis!$B$50=1),IF(Hipótesis!$G$50=1,Hipótesis!$G$44,Hipótesis!$C$50*(1+Hipótesis!$D$45)^4)*(1+Hipótesis!$D$42),0)</f>
        <v>-6600</v>
      </c>
      <c r="BI46" s="100" t="n">
        <f aca="false">-IF(AND(59&gt;=Hipótesis!$D$50,Hipótesis!$B$50=1),IF(Hipótesis!$G$50=1,Hipótesis!$G$44,Hipótesis!$C$50*(1+Hipótesis!$D$45)^4)*(1+Hipótesis!$D$42),0)</f>
        <v>-6600</v>
      </c>
      <c r="BJ46" s="100" t="n">
        <f aca="false">-IF(AND(60&gt;=Hipótesis!$D$50,Hipótesis!$B$50=1),IF(Hipótesis!$G$50=1,Hipótesis!$G$44,Hipótesis!$C$50*(1+Hipótesis!$D$45)^4)*(1+Hipótesis!$D$42),0)</f>
        <v>-6600</v>
      </c>
      <c r="BK46" s="100" t="n">
        <f aca="false">-IF(AND(61&gt;=Hipótesis!$D$50,Hipótesis!$B$50=1),IF(Hipótesis!$G$50=1,Hipótesis!$H$44,Hipótesis!$C$50*(1+Hipótesis!$D$45)^5)*(1+Hipótesis!$D$42),0)</f>
        <v>-7260</v>
      </c>
      <c r="BL46" s="100" t="n">
        <f aca="false">-IF(AND(62&gt;=Hipótesis!$D$50,Hipótesis!$B$50=1),IF(Hipótesis!$G$50=1,Hipótesis!$H$44,Hipótesis!$C$50*(1+Hipótesis!$D$45)^5)*(1+Hipótesis!$D$42),0)</f>
        <v>-7260</v>
      </c>
      <c r="BM46" s="100" t="n">
        <f aca="false">-IF(AND(63&gt;=Hipótesis!$D$50,Hipótesis!$B$50=1),IF(Hipótesis!$G$50=1,Hipótesis!$H$44,Hipótesis!$C$50*(1+Hipótesis!$D$45)^5)*(1+Hipótesis!$D$42),0)</f>
        <v>-7260</v>
      </c>
      <c r="BN46" s="100" t="n">
        <f aca="false">-IF(AND(64&gt;=Hipótesis!$D$50,Hipótesis!$B$50=1),IF(Hipótesis!$G$50=1,Hipótesis!$H$44,Hipótesis!$C$50*(1+Hipótesis!$D$45)^5)*(1+Hipótesis!$D$42),0)</f>
        <v>-7260</v>
      </c>
      <c r="BO46" s="100" t="n">
        <f aca="false">-IF(AND(65&gt;=Hipótesis!$D$50,Hipótesis!$B$50=1),IF(Hipótesis!$G$50=1,Hipótesis!$H$44,Hipótesis!$C$50*(1+Hipótesis!$D$45)^5)*(1+Hipótesis!$D$42),0)</f>
        <v>-7260</v>
      </c>
      <c r="BP46" s="100" t="n">
        <f aca="false">-IF(AND(66&gt;=Hipótesis!$D$50,Hipótesis!$B$50=1),IF(Hipótesis!$G$50=1,Hipótesis!$H$44,Hipótesis!$C$50*(1+Hipótesis!$D$45)^5)*(1+Hipótesis!$D$42),0)</f>
        <v>-7260</v>
      </c>
      <c r="BQ46" s="100" t="n">
        <f aca="false">-IF(AND(67&gt;=Hipótesis!$D$50,Hipótesis!$B$50=1),IF(Hipótesis!$G$50=1,Hipótesis!$H$44,Hipótesis!$C$50*(1+Hipótesis!$D$45)^5)*(1+Hipótesis!$D$42),0)</f>
        <v>-7260</v>
      </c>
      <c r="BR46" s="100" t="n">
        <f aca="false">-IF(AND(68&gt;=Hipótesis!$D$50,Hipótesis!$B$50=1),IF(Hipótesis!$G$50=1,Hipótesis!$H$44,Hipótesis!$C$50*(1+Hipótesis!$D$45)^5)*(1+Hipótesis!$D$42),0)</f>
        <v>-7260</v>
      </c>
      <c r="BS46" s="100" t="n">
        <f aca="false">-IF(AND(69&gt;=Hipótesis!$D$50,Hipótesis!$B$50=1),IF(Hipótesis!$G$50=1,Hipótesis!$H$44,Hipótesis!$C$50*(1+Hipótesis!$D$45)^5)*(1+Hipótesis!$D$42),0)</f>
        <v>-7260</v>
      </c>
      <c r="BT46" s="100" t="n">
        <f aca="false">-IF(AND(70&gt;=Hipótesis!$D$50,Hipótesis!$B$50=1),IF(Hipótesis!$G$50=1,Hipótesis!$H$44,Hipótesis!$C$50*(1+Hipótesis!$D$45)^5)*(1+Hipótesis!$D$42),0)</f>
        <v>-7260</v>
      </c>
      <c r="BU46" s="100" t="n">
        <f aca="false">-IF(AND(71&gt;=Hipótesis!$D$50,Hipótesis!$B$50=1),IF(Hipótesis!$G$50=1,Hipótesis!$H$44,Hipótesis!$C$50*(1+Hipótesis!$D$45)^5)*(1+Hipótesis!$D$42),0)</f>
        <v>-7260</v>
      </c>
      <c r="BV46" s="100" t="n">
        <f aca="false">-IF(AND(72&gt;=Hipótesis!$D$50,Hipótesis!$B$50=1),IF(Hipótesis!$G$50=1,Hipótesis!$H$44,Hipótesis!$C$50*(1+Hipótesis!$D$45)^5)*(1+Hipótesis!$D$42),0)</f>
        <v>-7260</v>
      </c>
      <c r="BW46" s="100" t="n">
        <f aca="false">-IF(AND(73&gt;=Hipótesis!$D$50,Hipótesis!$B$50=1),IF(Hipótesis!$G$50=1,Hipótesis!$I$44,Hipótesis!$C$50*(1+Hipótesis!$D$45)^6)*(1+Hipótesis!$D$42),0)</f>
        <v>-7920</v>
      </c>
      <c r="BX46" s="100" t="n">
        <f aca="false">-IF(AND(74&gt;=Hipótesis!$D$50,Hipótesis!$B$50=1),IF(Hipótesis!$G$50=1,Hipótesis!$I$44,Hipótesis!$C$50*(1+Hipótesis!$D$45)^6)*(1+Hipótesis!$D$42),0)</f>
        <v>-7920</v>
      </c>
      <c r="BY46" s="100" t="n">
        <f aca="false">-IF(AND(75&gt;=Hipótesis!$D$50,Hipótesis!$B$50=1),IF(Hipótesis!$G$50=1,Hipótesis!$I$44,Hipótesis!$C$50*(1+Hipótesis!$D$45)^6)*(1+Hipótesis!$D$42),0)</f>
        <v>-7920</v>
      </c>
      <c r="BZ46" s="100" t="n">
        <f aca="false">-IF(AND(76&gt;=Hipótesis!$D$50,Hipótesis!$B$50=1),IF(Hipótesis!$G$50=1,Hipótesis!$I$44,Hipótesis!$C$50*(1+Hipótesis!$D$45)^6)*(1+Hipótesis!$D$42),0)</f>
        <v>-7920</v>
      </c>
      <c r="CA46" s="100" t="n">
        <f aca="false">-IF(AND(77&gt;=Hipótesis!$D$50,Hipótesis!$B$50=1),IF(Hipótesis!$G$50=1,Hipótesis!$I$44,Hipótesis!$C$50*(1+Hipótesis!$D$45)^6)*(1+Hipótesis!$D$42),0)</f>
        <v>-7920</v>
      </c>
      <c r="CB46" s="100" t="n">
        <f aca="false">-IF(AND(78&gt;=Hipótesis!$D$50,Hipótesis!$B$50=1),IF(Hipótesis!$G$50=1,Hipótesis!$I$44,Hipótesis!$C$50*(1+Hipótesis!$D$45)^6)*(1+Hipótesis!$D$42),0)</f>
        <v>-7920</v>
      </c>
      <c r="CC46" s="100" t="n">
        <f aca="false">-IF(AND(79&gt;=Hipótesis!$D$50,Hipótesis!$B$50=1),IF(Hipótesis!$G$50=1,Hipótesis!$I$44,Hipótesis!$C$50*(1+Hipótesis!$D$45)^6)*(1+Hipótesis!$D$42),0)</f>
        <v>-7920</v>
      </c>
      <c r="CD46" s="100" t="n">
        <f aca="false">-IF(AND(80&gt;=Hipótesis!$D$50,Hipótesis!$B$50=1),IF(Hipótesis!$G$50=1,Hipótesis!$I$44,Hipótesis!$C$50*(1+Hipótesis!$D$45)^6)*(1+Hipótesis!$D$42),0)</f>
        <v>-7920</v>
      </c>
      <c r="CE46" s="100" t="n">
        <f aca="false">-IF(AND(81&gt;=Hipótesis!$D$50,Hipótesis!$B$50=1),IF(Hipótesis!$G$50=1,Hipótesis!$I$44,Hipótesis!$C$50*(1+Hipótesis!$D$45)^6)*(1+Hipótesis!$D$42),0)</f>
        <v>-7920</v>
      </c>
      <c r="CF46" s="100" t="n">
        <f aca="false">-IF(AND(82&gt;=Hipótesis!$D$50,Hipótesis!$B$50=1),IF(Hipótesis!$G$50=1,Hipótesis!$I$44,Hipótesis!$C$50*(1+Hipótesis!$D$45)^6)*(1+Hipótesis!$D$42),0)</f>
        <v>-7920</v>
      </c>
      <c r="CG46" s="100" t="n">
        <f aca="false">-IF(AND(83&gt;=Hipótesis!$D$50,Hipótesis!$B$50=1),IF(Hipótesis!$G$50=1,Hipótesis!$I$44,Hipótesis!$C$50*(1+Hipótesis!$D$45)^6)*(1+Hipótesis!$D$42),0)</f>
        <v>-7920</v>
      </c>
      <c r="CH46" s="100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6" t="s">
        <v>524</v>
      </c>
      <c r="C47" s="100" t="n">
        <f aca="false">-IF(AND(1&gt;=Hipótesis!$D$51,Hipótesis!$B$51=1),IF(Hipótesis!$G$51=1,Hipótesis!$C$44,Hipótesis!$C$51*(1+Hipótesis!$D$45)^0)*(1+Hipótesis!$D$42),0)</f>
        <v>-2640</v>
      </c>
      <c r="D47" s="100" t="n">
        <f aca="false">-IF(AND(2&gt;=Hipótesis!$D$51,Hipótesis!$B$51=1),IF(Hipótesis!$G$51=1,Hipótesis!$C$44,Hipótesis!$C$51*(1+Hipótesis!$D$45)^0)*(1+Hipótesis!$D$42),0)</f>
        <v>-2640</v>
      </c>
      <c r="E47" s="100" t="n">
        <f aca="false">-IF(AND(3&gt;=Hipótesis!$D$51,Hipótesis!$B$51=1),IF(Hipótesis!$G$51=1,Hipótesis!$C$44,Hipótesis!$C$51*(1+Hipótesis!$D$45)^0)*(1+Hipótesis!$D$42),0)</f>
        <v>-2640</v>
      </c>
      <c r="F47" s="100" t="n">
        <f aca="false">-IF(AND(4&gt;=Hipótesis!$D$51,Hipótesis!$B$51=1),IF(Hipótesis!$G$51=1,Hipótesis!$C$44,Hipótesis!$C$51*(1+Hipótesis!$D$45)^0)*(1+Hipótesis!$D$42),0)</f>
        <v>-2640</v>
      </c>
      <c r="G47" s="100" t="n">
        <f aca="false">-IF(AND(5&gt;=Hipótesis!$D$51,Hipótesis!$B$51=1),IF(Hipótesis!$G$51=1,Hipótesis!$C$44,Hipótesis!$C$51*(1+Hipótesis!$D$45)^0)*(1+Hipótesis!$D$42),0)</f>
        <v>-2640</v>
      </c>
      <c r="H47" s="100" t="n">
        <f aca="false">-IF(AND(6&gt;=Hipótesis!$D$51,Hipótesis!$B$51=1),IF(Hipótesis!$G$51=1,Hipótesis!$C$44,Hipótesis!$C$51*(1+Hipótesis!$D$45)^0)*(1+Hipótesis!$D$42),0)</f>
        <v>-2640</v>
      </c>
      <c r="I47" s="100" t="n">
        <f aca="false">-IF(AND(7&gt;=Hipótesis!$D$51,Hipótesis!$B$51=1),IF(Hipótesis!$G$51=1,Hipótesis!$C$44,Hipótesis!$C$51*(1+Hipótesis!$D$45)^0)*(1+Hipótesis!$D$42),0)</f>
        <v>-2640</v>
      </c>
      <c r="J47" s="100" t="n">
        <f aca="false">-IF(AND(8&gt;=Hipótesis!$D$51,Hipótesis!$B$51=1),IF(Hipótesis!$G$51=1,Hipótesis!$C$44,Hipótesis!$C$51*(1+Hipótesis!$D$45)^0)*(1+Hipótesis!$D$42),0)</f>
        <v>-2640</v>
      </c>
      <c r="K47" s="100" t="n">
        <f aca="false">-IF(AND(9&gt;=Hipótesis!$D$51,Hipótesis!$B$51=1),IF(Hipótesis!$G$51=1,Hipótesis!$C$44,Hipótesis!$C$51*(1+Hipótesis!$D$45)^0)*(1+Hipótesis!$D$42),0)</f>
        <v>-2640</v>
      </c>
      <c r="L47" s="100" t="n">
        <f aca="false">-IF(AND(10&gt;=Hipótesis!$D$51,Hipótesis!$B$51=1),IF(Hipótesis!$G$51=1,Hipótesis!$C$44,Hipótesis!$C$51*(1+Hipótesis!$D$45)^0)*(1+Hipótesis!$D$42),0)</f>
        <v>-2640</v>
      </c>
      <c r="M47" s="100" t="n">
        <f aca="false">-IF(AND(11&gt;=Hipótesis!$D$51,Hipótesis!$B$51=1),IF(Hipótesis!$G$51=1,Hipótesis!$C$44,Hipótesis!$C$51*(1+Hipótesis!$D$45)^0)*(1+Hipótesis!$D$42),0)</f>
        <v>-2640</v>
      </c>
      <c r="N47" s="100" t="n">
        <f aca="false">-IF(AND(12&gt;=Hipótesis!$D$51,Hipótesis!$B$51=1),IF(Hipótesis!$G$51=1,Hipótesis!$C$44,Hipótesis!$C$51*(1+Hipótesis!$D$45)^0)*(1+Hipótesis!$D$42),0)</f>
        <v>-2640</v>
      </c>
      <c r="O47" s="100" t="n">
        <f aca="false">-IF(AND(13&gt;=Hipótesis!$D$51,Hipótesis!$B$51=1),IF(Hipótesis!$G$51=1,Hipótesis!$D$44,Hipótesis!$C$51*(1+Hipótesis!$D$45)^1)*(1+Hipótesis!$D$42),0)</f>
        <v>-2719.2</v>
      </c>
      <c r="P47" s="100" t="n">
        <f aca="false">-IF(AND(14&gt;=Hipótesis!$D$51,Hipótesis!$B$51=1),IF(Hipótesis!$G$51=1,Hipótesis!$D$44,Hipótesis!$C$51*(1+Hipótesis!$D$45)^1)*(1+Hipótesis!$D$42),0)</f>
        <v>-2719.2</v>
      </c>
      <c r="Q47" s="100" t="n">
        <f aca="false">-IF(AND(15&gt;=Hipótesis!$D$51,Hipótesis!$B$51=1),IF(Hipótesis!$G$51=1,Hipótesis!$D$44,Hipótesis!$C$51*(1+Hipótesis!$D$45)^1)*(1+Hipótesis!$D$42),0)</f>
        <v>-2719.2</v>
      </c>
      <c r="R47" s="100" t="n">
        <f aca="false">-IF(AND(16&gt;=Hipótesis!$D$51,Hipótesis!$B$51=1),IF(Hipótesis!$G$51=1,Hipótesis!$D$44,Hipótesis!$C$51*(1+Hipótesis!$D$45)^1)*(1+Hipótesis!$D$42),0)</f>
        <v>-2719.2</v>
      </c>
      <c r="S47" s="100" t="n">
        <f aca="false">-IF(AND(17&gt;=Hipótesis!$D$51,Hipótesis!$B$51=1),IF(Hipótesis!$G$51=1,Hipótesis!$D$44,Hipótesis!$C$51*(1+Hipótesis!$D$45)^1)*(1+Hipótesis!$D$42),0)</f>
        <v>-2719.2</v>
      </c>
      <c r="T47" s="100" t="n">
        <f aca="false">-IF(AND(18&gt;=Hipótesis!$D$51,Hipótesis!$B$51=1),IF(Hipótesis!$G$51=1,Hipótesis!$D$44,Hipótesis!$C$51*(1+Hipótesis!$D$45)^1)*(1+Hipótesis!$D$42),0)</f>
        <v>-2719.2</v>
      </c>
      <c r="U47" s="100" t="n">
        <f aca="false">-IF(AND(19&gt;=Hipótesis!$D$51,Hipótesis!$B$51=1),IF(Hipótesis!$G$51=1,Hipótesis!$D$44,Hipótesis!$C$51*(1+Hipótesis!$D$45)^1)*(1+Hipótesis!$D$42),0)</f>
        <v>-2719.2</v>
      </c>
      <c r="V47" s="100" t="n">
        <f aca="false">-IF(AND(20&gt;=Hipótesis!$D$51,Hipótesis!$B$51=1),IF(Hipótesis!$G$51=1,Hipótesis!$D$44,Hipótesis!$C$51*(1+Hipótesis!$D$45)^1)*(1+Hipótesis!$D$42),0)</f>
        <v>-2719.2</v>
      </c>
      <c r="W47" s="100" t="n">
        <f aca="false">-IF(AND(21&gt;=Hipótesis!$D$51,Hipótesis!$B$51=1),IF(Hipótesis!$G$51=1,Hipótesis!$D$44,Hipótesis!$C$51*(1+Hipótesis!$D$45)^1)*(1+Hipótesis!$D$42),0)</f>
        <v>-2719.2</v>
      </c>
      <c r="X47" s="100" t="n">
        <f aca="false">-IF(AND(22&gt;=Hipótesis!$D$51,Hipótesis!$B$51=1),IF(Hipótesis!$G$51=1,Hipótesis!$D$44,Hipótesis!$C$51*(1+Hipótesis!$D$45)^1)*(1+Hipótesis!$D$42),0)</f>
        <v>-2719.2</v>
      </c>
      <c r="Y47" s="100" t="n">
        <f aca="false">-IF(AND(23&gt;=Hipótesis!$D$51,Hipótesis!$B$51=1),IF(Hipótesis!$G$51=1,Hipótesis!$D$44,Hipótesis!$C$51*(1+Hipótesis!$D$45)^1)*(1+Hipótesis!$D$42),0)</f>
        <v>-2719.2</v>
      </c>
      <c r="Z47" s="100" t="n">
        <f aca="false">-IF(AND(24&gt;=Hipótesis!$D$51,Hipótesis!$B$51=1),IF(Hipótesis!$G$51=1,Hipótesis!$D$44,Hipótesis!$C$51*(1+Hipótesis!$D$45)^1)*(1+Hipótesis!$D$42),0)</f>
        <v>-2719.2</v>
      </c>
      <c r="AA47" s="100" t="n">
        <f aca="false">-IF(AND(25&gt;=Hipótesis!$D$51,Hipótesis!$B$51=1),IF(Hipótesis!$G$51=1,Hipótesis!$E$44,Hipótesis!$C$51*(1+Hipótesis!$D$45)^2)*(1+Hipótesis!$D$42),0)</f>
        <v>-2800.776</v>
      </c>
      <c r="AB47" s="100" t="n">
        <f aca="false">-IF(AND(26&gt;=Hipótesis!$D$51,Hipótesis!$B$51=1),IF(Hipótesis!$G$51=1,Hipótesis!$E$44,Hipótesis!$C$51*(1+Hipótesis!$D$45)^2)*(1+Hipótesis!$D$42),0)</f>
        <v>-2800.776</v>
      </c>
      <c r="AC47" s="100" t="n">
        <f aca="false">-IF(AND(27&gt;=Hipótesis!$D$51,Hipótesis!$B$51=1),IF(Hipótesis!$G$51=1,Hipótesis!$E$44,Hipótesis!$C$51*(1+Hipótesis!$D$45)^2)*(1+Hipótesis!$D$42),0)</f>
        <v>-2800.776</v>
      </c>
      <c r="AD47" s="100" t="n">
        <f aca="false">-IF(AND(28&gt;=Hipótesis!$D$51,Hipótesis!$B$51=1),IF(Hipótesis!$G$51=1,Hipótesis!$E$44,Hipótesis!$C$51*(1+Hipótesis!$D$45)^2)*(1+Hipótesis!$D$42),0)</f>
        <v>-2800.776</v>
      </c>
      <c r="AE47" s="100" t="n">
        <f aca="false">-IF(AND(29&gt;=Hipótesis!$D$51,Hipótesis!$B$51=1),IF(Hipótesis!$G$51=1,Hipótesis!$E$44,Hipótesis!$C$51*(1+Hipótesis!$D$45)^2)*(1+Hipótesis!$D$42),0)</f>
        <v>-2800.776</v>
      </c>
      <c r="AF47" s="100" t="n">
        <f aca="false">-IF(AND(30&gt;=Hipótesis!$D$51,Hipótesis!$B$51=1),IF(Hipótesis!$G$51=1,Hipótesis!$E$44,Hipótesis!$C$51*(1+Hipótesis!$D$45)^2)*(1+Hipótesis!$D$42),0)</f>
        <v>-2800.776</v>
      </c>
      <c r="AG47" s="100" t="n">
        <f aca="false">-IF(AND(31&gt;=Hipótesis!$D$51,Hipótesis!$B$51=1),IF(Hipótesis!$G$51=1,Hipótesis!$E$44,Hipótesis!$C$51*(1+Hipótesis!$D$45)^2)*(1+Hipótesis!$D$42),0)</f>
        <v>-2800.776</v>
      </c>
      <c r="AH47" s="100" t="n">
        <f aca="false">-IF(AND(32&gt;=Hipótesis!$D$51,Hipótesis!$B$51=1),IF(Hipótesis!$G$51=1,Hipótesis!$E$44,Hipótesis!$C$51*(1+Hipótesis!$D$45)^2)*(1+Hipótesis!$D$42),0)</f>
        <v>-2800.776</v>
      </c>
      <c r="AI47" s="100" t="n">
        <f aca="false">-IF(AND(33&gt;=Hipótesis!$D$51,Hipótesis!$B$51=1),IF(Hipótesis!$G$51=1,Hipótesis!$E$44,Hipótesis!$C$51*(1+Hipótesis!$D$45)^2)*(1+Hipótesis!$D$42),0)</f>
        <v>-2800.776</v>
      </c>
      <c r="AJ47" s="100" t="n">
        <f aca="false">-IF(AND(34&gt;=Hipótesis!$D$51,Hipótesis!$B$51=1),IF(Hipótesis!$G$51=1,Hipótesis!$E$44,Hipótesis!$C$51*(1+Hipótesis!$D$45)^2)*(1+Hipótesis!$D$42),0)</f>
        <v>-2800.776</v>
      </c>
      <c r="AK47" s="100" t="n">
        <f aca="false">-IF(AND(35&gt;=Hipótesis!$D$51,Hipótesis!$B$51=1),IF(Hipótesis!$G$51=1,Hipótesis!$E$44,Hipótesis!$C$51*(1+Hipótesis!$D$45)^2)*(1+Hipótesis!$D$42),0)</f>
        <v>-2800.776</v>
      </c>
      <c r="AL47" s="100" t="n">
        <f aca="false">-IF(AND(36&gt;=Hipótesis!$D$51,Hipótesis!$B$51=1),IF(Hipótesis!$G$51=1,Hipótesis!$E$44,Hipótesis!$C$51*(1+Hipótesis!$D$45)^2)*(1+Hipótesis!$D$42),0)</f>
        <v>-2800.776</v>
      </c>
      <c r="AM47" s="100" t="n">
        <f aca="false">-IF(AND(37&gt;=Hipótesis!$D$51,Hipótesis!$B$51=1),IF(Hipótesis!$G$51=1,Hipótesis!$F$44,Hipótesis!$C$51*(1+Hipótesis!$D$45)^3)*(1+Hipótesis!$D$42),0)</f>
        <v>-2884.79928</v>
      </c>
      <c r="AN47" s="100" t="n">
        <f aca="false">-IF(AND(38&gt;=Hipótesis!$D$51,Hipótesis!$B$51=1),IF(Hipótesis!$G$51=1,Hipótesis!$F$44,Hipótesis!$C$51*(1+Hipótesis!$D$45)^3)*(1+Hipótesis!$D$42),0)</f>
        <v>-2884.79928</v>
      </c>
      <c r="AO47" s="100" t="n">
        <f aca="false">-IF(AND(39&gt;=Hipótesis!$D$51,Hipótesis!$B$51=1),IF(Hipótesis!$G$51=1,Hipótesis!$F$44,Hipótesis!$C$51*(1+Hipótesis!$D$45)^3)*(1+Hipótesis!$D$42),0)</f>
        <v>-2884.79928</v>
      </c>
      <c r="AP47" s="100" t="n">
        <f aca="false">-IF(AND(40&gt;=Hipótesis!$D$51,Hipótesis!$B$51=1),IF(Hipótesis!$G$51=1,Hipótesis!$F$44,Hipótesis!$C$51*(1+Hipótesis!$D$45)^3)*(1+Hipótesis!$D$42),0)</f>
        <v>-2884.79928</v>
      </c>
      <c r="AQ47" s="100" t="n">
        <f aca="false">-IF(AND(41&gt;=Hipótesis!$D$51,Hipótesis!$B$51=1),IF(Hipótesis!$G$51=1,Hipótesis!$F$44,Hipótesis!$C$51*(1+Hipótesis!$D$45)^3)*(1+Hipótesis!$D$42),0)</f>
        <v>-2884.79928</v>
      </c>
      <c r="AR47" s="100" t="n">
        <f aca="false">-IF(AND(42&gt;=Hipótesis!$D$51,Hipótesis!$B$51=1),IF(Hipótesis!$G$51=1,Hipótesis!$F$44,Hipótesis!$C$51*(1+Hipótesis!$D$45)^3)*(1+Hipótesis!$D$42),0)</f>
        <v>-2884.79928</v>
      </c>
      <c r="AS47" s="100" t="n">
        <f aca="false">-IF(AND(43&gt;=Hipótesis!$D$51,Hipótesis!$B$51=1),IF(Hipótesis!$G$51=1,Hipótesis!$F$44,Hipótesis!$C$51*(1+Hipótesis!$D$45)^3)*(1+Hipótesis!$D$42),0)</f>
        <v>-2884.79928</v>
      </c>
      <c r="AT47" s="100" t="n">
        <f aca="false">-IF(AND(44&gt;=Hipótesis!$D$51,Hipótesis!$B$51=1),IF(Hipótesis!$G$51=1,Hipótesis!$F$44,Hipótesis!$C$51*(1+Hipótesis!$D$45)^3)*(1+Hipótesis!$D$42),0)</f>
        <v>-2884.79928</v>
      </c>
      <c r="AU47" s="100" t="n">
        <f aca="false">-IF(AND(45&gt;=Hipótesis!$D$51,Hipótesis!$B$51=1),IF(Hipótesis!$G$51=1,Hipótesis!$F$44,Hipótesis!$C$51*(1+Hipótesis!$D$45)^3)*(1+Hipótesis!$D$42),0)</f>
        <v>-2884.79928</v>
      </c>
      <c r="AV47" s="100" t="n">
        <f aca="false">-IF(AND(46&gt;=Hipótesis!$D$51,Hipótesis!$B$51=1),IF(Hipótesis!$G$51=1,Hipótesis!$F$44,Hipótesis!$C$51*(1+Hipótesis!$D$45)^3)*(1+Hipótesis!$D$42),0)</f>
        <v>-2884.79928</v>
      </c>
      <c r="AW47" s="100" t="n">
        <f aca="false">-IF(AND(47&gt;=Hipótesis!$D$51,Hipótesis!$B$51=1),IF(Hipótesis!$G$51=1,Hipótesis!$F$44,Hipótesis!$C$51*(1+Hipótesis!$D$45)^3)*(1+Hipótesis!$D$42),0)</f>
        <v>-2884.79928</v>
      </c>
      <c r="AX47" s="100" t="n">
        <f aca="false">-IF(AND(48&gt;=Hipótesis!$D$51,Hipótesis!$B$51=1),IF(Hipótesis!$G$51=1,Hipótesis!$F$44,Hipótesis!$C$51*(1+Hipótesis!$D$45)^3)*(1+Hipótesis!$D$42),0)</f>
        <v>-2884.79928</v>
      </c>
      <c r="AY47" s="100" t="n">
        <f aca="false">-IF(AND(49&gt;=Hipótesis!$D$51,Hipótesis!$B$51=1),IF(Hipótesis!$G$51=1,Hipótesis!$G$44,Hipótesis!$C$51*(1+Hipótesis!$D$45)^4)*(1+Hipótesis!$D$42),0)</f>
        <v>-2971.3432584</v>
      </c>
      <c r="AZ47" s="100" t="n">
        <f aca="false">-IF(AND(50&gt;=Hipótesis!$D$51,Hipótesis!$B$51=1),IF(Hipótesis!$G$51=1,Hipótesis!$G$44,Hipótesis!$C$51*(1+Hipótesis!$D$45)^4)*(1+Hipótesis!$D$42),0)</f>
        <v>-2971.3432584</v>
      </c>
      <c r="BA47" s="100" t="n">
        <f aca="false">-IF(AND(51&gt;=Hipótesis!$D$51,Hipótesis!$B$51=1),IF(Hipótesis!$G$51=1,Hipótesis!$G$44,Hipótesis!$C$51*(1+Hipótesis!$D$45)^4)*(1+Hipótesis!$D$42),0)</f>
        <v>-2971.3432584</v>
      </c>
      <c r="BB47" s="100" t="n">
        <f aca="false">-IF(AND(52&gt;=Hipótesis!$D$51,Hipótesis!$B$51=1),IF(Hipótesis!$G$51=1,Hipótesis!$G$44,Hipótesis!$C$51*(1+Hipótesis!$D$45)^4)*(1+Hipótesis!$D$42),0)</f>
        <v>-2971.3432584</v>
      </c>
      <c r="BC47" s="100" t="n">
        <f aca="false">-IF(AND(53&gt;=Hipótesis!$D$51,Hipótesis!$B$51=1),IF(Hipótesis!$G$51=1,Hipótesis!$G$44,Hipótesis!$C$51*(1+Hipótesis!$D$45)^4)*(1+Hipótesis!$D$42),0)</f>
        <v>-2971.3432584</v>
      </c>
      <c r="BD47" s="100" t="n">
        <f aca="false">-IF(AND(54&gt;=Hipótesis!$D$51,Hipótesis!$B$51=1),IF(Hipótesis!$G$51=1,Hipótesis!$G$44,Hipótesis!$C$51*(1+Hipótesis!$D$45)^4)*(1+Hipótesis!$D$42),0)</f>
        <v>-2971.3432584</v>
      </c>
      <c r="BE47" s="100" t="n">
        <f aca="false">-IF(AND(55&gt;=Hipótesis!$D$51,Hipótesis!$B$51=1),IF(Hipótesis!$G$51=1,Hipótesis!$G$44,Hipótesis!$C$51*(1+Hipótesis!$D$45)^4)*(1+Hipótesis!$D$42),0)</f>
        <v>-2971.3432584</v>
      </c>
      <c r="BF47" s="100" t="n">
        <f aca="false">-IF(AND(56&gt;=Hipótesis!$D$51,Hipótesis!$B$51=1),IF(Hipótesis!$G$51=1,Hipótesis!$G$44,Hipótesis!$C$51*(1+Hipótesis!$D$45)^4)*(1+Hipótesis!$D$42),0)</f>
        <v>-2971.3432584</v>
      </c>
      <c r="BG47" s="100" t="n">
        <f aca="false">-IF(AND(57&gt;=Hipótesis!$D$51,Hipótesis!$B$51=1),IF(Hipótesis!$G$51=1,Hipótesis!$G$44,Hipótesis!$C$51*(1+Hipótesis!$D$45)^4)*(1+Hipótesis!$D$42),0)</f>
        <v>-2971.3432584</v>
      </c>
      <c r="BH47" s="100" t="n">
        <f aca="false">-IF(AND(58&gt;=Hipótesis!$D$51,Hipótesis!$B$51=1),IF(Hipótesis!$G$51=1,Hipótesis!$G$44,Hipótesis!$C$51*(1+Hipótesis!$D$45)^4)*(1+Hipótesis!$D$42),0)</f>
        <v>-2971.3432584</v>
      </c>
      <c r="BI47" s="100" t="n">
        <f aca="false">-IF(AND(59&gt;=Hipótesis!$D$51,Hipótesis!$B$51=1),IF(Hipótesis!$G$51=1,Hipótesis!$G$44,Hipótesis!$C$51*(1+Hipótesis!$D$45)^4)*(1+Hipótesis!$D$42),0)</f>
        <v>-2971.3432584</v>
      </c>
      <c r="BJ47" s="100" t="n">
        <f aca="false">-IF(AND(60&gt;=Hipótesis!$D$51,Hipótesis!$B$51=1),IF(Hipótesis!$G$51=1,Hipótesis!$G$44,Hipótesis!$C$51*(1+Hipótesis!$D$45)^4)*(1+Hipótesis!$D$42),0)</f>
        <v>-2971.3432584</v>
      </c>
      <c r="BK47" s="100" t="n">
        <f aca="false">-IF(AND(61&gt;=Hipótesis!$D$51,Hipótesis!$B$51=1),IF(Hipótesis!$G$51=1,Hipótesis!$H$44,Hipótesis!$C$51*(1+Hipótesis!$D$45)^5)*(1+Hipótesis!$D$42),0)</f>
        <v>-3060.483556152</v>
      </c>
      <c r="BL47" s="100" t="n">
        <f aca="false">-IF(AND(62&gt;=Hipótesis!$D$51,Hipótesis!$B$51=1),IF(Hipótesis!$G$51=1,Hipótesis!$H$44,Hipótesis!$C$51*(1+Hipótesis!$D$45)^5)*(1+Hipótesis!$D$42),0)</f>
        <v>-3060.483556152</v>
      </c>
      <c r="BM47" s="100" t="n">
        <f aca="false">-IF(AND(63&gt;=Hipótesis!$D$51,Hipótesis!$B$51=1),IF(Hipótesis!$G$51=1,Hipótesis!$H$44,Hipótesis!$C$51*(1+Hipótesis!$D$45)^5)*(1+Hipótesis!$D$42),0)</f>
        <v>-3060.483556152</v>
      </c>
      <c r="BN47" s="100" t="n">
        <f aca="false">-IF(AND(64&gt;=Hipótesis!$D$51,Hipótesis!$B$51=1),IF(Hipótesis!$G$51=1,Hipótesis!$H$44,Hipótesis!$C$51*(1+Hipótesis!$D$45)^5)*(1+Hipótesis!$D$42),0)</f>
        <v>-3060.483556152</v>
      </c>
      <c r="BO47" s="100" t="n">
        <f aca="false">-IF(AND(65&gt;=Hipótesis!$D$51,Hipótesis!$B$51=1),IF(Hipótesis!$G$51=1,Hipótesis!$H$44,Hipótesis!$C$51*(1+Hipótesis!$D$45)^5)*(1+Hipótesis!$D$42),0)</f>
        <v>-3060.483556152</v>
      </c>
      <c r="BP47" s="100" t="n">
        <f aca="false">-IF(AND(66&gt;=Hipótesis!$D$51,Hipótesis!$B$51=1),IF(Hipótesis!$G$51=1,Hipótesis!$H$44,Hipótesis!$C$51*(1+Hipótesis!$D$45)^5)*(1+Hipótesis!$D$42),0)</f>
        <v>-3060.483556152</v>
      </c>
      <c r="BQ47" s="100" t="n">
        <f aca="false">-IF(AND(67&gt;=Hipótesis!$D$51,Hipótesis!$B$51=1),IF(Hipótesis!$G$51=1,Hipótesis!$H$44,Hipótesis!$C$51*(1+Hipótesis!$D$45)^5)*(1+Hipótesis!$D$42),0)</f>
        <v>-3060.483556152</v>
      </c>
      <c r="BR47" s="100" t="n">
        <f aca="false">-IF(AND(68&gt;=Hipótesis!$D$51,Hipótesis!$B$51=1),IF(Hipótesis!$G$51=1,Hipótesis!$H$44,Hipótesis!$C$51*(1+Hipótesis!$D$45)^5)*(1+Hipótesis!$D$42),0)</f>
        <v>-3060.483556152</v>
      </c>
      <c r="BS47" s="100" t="n">
        <f aca="false">-IF(AND(69&gt;=Hipótesis!$D$51,Hipótesis!$B$51=1),IF(Hipótesis!$G$51=1,Hipótesis!$H$44,Hipótesis!$C$51*(1+Hipótesis!$D$45)^5)*(1+Hipótesis!$D$42),0)</f>
        <v>-3060.483556152</v>
      </c>
      <c r="BT47" s="100" t="n">
        <f aca="false">-IF(AND(70&gt;=Hipótesis!$D$51,Hipótesis!$B$51=1),IF(Hipótesis!$G$51=1,Hipótesis!$H$44,Hipótesis!$C$51*(1+Hipótesis!$D$45)^5)*(1+Hipótesis!$D$42),0)</f>
        <v>-3060.483556152</v>
      </c>
      <c r="BU47" s="100" t="n">
        <f aca="false">-IF(AND(71&gt;=Hipótesis!$D$51,Hipótesis!$B$51=1),IF(Hipótesis!$G$51=1,Hipótesis!$H$44,Hipótesis!$C$51*(1+Hipótesis!$D$45)^5)*(1+Hipótesis!$D$42),0)</f>
        <v>-3060.483556152</v>
      </c>
      <c r="BV47" s="100" t="n">
        <f aca="false">-IF(AND(72&gt;=Hipótesis!$D$51,Hipótesis!$B$51=1),IF(Hipótesis!$G$51=1,Hipótesis!$H$44,Hipótesis!$C$51*(1+Hipótesis!$D$45)^5)*(1+Hipótesis!$D$42),0)</f>
        <v>-3060.483556152</v>
      </c>
      <c r="BW47" s="100" t="n">
        <f aca="false">-IF(AND(73&gt;=Hipótesis!$D$51,Hipótesis!$B$51=1),IF(Hipótesis!$G$51=1,Hipótesis!$I$44,Hipótesis!$C$51*(1+Hipótesis!$D$45)^6)*(1+Hipótesis!$D$42),0)</f>
        <v>-3152.29806283656</v>
      </c>
      <c r="BX47" s="100" t="n">
        <f aca="false">-IF(AND(74&gt;=Hipótesis!$D$51,Hipótesis!$B$51=1),IF(Hipótesis!$G$51=1,Hipótesis!$I$44,Hipótesis!$C$51*(1+Hipótesis!$D$45)^6)*(1+Hipótesis!$D$42),0)</f>
        <v>-3152.29806283656</v>
      </c>
      <c r="BY47" s="100" t="n">
        <f aca="false">-IF(AND(75&gt;=Hipótesis!$D$51,Hipótesis!$B$51=1),IF(Hipótesis!$G$51=1,Hipótesis!$I$44,Hipótesis!$C$51*(1+Hipótesis!$D$45)^6)*(1+Hipótesis!$D$42),0)</f>
        <v>-3152.29806283656</v>
      </c>
      <c r="BZ47" s="100" t="n">
        <f aca="false">-IF(AND(76&gt;=Hipótesis!$D$51,Hipótesis!$B$51=1),IF(Hipótesis!$G$51=1,Hipótesis!$I$44,Hipótesis!$C$51*(1+Hipótesis!$D$45)^6)*(1+Hipótesis!$D$42),0)</f>
        <v>-3152.29806283656</v>
      </c>
      <c r="CA47" s="100" t="n">
        <f aca="false">-IF(AND(77&gt;=Hipótesis!$D$51,Hipótesis!$B$51=1),IF(Hipótesis!$G$51=1,Hipótesis!$I$44,Hipótesis!$C$51*(1+Hipótesis!$D$45)^6)*(1+Hipótesis!$D$42),0)</f>
        <v>-3152.29806283656</v>
      </c>
      <c r="CB47" s="100" t="n">
        <f aca="false">-IF(AND(78&gt;=Hipótesis!$D$51,Hipótesis!$B$51=1),IF(Hipótesis!$G$51=1,Hipótesis!$I$44,Hipótesis!$C$51*(1+Hipótesis!$D$45)^6)*(1+Hipótesis!$D$42),0)</f>
        <v>-3152.29806283656</v>
      </c>
      <c r="CC47" s="100" t="n">
        <f aca="false">-IF(AND(79&gt;=Hipótesis!$D$51,Hipótesis!$B$51=1),IF(Hipótesis!$G$51=1,Hipótesis!$I$44,Hipótesis!$C$51*(1+Hipótesis!$D$45)^6)*(1+Hipótesis!$D$42),0)</f>
        <v>-3152.29806283656</v>
      </c>
      <c r="CD47" s="100" t="n">
        <f aca="false">-IF(AND(80&gt;=Hipótesis!$D$51,Hipótesis!$B$51=1),IF(Hipótesis!$G$51=1,Hipótesis!$I$44,Hipótesis!$C$51*(1+Hipótesis!$D$45)^6)*(1+Hipótesis!$D$42),0)</f>
        <v>-3152.29806283656</v>
      </c>
      <c r="CE47" s="100" t="n">
        <f aca="false">-IF(AND(81&gt;=Hipótesis!$D$51,Hipótesis!$B$51=1),IF(Hipótesis!$G$51=1,Hipótesis!$I$44,Hipótesis!$C$51*(1+Hipótesis!$D$45)^6)*(1+Hipótesis!$D$42),0)</f>
        <v>-3152.29806283656</v>
      </c>
      <c r="CF47" s="100" t="n">
        <f aca="false">-IF(AND(82&gt;=Hipótesis!$D$51,Hipótesis!$B$51=1),IF(Hipótesis!$G$51=1,Hipótesis!$I$44,Hipótesis!$C$51*(1+Hipótesis!$D$45)^6)*(1+Hipótesis!$D$42),0)</f>
        <v>-3152.29806283656</v>
      </c>
      <c r="CG47" s="100" t="n">
        <f aca="false">-IF(AND(83&gt;=Hipótesis!$D$51,Hipótesis!$B$51=1),IF(Hipótesis!$G$51=1,Hipótesis!$I$44,Hipótesis!$C$51*(1+Hipótesis!$D$45)^6)*(1+Hipótesis!$D$42),0)</f>
        <v>-3152.29806283656</v>
      </c>
      <c r="CH47" s="100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6" t="s">
        <v>525</v>
      </c>
      <c r="C48" s="100" t="n">
        <f aca="false">-IF(AND(1&gt;=Hipótesis!$D$52,Hipótesis!$B$52=1),IF(Hipótesis!$G$52=1,Hipótesis!$C$44,Hipótesis!$C$52*(1+Hipótesis!$D$45)^0)*(1+Hipótesis!$D$42),0)</f>
        <v>-0</v>
      </c>
      <c r="D48" s="100" t="n">
        <f aca="false">-IF(AND(2&gt;=Hipótesis!$D$52,Hipótesis!$B$52=1),IF(Hipótesis!$G$52=1,Hipótesis!$C$44,Hipótesis!$C$52*(1+Hipótesis!$D$45)^0)*(1+Hipótesis!$D$42),0)</f>
        <v>-0</v>
      </c>
      <c r="E48" s="100" t="n">
        <f aca="false">-IF(AND(3&gt;=Hipótesis!$D$52,Hipótesis!$B$52=1),IF(Hipótesis!$G$52=1,Hipótesis!$C$44,Hipótesis!$C$52*(1+Hipótesis!$D$45)^0)*(1+Hipótesis!$D$42),0)</f>
        <v>-0</v>
      </c>
      <c r="F48" s="100" t="n">
        <f aca="false">-IF(AND(4&gt;=Hipótesis!$D$52,Hipótesis!$B$52=1),IF(Hipótesis!$G$52=1,Hipótesis!$C$44,Hipótesis!$C$52*(1+Hipótesis!$D$45)^0)*(1+Hipótesis!$D$42),0)</f>
        <v>-0</v>
      </c>
      <c r="G48" s="100" t="n">
        <f aca="false">-IF(AND(5&gt;=Hipótesis!$D$52,Hipótesis!$B$52=1),IF(Hipótesis!$G$52=1,Hipótesis!$C$44,Hipótesis!$C$52*(1+Hipótesis!$D$45)^0)*(1+Hipótesis!$D$42),0)</f>
        <v>-0</v>
      </c>
      <c r="H48" s="100" t="n">
        <f aca="false">-IF(AND(6&gt;=Hipótesis!$D$52,Hipótesis!$B$52=1),IF(Hipótesis!$G$52=1,Hipótesis!$C$44,Hipótesis!$C$52*(1+Hipótesis!$D$45)^0)*(1+Hipótesis!$D$42),0)</f>
        <v>-0</v>
      </c>
      <c r="I48" s="100" t="n">
        <f aca="false">-IF(AND(7&gt;=Hipótesis!$D$52,Hipótesis!$B$52=1),IF(Hipótesis!$G$52=1,Hipótesis!$C$44,Hipótesis!$C$52*(1+Hipótesis!$D$45)^0)*(1+Hipótesis!$D$42),0)</f>
        <v>-0</v>
      </c>
      <c r="J48" s="100" t="n">
        <f aca="false">-IF(AND(8&gt;=Hipótesis!$D$52,Hipótesis!$B$52=1),IF(Hipótesis!$G$52=1,Hipótesis!$C$44,Hipótesis!$C$52*(1+Hipótesis!$D$45)^0)*(1+Hipótesis!$D$42),0)</f>
        <v>-0</v>
      </c>
      <c r="K48" s="100" t="n">
        <f aca="false">-IF(AND(9&gt;=Hipótesis!$D$52,Hipótesis!$B$52=1),IF(Hipótesis!$G$52=1,Hipótesis!$C$44,Hipótesis!$C$52*(1+Hipótesis!$D$45)^0)*(1+Hipótesis!$D$42),0)</f>
        <v>-0</v>
      </c>
      <c r="L48" s="100" t="n">
        <f aca="false">-IF(AND(10&gt;=Hipótesis!$D$52,Hipótesis!$B$52=1),IF(Hipótesis!$G$52=1,Hipótesis!$C$44,Hipótesis!$C$52*(1+Hipótesis!$D$45)^0)*(1+Hipótesis!$D$42),0)</f>
        <v>-0</v>
      </c>
      <c r="M48" s="100" t="n">
        <f aca="false">-IF(AND(11&gt;=Hipótesis!$D$52,Hipótesis!$B$52=1),IF(Hipótesis!$G$52=1,Hipótesis!$C$44,Hipótesis!$C$52*(1+Hipótesis!$D$45)^0)*(1+Hipótesis!$D$42),0)</f>
        <v>-0</v>
      </c>
      <c r="N48" s="100" t="n">
        <f aca="false">-IF(AND(12&gt;=Hipótesis!$D$52,Hipótesis!$B$52=1),IF(Hipótesis!$G$52=1,Hipótesis!$C$44,Hipótesis!$C$52*(1+Hipótesis!$D$45)^0)*(1+Hipótesis!$D$42),0)</f>
        <v>-0</v>
      </c>
      <c r="O48" s="100" t="n">
        <f aca="false">-IF(AND(13&gt;=Hipótesis!$D$52,Hipótesis!$B$52=1),IF(Hipótesis!$G$52=1,Hipótesis!$D$44,Hipótesis!$C$52*(1+Hipótesis!$D$45)^1)*(1+Hipótesis!$D$42),0)</f>
        <v>-0</v>
      </c>
      <c r="P48" s="100" t="n">
        <f aca="false">-IF(AND(14&gt;=Hipótesis!$D$52,Hipótesis!$B$52=1),IF(Hipótesis!$G$52=1,Hipótesis!$D$44,Hipótesis!$C$52*(1+Hipótesis!$D$45)^1)*(1+Hipótesis!$D$42),0)</f>
        <v>-0</v>
      </c>
      <c r="Q48" s="100" t="n">
        <f aca="false">-IF(AND(15&gt;=Hipótesis!$D$52,Hipótesis!$B$52=1),IF(Hipótesis!$G$52=1,Hipótesis!$D$44,Hipótesis!$C$52*(1+Hipótesis!$D$45)^1)*(1+Hipótesis!$D$42),0)</f>
        <v>-0</v>
      </c>
      <c r="R48" s="100" t="n">
        <f aca="false">-IF(AND(16&gt;=Hipótesis!$D$52,Hipótesis!$B$52=1),IF(Hipótesis!$G$52=1,Hipótesis!$D$44,Hipótesis!$C$52*(1+Hipótesis!$D$45)^1)*(1+Hipótesis!$D$42),0)</f>
        <v>-0</v>
      </c>
      <c r="S48" s="100" t="n">
        <f aca="false">-IF(AND(17&gt;=Hipótesis!$D$52,Hipótesis!$B$52=1),IF(Hipótesis!$G$52=1,Hipótesis!$D$44,Hipótesis!$C$52*(1+Hipótesis!$D$45)^1)*(1+Hipótesis!$D$42),0)</f>
        <v>-0</v>
      </c>
      <c r="T48" s="100" t="n">
        <f aca="false">-IF(AND(18&gt;=Hipótesis!$D$52,Hipótesis!$B$52=1),IF(Hipótesis!$G$52=1,Hipótesis!$D$44,Hipótesis!$C$52*(1+Hipótesis!$D$45)^1)*(1+Hipótesis!$D$42),0)</f>
        <v>-0</v>
      </c>
      <c r="U48" s="100" t="n">
        <f aca="false">-IF(AND(19&gt;=Hipótesis!$D$52,Hipótesis!$B$52=1),IF(Hipótesis!$G$52=1,Hipótesis!$D$44,Hipótesis!$C$52*(1+Hipótesis!$D$45)^1)*(1+Hipótesis!$D$42),0)</f>
        <v>-0</v>
      </c>
      <c r="V48" s="100" t="n">
        <f aca="false">-IF(AND(20&gt;=Hipótesis!$D$52,Hipótesis!$B$52=1),IF(Hipótesis!$G$52=1,Hipótesis!$D$44,Hipótesis!$C$52*(1+Hipótesis!$D$45)^1)*(1+Hipótesis!$D$42),0)</f>
        <v>-2719.2</v>
      </c>
      <c r="W48" s="100" t="n">
        <f aca="false">-IF(AND(21&gt;=Hipótesis!$D$52,Hipótesis!$B$52=1),IF(Hipótesis!$G$52=1,Hipótesis!$D$44,Hipótesis!$C$52*(1+Hipótesis!$D$45)^1)*(1+Hipótesis!$D$42),0)</f>
        <v>-2719.2</v>
      </c>
      <c r="X48" s="100" t="n">
        <f aca="false">-IF(AND(22&gt;=Hipótesis!$D$52,Hipótesis!$B$52=1),IF(Hipótesis!$G$52=1,Hipótesis!$D$44,Hipótesis!$C$52*(1+Hipótesis!$D$45)^1)*(1+Hipótesis!$D$42),0)</f>
        <v>-2719.2</v>
      </c>
      <c r="Y48" s="100" t="n">
        <f aca="false">-IF(AND(23&gt;=Hipótesis!$D$52,Hipótesis!$B$52=1),IF(Hipótesis!$G$52=1,Hipótesis!$D$44,Hipótesis!$C$52*(1+Hipótesis!$D$45)^1)*(1+Hipótesis!$D$42),0)</f>
        <v>-2719.2</v>
      </c>
      <c r="Z48" s="100" t="n">
        <f aca="false">-IF(AND(24&gt;=Hipótesis!$D$52,Hipótesis!$B$52=1),IF(Hipótesis!$G$52=1,Hipótesis!$D$44,Hipótesis!$C$52*(1+Hipótesis!$D$45)^1)*(1+Hipótesis!$D$42),0)</f>
        <v>-2719.2</v>
      </c>
      <c r="AA48" s="100" t="n">
        <f aca="false">-IF(AND(25&gt;=Hipótesis!$D$52,Hipótesis!$B$52=1),IF(Hipótesis!$G$52=1,Hipótesis!$E$44,Hipótesis!$C$52*(1+Hipótesis!$D$45)^2)*(1+Hipótesis!$D$42),0)</f>
        <v>-2800.776</v>
      </c>
      <c r="AB48" s="100" t="n">
        <f aca="false">-IF(AND(26&gt;=Hipótesis!$D$52,Hipótesis!$B$52=1),IF(Hipótesis!$G$52=1,Hipótesis!$E$44,Hipótesis!$C$52*(1+Hipótesis!$D$45)^2)*(1+Hipótesis!$D$42),0)</f>
        <v>-2800.776</v>
      </c>
      <c r="AC48" s="100" t="n">
        <f aca="false">-IF(AND(27&gt;=Hipótesis!$D$52,Hipótesis!$B$52=1),IF(Hipótesis!$G$52=1,Hipótesis!$E$44,Hipótesis!$C$52*(1+Hipótesis!$D$45)^2)*(1+Hipótesis!$D$42),0)</f>
        <v>-2800.776</v>
      </c>
      <c r="AD48" s="100" t="n">
        <f aca="false">-IF(AND(28&gt;=Hipótesis!$D$52,Hipótesis!$B$52=1),IF(Hipótesis!$G$52=1,Hipótesis!$E$44,Hipótesis!$C$52*(1+Hipótesis!$D$45)^2)*(1+Hipótesis!$D$42),0)</f>
        <v>-2800.776</v>
      </c>
      <c r="AE48" s="100" t="n">
        <f aca="false">-IF(AND(29&gt;=Hipótesis!$D$52,Hipótesis!$B$52=1),IF(Hipótesis!$G$52=1,Hipótesis!$E$44,Hipótesis!$C$52*(1+Hipótesis!$D$45)^2)*(1+Hipótesis!$D$42),0)</f>
        <v>-2800.776</v>
      </c>
      <c r="AF48" s="100" t="n">
        <f aca="false">-IF(AND(30&gt;=Hipótesis!$D$52,Hipótesis!$B$52=1),IF(Hipótesis!$G$52=1,Hipótesis!$E$44,Hipótesis!$C$52*(1+Hipótesis!$D$45)^2)*(1+Hipótesis!$D$42),0)</f>
        <v>-2800.776</v>
      </c>
      <c r="AG48" s="100" t="n">
        <f aca="false">-IF(AND(31&gt;=Hipótesis!$D$52,Hipótesis!$B$52=1),IF(Hipótesis!$G$52=1,Hipótesis!$E$44,Hipótesis!$C$52*(1+Hipótesis!$D$45)^2)*(1+Hipótesis!$D$42),0)</f>
        <v>-2800.776</v>
      </c>
      <c r="AH48" s="100" t="n">
        <f aca="false">-IF(AND(32&gt;=Hipótesis!$D$52,Hipótesis!$B$52=1),IF(Hipótesis!$G$52=1,Hipótesis!$E$44,Hipótesis!$C$52*(1+Hipótesis!$D$45)^2)*(1+Hipótesis!$D$42),0)</f>
        <v>-2800.776</v>
      </c>
      <c r="AI48" s="100" t="n">
        <f aca="false">-IF(AND(33&gt;=Hipótesis!$D$52,Hipótesis!$B$52=1),IF(Hipótesis!$G$52=1,Hipótesis!$E$44,Hipótesis!$C$52*(1+Hipótesis!$D$45)^2)*(1+Hipótesis!$D$42),0)</f>
        <v>-2800.776</v>
      </c>
      <c r="AJ48" s="100" t="n">
        <f aca="false">-IF(AND(34&gt;=Hipótesis!$D$52,Hipótesis!$B$52=1),IF(Hipótesis!$G$52=1,Hipótesis!$E$44,Hipótesis!$C$52*(1+Hipótesis!$D$45)^2)*(1+Hipótesis!$D$42),0)</f>
        <v>-2800.776</v>
      </c>
      <c r="AK48" s="100" t="n">
        <f aca="false">-IF(AND(35&gt;=Hipótesis!$D$52,Hipótesis!$B$52=1),IF(Hipótesis!$G$52=1,Hipótesis!$E$44,Hipótesis!$C$52*(1+Hipótesis!$D$45)^2)*(1+Hipótesis!$D$42),0)</f>
        <v>-2800.776</v>
      </c>
      <c r="AL48" s="100" t="n">
        <f aca="false">-IF(AND(36&gt;=Hipótesis!$D$52,Hipótesis!$B$52=1),IF(Hipótesis!$G$52=1,Hipótesis!$E$44,Hipótesis!$C$52*(1+Hipótesis!$D$45)^2)*(1+Hipótesis!$D$42),0)</f>
        <v>-2800.776</v>
      </c>
      <c r="AM48" s="100" t="n">
        <f aca="false">-IF(AND(37&gt;=Hipótesis!$D$52,Hipótesis!$B$52=1),IF(Hipótesis!$G$52=1,Hipótesis!$F$44,Hipótesis!$C$52*(1+Hipótesis!$D$45)^3)*(1+Hipótesis!$D$42),0)</f>
        <v>-2884.79928</v>
      </c>
      <c r="AN48" s="100" t="n">
        <f aca="false">-IF(AND(38&gt;=Hipótesis!$D$52,Hipótesis!$B$52=1),IF(Hipótesis!$G$52=1,Hipótesis!$F$44,Hipótesis!$C$52*(1+Hipótesis!$D$45)^3)*(1+Hipótesis!$D$42),0)</f>
        <v>-2884.79928</v>
      </c>
      <c r="AO48" s="100" t="n">
        <f aca="false">-IF(AND(39&gt;=Hipótesis!$D$52,Hipótesis!$B$52=1),IF(Hipótesis!$G$52=1,Hipótesis!$F$44,Hipótesis!$C$52*(1+Hipótesis!$D$45)^3)*(1+Hipótesis!$D$42),0)</f>
        <v>-2884.79928</v>
      </c>
      <c r="AP48" s="100" t="n">
        <f aca="false">-IF(AND(40&gt;=Hipótesis!$D$52,Hipótesis!$B$52=1),IF(Hipótesis!$G$52=1,Hipótesis!$F$44,Hipótesis!$C$52*(1+Hipótesis!$D$45)^3)*(1+Hipótesis!$D$42),0)</f>
        <v>-2884.79928</v>
      </c>
      <c r="AQ48" s="100" t="n">
        <f aca="false">-IF(AND(41&gt;=Hipótesis!$D$52,Hipótesis!$B$52=1),IF(Hipótesis!$G$52=1,Hipótesis!$F$44,Hipótesis!$C$52*(1+Hipótesis!$D$45)^3)*(1+Hipótesis!$D$42),0)</f>
        <v>-2884.79928</v>
      </c>
      <c r="AR48" s="100" t="n">
        <f aca="false">-IF(AND(42&gt;=Hipótesis!$D$52,Hipótesis!$B$52=1),IF(Hipótesis!$G$52=1,Hipótesis!$F$44,Hipótesis!$C$52*(1+Hipótesis!$D$45)^3)*(1+Hipótesis!$D$42),0)</f>
        <v>-2884.79928</v>
      </c>
      <c r="AS48" s="100" t="n">
        <f aca="false">-IF(AND(43&gt;=Hipótesis!$D$52,Hipótesis!$B$52=1),IF(Hipótesis!$G$52=1,Hipótesis!$F$44,Hipótesis!$C$52*(1+Hipótesis!$D$45)^3)*(1+Hipótesis!$D$42),0)</f>
        <v>-2884.79928</v>
      </c>
      <c r="AT48" s="100" t="n">
        <f aca="false">-IF(AND(44&gt;=Hipótesis!$D$52,Hipótesis!$B$52=1),IF(Hipótesis!$G$52=1,Hipótesis!$F$44,Hipótesis!$C$52*(1+Hipótesis!$D$45)^3)*(1+Hipótesis!$D$42),0)</f>
        <v>-2884.79928</v>
      </c>
      <c r="AU48" s="100" t="n">
        <f aca="false">-IF(AND(45&gt;=Hipótesis!$D$52,Hipótesis!$B$52=1),IF(Hipótesis!$G$52=1,Hipótesis!$F$44,Hipótesis!$C$52*(1+Hipótesis!$D$45)^3)*(1+Hipótesis!$D$42),0)</f>
        <v>-2884.79928</v>
      </c>
      <c r="AV48" s="100" t="n">
        <f aca="false">-IF(AND(46&gt;=Hipótesis!$D$52,Hipótesis!$B$52=1),IF(Hipótesis!$G$52=1,Hipótesis!$F$44,Hipótesis!$C$52*(1+Hipótesis!$D$45)^3)*(1+Hipótesis!$D$42),0)</f>
        <v>-2884.79928</v>
      </c>
      <c r="AW48" s="100" t="n">
        <f aca="false">-IF(AND(47&gt;=Hipótesis!$D$52,Hipótesis!$B$52=1),IF(Hipótesis!$G$52=1,Hipótesis!$F$44,Hipótesis!$C$52*(1+Hipótesis!$D$45)^3)*(1+Hipótesis!$D$42),0)</f>
        <v>-2884.79928</v>
      </c>
      <c r="AX48" s="100" t="n">
        <f aca="false">-IF(AND(48&gt;=Hipótesis!$D$52,Hipótesis!$B$52=1),IF(Hipótesis!$G$52=1,Hipótesis!$F$44,Hipótesis!$C$52*(1+Hipótesis!$D$45)^3)*(1+Hipótesis!$D$42),0)</f>
        <v>-2884.79928</v>
      </c>
      <c r="AY48" s="100" t="n">
        <f aca="false">-IF(AND(49&gt;=Hipótesis!$D$52,Hipótesis!$B$52=1),IF(Hipótesis!$G$52=1,Hipótesis!$G$44,Hipótesis!$C$52*(1+Hipótesis!$D$45)^4)*(1+Hipótesis!$D$42),0)</f>
        <v>-2971.3432584</v>
      </c>
      <c r="AZ48" s="100" t="n">
        <f aca="false">-IF(AND(50&gt;=Hipótesis!$D$52,Hipótesis!$B$52=1),IF(Hipótesis!$G$52=1,Hipótesis!$G$44,Hipótesis!$C$52*(1+Hipótesis!$D$45)^4)*(1+Hipótesis!$D$42),0)</f>
        <v>-2971.3432584</v>
      </c>
      <c r="BA48" s="100" t="n">
        <f aca="false">-IF(AND(51&gt;=Hipótesis!$D$52,Hipótesis!$B$52=1),IF(Hipótesis!$G$52=1,Hipótesis!$G$44,Hipótesis!$C$52*(1+Hipótesis!$D$45)^4)*(1+Hipótesis!$D$42),0)</f>
        <v>-2971.3432584</v>
      </c>
      <c r="BB48" s="100" t="n">
        <f aca="false">-IF(AND(52&gt;=Hipótesis!$D$52,Hipótesis!$B$52=1),IF(Hipótesis!$G$52=1,Hipótesis!$G$44,Hipótesis!$C$52*(1+Hipótesis!$D$45)^4)*(1+Hipótesis!$D$42),0)</f>
        <v>-2971.3432584</v>
      </c>
      <c r="BC48" s="100" t="n">
        <f aca="false">-IF(AND(53&gt;=Hipótesis!$D$52,Hipótesis!$B$52=1),IF(Hipótesis!$G$52=1,Hipótesis!$G$44,Hipótesis!$C$52*(1+Hipótesis!$D$45)^4)*(1+Hipótesis!$D$42),0)</f>
        <v>-2971.3432584</v>
      </c>
      <c r="BD48" s="100" t="n">
        <f aca="false">-IF(AND(54&gt;=Hipótesis!$D$52,Hipótesis!$B$52=1),IF(Hipótesis!$G$52=1,Hipótesis!$G$44,Hipótesis!$C$52*(1+Hipótesis!$D$45)^4)*(1+Hipótesis!$D$42),0)</f>
        <v>-2971.3432584</v>
      </c>
      <c r="BE48" s="100" t="n">
        <f aca="false">-IF(AND(55&gt;=Hipótesis!$D$52,Hipótesis!$B$52=1),IF(Hipótesis!$G$52=1,Hipótesis!$G$44,Hipótesis!$C$52*(1+Hipótesis!$D$45)^4)*(1+Hipótesis!$D$42),0)</f>
        <v>-2971.3432584</v>
      </c>
      <c r="BF48" s="100" t="n">
        <f aca="false">-IF(AND(56&gt;=Hipótesis!$D$52,Hipótesis!$B$52=1),IF(Hipótesis!$G$52=1,Hipótesis!$G$44,Hipótesis!$C$52*(1+Hipótesis!$D$45)^4)*(1+Hipótesis!$D$42),0)</f>
        <v>-2971.3432584</v>
      </c>
      <c r="BG48" s="100" t="n">
        <f aca="false">-IF(AND(57&gt;=Hipótesis!$D$52,Hipótesis!$B$52=1),IF(Hipótesis!$G$52=1,Hipótesis!$G$44,Hipótesis!$C$52*(1+Hipótesis!$D$45)^4)*(1+Hipótesis!$D$42),0)</f>
        <v>-2971.3432584</v>
      </c>
      <c r="BH48" s="100" t="n">
        <f aca="false">-IF(AND(58&gt;=Hipótesis!$D$52,Hipótesis!$B$52=1),IF(Hipótesis!$G$52=1,Hipótesis!$G$44,Hipótesis!$C$52*(1+Hipótesis!$D$45)^4)*(1+Hipótesis!$D$42),0)</f>
        <v>-2971.3432584</v>
      </c>
      <c r="BI48" s="100" t="n">
        <f aca="false">-IF(AND(59&gt;=Hipótesis!$D$52,Hipótesis!$B$52=1),IF(Hipótesis!$G$52=1,Hipótesis!$G$44,Hipótesis!$C$52*(1+Hipótesis!$D$45)^4)*(1+Hipótesis!$D$42),0)</f>
        <v>-2971.3432584</v>
      </c>
      <c r="BJ48" s="100" t="n">
        <f aca="false">-IF(AND(60&gt;=Hipótesis!$D$52,Hipótesis!$B$52=1),IF(Hipótesis!$G$52=1,Hipótesis!$G$44,Hipótesis!$C$52*(1+Hipótesis!$D$45)^4)*(1+Hipótesis!$D$42),0)</f>
        <v>-2971.3432584</v>
      </c>
      <c r="BK48" s="100" t="n">
        <f aca="false">-IF(AND(61&gt;=Hipótesis!$D$52,Hipótesis!$B$52=1),IF(Hipótesis!$G$52=1,Hipótesis!$H$44,Hipótesis!$C$52*(1+Hipótesis!$D$45)^5)*(1+Hipótesis!$D$42),0)</f>
        <v>-3060.483556152</v>
      </c>
      <c r="BL48" s="100" t="n">
        <f aca="false">-IF(AND(62&gt;=Hipótesis!$D$52,Hipótesis!$B$52=1),IF(Hipótesis!$G$52=1,Hipótesis!$H$44,Hipótesis!$C$52*(1+Hipótesis!$D$45)^5)*(1+Hipótesis!$D$42),0)</f>
        <v>-3060.483556152</v>
      </c>
      <c r="BM48" s="100" t="n">
        <f aca="false">-IF(AND(63&gt;=Hipótesis!$D$52,Hipótesis!$B$52=1),IF(Hipótesis!$G$52=1,Hipótesis!$H$44,Hipótesis!$C$52*(1+Hipótesis!$D$45)^5)*(1+Hipótesis!$D$42),0)</f>
        <v>-3060.483556152</v>
      </c>
      <c r="BN48" s="100" t="n">
        <f aca="false">-IF(AND(64&gt;=Hipótesis!$D$52,Hipótesis!$B$52=1),IF(Hipótesis!$G$52=1,Hipótesis!$H$44,Hipótesis!$C$52*(1+Hipótesis!$D$45)^5)*(1+Hipótesis!$D$42),0)</f>
        <v>-3060.483556152</v>
      </c>
      <c r="BO48" s="100" t="n">
        <f aca="false">-IF(AND(65&gt;=Hipótesis!$D$52,Hipótesis!$B$52=1),IF(Hipótesis!$G$52=1,Hipótesis!$H$44,Hipótesis!$C$52*(1+Hipótesis!$D$45)^5)*(1+Hipótesis!$D$42),0)</f>
        <v>-3060.483556152</v>
      </c>
      <c r="BP48" s="100" t="n">
        <f aca="false">-IF(AND(66&gt;=Hipótesis!$D$52,Hipótesis!$B$52=1),IF(Hipótesis!$G$52=1,Hipótesis!$H$44,Hipótesis!$C$52*(1+Hipótesis!$D$45)^5)*(1+Hipótesis!$D$42),0)</f>
        <v>-3060.483556152</v>
      </c>
      <c r="BQ48" s="100" t="n">
        <f aca="false">-IF(AND(67&gt;=Hipótesis!$D$52,Hipótesis!$B$52=1),IF(Hipótesis!$G$52=1,Hipótesis!$H$44,Hipótesis!$C$52*(1+Hipótesis!$D$45)^5)*(1+Hipótesis!$D$42),0)</f>
        <v>-3060.483556152</v>
      </c>
      <c r="BR48" s="100" t="n">
        <f aca="false">-IF(AND(68&gt;=Hipótesis!$D$52,Hipótesis!$B$52=1),IF(Hipótesis!$G$52=1,Hipótesis!$H$44,Hipótesis!$C$52*(1+Hipótesis!$D$45)^5)*(1+Hipótesis!$D$42),0)</f>
        <v>-3060.483556152</v>
      </c>
      <c r="BS48" s="100" t="n">
        <f aca="false">-IF(AND(69&gt;=Hipótesis!$D$52,Hipótesis!$B$52=1),IF(Hipótesis!$G$52=1,Hipótesis!$H$44,Hipótesis!$C$52*(1+Hipótesis!$D$45)^5)*(1+Hipótesis!$D$42),0)</f>
        <v>-3060.483556152</v>
      </c>
      <c r="BT48" s="100" t="n">
        <f aca="false">-IF(AND(70&gt;=Hipótesis!$D$52,Hipótesis!$B$52=1),IF(Hipótesis!$G$52=1,Hipótesis!$H$44,Hipótesis!$C$52*(1+Hipótesis!$D$45)^5)*(1+Hipótesis!$D$42),0)</f>
        <v>-3060.483556152</v>
      </c>
      <c r="BU48" s="100" t="n">
        <f aca="false">-IF(AND(71&gt;=Hipótesis!$D$52,Hipótesis!$B$52=1),IF(Hipótesis!$G$52=1,Hipótesis!$H$44,Hipótesis!$C$52*(1+Hipótesis!$D$45)^5)*(1+Hipótesis!$D$42),0)</f>
        <v>-3060.483556152</v>
      </c>
      <c r="BV48" s="100" t="n">
        <f aca="false">-IF(AND(72&gt;=Hipótesis!$D$52,Hipótesis!$B$52=1),IF(Hipótesis!$G$52=1,Hipótesis!$H$44,Hipótesis!$C$52*(1+Hipótesis!$D$45)^5)*(1+Hipótesis!$D$42),0)</f>
        <v>-3060.483556152</v>
      </c>
      <c r="BW48" s="100" t="n">
        <f aca="false">-IF(AND(73&gt;=Hipótesis!$D$52,Hipótesis!$B$52=1),IF(Hipótesis!$G$52=1,Hipótesis!$I$44,Hipótesis!$C$52*(1+Hipótesis!$D$45)^6)*(1+Hipótesis!$D$42),0)</f>
        <v>-3152.29806283656</v>
      </c>
      <c r="BX48" s="100" t="n">
        <f aca="false">-IF(AND(74&gt;=Hipótesis!$D$52,Hipótesis!$B$52=1),IF(Hipótesis!$G$52=1,Hipótesis!$I$44,Hipótesis!$C$52*(1+Hipótesis!$D$45)^6)*(1+Hipótesis!$D$42),0)</f>
        <v>-3152.29806283656</v>
      </c>
      <c r="BY48" s="100" t="n">
        <f aca="false">-IF(AND(75&gt;=Hipótesis!$D$52,Hipótesis!$B$52=1),IF(Hipótesis!$G$52=1,Hipótesis!$I$44,Hipótesis!$C$52*(1+Hipótesis!$D$45)^6)*(1+Hipótesis!$D$42),0)</f>
        <v>-3152.29806283656</v>
      </c>
      <c r="BZ48" s="100" t="n">
        <f aca="false">-IF(AND(76&gt;=Hipótesis!$D$52,Hipótesis!$B$52=1),IF(Hipótesis!$G$52=1,Hipótesis!$I$44,Hipótesis!$C$52*(1+Hipótesis!$D$45)^6)*(1+Hipótesis!$D$42),0)</f>
        <v>-3152.29806283656</v>
      </c>
      <c r="CA48" s="100" t="n">
        <f aca="false">-IF(AND(77&gt;=Hipótesis!$D$52,Hipótesis!$B$52=1),IF(Hipótesis!$G$52=1,Hipótesis!$I$44,Hipótesis!$C$52*(1+Hipótesis!$D$45)^6)*(1+Hipótesis!$D$42),0)</f>
        <v>-3152.29806283656</v>
      </c>
      <c r="CB48" s="100" t="n">
        <f aca="false">-IF(AND(78&gt;=Hipótesis!$D$52,Hipótesis!$B$52=1),IF(Hipótesis!$G$52=1,Hipótesis!$I$44,Hipótesis!$C$52*(1+Hipótesis!$D$45)^6)*(1+Hipótesis!$D$42),0)</f>
        <v>-3152.29806283656</v>
      </c>
      <c r="CC48" s="100" t="n">
        <f aca="false">-IF(AND(79&gt;=Hipótesis!$D$52,Hipótesis!$B$52=1),IF(Hipótesis!$G$52=1,Hipótesis!$I$44,Hipótesis!$C$52*(1+Hipótesis!$D$45)^6)*(1+Hipótesis!$D$42),0)</f>
        <v>-3152.29806283656</v>
      </c>
      <c r="CD48" s="100" t="n">
        <f aca="false">-IF(AND(80&gt;=Hipótesis!$D$52,Hipótesis!$B$52=1),IF(Hipótesis!$G$52=1,Hipótesis!$I$44,Hipótesis!$C$52*(1+Hipótesis!$D$45)^6)*(1+Hipótesis!$D$42),0)</f>
        <v>-3152.29806283656</v>
      </c>
      <c r="CE48" s="100" t="n">
        <f aca="false">-IF(AND(81&gt;=Hipótesis!$D$52,Hipótesis!$B$52=1),IF(Hipótesis!$G$52=1,Hipótesis!$I$44,Hipótesis!$C$52*(1+Hipótesis!$D$45)^6)*(1+Hipótesis!$D$42),0)</f>
        <v>-3152.29806283656</v>
      </c>
      <c r="CF48" s="100" t="n">
        <f aca="false">-IF(AND(82&gt;=Hipótesis!$D$52,Hipótesis!$B$52=1),IF(Hipótesis!$G$52=1,Hipótesis!$I$44,Hipótesis!$C$52*(1+Hipótesis!$D$45)^6)*(1+Hipótesis!$D$42),0)</f>
        <v>-3152.29806283656</v>
      </c>
      <c r="CG48" s="100" t="n">
        <f aca="false">-IF(AND(83&gt;=Hipótesis!$D$52,Hipótesis!$B$52=1),IF(Hipótesis!$G$52=1,Hipótesis!$I$44,Hipótesis!$C$52*(1+Hipótesis!$D$45)^6)*(1+Hipótesis!$D$42),0)</f>
        <v>-3152.29806283656</v>
      </c>
      <c r="CH48" s="100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6" t="s">
        <v>526</v>
      </c>
      <c r="C49" s="100" t="n">
        <f aca="false">-IF(AND(1&gt;=Hipótesis!$D$53,Hipótesis!$B$53=1),IF(Hipótesis!$G$53=1,Hipótesis!$C$44,Hipótesis!$C$53*(1+Hipótesis!$D$45)^0)*(1+Hipótesis!$D$42),0)</f>
        <v>-0</v>
      </c>
      <c r="D49" s="100" t="n">
        <f aca="false">-IF(AND(2&gt;=Hipótesis!$D$53,Hipótesis!$B$53=1),IF(Hipótesis!$G$53=1,Hipótesis!$C$44,Hipótesis!$C$53*(1+Hipótesis!$D$45)^0)*(1+Hipótesis!$D$42),0)</f>
        <v>-0</v>
      </c>
      <c r="E49" s="100" t="n">
        <f aca="false">-IF(AND(3&gt;=Hipótesis!$D$53,Hipótesis!$B$53=1),IF(Hipótesis!$G$53=1,Hipótesis!$C$44,Hipótesis!$C$53*(1+Hipótesis!$D$45)^0)*(1+Hipótesis!$D$42),0)</f>
        <v>-0</v>
      </c>
      <c r="F49" s="100" t="n">
        <f aca="false">-IF(AND(4&gt;=Hipótesis!$D$53,Hipótesis!$B$53=1),IF(Hipótesis!$G$53=1,Hipótesis!$C$44,Hipótesis!$C$53*(1+Hipótesis!$D$45)^0)*(1+Hipótesis!$D$42),0)</f>
        <v>-0</v>
      </c>
      <c r="G49" s="100" t="n">
        <f aca="false">-IF(AND(5&gt;=Hipótesis!$D$53,Hipótesis!$B$53=1),IF(Hipótesis!$G$53=1,Hipótesis!$C$44,Hipótesis!$C$53*(1+Hipótesis!$D$45)^0)*(1+Hipótesis!$D$42),0)</f>
        <v>-0</v>
      </c>
      <c r="H49" s="100" t="n">
        <f aca="false">-IF(AND(6&gt;=Hipótesis!$D$53,Hipótesis!$B$53=1),IF(Hipótesis!$G$53=1,Hipótesis!$C$44,Hipótesis!$C$53*(1+Hipótesis!$D$45)^0)*(1+Hipótesis!$D$42),0)</f>
        <v>-0</v>
      </c>
      <c r="I49" s="100" t="n">
        <f aca="false">-IF(AND(7&gt;=Hipótesis!$D$53,Hipótesis!$B$53=1),IF(Hipótesis!$G$53=1,Hipótesis!$C$44,Hipótesis!$C$53*(1+Hipótesis!$D$45)^0)*(1+Hipótesis!$D$42),0)</f>
        <v>-0</v>
      </c>
      <c r="J49" s="100" t="n">
        <f aca="false">-IF(AND(8&gt;=Hipótesis!$D$53,Hipótesis!$B$53=1),IF(Hipótesis!$G$53=1,Hipótesis!$C$44,Hipótesis!$C$53*(1+Hipótesis!$D$45)^0)*(1+Hipótesis!$D$42),0)</f>
        <v>-0</v>
      </c>
      <c r="K49" s="100" t="n">
        <f aca="false">-IF(AND(9&gt;=Hipótesis!$D$53,Hipótesis!$B$53=1),IF(Hipótesis!$G$53=1,Hipótesis!$C$44,Hipótesis!$C$53*(1+Hipótesis!$D$45)^0)*(1+Hipótesis!$D$42),0)</f>
        <v>-0</v>
      </c>
      <c r="L49" s="100" t="n">
        <f aca="false">-IF(AND(10&gt;=Hipótesis!$D$53,Hipótesis!$B$53=1),IF(Hipótesis!$G$53=1,Hipótesis!$C$44,Hipótesis!$C$53*(1+Hipótesis!$D$45)^0)*(1+Hipótesis!$D$42),0)</f>
        <v>-0</v>
      </c>
      <c r="M49" s="100" t="n">
        <f aca="false">-IF(AND(11&gt;=Hipótesis!$D$53,Hipótesis!$B$53=1),IF(Hipótesis!$G$53=1,Hipótesis!$C$44,Hipótesis!$C$53*(1+Hipótesis!$D$45)^0)*(1+Hipótesis!$D$42),0)</f>
        <v>-0</v>
      </c>
      <c r="N49" s="100" t="n">
        <f aca="false">-IF(AND(12&gt;=Hipótesis!$D$53,Hipótesis!$B$53=1),IF(Hipótesis!$G$53=1,Hipótesis!$C$44,Hipótesis!$C$53*(1+Hipótesis!$D$45)^0)*(1+Hipótesis!$D$42),0)</f>
        <v>-0</v>
      </c>
      <c r="O49" s="100" t="n">
        <f aca="false">-IF(AND(13&gt;=Hipótesis!$D$53,Hipótesis!$B$53=1),IF(Hipótesis!$G$53=1,Hipótesis!$D$44,Hipótesis!$C$53*(1+Hipótesis!$D$45)^1)*(1+Hipótesis!$D$42),0)</f>
        <v>-0</v>
      </c>
      <c r="P49" s="100" t="n">
        <f aca="false">-IF(AND(14&gt;=Hipótesis!$D$53,Hipótesis!$B$53=1),IF(Hipótesis!$G$53=1,Hipótesis!$D$44,Hipótesis!$C$53*(1+Hipótesis!$D$45)^1)*(1+Hipótesis!$D$42),0)</f>
        <v>-0</v>
      </c>
      <c r="Q49" s="100" t="n">
        <f aca="false">-IF(AND(15&gt;=Hipótesis!$D$53,Hipótesis!$B$53=1),IF(Hipótesis!$G$53=1,Hipótesis!$D$44,Hipótesis!$C$53*(1+Hipótesis!$D$45)^1)*(1+Hipótesis!$D$42),0)</f>
        <v>-0</v>
      </c>
      <c r="R49" s="100" t="n">
        <f aca="false">-IF(AND(16&gt;=Hipótesis!$D$53,Hipótesis!$B$53=1),IF(Hipótesis!$G$53=1,Hipótesis!$D$44,Hipótesis!$C$53*(1+Hipótesis!$D$45)^1)*(1+Hipótesis!$D$42),0)</f>
        <v>-0</v>
      </c>
      <c r="S49" s="100" t="n">
        <f aca="false">-IF(AND(17&gt;=Hipótesis!$D$53,Hipótesis!$B$53=1),IF(Hipótesis!$G$53=1,Hipótesis!$D$44,Hipótesis!$C$53*(1+Hipótesis!$D$45)^1)*(1+Hipótesis!$D$42),0)</f>
        <v>-0</v>
      </c>
      <c r="T49" s="100" t="n">
        <f aca="false">-IF(AND(18&gt;=Hipótesis!$D$53,Hipótesis!$B$53=1),IF(Hipótesis!$G$53=1,Hipótesis!$D$44,Hipótesis!$C$53*(1+Hipótesis!$D$45)^1)*(1+Hipótesis!$D$42),0)</f>
        <v>-0</v>
      </c>
      <c r="U49" s="100" t="n">
        <f aca="false">-IF(AND(19&gt;=Hipótesis!$D$53,Hipótesis!$B$53=1),IF(Hipótesis!$G$53=1,Hipótesis!$D$44,Hipótesis!$C$53*(1+Hipótesis!$D$45)^1)*(1+Hipótesis!$D$42),0)</f>
        <v>-0</v>
      </c>
      <c r="V49" s="100" t="n">
        <f aca="false">-IF(AND(20&gt;=Hipótesis!$D$53,Hipótesis!$B$53=1),IF(Hipótesis!$G$53=1,Hipótesis!$D$44,Hipótesis!$C$53*(1+Hipótesis!$D$45)^1)*(1+Hipótesis!$D$42),0)</f>
        <v>-0</v>
      </c>
      <c r="W49" s="100" t="n">
        <f aca="false">-IF(AND(21&gt;=Hipótesis!$D$53,Hipótesis!$B$53=1),IF(Hipótesis!$G$53=1,Hipótesis!$D$44,Hipótesis!$C$53*(1+Hipótesis!$D$45)^1)*(1+Hipótesis!$D$42),0)</f>
        <v>-0</v>
      </c>
      <c r="X49" s="100" t="n">
        <f aca="false">-IF(AND(22&gt;=Hipótesis!$D$53,Hipótesis!$B$53=1),IF(Hipótesis!$G$53=1,Hipótesis!$D$44,Hipótesis!$C$53*(1+Hipótesis!$D$45)^1)*(1+Hipótesis!$D$42),0)</f>
        <v>-0</v>
      </c>
      <c r="Y49" s="100" t="n">
        <f aca="false">-IF(AND(23&gt;=Hipótesis!$D$53,Hipótesis!$B$53=1),IF(Hipótesis!$G$53=1,Hipótesis!$D$44,Hipótesis!$C$53*(1+Hipótesis!$D$45)^1)*(1+Hipótesis!$D$42),0)</f>
        <v>-0</v>
      </c>
      <c r="Z49" s="100" t="n">
        <f aca="false">-IF(AND(24&gt;=Hipótesis!$D$53,Hipótesis!$B$53=1),IF(Hipótesis!$G$53=1,Hipótesis!$D$44,Hipótesis!$C$53*(1+Hipótesis!$D$45)^1)*(1+Hipótesis!$D$42),0)</f>
        <v>-0</v>
      </c>
      <c r="AA49" s="100" t="n">
        <f aca="false">-IF(AND(25&gt;=Hipótesis!$D$53,Hipótesis!$B$53=1),IF(Hipótesis!$G$53=1,Hipótesis!$E$44,Hipótesis!$C$53*(1+Hipótesis!$D$45)^2)*(1+Hipótesis!$D$42),0)</f>
        <v>-0</v>
      </c>
      <c r="AB49" s="100" t="n">
        <f aca="false">-IF(AND(26&gt;=Hipótesis!$D$53,Hipótesis!$B$53=1),IF(Hipótesis!$G$53=1,Hipótesis!$E$44,Hipótesis!$C$53*(1+Hipótesis!$D$45)^2)*(1+Hipótesis!$D$42),0)</f>
        <v>-0</v>
      </c>
      <c r="AC49" s="100" t="n">
        <f aca="false">-IF(AND(27&gt;=Hipótesis!$D$53,Hipótesis!$B$53=1),IF(Hipótesis!$G$53=1,Hipótesis!$E$44,Hipótesis!$C$53*(1+Hipótesis!$D$45)^2)*(1+Hipótesis!$D$42),0)</f>
        <v>-0</v>
      </c>
      <c r="AD49" s="100" t="n">
        <f aca="false">-IF(AND(28&gt;=Hipótesis!$D$53,Hipótesis!$B$53=1),IF(Hipótesis!$G$53=1,Hipótesis!$E$44,Hipótesis!$C$53*(1+Hipótesis!$D$45)^2)*(1+Hipótesis!$D$42),0)</f>
        <v>-0</v>
      </c>
      <c r="AE49" s="100" t="n">
        <f aca="false">-IF(AND(29&gt;=Hipótesis!$D$53,Hipótesis!$B$53=1),IF(Hipótesis!$G$53=1,Hipótesis!$E$44,Hipótesis!$C$53*(1+Hipótesis!$D$45)^2)*(1+Hipótesis!$D$42),0)</f>
        <v>-0</v>
      </c>
      <c r="AF49" s="100" t="n">
        <f aca="false">-IF(AND(30&gt;=Hipótesis!$D$53,Hipótesis!$B$53=1),IF(Hipótesis!$G$53=1,Hipótesis!$E$44,Hipótesis!$C$53*(1+Hipótesis!$D$45)^2)*(1+Hipótesis!$D$42),0)</f>
        <v>-0</v>
      </c>
      <c r="AG49" s="100" t="n">
        <f aca="false">-IF(AND(31&gt;=Hipótesis!$D$53,Hipótesis!$B$53=1),IF(Hipótesis!$G$53=1,Hipótesis!$E$44,Hipótesis!$C$53*(1+Hipótesis!$D$45)^2)*(1+Hipótesis!$D$42),0)</f>
        <v>-0</v>
      </c>
      <c r="AH49" s="100" t="n">
        <f aca="false">-IF(AND(32&gt;=Hipótesis!$D$53,Hipótesis!$B$53=1),IF(Hipótesis!$G$53=1,Hipótesis!$E$44,Hipótesis!$C$53*(1+Hipótesis!$D$45)^2)*(1+Hipótesis!$D$42),0)</f>
        <v>-0</v>
      </c>
      <c r="AI49" s="100" t="n">
        <f aca="false">-IF(AND(33&gt;=Hipótesis!$D$53,Hipótesis!$B$53=1),IF(Hipótesis!$G$53=1,Hipótesis!$E$44,Hipótesis!$C$53*(1+Hipótesis!$D$45)^2)*(1+Hipótesis!$D$42),0)</f>
        <v>-0</v>
      </c>
      <c r="AJ49" s="100" t="n">
        <f aca="false">-IF(AND(34&gt;=Hipótesis!$D$53,Hipótesis!$B$53=1),IF(Hipótesis!$G$53=1,Hipótesis!$E$44,Hipótesis!$C$53*(1+Hipótesis!$D$45)^2)*(1+Hipótesis!$D$42),0)</f>
        <v>-0</v>
      </c>
      <c r="AK49" s="100" t="n">
        <f aca="false">-IF(AND(35&gt;=Hipótesis!$D$53,Hipótesis!$B$53=1),IF(Hipótesis!$G$53=1,Hipótesis!$E$44,Hipótesis!$C$53*(1+Hipótesis!$D$45)^2)*(1+Hipótesis!$D$42),0)</f>
        <v>-0</v>
      </c>
      <c r="AL49" s="100" t="n">
        <f aca="false">-IF(AND(36&gt;=Hipótesis!$D$53,Hipótesis!$B$53=1),IF(Hipótesis!$G$53=1,Hipótesis!$E$44,Hipótesis!$C$53*(1+Hipótesis!$D$45)^2)*(1+Hipótesis!$D$42),0)</f>
        <v>-0</v>
      </c>
      <c r="AM49" s="100" t="n">
        <f aca="false">-IF(AND(37&gt;=Hipótesis!$D$53,Hipótesis!$B$53=1),IF(Hipótesis!$G$53=1,Hipótesis!$F$44,Hipótesis!$C$53*(1+Hipótesis!$D$45)^3)*(1+Hipótesis!$D$42),0)</f>
        <v>-0</v>
      </c>
      <c r="AN49" s="100" t="n">
        <f aca="false">-IF(AND(38&gt;=Hipótesis!$D$53,Hipótesis!$B$53=1),IF(Hipótesis!$G$53=1,Hipótesis!$F$44,Hipótesis!$C$53*(1+Hipótesis!$D$45)^3)*(1+Hipótesis!$D$42),0)</f>
        <v>-0</v>
      </c>
      <c r="AO49" s="100" t="n">
        <f aca="false">-IF(AND(39&gt;=Hipótesis!$D$53,Hipótesis!$B$53=1),IF(Hipótesis!$G$53=1,Hipótesis!$F$44,Hipótesis!$C$53*(1+Hipótesis!$D$45)^3)*(1+Hipótesis!$D$42),0)</f>
        <v>-0</v>
      </c>
      <c r="AP49" s="100" t="n">
        <f aca="false">-IF(AND(40&gt;=Hipótesis!$D$53,Hipótesis!$B$53=1),IF(Hipótesis!$G$53=1,Hipótesis!$F$44,Hipótesis!$C$53*(1+Hipótesis!$D$45)^3)*(1+Hipótesis!$D$42),0)</f>
        <v>-0</v>
      </c>
      <c r="AQ49" s="100" t="n">
        <f aca="false">-IF(AND(41&gt;=Hipótesis!$D$53,Hipótesis!$B$53=1),IF(Hipótesis!$G$53=1,Hipótesis!$F$44,Hipótesis!$C$53*(1+Hipótesis!$D$45)^3)*(1+Hipótesis!$D$42),0)</f>
        <v>-0</v>
      </c>
      <c r="AR49" s="100" t="n">
        <f aca="false">-IF(AND(42&gt;=Hipótesis!$D$53,Hipótesis!$B$53=1),IF(Hipótesis!$G$53=1,Hipótesis!$F$44,Hipótesis!$C$53*(1+Hipótesis!$D$45)^3)*(1+Hipótesis!$D$42),0)</f>
        <v>-0</v>
      </c>
      <c r="AS49" s="100" t="n">
        <f aca="false">-IF(AND(43&gt;=Hipótesis!$D$53,Hipótesis!$B$53=1),IF(Hipótesis!$G$53=1,Hipótesis!$F$44,Hipótesis!$C$53*(1+Hipótesis!$D$45)^3)*(1+Hipótesis!$D$42),0)</f>
        <v>-0</v>
      </c>
      <c r="AT49" s="100" t="n">
        <f aca="false">-IF(AND(44&gt;=Hipótesis!$D$53,Hipótesis!$B$53=1),IF(Hipótesis!$G$53=1,Hipótesis!$F$44,Hipótesis!$C$53*(1+Hipótesis!$D$45)^3)*(1+Hipótesis!$D$42),0)</f>
        <v>-0</v>
      </c>
      <c r="AU49" s="100" t="n">
        <f aca="false">-IF(AND(45&gt;=Hipótesis!$D$53,Hipótesis!$B$53=1),IF(Hipótesis!$G$53=1,Hipótesis!$F$44,Hipótesis!$C$53*(1+Hipótesis!$D$45)^3)*(1+Hipótesis!$D$42),0)</f>
        <v>-0</v>
      </c>
      <c r="AV49" s="100" t="n">
        <f aca="false">-IF(AND(46&gt;=Hipótesis!$D$53,Hipótesis!$B$53=1),IF(Hipótesis!$G$53=1,Hipótesis!$F$44,Hipótesis!$C$53*(1+Hipótesis!$D$45)^3)*(1+Hipótesis!$D$42),0)</f>
        <v>-0</v>
      </c>
      <c r="AW49" s="100" t="n">
        <f aca="false">-IF(AND(47&gt;=Hipótesis!$D$53,Hipótesis!$B$53=1),IF(Hipótesis!$G$53=1,Hipótesis!$F$44,Hipótesis!$C$53*(1+Hipótesis!$D$45)^3)*(1+Hipótesis!$D$42),0)</f>
        <v>-0</v>
      </c>
      <c r="AX49" s="100" t="n">
        <f aca="false">-IF(AND(48&gt;=Hipótesis!$D$53,Hipótesis!$B$53=1),IF(Hipótesis!$G$53=1,Hipótesis!$F$44,Hipótesis!$C$53*(1+Hipótesis!$D$45)^3)*(1+Hipótesis!$D$42),0)</f>
        <v>-0</v>
      </c>
      <c r="AY49" s="100" t="n">
        <f aca="false">-IF(AND(49&gt;=Hipótesis!$D$53,Hipótesis!$B$53=1),IF(Hipótesis!$G$53=1,Hipótesis!$G$44,Hipótesis!$C$53*(1+Hipótesis!$D$45)^4)*(1+Hipótesis!$D$42),0)</f>
        <v>-0</v>
      </c>
      <c r="AZ49" s="100" t="n">
        <f aca="false">-IF(AND(50&gt;=Hipótesis!$D$53,Hipótesis!$B$53=1),IF(Hipótesis!$G$53=1,Hipótesis!$G$44,Hipótesis!$C$53*(1+Hipótesis!$D$45)^4)*(1+Hipótesis!$D$42),0)</f>
        <v>-0</v>
      </c>
      <c r="BA49" s="100" t="n">
        <f aca="false">-IF(AND(51&gt;=Hipótesis!$D$53,Hipótesis!$B$53=1),IF(Hipótesis!$G$53=1,Hipótesis!$G$44,Hipótesis!$C$53*(1+Hipótesis!$D$45)^4)*(1+Hipótesis!$D$42),0)</f>
        <v>-0</v>
      </c>
      <c r="BB49" s="100" t="n">
        <f aca="false">-IF(AND(52&gt;=Hipótesis!$D$53,Hipótesis!$B$53=1),IF(Hipótesis!$G$53=1,Hipótesis!$G$44,Hipótesis!$C$53*(1+Hipótesis!$D$45)^4)*(1+Hipótesis!$D$42),0)</f>
        <v>-0</v>
      </c>
      <c r="BC49" s="100" t="n">
        <f aca="false">-IF(AND(53&gt;=Hipótesis!$D$53,Hipótesis!$B$53=1),IF(Hipótesis!$G$53=1,Hipótesis!$G$44,Hipótesis!$C$53*(1+Hipótesis!$D$45)^4)*(1+Hipótesis!$D$42),0)</f>
        <v>-0</v>
      </c>
      <c r="BD49" s="100" t="n">
        <f aca="false">-IF(AND(54&gt;=Hipótesis!$D$53,Hipótesis!$B$53=1),IF(Hipótesis!$G$53=1,Hipótesis!$G$44,Hipótesis!$C$53*(1+Hipótesis!$D$45)^4)*(1+Hipótesis!$D$42),0)</f>
        <v>-0</v>
      </c>
      <c r="BE49" s="100" t="n">
        <f aca="false">-IF(AND(55&gt;=Hipótesis!$D$53,Hipótesis!$B$53=1),IF(Hipótesis!$G$53=1,Hipótesis!$G$44,Hipótesis!$C$53*(1+Hipótesis!$D$45)^4)*(1+Hipótesis!$D$42),0)</f>
        <v>-0</v>
      </c>
      <c r="BF49" s="100" t="n">
        <f aca="false">-IF(AND(56&gt;=Hipótesis!$D$53,Hipótesis!$B$53=1),IF(Hipótesis!$G$53=1,Hipótesis!$G$44,Hipótesis!$C$53*(1+Hipótesis!$D$45)^4)*(1+Hipótesis!$D$42),0)</f>
        <v>-0</v>
      </c>
      <c r="BG49" s="100" t="n">
        <f aca="false">-IF(AND(57&gt;=Hipótesis!$D$53,Hipótesis!$B$53=1),IF(Hipótesis!$G$53=1,Hipótesis!$G$44,Hipótesis!$C$53*(1+Hipótesis!$D$45)^4)*(1+Hipótesis!$D$42),0)</f>
        <v>-0</v>
      </c>
      <c r="BH49" s="100" t="n">
        <f aca="false">-IF(AND(58&gt;=Hipótesis!$D$53,Hipótesis!$B$53=1),IF(Hipótesis!$G$53=1,Hipótesis!$G$44,Hipótesis!$C$53*(1+Hipótesis!$D$45)^4)*(1+Hipótesis!$D$42),0)</f>
        <v>-0</v>
      </c>
      <c r="BI49" s="100" t="n">
        <f aca="false">-IF(AND(59&gt;=Hipótesis!$D$53,Hipótesis!$B$53=1),IF(Hipótesis!$G$53=1,Hipótesis!$G$44,Hipótesis!$C$53*(1+Hipótesis!$D$45)^4)*(1+Hipótesis!$D$42),0)</f>
        <v>-0</v>
      </c>
      <c r="BJ49" s="100" t="n">
        <f aca="false">-IF(AND(60&gt;=Hipótesis!$D$53,Hipótesis!$B$53=1),IF(Hipótesis!$G$53=1,Hipótesis!$G$44,Hipótesis!$C$53*(1+Hipótesis!$D$45)^4)*(1+Hipótesis!$D$42),0)</f>
        <v>-0</v>
      </c>
      <c r="BK49" s="100" t="n">
        <f aca="false">-IF(AND(61&gt;=Hipótesis!$D$53,Hipótesis!$B$53=1),IF(Hipótesis!$G$53=1,Hipótesis!$H$44,Hipótesis!$C$53*(1+Hipótesis!$D$45)^5)*(1+Hipótesis!$D$42),0)</f>
        <v>-0</v>
      </c>
      <c r="BL49" s="100" t="n">
        <f aca="false">-IF(AND(62&gt;=Hipótesis!$D$53,Hipótesis!$B$53=1),IF(Hipótesis!$G$53=1,Hipótesis!$H$44,Hipótesis!$C$53*(1+Hipótesis!$D$45)^5)*(1+Hipótesis!$D$42),0)</f>
        <v>-0</v>
      </c>
      <c r="BM49" s="100" t="n">
        <f aca="false">-IF(AND(63&gt;=Hipótesis!$D$53,Hipótesis!$B$53=1),IF(Hipótesis!$G$53=1,Hipótesis!$H$44,Hipótesis!$C$53*(1+Hipótesis!$D$45)^5)*(1+Hipótesis!$D$42),0)</f>
        <v>-0</v>
      </c>
      <c r="BN49" s="100" t="n">
        <f aca="false">-IF(AND(64&gt;=Hipótesis!$D$53,Hipótesis!$B$53=1),IF(Hipótesis!$G$53=1,Hipótesis!$H$44,Hipótesis!$C$53*(1+Hipótesis!$D$45)^5)*(1+Hipótesis!$D$42),0)</f>
        <v>-0</v>
      </c>
      <c r="BO49" s="100" t="n">
        <f aca="false">-IF(AND(65&gt;=Hipótesis!$D$53,Hipótesis!$B$53=1),IF(Hipótesis!$G$53=1,Hipótesis!$H$44,Hipótesis!$C$53*(1+Hipótesis!$D$45)^5)*(1+Hipótesis!$D$42),0)</f>
        <v>-0</v>
      </c>
      <c r="BP49" s="100" t="n">
        <f aca="false">-IF(AND(66&gt;=Hipótesis!$D$53,Hipótesis!$B$53=1),IF(Hipótesis!$G$53=1,Hipótesis!$H$44,Hipótesis!$C$53*(1+Hipótesis!$D$45)^5)*(1+Hipótesis!$D$42),0)</f>
        <v>-0</v>
      </c>
      <c r="BQ49" s="100" t="n">
        <f aca="false">-IF(AND(67&gt;=Hipótesis!$D$53,Hipótesis!$B$53=1),IF(Hipótesis!$G$53=1,Hipótesis!$H$44,Hipótesis!$C$53*(1+Hipótesis!$D$45)^5)*(1+Hipótesis!$D$42),0)</f>
        <v>-0</v>
      </c>
      <c r="BR49" s="100" t="n">
        <f aca="false">-IF(AND(68&gt;=Hipótesis!$D$53,Hipótesis!$B$53=1),IF(Hipótesis!$G$53=1,Hipótesis!$H$44,Hipótesis!$C$53*(1+Hipótesis!$D$45)^5)*(1+Hipótesis!$D$42),0)</f>
        <v>-0</v>
      </c>
      <c r="BS49" s="100" t="n">
        <f aca="false">-IF(AND(69&gt;=Hipótesis!$D$53,Hipótesis!$B$53=1),IF(Hipótesis!$G$53=1,Hipótesis!$H$44,Hipótesis!$C$53*(1+Hipótesis!$D$45)^5)*(1+Hipótesis!$D$42),0)</f>
        <v>-0</v>
      </c>
      <c r="BT49" s="100" t="n">
        <f aca="false">-IF(AND(70&gt;=Hipótesis!$D$53,Hipótesis!$B$53=1),IF(Hipótesis!$G$53=1,Hipótesis!$H$44,Hipótesis!$C$53*(1+Hipótesis!$D$45)^5)*(1+Hipótesis!$D$42),0)</f>
        <v>-0</v>
      </c>
      <c r="BU49" s="100" t="n">
        <f aca="false">-IF(AND(71&gt;=Hipótesis!$D$53,Hipótesis!$B$53=1),IF(Hipótesis!$G$53=1,Hipótesis!$H$44,Hipótesis!$C$53*(1+Hipótesis!$D$45)^5)*(1+Hipótesis!$D$42),0)</f>
        <v>-0</v>
      </c>
      <c r="BV49" s="100" t="n">
        <f aca="false">-IF(AND(72&gt;=Hipótesis!$D$53,Hipótesis!$B$53=1),IF(Hipótesis!$G$53=1,Hipótesis!$H$44,Hipótesis!$C$53*(1+Hipótesis!$D$45)^5)*(1+Hipótesis!$D$42),0)</f>
        <v>-0</v>
      </c>
      <c r="BW49" s="100" t="n">
        <f aca="false">-IF(AND(73&gt;=Hipótesis!$D$53,Hipótesis!$B$53=1),IF(Hipótesis!$G$53=1,Hipótesis!$I$44,Hipótesis!$C$53*(1+Hipótesis!$D$45)^6)*(1+Hipótesis!$D$42),0)</f>
        <v>-0</v>
      </c>
      <c r="BX49" s="100" t="n">
        <f aca="false">-IF(AND(74&gt;=Hipótesis!$D$53,Hipótesis!$B$53=1),IF(Hipótesis!$G$53=1,Hipótesis!$I$44,Hipótesis!$C$53*(1+Hipótesis!$D$45)^6)*(1+Hipótesis!$D$42),0)</f>
        <v>-0</v>
      </c>
      <c r="BY49" s="100" t="n">
        <f aca="false">-IF(AND(75&gt;=Hipótesis!$D$53,Hipótesis!$B$53=1),IF(Hipótesis!$G$53=1,Hipótesis!$I$44,Hipótesis!$C$53*(1+Hipótesis!$D$45)^6)*(1+Hipótesis!$D$42),0)</f>
        <v>-0</v>
      </c>
      <c r="BZ49" s="100" t="n">
        <f aca="false">-IF(AND(76&gt;=Hipótesis!$D$53,Hipótesis!$B$53=1),IF(Hipótesis!$G$53=1,Hipótesis!$I$44,Hipótesis!$C$53*(1+Hipótesis!$D$45)^6)*(1+Hipótesis!$D$42),0)</f>
        <v>-0</v>
      </c>
      <c r="CA49" s="100" t="n">
        <f aca="false">-IF(AND(77&gt;=Hipótesis!$D$53,Hipótesis!$B$53=1),IF(Hipótesis!$G$53=1,Hipótesis!$I$44,Hipótesis!$C$53*(1+Hipótesis!$D$45)^6)*(1+Hipótesis!$D$42),0)</f>
        <v>-0</v>
      </c>
      <c r="CB49" s="100" t="n">
        <f aca="false">-IF(AND(78&gt;=Hipótesis!$D$53,Hipótesis!$B$53=1),IF(Hipótesis!$G$53=1,Hipótesis!$I$44,Hipótesis!$C$53*(1+Hipótesis!$D$45)^6)*(1+Hipótesis!$D$42),0)</f>
        <v>-0</v>
      </c>
      <c r="CC49" s="100" t="n">
        <f aca="false">-IF(AND(79&gt;=Hipótesis!$D$53,Hipótesis!$B$53=1),IF(Hipótesis!$G$53=1,Hipótesis!$I$44,Hipótesis!$C$53*(1+Hipótesis!$D$45)^6)*(1+Hipótesis!$D$42),0)</f>
        <v>-0</v>
      </c>
      <c r="CD49" s="100" t="n">
        <f aca="false">-IF(AND(80&gt;=Hipótesis!$D$53,Hipótesis!$B$53=1),IF(Hipótesis!$G$53=1,Hipótesis!$I$44,Hipótesis!$C$53*(1+Hipótesis!$D$45)^6)*(1+Hipótesis!$D$42),0)</f>
        <v>-0</v>
      </c>
      <c r="CE49" s="100" t="n">
        <f aca="false">-IF(AND(81&gt;=Hipótesis!$D$53,Hipótesis!$B$53=1),IF(Hipótesis!$G$53=1,Hipótesis!$I$44,Hipótesis!$C$53*(1+Hipótesis!$D$45)^6)*(1+Hipótesis!$D$42),0)</f>
        <v>-0</v>
      </c>
      <c r="CF49" s="100" t="n">
        <f aca="false">-IF(AND(82&gt;=Hipótesis!$D$53,Hipótesis!$B$53=1),IF(Hipótesis!$G$53=1,Hipótesis!$I$44,Hipótesis!$C$53*(1+Hipótesis!$D$45)^6)*(1+Hipótesis!$D$42),0)</f>
        <v>-0</v>
      </c>
      <c r="CG49" s="100" t="n">
        <f aca="false">-IF(AND(83&gt;=Hipótesis!$D$53,Hipótesis!$B$53=1),IF(Hipótesis!$G$53=1,Hipótesis!$I$44,Hipótesis!$C$53*(1+Hipótesis!$D$45)^6)*(1+Hipótesis!$D$42),0)</f>
        <v>-0</v>
      </c>
      <c r="CH49" s="100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22" t="s">
        <v>527</v>
      </c>
      <c r="C50" s="100" t="n">
        <f aca="false">-C30*Hipótesis!$D$61*(1+Hipótesis!$D$45)^0*(1+Hipótesis!$D$42)</f>
        <v>-0</v>
      </c>
      <c r="D50" s="100" t="n">
        <f aca="false">-D30*Hipótesis!$D$61*(1+Hipótesis!$D$45)^0*(1+Hipótesis!$D$42)</f>
        <v>-0</v>
      </c>
      <c r="E50" s="100" t="n">
        <f aca="false">-E30*Hipótesis!$D$61*(1+Hipótesis!$D$45)^0*(1+Hipótesis!$D$42)</f>
        <v>-0</v>
      </c>
      <c r="F50" s="100" t="n">
        <f aca="false">-F30*Hipótesis!$D$61*(1+Hipótesis!$D$45)^0*(1+Hipótesis!$D$42)</f>
        <v>-0</v>
      </c>
      <c r="G50" s="100" t="n">
        <f aca="false">-G30*Hipótesis!$D$61*(1+Hipótesis!$D$45)^0*(1+Hipótesis!$D$42)</f>
        <v>-0</v>
      </c>
      <c r="H50" s="100" t="n">
        <f aca="false">-H30*Hipótesis!$D$61*(1+Hipótesis!$D$45)^0*(1+Hipótesis!$D$42)</f>
        <v>-0</v>
      </c>
      <c r="I50" s="100" t="n">
        <f aca="false">-I30*Hipótesis!$D$61*(1+Hipótesis!$D$45)^0*(1+Hipótesis!$D$42)</f>
        <v>-0</v>
      </c>
      <c r="J50" s="100" t="n">
        <f aca="false">-J30*Hipótesis!$D$61*(1+Hipótesis!$D$45)^0*(1+Hipótesis!$D$42)</f>
        <v>-0</v>
      </c>
      <c r="K50" s="100" t="n">
        <f aca="false">-K30*Hipótesis!$D$61*(1+Hipótesis!$D$45)^0*(1+Hipótesis!$D$42)</f>
        <v>-0</v>
      </c>
      <c r="L50" s="100" t="n">
        <f aca="false">-L30*Hipótesis!$D$61*(1+Hipótesis!$D$45)^0*(1+Hipótesis!$D$42)</f>
        <v>-0</v>
      </c>
      <c r="M50" s="100" t="n">
        <f aca="false">-M30*Hipótesis!$D$61*(1+Hipótesis!$D$45)^0*(1+Hipótesis!$D$42)</f>
        <v>-0</v>
      </c>
      <c r="N50" s="100" t="n">
        <f aca="false">-N30*Hipótesis!$D$61*(1+Hipótesis!$D$45)^0*(1+Hipótesis!$D$42)</f>
        <v>-0</v>
      </c>
      <c r="O50" s="100" t="n">
        <f aca="false">-O30*Hipótesis!$D$61*(1+Hipótesis!$D$45)^1*(1+Hipótesis!$D$42)</f>
        <v>-0</v>
      </c>
      <c r="P50" s="100" t="n">
        <f aca="false">-P30*Hipótesis!$D$61*(1+Hipótesis!$D$45)^1*(1+Hipótesis!$D$42)</f>
        <v>-2311.32</v>
      </c>
      <c r="Q50" s="100" t="n">
        <f aca="false">-Q30*Hipótesis!$D$61*(1+Hipótesis!$D$45)^1*(1+Hipótesis!$D$42)</f>
        <v>-2311.32</v>
      </c>
      <c r="R50" s="100" t="n">
        <f aca="false">-R30*Hipótesis!$D$61*(1+Hipótesis!$D$45)^1*(1+Hipótesis!$D$42)</f>
        <v>-2311.32</v>
      </c>
      <c r="S50" s="100" t="n">
        <f aca="false">-S30*Hipótesis!$D$61*(1+Hipótesis!$D$45)^1*(1+Hipótesis!$D$42)</f>
        <v>-2311.32</v>
      </c>
      <c r="T50" s="100" t="n">
        <f aca="false">-T30*Hipótesis!$D$61*(1+Hipótesis!$D$45)^1*(1+Hipótesis!$D$42)</f>
        <v>-2311.32</v>
      </c>
      <c r="U50" s="100" t="n">
        <f aca="false">-U30*Hipótesis!$D$61*(1+Hipótesis!$D$45)^1*(1+Hipótesis!$D$42)</f>
        <v>-4622.64</v>
      </c>
      <c r="V50" s="100" t="n">
        <f aca="false">-V30*Hipótesis!$D$61*(1+Hipótesis!$D$45)^1*(1+Hipótesis!$D$42)</f>
        <v>-4622.64</v>
      </c>
      <c r="W50" s="100" t="n">
        <f aca="false">-W30*Hipótesis!$D$61*(1+Hipótesis!$D$45)^1*(1+Hipótesis!$D$42)</f>
        <v>-4622.64</v>
      </c>
      <c r="X50" s="100" t="n">
        <f aca="false">-X30*Hipótesis!$D$61*(1+Hipótesis!$D$45)^1*(1+Hipótesis!$D$42)</f>
        <v>-4622.64</v>
      </c>
      <c r="Y50" s="100" t="n">
        <f aca="false">-Y30*Hipótesis!$D$61*(1+Hipótesis!$D$45)^1*(1+Hipótesis!$D$42)</f>
        <v>-4622.64</v>
      </c>
      <c r="Z50" s="100" t="n">
        <f aca="false">-Z30*Hipótesis!$D$61*(1+Hipótesis!$D$45)^1*(1+Hipótesis!$D$42)</f>
        <v>-4622.64</v>
      </c>
      <c r="AA50" s="100" t="n">
        <f aca="false">-AA30*Hipótesis!$D$61*(1+Hipótesis!$D$45)^2*(1+Hipótesis!$D$42)</f>
        <v>-4761.3192</v>
      </c>
      <c r="AB50" s="100" t="n">
        <f aca="false">-AB30*Hipótesis!$D$61*(1+Hipótesis!$D$45)^2*(1+Hipótesis!$D$42)</f>
        <v>-7141.9788</v>
      </c>
      <c r="AC50" s="100" t="n">
        <f aca="false">-AC30*Hipótesis!$D$61*(1+Hipótesis!$D$45)^2*(1+Hipótesis!$D$42)</f>
        <v>-7141.9788</v>
      </c>
      <c r="AD50" s="100" t="n">
        <f aca="false">-AD30*Hipótesis!$D$61*(1+Hipótesis!$D$45)^2*(1+Hipótesis!$D$42)</f>
        <v>-7141.9788</v>
      </c>
      <c r="AE50" s="100" t="n">
        <f aca="false">-AE30*Hipótesis!$D$61*(1+Hipótesis!$D$45)^2*(1+Hipótesis!$D$42)</f>
        <v>-7141.9788</v>
      </c>
      <c r="AF50" s="100" t="n">
        <f aca="false">-AF30*Hipótesis!$D$61*(1+Hipótesis!$D$45)^2*(1+Hipótesis!$D$42)</f>
        <v>-7141.9788</v>
      </c>
      <c r="AG50" s="100" t="n">
        <f aca="false">-AG30*Hipótesis!$D$61*(1+Hipótesis!$D$45)^2*(1+Hipótesis!$D$42)</f>
        <v>-7141.9788</v>
      </c>
      <c r="AH50" s="100" t="n">
        <f aca="false">-AH30*Hipótesis!$D$61*(1+Hipótesis!$D$45)^2*(1+Hipótesis!$D$42)</f>
        <v>-7141.9788</v>
      </c>
      <c r="AI50" s="100" t="n">
        <f aca="false">-AI30*Hipótesis!$D$61*(1+Hipótesis!$D$45)^2*(1+Hipótesis!$D$42)</f>
        <v>-7141.9788</v>
      </c>
      <c r="AJ50" s="100" t="n">
        <f aca="false">-AJ30*Hipótesis!$D$61*(1+Hipótesis!$D$45)^2*(1+Hipótesis!$D$42)</f>
        <v>-7141.9788</v>
      </c>
      <c r="AK50" s="100" t="n">
        <f aca="false">-AK30*Hipótesis!$D$61*(1+Hipótesis!$D$45)^2*(1+Hipótesis!$D$42)</f>
        <v>-7141.9788</v>
      </c>
      <c r="AL50" s="100" t="n">
        <f aca="false">-AL30*Hipótesis!$D$61*(1+Hipótesis!$D$45)^2*(1+Hipótesis!$D$42)</f>
        <v>-9522.6384</v>
      </c>
      <c r="AM50" s="100" t="n">
        <f aca="false">-AM30*Hipótesis!$D$61*(1+Hipótesis!$D$45)^3*(1+Hipótesis!$D$42)</f>
        <v>-9808.317552</v>
      </c>
      <c r="AN50" s="100" t="n">
        <f aca="false">-AN30*Hipótesis!$D$61*(1+Hipótesis!$D$45)^3*(1+Hipótesis!$D$42)</f>
        <v>-9808.317552</v>
      </c>
      <c r="AO50" s="100" t="n">
        <f aca="false">-AO30*Hipótesis!$D$61*(1+Hipótesis!$D$45)^3*(1+Hipótesis!$D$42)</f>
        <v>-9808.317552</v>
      </c>
      <c r="AP50" s="100" t="n">
        <f aca="false">-AP30*Hipótesis!$D$61*(1+Hipótesis!$D$45)^3*(1+Hipótesis!$D$42)</f>
        <v>-9808.317552</v>
      </c>
      <c r="AQ50" s="100" t="n">
        <f aca="false">-AQ30*Hipótesis!$D$61*(1+Hipótesis!$D$45)^3*(1+Hipótesis!$D$42)</f>
        <v>-9808.317552</v>
      </c>
      <c r="AR50" s="100" t="n">
        <f aca="false">-AR30*Hipótesis!$D$61*(1+Hipótesis!$D$45)^3*(1+Hipótesis!$D$42)</f>
        <v>-9808.317552</v>
      </c>
      <c r="AS50" s="100" t="n">
        <f aca="false">-AS30*Hipótesis!$D$61*(1+Hipótesis!$D$45)^3*(1+Hipótesis!$D$42)</f>
        <v>-9808.317552</v>
      </c>
      <c r="AT50" s="100" t="n">
        <f aca="false">-AT30*Hipótesis!$D$61*(1+Hipótesis!$D$45)^3*(1+Hipótesis!$D$42)</f>
        <v>-9808.317552</v>
      </c>
      <c r="AU50" s="100" t="n">
        <f aca="false">-AU30*Hipótesis!$D$61*(1+Hipótesis!$D$45)^3*(1+Hipótesis!$D$42)</f>
        <v>-9808.317552</v>
      </c>
      <c r="AV50" s="100" t="n">
        <f aca="false">-AV30*Hipótesis!$D$61*(1+Hipótesis!$D$45)^3*(1+Hipótesis!$D$42)</f>
        <v>-9808.317552</v>
      </c>
      <c r="AW50" s="100" t="n">
        <f aca="false">-AW30*Hipótesis!$D$61*(1+Hipótesis!$D$45)^3*(1+Hipótesis!$D$42)</f>
        <v>-9808.317552</v>
      </c>
      <c r="AX50" s="100" t="n">
        <f aca="false">-AX30*Hipótesis!$D$61*(1+Hipótesis!$D$45)^3*(1+Hipótesis!$D$42)</f>
        <v>-9808.317552</v>
      </c>
      <c r="AY50" s="100" t="n">
        <f aca="false">-AY30*Hipótesis!$D$61*(1+Hipótesis!$D$45)^4*(1+Hipótesis!$D$42)</f>
        <v>-10102.56707856</v>
      </c>
      <c r="AZ50" s="100" t="n">
        <f aca="false">-AZ30*Hipótesis!$D$61*(1+Hipótesis!$D$45)^4*(1+Hipótesis!$D$42)</f>
        <v>-10102.56707856</v>
      </c>
      <c r="BA50" s="100" t="n">
        <f aca="false">-BA30*Hipótesis!$D$61*(1+Hipótesis!$D$45)^4*(1+Hipótesis!$D$42)</f>
        <v>-10102.56707856</v>
      </c>
      <c r="BB50" s="100" t="n">
        <f aca="false">-BB30*Hipótesis!$D$61*(1+Hipótesis!$D$45)^4*(1+Hipótesis!$D$42)</f>
        <v>-10102.56707856</v>
      </c>
      <c r="BC50" s="100" t="n">
        <f aca="false">-BC30*Hipótesis!$D$61*(1+Hipótesis!$D$45)^4*(1+Hipótesis!$D$42)</f>
        <v>-10102.56707856</v>
      </c>
      <c r="BD50" s="100" t="n">
        <f aca="false">-BD30*Hipótesis!$D$61*(1+Hipótesis!$D$45)^4*(1+Hipótesis!$D$42)</f>
        <v>-10102.56707856</v>
      </c>
      <c r="BE50" s="100" t="n">
        <f aca="false">-BE30*Hipótesis!$D$61*(1+Hipótesis!$D$45)^4*(1+Hipótesis!$D$42)</f>
        <v>-10102.56707856</v>
      </c>
      <c r="BF50" s="100" t="n">
        <f aca="false">-BF30*Hipótesis!$D$61*(1+Hipótesis!$D$45)^4*(1+Hipótesis!$D$42)</f>
        <v>-10102.56707856</v>
      </c>
      <c r="BG50" s="100" t="n">
        <f aca="false">-BG30*Hipótesis!$D$61*(1+Hipótesis!$D$45)^4*(1+Hipótesis!$D$42)</f>
        <v>-10102.56707856</v>
      </c>
      <c r="BH50" s="100" t="n">
        <f aca="false">-BH30*Hipótesis!$D$61*(1+Hipótesis!$D$45)^4*(1+Hipótesis!$D$42)</f>
        <v>-10102.56707856</v>
      </c>
      <c r="BI50" s="100" t="n">
        <f aca="false">-BI30*Hipótesis!$D$61*(1+Hipótesis!$D$45)^4*(1+Hipótesis!$D$42)</f>
        <v>-10102.56707856</v>
      </c>
      <c r="BJ50" s="100" t="n">
        <f aca="false">-BJ30*Hipótesis!$D$61*(1+Hipótesis!$D$45)^4*(1+Hipótesis!$D$42)</f>
        <v>-10102.56707856</v>
      </c>
      <c r="BK50" s="100" t="n">
        <f aca="false">-BK30*Hipótesis!$D$61*(1+Hipótesis!$D$45)^5*(1+Hipótesis!$D$42)</f>
        <v>-10405.6440909168</v>
      </c>
      <c r="BL50" s="100" t="n">
        <f aca="false">-BL30*Hipótesis!$D$61*(1+Hipótesis!$D$45)^5*(1+Hipótesis!$D$42)</f>
        <v>-10405.6440909168</v>
      </c>
      <c r="BM50" s="100" t="n">
        <f aca="false">-BM30*Hipótesis!$D$61*(1+Hipótesis!$D$45)^5*(1+Hipótesis!$D$42)</f>
        <v>-10405.6440909168</v>
      </c>
      <c r="BN50" s="100" t="n">
        <f aca="false">-BN30*Hipótesis!$D$61*(1+Hipótesis!$D$45)^5*(1+Hipótesis!$D$42)</f>
        <v>-10405.6440909168</v>
      </c>
      <c r="BO50" s="100" t="n">
        <f aca="false">-BO30*Hipótesis!$D$61*(1+Hipótesis!$D$45)^5*(1+Hipótesis!$D$42)</f>
        <v>-10405.6440909168</v>
      </c>
      <c r="BP50" s="100" t="n">
        <f aca="false">-BP30*Hipótesis!$D$61*(1+Hipótesis!$D$45)^5*(1+Hipótesis!$D$42)</f>
        <v>-10405.6440909168</v>
      </c>
      <c r="BQ50" s="100" t="n">
        <f aca="false">-BQ30*Hipótesis!$D$61*(1+Hipótesis!$D$45)^5*(1+Hipótesis!$D$42)</f>
        <v>-10405.6440909168</v>
      </c>
      <c r="BR50" s="100" t="n">
        <f aca="false">-BR30*Hipótesis!$D$61*(1+Hipótesis!$D$45)^5*(1+Hipótesis!$D$42)</f>
        <v>-10405.6440909168</v>
      </c>
      <c r="BS50" s="100" t="n">
        <f aca="false">-BS30*Hipótesis!$D$61*(1+Hipótesis!$D$45)^5*(1+Hipótesis!$D$42)</f>
        <v>-10405.6440909168</v>
      </c>
      <c r="BT50" s="100" t="n">
        <f aca="false">-BT30*Hipótesis!$D$61*(1+Hipótesis!$D$45)^5*(1+Hipótesis!$D$42)</f>
        <v>-10405.6440909168</v>
      </c>
      <c r="BU50" s="100" t="n">
        <f aca="false">-BU30*Hipótesis!$D$61*(1+Hipótesis!$D$45)^5*(1+Hipótesis!$D$42)</f>
        <v>-10405.6440909168</v>
      </c>
      <c r="BV50" s="100" t="n">
        <f aca="false">-BV30*Hipótesis!$D$61*(1+Hipótesis!$D$45)^5*(1+Hipótesis!$D$42)</f>
        <v>-10405.6440909168</v>
      </c>
      <c r="BW50" s="100" t="n">
        <f aca="false">-BW30*Hipótesis!$D$61*(1+Hipótesis!$D$45)^6*(1+Hipótesis!$D$42)</f>
        <v>-10717.8134136443</v>
      </c>
      <c r="BX50" s="100" t="n">
        <f aca="false">-BX30*Hipótesis!$D$61*(1+Hipótesis!$D$45)^6*(1+Hipótesis!$D$42)</f>
        <v>-10717.8134136443</v>
      </c>
      <c r="BY50" s="100" t="n">
        <f aca="false">-BY30*Hipótesis!$D$61*(1+Hipótesis!$D$45)^6*(1+Hipótesis!$D$42)</f>
        <v>-10717.8134136443</v>
      </c>
      <c r="BZ50" s="100" t="n">
        <f aca="false">-BZ30*Hipótesis!$D$61*(1+Hipótesis!$D$45)^6*(1+Hipótesis!$D$42)</f>
        <v>-10717.8134136443</v>
      </c>
      <c r="CA50" s="100" t="n">
        <f aca="false">-CA30*Hipótesis!$D$61*(1+Hipótesis!$D$45)^6*(1+Hipótesis!$D$42)</f>
        <v>-10717.8134136443</v>
      </c>
      <c r="CB50" s="100" t="n">
        <f aca="false">-CB30*Hipótesis!$D$61*(1+Hipótesis!$D$45)^6*(1+Hipótesis!$D$42)</f>
        <v>-10717.8134136443</v>
      </c>
      <c r="CC50" s="100" t="n">
        <f aca="false">-CC30*Hipótesis!$D$61*(1+Hipótesis!$D$45)^6*(1+Hipótesis!$D$42)</f>
        <v>-10717.8134136443</v>
      </c>
      <c r="CD50" s="100" t="n">
        <f aca="false">-CD30*Hipótesis!$D$61*(1+Hipótesis!$D$45)^6*(1+Hipótesis!$D$42)</f>
        <v>-10717.8134136443</v>
      </c>
      <c r="CE50" s="100" t="n">
        <f aca="false">-CE30*Hipótesis!$D$61*(1+Hipótesis!$D$45)^6*(1+Hipótesis!$D$42)</f>
        <v>-10717.8134136443</v>
      </c>
      <c r="CF50" s="100" t="n">
        <f aca="false">-CF30*Hipótesis!$D$61*(1+Hipótesis!$D$45)^6*(1+Hipótesis!$D$42)</f>
        <v>-10717.8134136443</v>
      </c>
      <c r="CG50" s="100" t="n">
        <f aca="false">-CG30*Hipótesis!$D$61*(1+Hipótesis!$D$45)^6*(1+Hipótesis!$D$42)</f>
        <v>-10717.8134136443</v>
      </c>
      <c r="CH50" s="100" t="n">
        <f aca="false">-CH30*Hipótesis!$D$61*(1+Hipótesis!$D$45)^6*(1+Hipótesis!$D$42)</f>
        <v>-10717.8134136443</v>
      </c>
    </row>
    <row r="51" customFormat="false" ht="13.5" hidden="false" customHeight="true" outlineLevel="0" collapsed="false">
      <c r="A51" s="22" t="s">
        <v>528</v>
      </c>
      <c r="C51" s="100" t="n">
        <f aca="false">SUM(C44:C49)+C50</f>
        <v>-11352</v>
      </c>
      <c r="D51" s="100" t="n">
        <f aca="false">SUM(D44:D49)+D50</f>
        <v>-11352</v>
      </c>
      <c r="E51" s="100" t="n">
        <f aca="false">SUM(E44:E49)+E50</f>
        <v>-11352</v>
      </c>
      <c r="F51" s="100" t="n">
        <f aca="false">SUM(F44:F49)+F50</f>
        <v>-11352</v>
      </c>
      <c r="G51" s="100" t="n">
        <f aca="false">SUM(G44:G49)+G50</f>
        <v>-11352</v>
      </c>
      <c r="H51" s="100" t="n">
        <f aca="false">SUM(H44:H49)+H50</f>
        <v>-11352</v>
      </c>
      <c r="I51" s="100" t="n">
        <f aca="false">SUM(I44:I49)+I50</f>
        <v>-11352</v>
      </c>
      <c r="J51" s="100" t="n">
        <f aca="false">SUM(J44:J49)+J50</f>
        <v>-11352</v>
      </c>
      <c r="K51" s="100" t="n">
        <f aca="false">SUM(K44:K49)+K50</f>
        <v>-11352</v>
      </c>
      <c r="L51" s="100" t="n">
        <f aca="false">SUM(L44:L49)+L50</f>
        <v>-11352</v>
      </c>
      <c r="M51" s="100" t="n">
        <f aca="false">SUM(M44:M49)+M50</f>
        <v>-11352</v>
      </c>
      <c r="N51" s="100" t="n">
        <f aca="false">SUM(N44:N49)+N50</f>
        <v>-11352</v>
      </c>
      <c r="O51" s="100" t="n">
        <f aca="false">SUM(O44:O49)+O50</f>
        <v>-16579.2</v>
      </c>
      <c r="P51" s="100" t="n">
        <f aca="false">SUM(P44:P49)+P50</f>
        <v>-18890.52</v>
      </c>
      <c r="Q51" s="100" t="n">
        <f aca="false">SUM(Q44:Q49)+Q50</f>
        <v>-18890.52</v>
      </c>
      <c r="R51" s="100" t="n">
        <f aca="false">SUM(R44:R49)+R50</f>
        <v>-18890.52</v>
      </c>
      <c r="S51" s="100" t="n">
        <f aca="false">SUM(S44:S49)+S50</f>
        <v>-18890.52</v>
      </c>
      <c r="T51" s="100" t="n">
        <f aca="false">SUM(T44:T49)+T50</f>
        <v>-18890.52</v>
      </c>
      <c r="U51" s="100" t="n">
        <f aca="false">SUM(U44:U49)+U50</f>
        <v>-21201.84</v>
      </c>
      <c r="V51" s="100" t="n">
        <f aca="false">SUM(V44:V49)+V50</f>
        <v>-23921.04</v>
      </c>
      <c r="W51" s="100" t="n">
        <f aca="false">SUM(W44:W49)+W50</f>
        <v>-23921.04</v>
      </c>
      <c r="X51" s="100" t="n">
        <f aca="false">SUM(X44:X49)+X50</f>
        <v>-23921.04</v>
      </c>
      <c r="Y51" s="100" t="n">
        <f aca="false">SUM(Y44:Y49)+Y50</f>
        <v>-23921.04</v>
      </c>
      <c r="Z51" s="100" t="n">
        <f aca="false">SUM(Z44:Z49)+Z50</f>
        <v>-23921.04</v>
      </c>
      <c r="AA51" s="100" t="n">
        <f aca="false">SUM(AA44:AA49)+AA50</f>
        <v>-26202.8712</v>
      </c>
      <c r="AB51" s="100" t="n">
        <f aca="false">SUM(AB44:AB49)+AB50</f>
        <v>-28583.5308</v>
      </c>
      <c r="AC51" s="100" t="n">
        <f aca="false">SUM(AC44:AC49)+AC50</f>
        <v>-28583.5308</v>
      </c>
      <c r="AD51" s="100" t="n">
        <f aca="false">SUM(AD44:AD49)+AD50</f>
        <v>-28583.5308</v>
      </c>
      <c r="AE51" s="100" t="n">
        <f aca="false">SUM(AE44:AE49)+AE50</f>
        <v>-28583.5308</v>
      </c>
      <c r="AF51" s="100" t="n">
        <f aca="false">SUM(AF44:AF49)+AF50</f>
        <v>-28583.5308</v>
      </c>
      <c r="AG51" s="100" t="n">
        <f aca="false">SUM(AG44:AG49)+AG50</f>
        <v>-28583.5308</v>
      </c>
      <c r="AH51" s="100" t="n">
        <f aca="false">SUM(AH44:AH49)+AH50</f>
        <v>-28583.5308</v>
      </c>
      <c r="AI51" s="100" t="n">
        <f aca="false">SUM(AI44:AI49)+AI50</f>
        <v>-28583.5308</v>
      </c>
      <c r="AJ51" s="100" t="n">
        <f aca="false">SUM(AJ44:AJ49)+AJ50</f>
        <v>-28583.5308</v>
      </c>
      <c r="AK51" s="100" t="n">
        <f aca="false">SUM(AK44:AK49)+AK50</f>
        <v>-28583.5308</v>
      </c>
      <c r="AL51" s="100" t="n">
        <f aca="false">SUM(AL44:AL49)+AL50</f>
        <v>-30964.1904</v>
      </c>
      <c r="AM51" s="100" t="n">
        <f aca="false">SUM(AM44:AM49)+AM50</f>
        <v>-33397.916112</v>
      </c>
      <c r="AN51" s="100" t="n">
        <f aca="false">SUM(AN44:AN49)+AN50</f>
        <v>-33397.916112</v>
      </c>
      <c r="AO51" s="100" t="n">
        <f aca="false">SUM(AO44:AO49)+AO50</f>
        <v>-33397.916112</v>
      </c>
      <c r="AP51" s="100" t="n">
        <f aca="false">SUM(AP44:AP49)+AP50</f>
        <v>-33397.916112</v>
      </c>
      <c r="AQ51" s="100" t="n">
        <f aca="false">SUM(AQ44:AQ49)+AQ50</f>
        <v>-33397.916112</v>
      </c>
      <c r="AR51" s="100" t="n">
        <f aca="false">SUM(AR44:AR49)+AR50</f>
        <v>-33397.916112</v>
      </c>
      <c r="AS51" s="100" t="n">
        <f aca="false">SUM(AS44:AS49)+AS50</f>
        <v>-33397.916112</v>
      </c>
      <c r="AT51" s="100" t="n">
        <f aca="false">SUM(AT44:AT49)+AT50</f>
        <v>-33397.916112</v>
      </c>
      <c r="AU51" s="100" t="n">
        <f aca="false">SUM(AU44:AU49)+AU50</f>
        <v>-33397.916112</v>
      </c>
      <c r="AV51" s="100" t="n">
        <f aca="false">SUM(AV44:AV49)+AV50</f>
        <v>-33397.916112</v>
      </c>
      <c r="AW51" s="100" t="n">
        <f aca="false">SUM(AW44:AW49)+AW50</f>
        <v>-33397.916112</v>
      </c>
      <c r="AX51" s="100" t="n">
        <f aca="false">SUM(AX44:AX49)+AX50</f>
        <v>-33397.916112</v>
      </c>
      <c r="AY51" s="100" t="n">
        <f aca="false">SUM(AY44:AY49)+AY50</f>
        <v>-35845.25359536</v>
      </c>
      <c r="AZ51" s="100" t="n">
        <f aca="false">SUM(AZ44:AZ49)+AZ50</f>
        <v>-35845.25359536</v>
      </c>
      <c r="BA51" s="100" t="n">
        <f aca="false">SUM(BA44:BA49)+BA50</f>
        <v>-35845.25359536</v>
      </c>
      <c r="BB51" s="100" t="n">
        <f aca="false">SUM(BB44:BB49)+BB50</f>
        <v>-35845.25359536</v>
      </c>
      <c r="BC51" s="100" t="n">
        <f aca="false">SUM(BC44:BC49)+BC50</f>
        <v>-35845.25359536</v>
      </c>
      <c r="BD51" s="100" t="n">
        <f aca="false">SUM(BD44:BD49)+BD50</f>
        <v>-35845.25359536</v>
      </c>
      <c r="BE51" s="100" t="n">
        <f aca="false">SUM(BE44:BE49)+BE50</f>
        <v>-35845.25359536</v>
      </c>
      <c r="BF51" s="100" t="n">
        <f aca="false">SUM(BF44:BF49)+BF50</f>
        <v>-35845.25359536</v>
      </c>
      <c r="BG51" s="100" t="n">
        <f aca="false">SUM(BG44:BG49)+BG50</f>
        <v>-35845.25359536</v>
      </c>
      <c r="BH51" s="100" t="n">
        <f aca="false">SUM(BH44:BH49)+BH50</f>
        <v>-35845.25359536</v>
      </c>
      <c r="BI51" s="100" t="n">
        <f aca="false">SUM(BI44:BI49)+BI50</f>
        <v>-35845.25359536</v>
      </c>
      <c r="BJ51" s="100" t="n">
        <f aca="false">SUM(BJ44:BJ49)+BJ50</f>
        <v>-35845.25359536</v>
      </c>
      <c r="BK51" s="100" t="n">
        <f aca="false">SUM(BK44:BK49)+BK50</f>
        <v>-38306.6112032208</v>
      </c>
      <c r="BL51" s="100" t="n">
        <f aca="false">SUM(BL44:BL49)+BL50</f>
        <v>-38306.6112032208</v>
      </c>
      <c r="BM51" s="100" t="n">
        <f aca="false">SUM(BM44:BM49)+BM50</f>
        <v>-38306.6112032208</v>
      </c>
      <c r="BN51" s="100" t="n">
        <f aca="false">SUM(BN44:BN49)+BN50</f>
        <v>-38306.6112032208</v>
      </c>
      <c r="BO51" s="100" t="n">
        <f aca="false">SUM(BO44:BO49)+BO50</f>
        <v>-38306.6112032208</v>
      </c>
      <c r="BP51" s="100" t="n">
        <f aca="false">SUM(BP44:BP49)+BP50</f>
        <v>-38306.6112032208</v>
      </c>
      <c r="BQ51" s="100" t="n">
        <f aca="false">SUM(BQ44:BQ49)+BQ50</f>
        <v>-38306.6112032208</v>
      </c>
      <c r="BR51" s="100" t="n">
        <f aca="false">SUM(BR44:BR49)+BR50</f>
        <v>-38306.6112032208</v>
      </c>
      <c r="BS51" s="100" t="n">
        <f aca="false">SUM(BS44:BS49)+BS50</f>
        <v>-38306.6112032208</v>
      </c>
      <c r="BT51" s="100" t="n">
        <f aca="false">SUM(BT44:BT49)+BT50</f>
        <v>-38306.6112032208</v>
      </c>
      <c r="BU51" s="100" t="n">
        <f aca="false">SUM(BU44:BU49)+BU50</f>
        <v>-38306.6112032208</v>
      </c>
      <c r="BV51" s="100" t="n">
        <f aca="false">SUM(BV44:BV49)+BV50</f>
        <v>-38306.6112032208</v>
      </c>
      <c r="BW51" s="100" t="n">
        <f aca="false">SUM(BW44:BW49)+BW50</f>
        <v>-40782.4095393174</v>
      </c>
      <c r="BX51" s="100" t="n">
        <f aca="false">SUM(BX44:BX49)+BX50</f>
        <v>-40782.4095393174</v>
      </c>
      <c r="BY51" s="100" t="n">
        <f aca="false">SUM(BY44:BY49)+BY50</f>
        <v>-40782.4095393174</v>
      </c>
      <c r="BZ51" s="100" t="n">
        <f aca="false">SUM(BZ44:BZ49)+BZ50</f>
        <v>-40782.4095393174</v>
      </c>
      <c r="CA51" s="100" t="n">
        <f aca="false">SUM(CA44:CA49)+CA50</f>
        <v>-40782.4095393174</v>
      </c>
      <c r="CB51" s="100" t="n">
        <f aca="false">SUM(CB44:CB49)+CB50</f>
        <v>-40782.4095393174</v>
      </c>
      <c r="CC51" s="100" t="n">
        <f aca="false">SUM(CC44:CC49)+CC50</f>
        <v>-40782.4095393174</v>
      </c>
      <c r="CD51" s="100" t="n">
        <f aca="false">SUM(CD44:CD49)+CD50</f>
        <v>-40782.4095393174</v>
      </c>
      <c r="CE51" s="100" t="n">
        <f aca="false">SUM(CE44:CE49)+CE50</f>
        <v>-40782.4095393174</v>
      </c>
      <c r="CF51" s="100" t="n">
        <f aca="false">SUM(CF44:CF49)+CF50</f>
        <v>-40782.4095393174</v>
      </c>
      <c r="CG51" s="100" t="n">
        <f aca="false">SUM(CG44:CG49)+CG50</f>
        <v>-40782.4095393174</v>
      </c>
      <c r="CH51" s="100" t="n">
        <f aca="false">SUM(CH44:CH49)+CH50</f>
        <v>-40782.4095393174</v>
      </c>
    </row>
    <row r="52" customFormat="false" ht="13.5" hidden="false" customHeight="true" outlineLevel="0" collapsed="false">
      <c r="A52" s="6" t="s">
        <v>529</v>
      </c>
      <c r="C52" s="100" t="n">
        <f aca="false">-(C26*(1-Logistica!$B$5)*Logistica!$B$7+C26*Logistica!$B$5*Logistica!$B$39)</f>
        <v>-4.78047324930469</v>
      </c>
      <c r="D52" s="100" t="n">
        <f aca="false">-(D26*(1-Logistica!$B$5)*Logistica!$B$7+D26*Logistica!$B$5*Logistica!$B$39)</f>
        <v>-10.5673619195156</v>
      </c>
      <c r="E52" s="100" t="n">
        <f aca="false">-(E26*(1-Logistica!$B$5)*Logistica!$B$7+E26*Logistica!$B$5*Logistica!$B$39)</f>
        <v>-29.1860472062813</v>
      </c>
      <c r="F52" s="100" t="n">
        <f aca="false">-(F26*(1-Logistica!$B$5)*Logistica!$B$7+F26*Logistica!$B$5*Logistica!$B$39)</f>
        <v>-43.0242592437422</v>
      </c>
      <c r="G52" s="100" t="n">
        <f aca="false">-(G26*(1-Logistica!$B$5)*Logistica!$B$7+G26*Logistica!$B$5*Logistica!$B$39)</f>
        <v>-55.8560558602969</v>
      </c>
      <c r="H52" s="100" t="n">
        <f aca="false">-(H26*(1-Logistica!$B$5)*Logistica!$B$7+H26*Logistica!$B$5*Logistica!$B$39)</f>
        <v>-80.2196958414023</v>
      </c>
      <c r="I52" s="100" t="n">
        <f aca="false">-(I26*(1-Logistica!$B$5)*Logistica!$B$7+I26*Logistica!$B$5*Logistica!$B$39)</f>
        <v>-123.628404963045</v>
      </c>
      <c r="J52" s="100" t="n">
        <f aca="false">-(J26*(1-Logistica!$B$5)*Logistica!$B$7+J26*Logistica!$B$5*Logistica!$B$39)</f>
        <v>-167.037114084687</v>
      </c>
      <c r="K52" s="100" t="n">
        <f aca="false">-(K26*(1-Logistica!$B$5)*Logistica!$B$7+K26*Logistica!$B$5*Logistica!$B$39)</f>
        <v>-210.445823206329</v>
      </c>
      <c r="L52" s="100" t="n">
        <f aca="false">-(L26*(1-Logistica!$B$5)*Logistica!$B$7+L26*Logistica!$B$5*Logistica!$B$39)</f>
        <v>-253.854532327972</v>
      </c>
      <c r="M52" s="100" t="n">
        <f aca="false">-(M26*(1-Logistica!$B$5)*Logistica!$B$7+M26*Logistica!$B$5*Logistica!$B$39)</f>
        <v>-284.431444833059</v>
      </c>
      <c r="N52" s="100" t="n">
        <f aca="false">-(N26*(1-Logistica!$B$5)*Logistica!$B$7+N26*Logistica!$B$5*Logistica!$B$39)</f>
        <v>-331.781947686585</v>
      </c>
      <c r="O52" s="100" t="n">
        <f aca="false">-(O26*(1-Logistica!$B$5)*Logistica!$B$7+O26*Logistica!$B$5*Logistica!$B$39)</f>
        <v>-379.13245054011</v>
      </c>
      <c r="P52" s="100" t="n">
        <f aca="false">-(P26*(1-Logistica!$B$5)*Logistica!$B$7+P26*Logistica!$B$5*Logistica!$B$39)</f>
        <v>-421.660546168459</v>
      </c>
      <c r="Q52" s="100" t="n">
        <f aca="false">-(Q26*(1-Logistica!$B$5)*Logistica!$B$7+Q26*Logistica!$B$5*Logistica!$B$39)</f>
        <v>-464.188641796809</v>
      </c>
      <c r="R52" s="100" t="n">
        <f aca="false">-(R26*(1-Logistica!$B$5)*Logistica!$B$7+R26*Logistica!$B$5*Logistica!$B$39)</f>
        <v>-506.716737425158</v>
      </c>
      <c r="S52" s="100" t="n">
        <f aca="false">-(S26*(1-Logistica!$B$5)*Logistica!$B$7+S26*Logistica!$B$5*Logistica!$B$39)</f>
        <v>-549.244833053507</v>
      </c>
      <c r="T52" s="100" t="n">
        <f aca="false">-(T26*(1-Logistica!$B$5)*Logistica!$B$7+T26*Logistica!$B$5*Logistica!$B$39)</f>
        <v>-591.772928681857</v>
      </c>
      <c r="U52" s="100" t="n">
        <f aca="false">-(U26*(1-Logistica!$B$5)*Logistica!$B$7+U26*Logistica!$B$5*Logistica!$B$39)</f>
        <v>-634.301024310206</v>
      </c>
      <c r="V52" s="100" t="n">
        <f aca="false">-(V26*(1-Logistica!$B$5)*Logistica!$B$7+V26*Logistica!$B$5*Logistica!$B$39)</f>
        <v>-676.829119938555</v>
      </c>
      <c r="W52" s="100" t="n">
        <f aca="false">-(W26*(1-Logistica!$B$5)*Logistica!$B$7+W26*Logistica!$B$5*Logistica!$B$39)</f>
        <v>-719.357215566905</v>
      </c>
      <c r="X52" s="100" t="n">
        <f aca="false">-(X26*(1-Logistica!$B$5)*Logistica!$B$7+X26*Logistica!$B$5*Logistica!$B$39)</f>
        <v>-745.111720846817</v>
      </c>
      <c r="Y52" s="100" t="n">
        <f aca="false">-(Y26*(1-Logistica!$B$5)*Logistica!$B$7+Y26*Logistica!$B$5*Logistica!$B$39)</f>
        <v>-770.866226126729</v>
      </c>
      <c r="Z52" s="100" t="n">
        <f aca="false">-(Z26*(1-Logistica!$B$5)*Logistica!$B$7+Z26*Logistica!$B$5*Logistica!$B$39)</f>
        <v>-789.911295267266</v>
      </c>
      <c r="AA52" s="100" t="n">
        <f aca="false">-(AA26*(1-Logistica!$B$5)*Logistica!$B$7+AA26*Logistica!$B$5*Logistica!$B$39)</f>
        <v>-808.956364407802</v>
      </c>
      <c r="AB52" s="100" t="n">
        <f aca="false">-(AB26*(1-Logistica!$B$5)*Logistica!$B$7+AB26*Logistica!$B$5*Logistica!$B$39)</f>
        <v>-828.001433548339</v>
      </c>
      <c r="AC52" s="100" t="n">
        <f aca="false">-(AC26*(1-Logistica!$B$5)*Logistica!$B$7+AC26*Logistica!$B$5*Logistica!$B$39)</f>
        <v>-847.046502688876</v>
      </c>
      <c r="AD52" s="100" t="n">
        <f aca="false">-(AD26*(1-Logistica!$B$5)*Logistica!$B$7+AD26*Logistica!$B$5*Logistica!$B$39)</f>
        <v>-866.091571829413</v>
      </c>
      <c r="AE52" s="100" t="n">
        <f aca="false">-(AE26*(1-Logistica!$B$5)*Logistica!$B$7+AE26*Logistica!$B$5*Logistica!$B$39)</f>
        <v>-885.13664096995</v>
      </c>
      <c r="AF52" s="100" t="n">
        <f aca="false">-(AF26*(1-Logistica!$B$5)*Logistica!$B$7+AF26*Logistica!$B$5*Logistica!$B$39)</f>
        <v>-904.181710110487</v>
      </c>
      <c r="AG52" s="100" t="n">
        <f aca="false">-(AG26*(1-Logistica!$B$5)*Logistica!$B$7+AG26*Logistica!$B$5*Logistica!$B$39)</f>
        <v>-923.226779251024</v>
      </c>
      <c r="AH52" s="100" t="n">
        <f aca="false">-(AH26*(1-Logistica!$B$5)*Logistica!$B$7+AH26*Logistica!$B$5*Logistica!$B$39)</f>
        <v>-942.271848391561</v>
      </c>
      <c r="AI52" s="100" t="n">
        <f aca="false">-(AI26*(1-Logistica!$B$5)*Logistica!$B$7+AI26*Logistica!$B$5*Logistica!$B$39)</f>
        <v>-961.316917532097</v>
      </c>
      <c r="AJ52" s="100" t="n">
        <f aca="false">-(AJ26*(1-Logistica!$B$5)*Logistica!$B$7+AJ26*Logistica!$B$5*Logistica!$B$39)</f>
        <v>-980.361986672634</v>
      </c>
      <c r="AK52" s="100" t="n">
        <f aca="false">-(AK26*(1-Logistica!$B$5)*Logistica!$B$7+AK26*Logistica!$B$5*Logistica!$B$39)</f>
        <v>-999.407055813171</v>
      </c>
      <c r="AL52" s="100" t="n">
        <f aca="false">-(AL26*(1-Logistica!$B$5)*Logistica!$B$7+AL26*Logistica!$B$5*Logistica!$B$39)</f>
        <v>-1018.45212495371</v>
      </c>
      <c r="AM52" s="100" t="n">
        <f aca="false">-(AM26*(1-Logistica!$B$5)*Logistica!$B$7+AM26*Logistica!$B$5*Logistica!$B$39)</f>
        <v>-1037.49719409425</v>
      </c>
      <c r="AN52" s="100" t="n">
        <f aca="false">-(AN26*(1-Logistica!$B$5)*Logistica!$B$7+AN26*Logistica!$B$5*Logistica!$B$39)</f>
        <v>-1056.54226323478</v>
      </c>
      <c r="AO52" s="100" t="n">
        <f aca="false">-(AO26*(1-Logistica!$B$5)*Logistica!$B$7+AO26*Logistica!$B$5*Logistica!$B$39)</f>
        <v>-1075.58733237532</v>
      </c>
      <c r="AP52" s="100" t="n">
        <f aca="false">-(AP26*(1-Logistica!$B$5)*Logistica!$B$7+AP26*Logistica!$B$5*Logistica!$B$39)</f>
        <v>-1094.63240151586</v>
      </c>
      <c r="AQ52" s="100" t="n">
        <f aca="false">-(AQ26*(1-Logistica!$B$5)*Logistica!$B$7+AQ26*Logistica!$B$5*Logistica!$B$39)</f>
        <v>-1113.67747065639</v>
      </c>
      <c r="AR52" s="100" t="n">
        <f aca="false">-(AR26*(1-Logistica!$B$5)*Logistica!$B$7+AR26*Logistica!$B$5*Logistica!$B$39)</f>
        <v>-1132.72253979693</v>
      </c>
      <c r="AS52" s="100" t="n">
        <f aca="false">-(AS26*(1-Logistica!$B$5)*Logistica!$B$7+AS26*Logistica!$B$5*Logistica!$B$39)</f>
        <v>-1132.72253979693</v>
      </c>
      <c r="AT52" s="100" t="n">
        <f aca="false">-(AT26*(1-Logistica!$B$5)*Logistica!$B$7+AT26*Logistica!$B$5*Logistica!$B$39)</f>
        <v>-1132.72253979693</v>
      </c>
      <c r="AU52" s="100" t="n">
        <f aca="false">-(AU26*(1-Logistica!$B$5)*Logistica!$B$7+AU26*Logistica!$B$5*Logistica!$B$39)</f>
        <v>-1132.72253979693</v>
      </c>
      <c r="AV52" s="100" t="n">
        <f aca="false">-(AV26*(1-Logistica!$B$5)*Logistica!$B$7+AV26*Logistica!$B$5*Logistica!$B$39)</f>
        <v>-1132.72253979693</v>
      </c>
      <c r="AW52" s="100" t="n">
        <f aca="false">-(AW26*(1-Logistica!$B$5)*Logistica!$B$7+AW26*Logistica!$B$5*Logistica!$B$39)</f>
        <v>-1132.72253979693</v>
      </c>
      <c r="AX52" s="100" t="n">
        <f aca="false">-(AX26*(1-Logistica!$B$5)*Logistica!$B$7+AX26*Logistica!$B$5*Logistica!$B$39)</f>
        <v>-1132.72253979693</v>
      </c>
      <c r="AY52" s="100" t="n">
        <f aca="false">-(AY26*(1-Logistica!$B$5)*Logistica!$B$7+AY26*Logistica!$B$5*Logistica!$B$39)</f>
        <v>-1132.72253979693</v>
      </c>
      <c r="AZ52" s="100" t="n">
        <f aca="false">-(AZ26*(1-Logistica!$B$5)*Logistica!$B$7+AZ26*Logistica!$B$5*Logistica!$B$39)</f>
        <v>-1132.72253979693</v>
      </c>
      <c r="BA52" s="100" t="n">
        <f aca="false">-(BA26*(1-Logistica!$B$5)*Logistica!$B$7+BA26*Logistica!$B$5*Logistica!$B$39)</f>
        <v>-1132.72253979693</v>
      </c>
      <c r="BB52" s="100" t="n">
        <f aca="false">-(BB26*(1-Logistica!$B$5)*Logistica!$B$7+BB26*Logistica!$B$5*Logistica!$B$39)</f>
        <v>-1132.72253979693</v>
      </c>
      <c r="BC52" s="100" t="n">
        <f aca="false">-(BC26*(1-Logistica!$B$5)*Logistica!$B$7+BC26*Logistica!$B$5*Logistica!$B$39)</f>
        <v>-1132.72253979693</v>
      </c>
      <c r="BD52" s="100" t="n">
        <f aca="false">-(BD26*(1-Logistica!$B$5)*Logistica!$B$7+BD26*Logistica!$B$5*Logistica!$B$39)</f>
        <v>-1132.72253979693</v>
      </c>
      <c r="BE52" s="100" t="n">
        <f aca="false">-(BE26*(1-Logistica!$B$5)*Logistica!$B$7+BE26*Logistica!$B$5*Logistica!$B$39)</f>
        <v>-1132.72253979693</v>
      </c>
      <c r="BF52" s="100" t="n">
        <f aca="false">-(BF26*(1-Logistica!$B$5)*Logistica!$B$7+BF26*Logistica!$B$5*Logistica!$B$39)</f>
        <v>-1132.72253979693</v>
      </c>
      <c r="BG52" s="100" t="n">
        <f aca="false">-(BG26*(1-Logistica!$B$5)*Logistica!$B$7+BG26*Logistica!$B$5*Logistica!$B$39)</f>
        <v>-1132.72253979693</v>
      </c>
      <c r="BH52" s="100" t="n">
        <f aca="false">-(BH26*(1-Logistica!$B$5)*Logistica!$B$7+BH26*Logistica!$B$5*Logistica!$B$39)</f>
        <v>-1132.72253979693</v>
      </c>
      <c r="BI52" s="100" t="n">
        <f aca="false">-(BI26*(1-Logistica!$B$5)*Logistica!$B$7+BI26*Logistica!$B$5*Logistica!$B$39)</f>
        <v>-1132.72253979693</v>
      </c>
      <c r="BJ52" s="100" t="n">
        <f aca="false">-(BJ26*(1-Logistica!$B$5)*Logistica!$B$7+BJ26*Logistica!$B$5*Logistica!$B$39)</f>
        <v>-1132.72253979693</v>
      </c>
      <c r="BK52" s="100" t="n">
        <f aca="false">-(BK26*(1-Logistica!$B$5)*Logistica!$B$7+BK26*Logistica!$B$5*Logistica!$B$39)</f>
        <v>-1132.72253979693</v>
      </c>
      <c r="BL52" s="100" t="n">
        <f aca="false">-(BL26*(1-Logistica!$B$5)*Logistica!$B$7+BL26*Logistica!$B$5*Logistica!$B$39)</f>
        <v>-1132.72253979693</v>
      </c>
      <c r="BM52" s="100" t="n">
        <f aca="false">-(BM26*(1-Logistica!$B$5)*Logistica!$B$7+BM26*Logistica!$B$5*Logistica!$B$39)</f>
        <v>-1132.72253979693</v>
      </c>
      <c r="BN52" s="100" t="n">
        <f aca="false">-(BN26*(1-Logistica!$B$5)*Logistica!$B$7+BN26*Logistica!$B$5*Logistica!$B$39)</f>
        <v>-1132.72253979693</v>
      </c>
      <c r="BO52" s="100" t="n">
        <f aca="false">-(BO26*(1-Logistica!$B$5)*Logistica!$B$7+BO26*Logistica!$B$5*Logistica!$B$39)</f>
        <v>-1132.72253979693</v>
      </c>
      <c r="BP52" s="100" t="n">
        <f aca="false">-(BP26*(1-Logistica!$B$5)*Logistica!$B$7+BP26*Logistica!$B$5*Logistica!$B$39)</f>
        <v>-1132.72253979693</v>
      </c>
      <c r="BQ52" s="100" t="n">
        <f aca="false">-(BQ26*(1-Logistica!$B$5)*Logistica!$B$7+BQ26*Logistica!$B$5*Logistica!$B$39)</f>
        <v>-1132.72253979693</v>
      </c>
      <c r="BR52" s="100" t="n">
        <f aca="false">-(BR26*(1-Logistica!$B$5)*Logistica!$B$7+BR26*Logistica!$B$5*Logistica!$B$39)</f>
        <v>-1132.72253979693</v>
      </c>
      <c r="BS52" s="100" t="n">
        <f aca="false">-(BS26*(1-Logistica!$B$5)*Logistica!$B$7+BS26*Logistica!$B$5*Logistica!$B$39)</f>
        <v>-1132.72253979693</v>
      </c>
      <c r="BT52" s="100" t="n">
        <f aca="false">-(BT26*(1-Logistica!$B$5)*Logistica!$B$7+BT26*Logistica!$B$5*Logistica!$B$39)</f>
        <v>-1132.72253979693</v>
      </c>
      <c r="BU52" s="100" t="n">
        <f aca="false">-(BU26*(1-Logistica!$B$5)*Logistica!$B$7+BU26*Logistica!$B$5*Logistica!$B$39)</f>
        <v>-1132.72253979693</v>
      </c>
      <c r="BV52" s="100" t="n">
        <f aca="false">-(BV26*(1-Logistica!$B$5)*Logistica!$B$7+BV26*Logistica!$B$5*Logistica!$B$39)</f>
        <v>-1132.72253979693</v>
      </c>
      <c r="BW52" s="100" t="n">
        <f aca="false">-(BW26*(1-Logistica!$B$5)*Logistica!$B$7+BW26*Logistica!$B$5*Logistica!$B$39)</f>
        <v>-1132.72253979693</v>
      </c>
      <c r="BX52" s="100" t="n">
        <f aca="false">-(BX26*(1-Logistica!$B$5)*Logistica!$B$7+BX26*Logistica!$B$5*Logistica!$B$39)</f>
        <v>-1132.72253979693</v>
      </c>
      <c r="BY52" s="100" t="n">
        <f aca="false">-(BY26*(1-Logistica!$B$5)*Logistica!$B$7+BY26*Logistica!$B$5*Logistica!$B$39)</f>
        <v>-1132.72253979693</v>
      </c>
      <c r="BZ52" s="100" t="n">
        <f aca="false">-(BZ26*(1-Logistica!$B$5)*Logistica!$B$7+BZ26*Logistica!$B$5*Logistica!$B$39)</f>
        <v>-1132.72253979693</v>
      </c>
      <c r="CA52" s="100" t="n">
        <f aca="false">-(CA26*(1-Logistica!$B$5)*Logistica!$B$7+CA26*Logistica!$B$5*Logistica!$B$39)</f>
        <v>-1132.72253979693</v>
      </c>
      <c r="CB52" s="100" t="n">
        <f aca="false">-(CB26*(1-Logistica!$B$5)*Logistica!$B$7+CB26*Logistica!$B$5*Logistica!$B$39)</f>
        <v>-1132.72253979693</v>
      </c>
      <c r="CC52" s="100" t="n">
        <f aca="false">-(CC26*(1-Logistica!$B$5)*Logistica!$B$7+CC26*Logistica!$B$5*Logistica!$B$39)</f>
        <v>-1132.72253979693</v>
      </c>
      <c r="CD52" s="100" t="n">
        <f aca="false">-(CD26*(1-Logistica!$B$5)*Logistica!$B$7+CD26*Logistica!$B$5*Logistica!$B$39)</f>
        <v>-1132.72253979693</v>
      </c>
      <c r="CE52" s="100" t="n">
        <f aca="false">-(CE26*(1-Logistica!$B$5)*Logistica!$B$7+CE26*Logistica!$B$5*Logistica!$B$39)</f>
        <v>-1132.72253979693</v>
      </c>
      <c r="CF52" s="100" t="n">
        <f aca="false">-(CF26*(1-Logistica!$B$5)*Logistica!$B$7+CF26*Logistica!$B$5*Logistica!$B$39)</f>
        <v>-1132.72253979693</v>
      </c>
      <c r="CG52" s="100" t="n">
        <f aca="false">-(CG26*(1-Logistica!$B$5)*Logistica!$B$7+CG26*Logistica!$B$5*Logistica!$B$39)</f>
        <v>-1132.72253979693</v>
      </c>
      <c r="CH52" s="100" t="n">
        <f aca="false">-(CH26*(1-Logistica!$B$5)*Logistica!$B$7+CH26*Logistica!$B$5*Logistica!$B$39)</f>
        <v>-1132.72253979693</v>
      </c>
    </row>
    <row r="53" customFormat="false" ht="13.5" hidden="false" customHeight="true" outlineLevel="0" collapsed="false">
      <c r="A53" s="6" t="s">
        <v>530</v>
      </c>
      <c r="C53" s="100" t="n">
        <f aca="false">-Hipótesis!$D$39</f>
        <v>-800</v>
      </c>
      <c r="D53" s="100" t="n">
        <f aca="false">-Hipótesis!$D$39</f>
        <v>-800</v>
      </c>
      <c r="E53" s="100" t="n">
        <f aca="false">-Hipótesis!$D$39</f>
        <v>-800</v>
      </c>
      <c r="F53" s="100" t="n">
        <f aca="false">-Hipótesis!$D$39</f>
        <v>-800</v>
      </c>
      <c r="G53" s="100" t="n">
        <f aca="false">-Hipótesis!$D$39</f>
        <v>-800</v>
      </c>
      <c r="H53" s="100" t="n">
        <f aca="false">-Hipótesis!$D$39</f>
        <v>-800</v>
      </c>
      <c r="I53" s="100" t="n">
        <f aca="false">-Hipótesis!$D$39</f>
        <v>-800</v>
      </c>
      <c r="J53" s="100" t="n">
        <f aca="false">-Hipótesis!$D$39</f>
        <v>-800</v>
      </c>
      <c r="K53" s="100" t="n">
        <f aca="false">-Hipótesis!$D$39</f>
        <v>-800</v>
      </c>
      <c r="L53" s="100" t="n">
        <f aca="false">-Hipótesis!$D$39</f>
        <v>-800</v>
      </c>
      <c r="M53" s="100" t="n">
        <f aca="false">-Hipótesis!$D$39</f>
        <v>-800</v>
      </c>
      <c r="N53" s="100" t="n">
        <f aca="false">-Hipótesis!$D$39</f>
        <v>-800</v>
      </c>
      <c r="O53" s="100" t="n">
        <f aca="false">-Hipótesis!$D$39</f>
        <v>-800</v>
      </c>
      <c r="P53" s="100" t="n">
        <f aca="false">-Hipótesis!$D$39</f>
        <v>-800</v>
      </c>
      <c r="Q53" s="100" t="n">
        <f aca="false">-Hipótesis!$D$39</f>
        <v>-800</v>
      </c>
      <c r="R53" s="100" t="n">
        <f aca="false">-Hipótesis!$D$39</f>
        <v>-800</v>
      </c>
      <c r="S53" s="100" t="n">
        <f aca="false">-Hipótesis!$D$39</f>
        <v>-800</v>
      </c>
      <c r="T53" s="100" t="n">
        <f aca="false">-Hipótesis!$D$39</f>
        <v>-800</v>
      </c>
      <c r="U53" s="100" t="n">
        <f aca="false">-Hipótesis!$D$39</f>
        <v>-800</v>
      </c>
      <c r="V53" s="100" t="n">
        <f aca="false">-Hipótesis!$D$39</f>
        <v>-800</v>
      </c>
      <c r="W53" s="100" t="n">
        <f aca="false">-Hipótesis!$D$39</f>
        <v>-800</v>
      </c>
      <c r="X53" s="100" t="n">
        <f aca="false">-Hipótesis!$D$39</f>
        <v>-800</v>
      </c>
      <c r="Y53" s="100" t="n">
        <f aca="false">-Hipótesis!$D$39</f>
        <v>-800</v>
      </c>
      <c r="Z53" s="100" t="n">
        <f aca="false">-Hipótesis!$D$39</f>
        <v>-800</v>
      </c>
      <c r="AA53" s="100" t="n">
        <f aca="false">-Hipótesis!$D$39</f>
        <v>-800</v>
      </c>
      <c r="AB53" s="100" t="n">
        <f aca="false">-Hipótesis!$D$39</f>
        <v>-800</v>
      </c>
      <c r="AC53" s="100" t="n">
        <f aca="false">-Hipótesis!$D$39</f>
        <v>-800</v>
      </c>
      <c r="AD53" s="100" t="n">
        <f aca="false">-Hipótesis!$D$39</f>
        <v>-800</v>
      </c>
      <c r="AE53" s="100" t="n">
        <f aca="false">-Hipótesis!$D$39</f>
        <v>-800</v>
      </c>
      <c r="AF53" s="100" t="n">
        <f aca="false">-Hipótesis!$D$39</f>
        <v>-800</v>
      </c>
      <c r="AG53" s="100" t="n">
        <f aca="false">-Hipótesis!$D$39</f>
        <v>-800</v>
      </c>
      <c r="AH53" s="100" t="n">
        <f aca="false">-Hipótesis!$D$39</f>
        <v>-800</v>
      </c>
      <c r="AI53" s="100" t="n">
        <f aca="false">-Hipótesis!$D$39</f>
        <v>-800</v>
      </c>
      <c r="AJ53" s="100" t="n">
        <f aca="false">-Hipótesis!$D$39</f>
        <v>-800</v>
      </c>
      <c r="AK53" s="100" t="n">
        <f aca="false">-Hipótesis!$D$39</f>
        <v>-800</v>
      </c>
      <c r="AL53" s="100" t="n">
        <f aca="false">-Hipótesis!$D$39</f>
        <v>-800</v>
      </c>
      <c r="AM53" s="100" t="n">
        <f aca="false">-Hipótesis!$D$39</f>
        <v>-800</v>
      </c>
      <c r="AN53" s="100" t="n">
        <f aca="false">-Hipótesis!$D$39</f>
        <v>-800</v>
      </c>
      <c r="AO53" s="100" t="n">
        <f aca="false">-Hipótesis!$D$39</f>
        <v>-800</v>
      </c>
      <c r="AP53" s="100" t="n">
        <f aca="false">-Hipótesis!$D$39</f>
        <v>-800</v>
      </c>
      <c r="AQ53" s="100" t="n">
        <f aca="false">-Hipótesis!$D$39</f>
        <v>-800</v>
      </c>
      <c r="AR53" s="100" t="n">
        <f aca="false">-Hipótesis!$D$39</f>
        <v>-800</v>
      </c>
      <c r="AS53" s="100" t="n">
        <f aca="false">-Hipótesis!$D$39</f>
        <v>-800</v>
      </c>
      <c r="AT53" s="100" t="n">
        <f aca="false">-Hipótesis!$D$39</f>
        <v>-800</v>
      </c>
      <c r="AU53" s="100" t="n">
        <f aca="false">-Hipótesis!$D$39</f>
        <v>-800</v>
      </c>
      <c r="AV53" s="100" t="n">
        <f aca="false">-Hipótesis!$D$39</f>
        <v>-800</v>
      </c>
      <c r="AW53" s="100" t="n">
        <f aca="false">-Hipótesis!$D$39</f>
        <v>-800</v>
      </c>
      <c r="AX53" s="100" t="n">
        <f aca="false">-Hipótesis!$D$39</f>
        <v>-800</v>
      </c>
      <c r="AY53" s="100" t="n">
        <f aca="false">-Hipótesis!$D$39</f>
        <v>-800</v>
      </c>
      <c r="AZ53" s="100" t="n">
        <f aca="false">-Hipótesis!$D$39</f>
        <v>-800</v>
      </c>
      <c r="BA53" s="100" t="n">
        <f aca="false">-Hipótesis!$D$39</f>
        <v>-800</v>
      </c>
      <c r="BB53" s="100" t="n">
        <f aca="false">-Hipótesis!$D$39</f>
        <v>-800</v>
      </c>
      <c r="BC53" s="100" t="n">
        <f aca="false">-Hipótesis!$D$39</f>
        <v>-800</v>
      </c>
      <c r="BD53" s="100" t="n">
        <f aca="false">-Hipótesis!$D$39</f>
        <v>-800</v>
      </c>
      <c r="BE53" s="100" t="n">
        <f aca="false">-Hipótesis!$D$39</f>
        <v>-800</v>
      </c>
      <c r="BF53" s="100" t="n">
        <f aca="false">-Hipótesis!$D$39</f>
        <v>-800</v>
      </c>
      <c r="BG53" s="100" t="n">
        <f aca="false">-Hipótesis!$D$39</f>
        <v>-800</v>
      </c>
      <c r="BH53" s="100" t="n">
        <f aca="false">-Hipótesis!$D$39</f>
        <v>-800</v>
      </c>
      <c r="BI53" s="100" t="n">
        <f aca="false">-Hipótesis!$D$39</f>
        <v>-800</v>
      </c>
      <c r="BJ53" s="100" t="n">
        <f aca="false">-Hipótesis!$D$39</f>
        <v>-800</v>
      </c>
      <c r="BK53" s="100" t="n">
        <f aca="false">-Hipótesis!$D$39</f>
        <v>-800</v>
      </c>
      <c r="BL53" s="100" t="n">
        <f aca="false">-Hipótesis!$D$39</f>
        <v>-800</v>
      </c>
      <c r="BM53" s="100" t="n">
        <f aca="false">-Hipótesis!$D$39</f>
        <v>-800</v>
      </c>
      <c r="BN53" s="100" t="n">
        <f aca="false">-Hipótesis!$D$39</f>
        <v>-800</v>
      </c>
      <c r="BO53" s="100" t="n">
        <f aca="false">-Hipótesis!$D$39</f>
        <v>-800</v>
      </c>
      <c r="BP53" s="100" t="n">
        <f aca="false">-Hipótesis!$D$39</f>
        <v>-800</v>
      </c>
      <c r="BQ53" s="100" t="n">
        <f aca="false">-Hipótesis!$D$39</f>
        <v>-800</v>
      </c>
      <c r="BR53" s="100" t="n">
        <f aca="false">-Hipótesis!$D$39</f>
        <v>-800</v>
      </c>
      <c r="BS53" s="100" t="n">
        <f aca="false">-Hipótesis!$D$39</f>
        <v>-800</v>
      </c>
      <c r="BT53" s="100" t="n">
        <f aca="false">-Hipótesis!$D$39</f>
        <v>-800</v>
      </c>
      <c r="BU53" s="100" t="n">
        <f aca="false">-Hipótesis!$D$39</f>
        <v>-800</v>
      </c>
      <c r="BV53" s="100" t="n">
        <f aca="false">-Hipótesis!$D$39</f>
        <v>-800</v>
      </c>
      <c r="BW53" s="100" t="n">
        <f aca="false">-Hipótesis!$D$39</f>
        <v>-800</v>
      </c>
      <c r="BX53" s="100" t="n">
        <f aca="false">-Hipótesis!$D$39</f>
        <v>-800</v>
      </c>
      <c r="BY53" s="100" t="n">
        <f aca="false">-Hipótesis!$D$39</f>
        <v>-800</v>
      </c>
      <c r="BZ53" s="100" t="n">
        <f aca="false">-Hipótesis!$D$39</f>
        <v>-800</v>
      </c>
      <c r="CA53" s="100" t="n">
        <f aca="false">-Hipótesis!$D$39</f>
        <v>-800</v>
      </c>
      <c r="CB53" s="100" t="n">
        <f aca="false">-Hipótesis!$D$39</f>
        <v>-800</v>
      </c>
      <c r="CC53" s="100" t="n">
        <f aca="false">-Hipótesis!$D$39</f>
        <v>-800</v>
      </c>
      <c r="CD53" s="100" t="n">
        <f aca="false">-Hipótesis!$D$39</f>
        <v>-800</v>
      </c>
      <c r="CE53" s="100" t="n">
        <f aca="false">-Hipótesis!$D$39</f>
        <v>-800</v>
      </c>
      <c r="CF53" s="100" t="n">
        <f aca="false">-Hipótesis!$D$39</f>
        <v>-800</v>
      </c>
      <c r="CG53" s="100" t="n">
        <f aca="false">-Hipótesis!$D$39</f>
        <v>-800</v>
      </c>
      <c r="CH53" s="100" t="n">
        <f aca="false">-Hipótesis!$D$39</f>
        <v>-800</v>
      </c>
    </row>
    <row r="54" customFormat="false" ht="13.5" hidden="false" customHeight="true" outlineLevel="0" collapsed="false">
      <c r="A54" s="6" t="s">
        <v>531</v>
      </c>
      <c r="C54" s="100" t="n">
        <f aca="false">-Hipótesis!$D$40</f>
        <v>-500</v>
      </c>
      <c r="D54" s="100" t="n">
        <f aca="false">-Hipótesis!$D$40</f>
        <v>-500</v>
      </c>
      <c r="E54" s="100" t="n">
        <f aca="false">-Hipótesis!$D$40</f>
        <v>-500</v>
      </c>
      <c r="F54" s="100" t="n">
        <f aca="false">-Hipótesis!$D$40</f>
        <v>-500</v>
      </c>
      <c r="G54" s="100" t="n">
        <f aca="false">-Hipótesis!$D$40</f>
        <v>-500</v>
      </c>
      <c r="H54" s="100" t="n">
        <f aca="false">-Hipótesis!$D$40</f>
        <v>-500</v>
      </c>
      <c r="I54" s="100" t="n">
        <f aca="false">-Hipótesis!$D$40</f>
        <v>-500</v>
      </c>
      <c r="J54" s="100" t="n">
        <f aca="false">-Hipótesis!$D$40</f>
        <v>-500</v>
      </c>
      <c r="K54" s="100" t="n">
        <f aca="false">-Hipótesis!$D$40</f>
        <v>-500</v>
      </c>
      <c r="L54" s="100" t="n">
        <f aca="false">-Hipótesis!$D$40</f>
        <v>-500</v>
      </c>
      <c r="M54" s="100" t="n">
        <f aca="false">-Hipótesis!$D$40</f>
        <v>-500</v>
      </c>
      <c r="N54" s="100" t="n">
        <f aca="false">-Hipótesis!$D$40</f>
        <v>-500</v>
      </c>
      <c r="O54" s="100" t="n">
        <f aca="false">-Hipótesis!$D$40</f>
        <v>-500</v>
      </c>
      <c r="P54" s="100" t="n">
        <f aca="false">-Hipótesis!$D$40</f>
        <v>-500</v>
      </c>
      <c r="Q54" s="100" t="n">
        <f aca="false">-Hipótesis!$D$40</f>
        <v>-500</v>
      </c>
      <c r="R54" s="100" t="n">
        <f aca="false">-Hipótesis!$D$40</f>
        <v>-500</v>
      </c>
      <c r="S54" s="100" t="n">
        <f aca="false">-Hipótesis!$D$40</f>
        <v>-500</v>
      </c>
      <c r="T54" s="100" t="n">
        <f aca="false">-Hipótesis!$D$40</f>
        <v>-500</v>
      </c>
      <c r="U54" s="100" t="n">
        <f aca="false">-Hipótesis!$D$40</f>
        <v>-500</v>
      </c>
      <c r="V54" s="100" t="n">
        <f aca="false">-Hipótesis!$D$40</f>
        <v>-500</v>
      </c>
      <c r="W54" s="100" t="n">
        <f aca="false">-Hipótesis!$D$40</f>
        <v>-500</v>
      </c>
      <c r="X54" s="100" t="n">
        <f aca="false">-Hipótesis!$D$40</f>
        <v>-500</v>
      </c>
      <c r="Y54" s="100" t="n">
        <f aca="false">-Hipótesis!$D$40</f>
        <v>-500</v>
      </c>
      <c r="Z54" s="100" t="n">
        <f aca="false">-Hipótesis!$D$40</f>
        <v>-500</v>
      </c>
      <c r="AA54" s="100" t="n">
        <f aca="false">-Hipótesis!$D$40</f>
        <v>-500</v>
      </c>
      <c r="AB54" s="100" t="n">
        <f aca="false">-Hipótesis!$D$40</f>
        <v>-500</v>
      </c>
      <c r="AC54" s="100" t="n">
        <f aca="false">-Hipótesis!$D$40</f>
        <v>-500</v>
      </c>
      <c r="AD54" s="100" t="n">
        <f aca="false">-Hipótesis!$D$40</f>
        <v>-500</v>
      </c>
      <c r="AE54" s="100" t="n">
        <f aca="false">-Hipótesis!$D$40</f>
        <v>-500</v>
      </c>
      <c r="AF54" s="100" t="n">
        <f aca="false">-Hipótesis!$D$40</f>
        <v>-500</v>
      </c>
      <c r="AG54" s="100" t="n">
        <f aca="false">-Hipótesis!$D$40</f>
        <v>-500</v>
      </c>
      <c r="AH54" s="100" t="n">
        <f aca="false">-Hipótesis!$D$40</f>
        <v>-500</v>
      </c>
      <c r="AI54" s="100" t="n">
        <f aca="false">-Hipótesis!$D$40</f>
        <v>-500</v>
      </c>
      <c r="AJ54" s="100" t="n">
        <f aca="false">-Hipótesis!$D$40</f>
        <v>-500</v>
      </c>
      <c r="AK54" s="100" t="n">
        <f aca="false">-Hipótesis!$D$40</f>
        <v>-500</v>
      </c>
      <c r="AL54" s="100" t="n">
        <f aca="false">-Hipótesis!$D$40</f>
        <v>-500</v>
      </c>
      <c r="AM54" s="100" t="n">
        <f aca="false">-Hipótesis!$D$40</f>
        <v>-500</v>
      </c>
      <c r="AN54" s="100" t="n">
        <f aca="false">-Hipótesis!$D$40</f>
        <v>-500</v>
      </c>
      <c r="AO54" s="100" t="n">
        <f aca="false">-Hipótesis!$D$40</f>
        <v>-500</v>
      </c>
      <c r="AP54" s="100" t="n">
        <f aca="false">-Hipótesis!$D$40</f>
        <v>-500</v>
      </c>
      <c r="AQ54" s="100" t="n">
        <f aca="false">-Hipótesis!$D$40</f>
        <v>-500</v>
      </c>
      <c r="AR54" s="100" t="n">
        <f aca="false">-Hipótesis!$D$40</f>
        <v>-500</v>
      </c>
      <c r="AS54" s="100" t="n">
        <f aca="false">-Hipótesis!$D$40</f>
        <v>-500</v>
      </c>
      <c r="AT54" s="100" t="n">
        <f aca="false">-Hipótesis!$D$40</f>
        <v>-500</v>
      </c>
      <c r="AU54" s="100" t="n">
        <f aca="false">-Hipótesis!$D$40</f>
        <v>-500</v>
      </c>
      <c r="AV54" s="100" t="n">
        <f aca="false">-Hipótesis!$D$40</f>
        <v>-500</v>
      </c>
      <c r="AW54" s="100" t="n">
        <f aca="false">-Hipótesis!$D$40</f>
        <v>-500</v>
      </c>
      <c r="AX54" s="100" t="n">
        <f aca="false">-Hipótesis!$D$40</f>
        <v>-500</v>
      </c>
      <c r="AY54" s="100" t="n">
        <f aca="false">-Hipótesis!$D$40</f>
        <v>-500</v>
      </c>
      <c r="AZ54" s="100" t="n">
        <f aca="false">-Hipótesis!$D$40</f>
        <v>-500</v>
      </c>
      <c r="BA54" s="100" t="n">
        <f aca="false">-Hipótesis!$D$40</f>
        <v>-500</v>
      </c>
      <c r="BB54" s="100" t="n">
        <f aca="false">-Hipótesis!$D$40</f>
        <v>-500</v>
      </c>
      <c r="BC54" s="100" t="n">
        <f aca="false">-Hipótesis!$D$40</f>
        <v>-500</v>
      </c>
      <c r="BD54" s="100" t="n">
        <f aca="false">-Hipótesis!$D$40</f>
        <v>-500</v>
      </c>
      <c r="BE54" s="100" t="n">
        <f aca="false">-Hipótesis!$D$40</f>
        <v>-500</v>
      </c>
      <c r="BF54" s="100" t="n">
        <f aca="false">-Hipótesis!$D$40</f>
        <v>-500</v>
      </c>
      <c r="BG54" s="100" t="n">
        <f aca="false">-Hipótesis!$D$40</f>
        <v>-500</v>
      </c>
      <c r="BH54" s="100" t="n">
        <f aca="false">-Hipótesis!$D$40</f>
        <v>-500</v>
      </c>
      <c r="BI54" s="100" t="n">
        <f aca="false">-Hipótesis!$D$40</f>
        <v>-500</v>
      </c>
      <c r="BJ54" s="100" t="n">
        <f aca="false">-Hipótesis!$D$40</f>
        <v>-500</v>
      </c>
      <c r="BK54" s="100" t="n">
        <f aca="false">-Hipótesis!$D$40</f>
        <v>-500</v>
      </c>
      <c r="BL54" s="100" t="n">
        <f aca="false">-Hipótesis!$D$40</f>
        <v>-500</v>
      </c>
      <c r="BM54" s="100" t="n">
        <f aca="false">-Hipótesis!$D$40</f>
        <v>-500</v>
      </c>
      <c r="BN54" s="100" t="n">
        <f aca="false">-Hipótesis!$D$40</f>
        <v>-500</v>
      </c>
      <c r="BO54" s="100" t="n">
        <f aca="false">-Hipótesis!$D$40</f>
        <v>-500</v>
      </c>
      <c r="BP54" s="100" t="n">
        <f aca="false">-Hipótesis!$D$40</f>
        <v>-500</v>
      </c>
      <c r="BQ54" s="100" t="n">
        <f aca="false">-Hipótesis!$D$40</f>
        <v>-500</v>
      </c>
      <c r="BR54" s="100" t="n">
        <f aca="false">-Hipótesis!$D$40</f>
        <v>-500</v>
      </c>
      <c r="BS54" s="100" t="n">
        <f aca="false">-Hipótesis!$D$40</f>
        <v>-500</v>
      </c>
      <c r="BT54" s="100" t="n">
        <f aca="false">-Hipótesis!$D$40</f>
        <v>-500</v>
      </c>
      <c r="BU54" s="100" t="n">
        <f aca="false">-Hipótesis!$D$40</f>
        <v>-500</v>
      </c>
      <c r="BV54" s="100" t="n">
        <f aca="false">-Hipótesis!$D$40</f>
        <v>-500</v>
      </c>
      <c r="BW54" s="100" t="n">
        <f aca="false">-Hipótesis!$D$40</f>
        <v>-500</v>
      </c>
      <c r="BX54" s="100" t="n">
        <f aca="false">-Hipótesis!$D$40</f>
        <v>-500</v>
      </c>
      <c r="BY54" s="100" t="n">
        <f aca="false">-Hipótesis!$D$40</f>
        <v>-500</v>
      </c>
      <c r="BZ54" s="100" t="n">
        <f aca="false">-Hipótesis!$D$40</f>
        <v>-500</v>
      </c>
      <c r="CA54" s="100" t="n">
        <f aca="false">-Hipótesis!$D$40</f>
        <v>-500</v>
      </c>
      <c r="CB54" s="100" t="n">
        <f aca="false">-Hipótesis!$D$40</f>
        <v>-500</v>
      </c>
      <c r="CC54" s="100" t="n">
        <f aca="false">-Hipótesis!$D$40</f>
        <v>-500</v>
      </c>
      <c r="CD54" s="100" t="n">
        <f aca="false">-Hipótesis!$D$40</f>
        <v>-500</v>
      </c>
      <c r="CE54" s="100" t="n">
        <f aca="false">-Hipótesis!$D$40</f>
        <v>-500</v>
      </c>
      <c r="CF54" s="100" t="n">
        <f aca="false">-Hipótesis!$D$40</f>
        <v>-500</v>
      </c>
      <c r="CG54" s="100" t="n">
        <f aca="false">-Hipótesis!$D$40</f>
        <v>-500</v>
      </c>
      <c r="CH54" s="100" t="n">
        <f aca="false">-Hipótesis!$D$40</f>
        <v>-500</v>
      </c>
    </row>
    <row r="55" customFormat="false" ht="13.5" hidden="false" customHeight="true" outlineLevel="0" collapsed="false">
      <c r="A55" s="22" t="s">
        <v>532</v>
      </c>
      <c r="C55" s="100" t="n">
        <f aca="false">C42+C43+C51+C52+C53+C54</f>
        <v>-15680.1916336701</v>
      </c>
      <c r="D55" s="100" t="n">
        <f aca="false">D42+D43+D51+D52+D53+D54</f>
        <v>-15710.4167450653</v>
      </c>
      <c r="E55" s="100" t="n">
        <f aca="false">E42+E43+E51+E52+E53+E54</f>
        <v>-15770.8027477604</v>
      </c>
      <c r="F55" s="100" t="n">
        <f aca="false">F42+F43+F51+F52+F53+F54</f>
        <v>-15802.9971167854</v>
      </c>
      <c r="G55" s="100" t="n">
        <f aca="false">G42+G43+G51+G52+G53+G54</f>
        <v>-15833.1580080853</v>
      </c>
      <c r="H55" s="100" t="n">
        <f aca="false">H42+H43+H51+H52+H53+H54</f>
        <v>-15886.6191649856</v>
      </c>
      <c r="I55" s="100" t="n">
        <f aca="false">I42+I43+I51+I52+I53+I54</f>
        <v>-15983.3253910263</v>
      </c>
      <c r="J55" s="100" t="n">
        <f aca="false">J42+J43+J51+J52+J53+J54</f>
        <v>-16080.0316170671</v>
      </c>
      <c r="K55" s="100" t="n">
        <f aca="false">K42+K43+K51+K52+K53+K54</f>
        <v>-16176.7378431079</v>
      </c>
      <c r="L55" s="100" t="n">
        <f aca="false">L42+L43+L51+L52+L53+L54</f>
        <v>-16273.4440691486</v>
      </c>
      <c r="M55" s="100" t="n">
        <f aca="false">M42+M43+M51+M52+M53+M54</f>
        <v>-16339.9894038895</v>
      </c>
      <c r="N55" s="100" t="n">
        <f aca="false">N42+N43+N51+N52+N53+N54</f>
        <v>-16440.4260340489</v>
      </c>
      <c r="O55" s="100" t="n">
        <f aca="false">O42+O43+O51+O52+O53+O54</f>
        <v>-21768.0626642084</v>
      </c>
      <c r="P55" s="100" t="n">
        <f aca="false">P42+P43+P51+P52+P53+P54</f>
        <v>-24170.075546935</v>
      </c>
      <c r="Q55" s="100" t="n">
        <f aca="false">Q42+Q43+Q51+Q52+Q53+Q54</f>
        <v>-24260.7684296617</v>
      </c>
      <c r="R55" s="100" t="n">
        <f aca="false">R42+R43+R51+R52+R53+R54</f>
        <v>-24351.4613123883</v>
      </c>
      <c r="S55" s="100" t="n">
        <f aca="false">S42+S43+S51+S52+S53+S54</f>
        <v>-24442.1541951149</v>
      </c>
      <c r="T55" s="100" t="n">
        <f aca="false">T42+T43+T51+T52+T53+T54</f>
        <v>-24532.8470778415</v>
      </c>
      <c r="U55" s="100" t="n">
        <f aca="false">U42+U43+U51+U52+U53+U54</f>
        <v>-26934.8599605681</v>
      </c>
      <c r="V55" s="100" t="n">
        <f aca="false">V42+V43+V51+V52+V53+V54</f>
        <v>-29744.7528432948</v>
      </c>
      <c r="W55" s="100" t="n">
        <f aca="false">W42+W43+W51+W52+W53+W54</f>
        <v>-29835.4457260214</v>
      </c>
      <c r="X55" s="100" t="n">
        <f aca="false">X42+X43+X51+X52+X53+X54</f>
        <v>-29892.2473133294</v>
      </c>
      <c r="Y55" s="100" t="n">
        <f aca="false">Y42+Y43+Y51+Y52+Y53+Y54</f>
        <v>-29949.0489006374</v>
      </c>
      <c r="Z55" s="100" t="n">
        <f aca="false">Z42+Z43+Z51+Z52+Z53+Z54</f>
        <v>-29992.2939697779</v>
      </c>
      <c r="AA55" s="100" t="n">
        <f aca="false">AA42+AA43+AA51+AA52+AA53+AA54</f>
        <v>-32317.3702389184</v>
      </c>
      <c r="AB55" s="100" t="n">
        <f aca="false">AB42+AB43+AB51+AB52+AB53+AB54</f>
        <v>-34741.274908059</v>
      </c>
      <c r="AC55" s="100" t="n">
        <f aca="false">AC42+AC43+AC51+AC52+AC53+AC54</f>
        <v>-34784.5199771995</v>
      </c>
      <c r="AD55" s="100" t="n">
        <f aca="false">AD42+AD43+AD51+AD52+AD53+AD54</f>
        <v>-34827.76504634</v>
      </c>
      <c r="AE55" s="100" t="n">
        <f aca="false">AE42+AE43+AE51+AE52+AE53+AE54</f>
        <v>-34871.0101154806</v>
      </c>
      <c r="AF55" s="100" t="n">
        <f aca="false">AF42+AF43+AF51+AF52+AF53+AF54</f>
        <v>-34914.2551846211</v>
      </c>
      <c r="AG55" s="100" t="n">
        <f aca="false">AG42+AG43+AG51+AG52+AG53+AG54</f>
        <v>-34957.5002537617</v>
      </c>
      <c r="AH55" s="100" t="n">
        <f aca="false">AH42+AH43+AH51+AH52+AH53+AH54</f>
        <v>-35000.7453229022</v>
      </c>
      <c r="AI55" s="100" t="n">
        <f aca="false">AI42+AI43+AI51+AI52+AI53+AI54</f>
        <v>-35043.9903920427</v>
      </c>
      <c r="AJ55" s="100" t="n">
        <f aca="false">AJ42+AJ43+AJ51+AJ52+AJ53+AJ54</f>
        <v>-35087.2354611833</v>
      </c>
      <c r="AK55" s="100" t="n">
        <f aca="false">AK42+AK43+AK51+AK52+AK53+AK54</f>
        <v>-35130.4805303238</v>
      </c>
      <c r="AL55" s="100" t="n">
        <f aca="false">AL42+AL43+AL51+AL52+AL53+AL54</f>
        <v>-37554.3851994643</v>
      </c>
      <c r="AM55" s="100" t="n">
        <f aca="false">AM42+AM43+AM51+AM52+AM53+AM54</f>
        <v>-40031.3559806049</v>
      </c>
      <c r="AN55" s="100" t="n">
        <f aca="false">AN42+AN43+AN51+AN52+AN53+AN54</f>
        <v>-40074.6010497454</v>
      </c>
      <c r="AO55" s="100" t="n">
        <f aca="false">AO42+AO43+AO51+AO52+AO53+AO54</f>
        <v>-40117.846118886</v>
      </c>
      <c r="AP55" s="100" t="n">
        <f aca="false">AP42+AP43+AP51+AP52+AP53+AP54</f>
        <v>-40161.0911880265</v>
      </c>
      <c r="AQ55" s="100" t="n">
        <f aca="false">AQ42+AQ43+AQ51+AQ52+AQ53+AQ54</f>
        <v>-40204.336257167</v>
      </c>
      <c r="AR55" s="100" t="n">
        <f aca="false">AR42+AR43+AR51+AR52+AR53+AR54</f>
        <v>-40247.5813263076</v>
      </c>
      <c r="AS55" s="100" t="n">
        <f aca="false">AS42+AS43+AS51+AS52+AS53+AS54</f>
        <v>-40247.5813263076</v>
      </c>
      <c r="AT55" s="100" t="n">
        <f aca="false">AT42+AT43+AT51+AT52+AT53+AT54</f>
        <v>-40247.5813263076</v>
      </c>
      <c r="AU55" s="100" t="n">
        <f aca="false">AU42+AU43+AU51+AU52+AU53+AU54</f>
        <v>-40247.5813263076</v>
      </c>
      <c r="AV55" s="100" t="n">
        <f aca="false">AV42+AV43+AV51+AV52+AV53+AV54</f>
        <v>-40247.5813263076</v>
      </c>
      <c r="AW55" s="100" t="n">
        <f aca="false">AW42+AW43+AW51+AW52+AW53+AW54</f>
        <v>-40247.5813263076</v>
      </c>
      <c r="AX55" s="100" t="n">
        <f aca="false">AX42+AX43+AX51+AX52+AX53+AX54</f>
        <v>-40247.5813263076</v>
      </c>
      <c r="AY55" s="100" t="n">
        <f aca="false">AY42+AY43+AY51+AY52+AY53+AY54</f>
        <v>-42694.9188096676</v>
      </c>
      <c r="AZ55" s="100" t="n">
        <f aca="false">AZ42+AZ43+AZ51+AZ52+AZ53+AZ54</f>
        <v>-42694.9188096676</v>
      </c>
      <c r="BA55" s="100" t="n">
        <f aca="false">BA42+BA43+BA51+BA52+BA53+BA54</f>
        <v>-42694.9188096676</v>
      </c>
      <c r="BB55" s="100" t="n">
        <f aca="false">BB42+BB43+BB51+BB52+BB53+BB54</f>
        <v>-42694.9188096676</v>
      </c>
      <c r="BC55" s="100" t="n">
        <f aca="false">BC42+BC43+BC51+BC52+BC53+BC54</f>
        <v>-42694.9188096676</v>
      </c>
      <c r="BD55" s="100" t="n">
        <f aca="false">BD42+BD43+BD51+BD52+BD53+BD54</f>
        <v>-42694.9188096676</v>
      </c>
      <c r="BE55" s="100" t="n">
        <f aca="false">BE42+BE43+BE51+BE52+BE53+BE54</f>
        <v>-42694.9188096676</v>
      </c>
      <c r="BF55" s="100" t="n">
        <f aca="false">BF42+BF43+BF51+BF52+BF53+BF54</f>
        <v>-42694.9188096676</v>
      </c>
      <c r="BG55" s="100" t="n">
        <f aca="false">BG42+BG43+BG51+BG52+BG53+BG54</f>
        <v>-42694.9188096676</v>
      </c>
      <c r="BH55" s="100" t="n">
        <f aca="false">BH42+BH43+BH51+BH52+BH53+BH54</f>
        <v>-42694.9188096676</v>
      </c>
      <c r="BI55" s="100" t="n">
        <f aca="false">BI42+BI43+BI51+BI52+BI53+BI54</f>
        <v>-42694.9188096676</v>
      </c>
      <c r="BJ55" s="100" t="n">
        <f aca="false">BJ42+BJ43+BJ51+BJ52+BJ53+BJ54</f>
        <v>-42694.9188096676</v>
      </c>
      <c r="BK55" s="100" t="n">
        <f aca="false">BK42+BK43+BK51+BK52+BK53+BK54</f>
        <v>-45156.2764175284</v>
      </c>
      <c r="BL55" s="100" t="n">
        <f aca="false">BL42+BL43+BL51+BL52+BL53+BL54</f>
        <v>-45156.2764175284</v>
      </c>
      <c r="BM55" s="100" t="n">
        <f aca="false">BM42+BM43+BM51+BM52+BM53+BM54</f>
        <v>-45156.2764175284</v>
      </c>
      <c r="BN55" s="100" t="n">
        <f aca="false">BN42+BN43+BN51+BN52+BN53+BN54</f>
        <v>-45156.2764175284</v>
      </c>
      <c r="BO55" s="100" t="n">
        <f aca="false">BO42+BO43+BO51+BO52+BO53+BO54</f>
        <v>-45156.2764175284</v>
      </c>
      <c r="BP55" s="100" t="n">
        <f aca="false">BP42+BP43+BP51+BP52+BP53+BP54</f>
        <v>-45156.2764175284</v>
      </c>
      <c r="BQ55" s="100" t="n">
        <f aca="false">BQ42+BQ43+BQ51+BQ52+BQ53+BQ54</f>
        <v>-45156.2764175284</v>
      </c>
      <c r="BR55" s="100" t="n">
        <f aca="false">BR42+BR43+BR51+BR52+BR53+BR54</f>
        <v>-45156.2764175284</v>
      </c>
      <c r="BS55" s="100" t="n">
        <f aca="false">BS42+BS43+BS51+BS52+BS53+BS54</f>
        <v>-45156.2764175284</v>
      </c>
      <c r="BT55" s="100" t="n">
        <f aca="false">BT42+BT43+BT51+BT52+BT53+BT54</f>
        <v>-45156.2764175284</v>
      </c>
      <c r="BU55" s="100" t="n">
        <f aca="false">BU42+BU43+BU51+BU52+BU53+BU54</f>
        <v>-45156.2764175284</v>
      </c>
      <c r="BV55" s="100" t="n">
        <f aca="false">BV42+BV43+BV51+BV52+BV53+BV54</f>
        <v>-45156.2764175284</v>
      </c>
      <c r="BW55" s="100" t="n">
        <f aca="false">BW42+BW43+BW51+BW52+BW53+BW54</f>
        <v>-47632.074753625</v>
      </c>
      <c r="BX55" s="100" t="n">
        <f aca="false">BX42+BX43+BX51+BX52+BX53+BX54</f>
        <v>-47632.074753625</v>
      </c>
      <c r="BY55" s="100" t="n">
        <f aca="false">BY42+BY43+BY51+BY52+BY53+BY54</f>
        <v>-47632.074753625</v>
      </c>
      <c r="BZ55" s="100" t="n">
        <f aca="false">BZ42+BZ43+BZ51+BZ52+BZ53+BZ54</f>
        <v>-47632.074753625</v>
      </c>
      <c r="CA55" s="100" t="n">
        <f aca="false">CA42+CA43+CA51+CA52+CA53+CA54</f>
        <v>-47632.074753625</v>
      </c>
      <c r="CB55" s="100" t="n">
        <f aca="false">CB42+CB43+CB51+CB52+CB53+CB54</f>
        <v>-47632.074753625</v>
      </c>
      <c r="CC55" s="100" t="n">
        <f aca="false">CC42+CC43+CC51+CC52+CC53+CC54</f>
        <v>-47632.074753625</v>
      </c>
      <c r="CD55" s="100" t="n">
        <f aca="false">CD42+CD43+CD51+CD52+CD53+CD54</f>
        <v>-47632.074753625</v>
      </c>
      <c r="CE55" s="100" t="n">
        <f aca="false">CE42+CE43+CE51+CE52+CE53+CE54</f>
        <v>-47632.074753625</v>
      </c>
      <c r="CF55" s="100" t="n">
        <f aca="false">CF42+CF43+CF51+CF52+CF53+CF54</f>
        <v>-47632.074753625</v>
      </c>
      <c r="CG55" s="100" t="n">
        <f aca="false">CG42+CG43+CG51+CG52+CG53+CG54</f>
        <v>-47632.074753625</v>
      </c>
      <c r="CH55" s="100" t="n">
        <f aca="false">CH42+CH43+CH51+CH52+CH53+CH54</f>
        <v>-47632.074753625</v>
      </c>
    </row>
    <row r="56" customFormat="false" ht="13.5" hidden="false" customHeight="true" outlineLevel="0" collapsed="false">
      <c r="A56" s="46" t="s">
        <v>533</v>
      </c>
      <c r="C56" s="63" t="n">
        <f aca="false">C40+C55</f>
        <v>-14686.9039336701</v>
      </c>
      <c r="D56" s="63" t="n">
        <f aca="false">D40+D55</f>
        <v>-13653.2408450653</v>
      </c>
      <c r="E56" s="63" t="n">
        <f aca="false">E40+E55</f>
        <v>-11563.0575935193</v>
      </c>
      <c r="F56" s="63" t="n">
        <f aca="false">F40+F55</f>
        <v>-10437.9704083033</v>
      </c>
      <c r="G56" s="63" t="n">
        <f aca="false">G40+G55</f>
        <v>-9381.45024536213</v>
      </c>
      <c r="H56" s="63" t="n">
        <f aca="false">H40+H55</f>
        <v>-7733.05878552128</v>
      </c>
      <c r="I56" s="63" t="n">
        <f aca="false">I40+I55</f>
        <v>-4656.25028381178</v>
      </c>
      <c r="J56" s="63" t="n">
        <f aca="false">J40+J55</f>
        <v>-1579.44178210229</v>
      </c>
      <c r="K56" s="63" t="n">
        <f aca="false">K40+K55</f>
        <v>1497.36671960721</v>
      </c>
      <c r="L56" s="63" t="n">
        <f aca="false">L40+L55</f>
        <v>4574.17522131671</v>
      </c>
      <c r="M56" s="63" t="n">
        <f aca="false">M40+M55</f>
        <v>6594.46356008505</v>
      </c>
      <c r="N56" s="63" t="n">
        <f aca="false">N40+N55</f>
        <v>9405.18560343476</v>
      </c>
      <c r="O56" s="63" t="n">
        <f aca="false">O40+O55</f>
        <v>6988.70764678448</v>
      </c>
      <c r="P56" s="63" t="n">
        <f aca="false">P40+P55</f>
        <v>7184.22387506705</v>
      </c>
      <c r="Q56" s="63" t="n">
        <f aca="false">Q40+Q55</f>
        <v>9691.06010334961</v>
      </c>
      <c r="R56" s="63" t="n">
        <f aca="false">R40+R55</f>
        <v>12197.8963316322</v>
      </c>
      <c r="S56" s="63" t="n">
        <f aca="false">S40+S55</f>
        <v>14704.7325599147</v>
      </c>
      <c r="T56" s="63" t="n">
        <f aca="false">T40+T55</f>
        <v>17211.5687881973</v>
      </c>
      <c r="U56" s="63" t="n">
        <f aca="false">U40+U55</f>
        <v>17407.0850164799</v>
      </c>
      <c r="V56" s="63" t="n">
        <f aca="false">V40+V55</f>
        <v>17194.7212447625</v>
      </c>
      <c r="W56" s="63" t="n">
        <f aca="false">W40+W55</f>
        <v>19701.557473045</v>
      </c>
      <c r="X56" s="63" t="n">
        <f aca="false">X40+X55</f>
        <v>21417.9599967462</v>
      </c>
      <c r="Y56" s="63" t="n">
        <f aca="false">Y40+Y55</f>
        <v>23134.3625204474</v>
      </c>
      <c r="Z56" s="63" t="n">
        <f aca="false">Z40+Z55</f>
        <v>24562.7795623161</v>
      </c>
      <c r="AA56" s="63" t="n">
        <f aca="false">AA40+AA55</f>
        <v>23709.3654041847</v>
      </c>
      <c r="AB56" s="63" t="n">
        <f aca="false">AB40+AB55</f>
        <v>22757.1228460534</v>
      </c>
      <c r="AC56" s="63" t="n">
        <f aca="false">AC40+AC55</f>
        <v>24185.5398879221</v>
      </c>
      <c r="AD56" s="63" t="n">
        <f aca="false">AD40+AD55</f>
        <v>25613.9569297907</v>
      </c>
      <c r="AE56" s="63" t="n">
        <f aca="false">AE40+AE55</f>
        <v>27042.3739716593</v>
      </c>
      <c r="AF56" s="63" t="n">
        <f aca="false">AF40+AF55</f>
        <v>28470.791013528</v>
      </c>
      <c r="AG56" s="63" t="n">
        <f aca="false">AG40+AG55</f>
        <v>29899.2080553967</v>
      </c>
      <c r="AH56" s="63" t="n">
        <f aca="false">AH40+AH55</f>
        <v>31327.6250972653</v>
      </c>
      <c r="AI56" s="63" t="n">
        <f aca="false">AI40+AI55</f>
        <v>32756.042139134</v>
      </c>
      <c r="AJ56" s="63" t="n">
        <f aca="false">AJ40+AJ55</f>
        <v>34184.4591810026</v>
      </c>
      <c r="AK56" s="63" t="n">
        <f aca="false">AK40+AK55</f>
        <v>35612.8762228713</v>
      </c>
      <c r="AL56" s="63" t="n">
        <f aca="false">AL40+AL55</f>
        <v>34660.6336647399</v>
      </c>
      <c r="AM56" s="63" t="n">
        <f aca="false">AM40+AM55</f>
        <v>33655.3249946086</v>
      </c>
      <c r="AN56" s="63" t="n">
        <f aca="false">AN40+AN55</f>
        <v>35083.7420364772</v>
      </c>
      <c r="AO56" s="63" t="n">
        <f aca="false">AO40+AO55</f>
        <v>36512.1590783459</v>
      </c>
      <c r="AP56" s="63" t="n">
        <f aca="false">AP40+AP55</f>
        <v>37940.5761202145</v>
      </c>
      <c r="AQ56" s="63" t="n">
        <f aca="false">AQ40+AQ55</f>
        <v>39368.9931620832</v>
      </c>
      <c r="AR56" s="63" t="n">
        <f aca="false">AR40+AR55</f>
        <v>40797.4102039518</v>
      </c>
      <c r="AS56" s="63" t="n">
        <f aca="false">AS40+AS55</f>
        <v>40797.4102039518</v>
      </c>
      <c r="AT56" s="63" t="n">
        <f aca="false">AT40+AT55</f>
        <v>40797.4102039518</v>
      </c>
      <c r="AU56" s="63" t="n">
        <f aca="false">AU40+AU55</f>
        <v>40797.4102039518</v>
      </c>
      <c r="AV56" s="63" t="n">
        <f aca="false">AV40+AV55</f>
        <v>40797.4102039518</v>
      </c>
      <c r="AW56" s="63" t="n">
        <f aca="false">AW40+AW55</f>
        <v>40797.4102039518</v>
      </c>
      <c r="AX56" s="63" t="n">
        <f aca="false">AX40+AX55</f>
        <v>40797.4102039518</v>
      </c>
      <c r="AY56" s="63" t="n">
        <f aca="false">AY40+AY55</f>
        <v>38350.0727205918</v>
      </c>
      <c r="AZ56" s="63" t="n">
        <f aca="false">AZ40+AZ55</f>
        <v>38350.0727205918</v>
      </c>
      <c r="BA56" s="63" t="n">
        <f aca="false">BA40+BA55</f>
        <v>38350.0727205918</v>
      </c>
      <c r="BB56" s="63" t="n">
        <f aca="false">BB40+BB55</f>
        <v>38350.0727205918</v>
      </c>
      <c r="BC56" s="63" t="n">
        <f aca="false">BC40+BC55</f>
        <v>38350.0727205918</v>
      </c>
      <c r="BD56" s="63" t="n">
        <f aca="false">BD40+BD55</f>
        <v>38350.0727205918</v>
      </c>
      <c r="BE56" s="63" t="n">
        <f aca="false">BE40+BE55</f>
        <v>38350.0727205918</v>
      </c>
      <c r="BF56" s="63" t="n">
        <f aca="false">BF40+BF55</f>
        <v>38350.0727205918</v>
      </c>
      <c r="BG56" s="63" t="n">
        <f aca="false">BG40+BG55</f>
        <v>38350.0727205918</v>
      </c>
      <c r="BH56" s="63" t="n">
        <f aca="false">BH40+BH55</f>
        <v>38350.0727205918</v>
      </c>
      <c r="BI56" s="63" t="n">
        <f aca="false">BI40+BI55</f>
        <v>38350.0727205918</v>
      </c>
      <c r="BJ56" s="63" t="n">
        <f aca="false">BJ40+BJ55</f>
        <v>38350.0727205918</v>
      </c>
      <c r="BK56" s="63" t="n">
        <f aca="false">BK40+BK55</f>
        <v>35888.715112731</v>
      </c>
      <c r="BL56" s="63" t="n">
        <f aca="false">BL40+BL55</f>
        <v>35888.715112731</v>
      </c>
      <c r="BM56" s="63" t="n">
        <f aca="false">BM40+BM55</f>
        <v>35888.715112731</v>
      </c>
      <c r="BN56" s="63" t="n">
        <f aca="false">BN40+BN55</f>
        <v>35888.715112731</v>
      </c>
      <c r="BO56" s="63" t="n">
        <f aca="false">BO40+BO55</f>
        <v>35888.715112731</v>
      </c>
      <c r="BP56" s="63" t="n">
        <f aca="false">BP40+BP55</f>
        <v>35888.715112731</v>
      </c>
      <c r="BQ56" s="63" t="n">
        <f aca="false">BQ40+BQ55</f>
        <v>35888.715112731</v>
      </c>
      <c r="BR56" s="63" t="n">
        <f aca="false">BR40+BR55</f>
        <v>35888.715112731</v>
      </c>
      <c r="BS56" s="63" t="n">
        <f aca="false">BS40+BS55</f>
        <v>35888.715112731</v>
      </c>
      <c r="BT56" s="63" t="n">
        <f aca="false">BT40+BT55</f>
        <v>35888.715112731</v>
      </c>
      <c r="BU56" s="63" t="n">
        <f aca="false">BU40+BU55</f>
        <v>35888.715112731</v>
      </c>
      <c r="BV56" s="63" t="n">
        <f aca="false">BV40+BV55</f>
        <v>35888.715112731</v>
      </c>
      <c r="BW56" s="63" t="n">
        <f aca="false">BW40+BW55</f>
        <v>33412.9167766344</v>
      </c>
      <c r="BX56" s="63" t="n">
        <f aca="false">BX40+BX55</f>
        <v>33412.9167766344</v>
      </c>
      <c r="BY56" s="63" t="n">
        <f aca="false">BY40+BY55</f>
        <v>33412.9167766344</v>
      </c>
      <c r="BZ56" s="63" t="n">
        <f aca="false">BZ40+BZ55</f>
        <v>33412.9167766344</v>
      </c>
      <c r="CA56" s="63" t="n">
        <f aca="false">CA40+CA55</f>
        <v>33412.9167766344</v>
      </c>
      <c r="CB56" s="63" t="n">
        <f aca="false">CB40+CB55</f>
        <v>33412.9167766344</v>
      </c>
      <c r="CC56" s="63" t="n">
        <f aca="false">CC40+CC55</f>
        <v>33412.9167766344</v>
      </c>
      <c r="CD56" s="63" t="n">
        <f aca="false">CD40+CD55</f>
        <v>33412.9167766344</v>
      </c>
      <c r="CE56" s="63" t="n">
        <f aca="false">CE40+CE55</f>
        <v>33412.9167766344</v>
      </c>
      <c r="CF56" s="63" t="n">
        <f aca="false">CF40+CF55</f>
        <v>33412.9167766344</v>
      </c>
      <c r="CG56" s="63" t="n">
        <f aca="false">CG40+CG55</f>
        <v>33412.9167766344</v>
      </c>
      <c r="CH56" s="63" t="n">
        <f aca="false">CH40+CH55</f>
        <v>33412.9167766344</v>
      </c>
    </row>
    <row r="57" customFormat="false" ht="13.5" hidden="false" customHeight="true" outlineLevel="0" collapsed="false">
      <c r="A57" s="6" t="s">
        <v>49</v>
      </c>
      <c r="C57" s="110" t="n">
        <f aca="false">IFERROR(C56/C38,0)</f>
        <v>-13.5235911033673</v>
      </c>
      <c r="D57" s="110" t="n">
        <f aca="false">IFERROR(D56/D38,0)</f>
        <v>-6.0503432345147</v>
      </c>
      <c r="E57" s="110" t="n">
        <f aca="false">IFERROR(E56/E38,0)</f>
        <v>-2.46019603407743</v>
      </c>
      <c r="F57" s="110" t="n">
        <f aca="false">IFERROR(F56/F38,0)</f>
        <v>-1.723152853411</v>
      </c>
      <c r="G57" s="110" t="n">
        <f aca="false">IFERROR(G56/G38,0)</f>
        <v>-1.27980964687978</v>
      </c>
      <c r="H57" s="110" t="n">
        <f aca="false">IFERROR(H56/H38,0)</f>
        <v>-0.824562101782614</v>
      </c>
      <c r="I57" s="110" t="n">
        <f aca="false">IFERROR(I56/I38,0)</f>
        <v>-0.353145850970139</v>
      </c>
      <c r="J57" s="110" t="n">
        <f aca="false">IFERROR(J56/J38,0)</f>
        <v>-0.0929534857361914</v>
      </c>
      <c r="K57" s="110" t="n">
        <f aca="false">IFERROR(K56/K38,0)</f>
        <v>0.0719942398215989</v>
      </c>
      <c r="L57" s="110" t="n">
        <f aca="false">IFERROR(L56/L38,0)</f>
        <v>0.185903507995599</v>
      </c>
      <c r="M57" s="110" t="n">
        <f aca="false">IFERROR(M56/M38,0)</f>
        <v>0.24298916245077</v>
      </c>
      <c r="N57" s="110" t="n">
        <f aca="false">IFERROR(N56/N38,0)</f>
        <v>0.306060882521716</v>
      </c>
      <c r="O57" s="110" t="n">
        <f aca="false">IFERROR(O56/O38,0)</f>
        <v>0.203629800116353</v>
      </c>
      <c r="P57" s="110" t="n">
        <f aca="false">IFERROR(P56/P38,0)</f>
        <v>0.19142115991872</v>
      </c>
      <c r="Q57" s="110" t="n">
        <f aca="false">IFERROR(Q56/Q38,0)</f>
        <v>0.237868158107287</v>
      </c>
      <c r="R57" s="110" t="n">
        <f aca="false">IFERROR(R56/R38,0)</f>
        <v>0.277529966318767</v>
      </c>
      <c r="S57" s="110" t="n">
        <f aca="false">IFERROR(S56/S38,0)</f>
        <v>0.311792193867672</v>
      </c>
      <c r="T57" s="110" t="n">
        <f aca="false">IFERROR(T56/T38,0)</f>
        <v>0.341687219335121</v>
      </c>
      <c r="U57" s="110" t="n">
        <f aca="false">IFERROR(U56/U38,0)</f>
        <v>0.324864379554519</v>
      </c>
      <c r="V57" s="110" t="n">
        <f aca="false">IFERROR(V56/V38,0)</f>
        <v>0.302761547577552</v>
      </c>
      <c r="W57" s="110" t="n">
        <f aca="false">IFERROR(W56/W38,0)</f>
        <v>0.328341355707878</v>
      </c>
      <c r="X57" s="110" t="n">
        <f aca="false">IFERROR(X56/X38,0)</f>
        <v>0.344580870017658</v>
      </c>
      <c r="Y57" s="110" t="n">
        <f aca="false">IFERROR(Y56/Y38,0)</f>
        <v>0.359732893084052</v>
      </c>
      <c r="Z57" s="110" t="n">
        <f aca="false">IFERROR(Z56/Z38,0)</f>
        <v>0.37177758059277</v>
      </c>
      <c r="AA57" s="110" t="n">
        <f aca="false">IFERROR(AA56/AA38,0)</f>
        <v>0.349555802352975</v>
      </c>
      <c r="AB57" s="110" t="n">
        <f aca="false">IFERROR(AB56/AB38,0)</f>
        <v>0.327037010625838</v>
      </c>
      <c r="AC57" s="110" t="n">
        <f aca="false">IFERROR(AC56/AC38,0)</f>
        <v>0.338996946697431</v>
      </c>
      <c r="AD57" s="110" t="n">
        <f aca="false">IFERROR(AD56/AD38,0)</f>
        <v>0.350381440545107</v>
      </c>
      <c r="AE57" s="110" t="n">
        <f aca="false">IFERROR(AE56/AE38,0)</f>
        <v>0.361231046915148</v>
      </c>
      <c r="AF57" s="110" t="n">
        <f aca="false">IFERROR(AF56/AF38,0)</f>
        <v>0.371582597185802</v>
      </c>
      <c r="AG57" s="110" t="n">
        <f aca="false">IFERROR(AG56/AG38,0)</f>
        <v>0.381469617086735</v>
      </c>
      <c r="AH57" s="110" t="n">
        <f aca="false">IFERROR(AH56/AH38,0)</f>
        <v>0.390922689416556</v>
      </c>
      <c r="AI57" s="110" t="n">
        <f aca="false">IFERROR(AI56/AI38,0)</f>
        <v>0.399969770026236</v>
      </c>
      <c r="AJ57" s="110" t="n">
        <f aca="false">IFERROR(AJ56/AJ38,0)</f>
        <v>0.408636463945728</v>
      </c>
      <c r="AK57" s="110" t="n">
        <f aca="false">IFERROR(AK56/AK38,0)</f>
        <v>0.416946267398286</v>
      </c>
      <c r="AL57" s="110" t="n">
        <f aca="false">IFERROR(AL56/AL38,0)</f>
        <v>0.397610942060536</v>
      </c>
      <c r="AM57" s="110" t="n">
        <f aca="false">IFERROR(AM56/AM38,0)</f>
        <v>0.378443633468941</v>
      </c>
      <c r="AN57" s="110" t="n">
        <f aca="false">IFERROR(AN56/AN38,0)</f>
        <v>0.386855504864202</v>
      </c>
      <c r="AO57" s="110" t="n">
        <f aca="false">IFERROR(AO56/AO38,0)</f>
        <v>0.394947337374762</v>
      </c>
      <c r="AP57" s="110" t="n">
        <f aca="false">IFERROR(AP56/AP38,0)</f>
        <v>0.402737054389345</v>
      </c>
      <c r="AQ57" s="110" t="n">
        <f aca="false">IFERROR(AQ56/AQ38,0)</f>
        <v>0.410241265453276</v>
      </c>
      <c r="AR57" s="110" t="n">
        <f aca="false">IFERROR(AR56/AR38,0)</f>
        <v>0.417475384488315</v>
      </c>
      <c r="AS57" s="110" t="n">
        <f aca="false">IFERROR(AS56/AS38,0)</f>
        <v>0.417475384488315</v>
      </c>
      <c r="AT57" s="110" t="n">
        <f aca="false">IFERROR(AT56/AT38,0)</f>
        <v>0.417475384488315</v>
      </c>
      <c r="AU57" s="110" t="n">
        <f aca="false">IFERROR(AU56/AU38,0)</f>
        <v>0.417475384488315</v>
      </c>
      <c r="AV57" s="110" t="n">
        <f aca="false">IFERROR(AV56/AV38,0)</f>
        <v>0.417475384488315</v>
      </c>
      <c r="AW57" s="110" t="n">
        <f aca="false">IFERROR(AW56/AW38,0)</f>
        <v>0.417475384488315</v>
      </c>
      <c r="AX57" s="110" t="n">
        <f aca="false">IFERROR(AX56/AX38,0)</f>
        <v>0.417475384488315</v>
      </c>
      <c r="AY57" s="110" t="n">
        <f aca="false">IFERROR(AY56/AY38,0)</f>
        <v>0.392432050812703</v>
      </c>
      <c r="AZ57" s="110" t="n">
        <f aca="false">IFERROR(AZ56/AZ38,0)</f>
        <v>0.392432050812703</v>
      </c>
      <c r="BA57" s="110" t="n">
        <f aca="false">IFERROR(BA56/BA38,0)</f>
        <v>0.392432050812703</v>
      </c>
      <c r="BB57" s="110" t="n">
        <f aca="false">IFERROR(BB56/BB38,0)</f>
        <v>0.392432050812703</v>
      </c>
      <c r="BC57" s="110" t="n">
        <f aca="false">IFERROR(BC56/BC38,0)</f>
        <v>0.392432050812703</v>
      </c>
      <c r="BD57" s="110" t="n">
        <f aca="false">IFERROR(BD56/BD38,0)</f>
        <v>0.392432050812703</v>
      </c>
      <c r="BE57" s="110" t="n">
        <f aca="false">IFERROR(BE56/BE38,0)</f>
        <v>0.392432050812703</v>
      </c>
      <c r="BF57" s="110" t="n">
        <f aca="false">IFERROR(BF56/BF38,0)</f>
        <v>0.392432050812703</v>
      </c>
      <c r="BG57" s="110" t="n">
        <f aca="false">IFERROR(BG56/BG38,0)</f>
        <v>0.392432050812703</v>
      </c>
      <c r="BH57" s="110" t="n">
        <f aca="false">IFERROR(BH56/BH38,0)</f>
        <v>0.392432050812703</v>
      </c>
      <c r="BI57" s="110" t="n">
        <f aca="false">IFERROR(BI56/BI38,0)</f>
        <v>0.392432050812703</v>
      </c>
      <c r="BJ57" s="110" t="n">
        <f aca="false">IFERROR(BJ56/BJ38,0)</f>
        <v>0.392432050812703</v>
      </c>
      <c r="BK57" s="110" t="n">
        <f aca="false">IFERROR(BK56/BK38,0)</f>
        <v>0.367245250754365</v>
      </c>
      <c r="BL57" s="110" t="n">
        <f aca="false">IFERROR(BL56/BL38,0)</f>
        <v>0.367245250754365</v>
      </c>
      <c r="BM57" s="110" t="n">
        <f aca="false">IFERROR(BM56/BM38,0)</f>
        <v>0.367245250754365</v>
      </c>
      <c r="BN57" s="110" t="n">
        <f aca="false">IFERROR(BN56/BN38,0)</f>
        <v>0.367245250754365</v>
      </c>
      <c r="BO57" s="110" t="n">
        <f aca="false">IFERROR(BO56/BO38,0)</f>
        <v>0.367245250754365</v>
      </c>
      <c r="BP57" s="110" t="n">
        <f aca="false">IFERROR(BP56/BP38,0)</f>
        <v>0.367245250754365</v>
      </c>
      <c r="BQ57" s="110" t="n">
        <f aca="false">IFERROR(BQ56/BQ38,0)</f>
        <v>0.367245250754365</v>
      </c>
      <c r="BR57" s="110" t="n">
        <f aca="false">IFERROR(BR56/BR38,0)</f>
        <v>0.367245250754365</v>
      </c>
      <c r="BS57" s="110" t="n">
        <f aca="false">IFERROR(BS56/BS38,0)</f>
        <v>0.367245250754365</v>
      </c>
      <c r="BT57" s="110" t="n">
        <f aca="false">IFERROR(BT56/BT38,0)</f>
        <v>0.367245250754365</v>
      </c>
      <c r="BU57" s="110" t="n">
        <f aca="false">IFERROR(BU56/BU38,0)</f>
        <v>0.367245250754365</v>
      </c>
      <c r="BV57" s="110" t="n">
        <f aca="false">IFERROR(BV56/BV38,0)</f>
        <v>0.367245250754365</v>
      </c>
      <c r="BW57" s="110" t="n">
        <f aca="false">IFERROR(BW56/BW38,0)</f>
        <v>0.34191068032182</v>
      </c>
      <c r="BX57" s="110" t="n">
        <f aca="false">IFERROR(BX56/BX38,0)</f>
        <v>0.34191068032182</v>
      </c>
      <c r="BY57" s="110" t="n">
        <f aca="false">IFERROR(BY56/BY38,0)</f>
        <v>0.34191068032182</v>
      </c>
      <c r="BZ57" s="110" t="n">
        <f aca="false">IFERROR(BZ56/BZ38,0)</f>
        <v>0.34191068032182</v>
      </c>
      <c r="CA57" s="110" t="n">
        <f aca="false">IFERROR(CA56/CA38,0)</f>
        <v>0.34191068032182</v>
      </c>
      <c r="CB57" s="110" t="n">
        <f aca="false">IFERROR(CB56/CB38,0)</f>
        <v>0.34191068032182</v>
      </c>
      <c r="CC57" s="110" t="n">
        <f aca="false">IFERROR(CC56/CC38,0)</f>
        <v>0.34191068032182</v>
      </c>
      <c r="CD57" s="110" t="n">
        <f aca="false">IFERROR(CD56/CD38,0)</f>
        <v>0.34191068032182</v>
      </c>
      <c r="CE57" s="110" t="n">
        <f aca="false">IFERROR(CE56/CE38,0)</f>
        <v>0.34191068032182</v>
      </c>
      <c r="CF57" s="110" t="n">
        <f aca="false">IFERROR(CF56/CF38,0)</f>
        <v>0.34191068032182</v>
      </c>
      <c r="CG57" s="110" t="n">
        <f aca="false">IFERROR(CG56/CG38,0)</f>
        <v>0.34191068032182</v>
      </c>
      <c r="CH57" s="110" t="n">
        <f aca="false">IFERROR(CH56/CH38,0)</f>
        <v>0.34191068032182</v>
      </c>
    </row>
    <row r="58" customFormat="false" ht="13.5" hidden="false" customHeight="true" outlineLevel="0" collapsed="false">
      <c r="A58" s="6" t="s">
        <v>534</v>
      </c>
      <c r="C58" s="100" t="n">
        <f aca="false">-(CAPEX!$F$22)/(Hipótesis!$D$86*12)</f>
        <v>-1174.64285714286</v>
      </c>
      <c r="D58" s="100" t="n">
        <f aca="false">-(CAPEX!$F$22)/(Hipótesis!$D$86*12)</f>
        <v>-1174.64285714286</v>
      </c>
      <c r="E58" s="100" t="n">
        <f aca="false">-(CAPEX!$F$22)/(Hipótesis!$D$86*12)</f>
        <v>-1174.64285714286</v>
      </c>
      <c r="F58" s="100" t="n">
        <f aca="false">-(CAPEX!$F$22)/(Hipótesis!$D$86*12)</f>
        <v>-1174.64285714286</v>
      </c>
      <c r="G58" s="100" t="n">
        <f aca="false">-(CAPEX!$F$22)/(Hipótesis!$D$86*12)</f>
        <v>-1174.64285714286</v>
      </c>
      <c r="H58" s="100" t="n">
        <f aca="false">-(CAPEX!$F$22)/(Hipótesis!$D$86*12)</f>
        <v>-1174.64285714286</v>
      </c>
      <c r="I58" s="100" t="n">
        <f aca="false">-(CAPEX!$F$22)/(Hipótesis!$D$86*12)</f>
        <v>-1174.64285714286</v>
      </c>
      <c r="J58" s="100" t="n">
        <f aca="false">-(CAPEX!$F$22)/(Hipótesis!$D$86*12)</f>
        <v>-1174.64285714286</v>
      </c>
      <c r="K58" s="100" t="n">
        <f aca="false">-(CAPEX!$F$22)/(Hipótesis!$D$86*12)</f>
        <v>-1174.64285714286</v>
      </c>
      <c r="L58" s="100" t="n">
        <f aca="false">-(CAPEX!$F$22)/(Hipótesis!$D$86*12)</f>
        <v>-1174.64285714286</v>
      </c>
      <c r="M58" s="100" t="n">
        <f aca="false">-(CAPEX!$F$22)/(Hipótesis!$D$86*12)</f>
        <v>-1174.64285714286</v>
      </c>
      <c r="N58" s="100" t="n">
        <f aca="false">-(CAPEX!$F$22)/(Hipótesis!$D$86*12)</f>
        <v>-1174.64285714286</v>
      </c>
      <c r="O58" s="100" t="n">
        <f aca="false">-(CAPEX!$F$22)/(Hipótesis!$D$86*12)</f>
        <v>-1174.64285714286</v>
      </c>
      <c r="P58" s="100" t="n">
        <f aca="false">-(CAPEX!$F$22)/(Hipótesis!$D$86*12)</f>
        <v>-1174.64285714286</v>
      </c>
      <c r="Q58" s="100" t="n">
        <f aca="false">-(CAPEX!$F$22)/(Hipótesis!$D$86*12)</f>
        <v>-1174.64285714286</v>
      </c>
      <c r="R58" s="100" t="n">
        <f aca="false">-(CAPEX!$F$22)/(Hipótesis!$D$86*12)</f>
        <v>-1174.64285714286</v>
      </c>
      <c r="S58" s="100" t="n">
        <f aca="false">-(CAPEX!$F$22)/(Hipótesis!$D$86*12)</f>
        <v>-1174.64285714286</v>
      </c>
      <c r="T58" s="100" t="n">
        <f aca="false">-(CAPEX!$F$22)/(Hipótesis!$D$86*12)</f>
        <v>-1174.64285714286</v>
      </c>
      <c r="U58" s="100" t="n">
        <f aca="false">-(CAPEX!$F$22)/(Hipótesis!$D$86*12)</f>
        <v>-1174.64285714286</v>
      </c>
      <c r="V58" s="100" t="n">
        <f aca="false">-(CAPEX!$F$22)/(Hipótesis!$D$86*12)</f>
        <v>-1174.64285714286</v>
      </c>
      <c r="W58" s="100" t="n">
        <f aca="false">-(CAPEX!$F$22)/(Hipótesis!$D$86*12)</f>
        <v>-1174.64285714286</v>
      </c>
      <c r="X58" s="100" t="n">
        <f aca="false">-(CAPEX!$F$22)/(Hipótesis!$D$86*12)</f>
        <v>-1174.64285714286</v>
      </c>
      <c r="Y58" s="100" t="n">
        <f aca="false">-(CAPEX!$F$22)/(Hipótesis!$D$86*12)</f>
        <v>-1174.64285714286</v>
      </c>
      <c r="Z58" s="100" t="n">
        <f aca="false">-(CAPEX!$F$22)/(Hipótesis!$D$86*12)</f>
        <v>-1174.64285714286</v>
      </c>
      <c r="AA58" s="100" t="n">
        <f aca="false">-(CAPEX!$F$22)/(Hipótesis!$D$86*12)</f>
        <v>-1174.64285714286</v>
      </c>
      <c r="AB58" s="100" t="n">
        <f aca="false">-(CAPEX!$F$22)/(Hipótesis!$D$86*12)</f>
        <v>-1174.64285714286</v>
      </c>
      <c r="AC58" s="100" t="n">
        <f aca="false">-(CAPEX!$F$22)/(Hipótesis!$D$86*12)</f>
        <v>-1174.64285714286</v>
      </c>
      <c r="AD58" s="100" t="n">
        <f aca="false">-(CAPEX!$F$22)/(Hipótesis!$D$86*12)</f>
        <v>-1174.64285714286</v>
      </c>
      <c r="AE58" s="100" t="n">
        <f aca="false">-(CAPEX!$F$22)/(Hipótesis!$D$86*12)</f>
        <v>-1174.64285714286</v>
      </c>
      <c r="AF58" s="100" t="n">
        <f aca="false">-(CAPEX!$F$22)/(Hipótesis!$D$86*12)</f>
        <v>-1174.64285714286</v>
      </c>
      <c r="AG58" s="100" t="n">
        <f aca="false">-(CAPEX!$F$22)/(Hipótesis!$D$86*12)</f>
        <v>-1174.64285714286</v>
      </c>
      <c r="AH58" s="100" t="n">
        <f aca="false">-(CAPEX!$F$22)/(Hipótesis!$D$86*12)</f>
        <v>-1174.64285714286</v>
      </c>
      <c r="AI58" s="100" t="n">
        <f aca="false">-(CAPEX!$F$22)/(Hipótesis!$D$86*12)</f>
        <v>-1174.64285714286</v>
      </c>
      <c r="AJ58" s="100" t="n">
        <f aca="false">-(CAPEX!$F$22)/(Hipótesis!$D$86*12)</f>
        <v>-1174.64285714286</v>
      </c>
      <c r="AK58" s="100" t="n">
        <f aca="false">-(CAPEX!$F$22)/(Hipótesis!$D$86*12)</f>
        <v>-1174.64285714286</v>
      </c>
      <c r="AL58" s="100" t="n">
        <f aca="false">-(CAPEX!$F$22)/(Hipótesis!$D$86*12)</f>
        <v>-1174.64285714286</v>
      </c>
      <c r="AM58" s="100" t="n">
        <f aca="false">-(CAPEX!$F$22)/(Hipótesis!$D$86*12)</f>
        <v>-1174.64285714286</v>
      </c>
      <c r="AN58" s="100" t="n">
        <f aca="false">-(CAPEX!$F$22)/(Hipótesis!$D$86*12)</f>
        <v>-1174.64285714286</v>
      </c>
      <c r="AO58" s="100" t="n">
        <f aca="false">-(CAPEX!$F$22)/(Hipótesis!$D$86*12)</f>
        <v>-1174.64285714286</v>
      </c>
      <c r="AP58" s="100" t="n">
        <f aca="false">-(CAPEX!$F$22)/(Hipótesis!$D$86*12)</f>
        <v>-1174.64285714286</v>
      </c>
      <c r="AQ58" s="100" t="n">
        <f aca="false">-(CAPEX!$F$22)/(Hipótesis!$D$86*12)</f>
        <v>-1174.64285714286</v>
      </c>
      <c r="AR58" s="100" t="n">
        <f aca="false">-(CAPEX!$F$22)/(Hipótesis!$D$86*12)</f>
        <v>-1174.64285714286</v>
      </c>
      <c r="AS58" s="100" t="n">
        <f aca="false">-(CAPEX!$F$22)/(Hipótesis!$D$86*12)</f>
        <v>-1174.64285714286</v>
      </c>
      <c r="AT58" s="100" t="n">
        <f aca="false">-(CAPEX!$F$22)/(Hipótesis!$D$86*12)</f>
        <v>-1174.64285714286</v>
      </c>
      <c r="AU58" s="100" t="n">
        <f aca="false">-(CAPEX!$F$22)/(Hipótesis!$D$86*12)</f>
        <v>-1174.64285714286</v>
      </c>
      <c r="AV58" s="100" t="n">
        <f aca="false">-(CAPEX!$F$22)/(Hipótesis!$D$86*12)</f>
        <v>-1174.64285714286</v>
      </c>
      <c r="AW58" s="100" t="n">
        <f aca="false">-(CAPEX!$F$22)/(Hipótesis!$D$86*12)</f>
        <v>-1174.64285714286</v>
      </c>
      <c r="AX58" s="100" t="n">
        <f aca="false">-(CAPEX!$F$22)/(Hipótesis!$D$86*12)</f>
        <v>-1174.64285714286</v>
      </c>
      <c r="AY58" s="100" t="n">
        <f aca="false">-(CAPEX!$F$22)/(Hipótesis!$D$86*12)</f>
        <v>-1174.64285714286</v>
      </c>
      <c r="AZ58" s="100" t="n">
        <f aca="false">-(CAPEX!$F$22)/(Hipótesis!$D$86*12)</f>
        <v>-1174.64285714286</v>
      </c>
      <c r="BA58" s="100" t="n">
        <f aca="false">-(CAPEX!$F$22)/(Hipótesis!$D$86*12)</f>
        <v>-1174.64285714286</v>
      </c>
      <c r="BB58" s="100" t="n">
        <f aca="false">-(CAPEX!$F$22)/(Hipótesis!$D$86*12)</f>
        <v>-1174.64285714286</v>
      </c>
      <c r="BC58" s="100" t="n">
        <f aca="false">-(CAPEX!$F$22)/(Hipótesis!$D$86*12)</f>
        <v>-1174.64285714286</v>
      </c>
      <c r="BD58" s="100" t="n">
        <f aca="false">-(CAPEX!$F$22)/(Hipótesis!$D$86*12)</f>
        <v>-1174.64285714286</v>
      </c>
      <c r="BE58" s="100" t="n">
        <f aca="false">-(CAPEX!$F$22)/(Hipótesis!$D$86*12)</f>
        <v>-1174.64285714286</v>
      </c>
      <c r="BF58" s="100" t="n">
        <f aca="false">-(CAPEX!$F$22)/(Hipótesis!$D$86*12)</f>
        <v>-1174.64285714286</v>
      </c>
      <c r="BG58" s="100" t="n">
        <f aca="false">-(CAPEX!$F$22)/(Hipótesis!$D$86*12)</f>
        <v>-1174.64285714286</v>
      </c>
      <c r="BH58" s="100" t="n">
        <f aca="false">-(CAPEX!$F$22)/(Hipótesis!$D$86*12)</f>
        <v>-1174.64285714286</v>
      </c>
      <c r="BI58" s="100" t="n">
        <f aca="false">-(CAPEX!$F$22)/(Hipótesis!$D$86*12)</f>
        <v>-1174.64285714286</v>
      </c>
      <c r="BJ58" s="100" t="n">
        <f aca="false">-(CAPEX!$F$22)/(Hipótesis!$D$86*12)</f>
        <v>-1174.64285714286</v>
      </c>
      <c r="BK58" s="100" t="n">
        <f aca="false">-(CAPEX!$F$22)/(Hipótesis!$D$86*12)</f>
        <v>-1174.64285714286</v>
      </c>
      <c r="BL58" s="100" t="n">
        <f aca="false">-(CAPEX!$F$22)/(Hipótesis!$D$86*12)</f>
        <v>-1174.64285714286</v>
      </c>
      <c r="BM58" s="100" t="n">
        <f aca="false">-(CAPEX!$F$22)/(Hipótesis!$D$86*12)</f>
        <v>-1174.64285714286</v>
      </c>
      <c r="BN58" s="100" t="n">
        <f aca="false">-(CAPEX!$F$22)/(Hipótesis!$D$86*12)</f>
        <v>-1174.64285714286</v>
      </c>
      <c r="BO58" s="100" t="n">
        <f aca="false">-(CAPEX!$F$22)/(Hipótesis!$D$86*12)</f>
        <v>-1174.64285714286</v>
      </c>
      <c r="BP58" s="100" t="n">
        <f aca="false">-(CAPEX!$F$22)/(Hipótesis!$D$86*12)</f>
        <v>-1174.64285714286</v>
      </c>
      <c r="BQ58" s="100" t="n">
        <f aca="false">-(CAPEX!$F$22)/(Hipótesis!$D$86*12)</f>
        <v>-1174.64285714286</v>
      </c>
      <c r="BR58" s="100" t="n">
        <f aca="false">-(CAPEX!$F$22)/(Hipótesis!$D$86*12)</f>
        <v>-1174.64285714286</v>
      </c>
      <c r="BS58" s="100" t="n">
        <f aca="false">-(CAPEX!$F$22)/(Hipótesis!$D$86*12)</f>
        <v>-1174.64285714286</v>
      </c>
      <c r="BT58" s="100" t="n">
        <f aca="false">-(CAPEX!$F$22)/(Hipótesis!$D$86*12)</f>
        <v>-1174.64285714286</v>
      </c>
      <c r="BU58" s="100" t="n">
        <f aca="false">-(CAPEX!$F$22)/(Hipótesis!$D$86*12)</f>
        <v>-1174.64285714286</v>
      </c>
      <c r="BV58" s="100" t="n">
        <f aca="false">-(CAPEX!$F$22)/(Hipótesis!$D$86*12)</f>
        <v>-1174.64285714286</v>
      </c>
      <c r="BW58" s="100" t="n">
        <f aca="false">-(CAPEX!$F$22)/(Hipótesis!$D$86*12)</f>
        <v>-1174.64285714286</v>
      </c>
      <c r="BX58" s="100" t="n">
        <f aca="false">-(CAPEX!$F$22)/(Hipótesis!$D$86*12)</f>
        <v>-1174.64285714286</v>
      </c>
      <c r="BY58" s="100" t="n">
        <f aca="false">-(CAPEX!$F$22)/(Hipótesis!$D$86*12)</f>
        <v>-1174.64285714286</v>
      </c>
      <c r="BZ58" s="100" t="n">
        <f aca="false">-(CAPEX!$F$22)/(Hipótesis!$D$86*12)</f>
        <v>-1174.64285714286</v>
      </c>
      <c r="CA58" s="100" t="n">
        <f aca="false">-(CAPEX!$F$22)/(Hipótesis!$D$86*12)</f>
        <v>-1174.64285714286</v>
      </c>
      <c r="CB58" s="100" t="n">
        <f aca="false">-(CAPEX!$F$22)/(Hipótesis!$D$86*12)</f>
        <v>-1174.64285714286</v>
      </c>
      <c r="CC58" s="100" t="n">
        <f aca="false">-(CAPEX!$F$22)/(Hipótesis!$D$86*12)</f>
        <v>-1174.64285714286</v>
      </c>
      <c r="CD58" s="100" t="n">
        <f aca="false">-(CAPEX!$F$22)/(Hipótesis!$D$86*12)</f>
        <v>-1174.64285714286</v>
      </c>
      <c r="CE58" s="100" t="n">
        <f aca="false">-(CAPEX!$F$22)/(Hipótesis!$D$86*12)</f>
        <v>-1174.64285714286</v>
      </c>
      <c r="CF58" s="100" t="n">
        <f aca="false">-(CAPEX!$F$22)/(Hipótesis!$D$86*12)</f>
        <v>-1174.64285714286</v>
      </c>
      <c r="CG58" s="100" t="n">
        <f aca="false">-(CAPEX!$F$22)/(Hipótesis!$D$86*12)</f>
        <v>-1174.64285714286</v>
      </c>
      <c r="CH58" s="100" t="n">
        <f aca="false">-(CAPEX!$F$22)/(Hipótesis!$D$86*12)</f>
        <v>-1174.64285714286</v>
      </c>
    </row>
    <row r="59" customFormat="false" ht="13.5" hidden="false" customHeight="true" outlineLevel="0" collapsed="false">
      <c r="A59" s="22" t="s">
        <v>535</v>
      </c>
      <c r="C59" s="100" t="n">
        <f aca="false">C56+C58</f>
        <v>-15861.5467908129</v>
      </c>
      <c r="D59" s="100" t="n">
        <f aca="false">D56+D58</f>
        <v>-14827.8837022081</v>
      </c>
      <c r="E59" s="100" t="n">
        <f aca="false">E56+E58</f>
        <v>-12737.7004506622</v>
      </c>
      <c r="F59" s="100" t="n">
        <f aca="false">F56+F58</f>
        <v>-11612.6132654461</v>
      </c>
      <c r="G59" s="100" t="n">
        <f aca="false">G56+G58</f>
        <v>-10556.093102505</v>
      </c>
      <c r="H59" s="100" t="n">
        <f aca="false">H56+H58</f>
        <v>-8907.70164266414</v>
      </c>
      <c r="I59" s="100" t="n">
        <f aca="false">I56+I58</f>
        <v>-5830.89314095464</v>
      </c>
      <c r="J59" s="100" t="n">
        <f aca="false">J56+J58</f>
        <v>-2754.08463924514</v>
      </c>
      <c r="K59" s="100" t="n">
        <f aca="false">K56+K58</f>
        <v>322.723862464358</v>
      </c>
      <c r="L59" s="100" t="n">
        <f aca="false">L56+L58</f>
        <v>3399.53236417385</v>
      </c>
      <c r="M59" s="100" t="n">
        <f aca="false">M56+M58</f>
        <v>5419.8207029422</v>
      </c>
      <c r="N59" s="100" t="n">
        <f aca="false">N56+N58</f>
        <v>8230.54274629191</v>
      </c>
      <c r="O59" s="100" t="n">
        <f aca="false">O56+O58</f>
        <v>5814.06478964162</v>
      </c>
      <c r="P59" s="100" t="n">
        <f aca="false">P56+P58</f>
        <v>6009.58101792419</v>
      </c>
      <c r="Q59" s="100" t="n">
        <f aca="false">Q56+Q58</f>
        <v>8516.41724620675</v>
      </c>
      <c r="R59" s="100" t="n">
        <f aca="false">R56+R58</f>
        <v>11023.2534744893</v>
      </c>
      <c r="S59" s="100" t="n">
        <f aca="false">S56+S58</f>
        <v>13530.0897027719</v>
      </c>
      <c r="T59" s="100" t="n">
        <f aca="false">T56+T58</f>
        <v>16036.9259310545</v>
      </c>
      <c r="U59" s="100" t="n">
        <f aca="false">U56+U58</f>
        <v>16232.442159337</v>
      </c>
      <c r="V59" s="100" t="n">
        <f aca="false">V56+V58</f>
        <v>16020.0783876196</v>
      </c>
      <c r="W59" s="100" t="n">
        <f aca="false">W56+W58</f>
        <v>18526.9146159022</v>
      </c>
      <c r="X59" s="100" t="n">
        <f aca="false">X56+X58</f>
        <v>20243.3171396034</v>
      </c>
      <c r="Y59" s="100" t="n">
        <f aca="false">Y56+Y58</f>
        <v>21959.7196633046</v>
      </c>
      <c r="Z59" s="100" t="n">
        <f aca="false">Z56+Z58</f>
        <v>23388.1367051732</v>
      </c>
      <c r="AA59" s="100" t="n">
        <f aca="false">AA56+AA58</f>
        <v>22534.7225470419</v>
      </c>
      <c r="AB59" s="100" t="n">
        <f aca="false">AB56+AB58</f>
        <v>21582.4799889105</v>
      </c>
      <c r="AC59" s="100" t="n">
        <f aca="false">AC56+AC58</f>
        <v>23010.8970307792</v>
      </c>
      <c r="AD59" s="100" t="n">
        <f aca="false">AD56+AD58</f>
        <v>24439.3140726478</v>
      </c>
      <c r="AE59" s="100" t="n">
        <f aca="false">AE56+AE58</f>
        <v>25867.7311145165</v>
      </c>
      <c r="AF59" s="100" t="n">
        <f aca="false">AF56+AF58</f>
        <v>27296.1481563851</v>
      </c>
      <c r="AG59" s="100" t="n">
        <f aca="false">AG56+AG58</f>
        <v>28724.5651982538</v>
      </c>
      <c r="AH59" s="100" t="n">
        <f aca="false">AH56+AH58</f>
        <v>30152.9822401224</v>
      </c>
      <c r="AI59" s="100" t="n">
        <f aca="false">AI56+AI58</f>
        <v>31581.3992819911</v>
      </c>
      <c r="AJ59" s="100" t="n">
        <f aca="false">AJ56+AJ58</f>
        <v>33009.8163238598</v>
      </c>
      <c r="AK59" s="100" t="n">
        <f aca="false">AK56+AK58</f>
        <v>34438.2333657284</v>
      </c>
      <c r="AL59" s="100" t="n">
        <f aca="false">AL56+AL58</f>
        <v>33485.9908075971</v>
      </c>
      <c r="AM59" s="100" t="n">
        <f aca="false">AM56+AM58</f>
        <v>32480.6821374657</v>
      </c>
      <c r="AN59" s="100" t="n">
        <f aca="false">AN56+AN58</f>
        <v>33909.0991793344</v>
      </c>
      <c r="AO59" s="100" t="n">
        <f aca="false">AO56+AO58</f>
        <v>35337.516221203</v>
      </c>
      <c r="AP59" s="100" t="n">
        <f aca="false">AP56+AP58</f>
        <v>36765.9332630717</v>
      </c>
      <c r="AQ59" s="100" t="n">
        <f aca="false">AQ56+AQ58</f>
        <v>38194.3503049403</v>
      </c>
      <c r="AR59" s="100" t="n">
        <f aca="false">AR56+AR58</f>
        <v>39622.767346809</v>
      </c>
      <c r="AS59" s="100" t="n">
        <f aca="false">AS56+AS58</f>
        <v>39622.767346809</v>
      </c>
      <c r="AT59" s="100" t="n">
        <f aca="false">AT56+AT58</f>
        <v>39622.767346809</v>
      </c>
      <c r="AU59" s="100" t="n">
        <f aca="false">AU56+AU58</f>
        <v>39622.767346809</v>
      </c>
      <c r="AV59" s="100" t="n">
        <f aca="false">AV56+AV58</f>
        <v>39622.767346809</v>
      </c>
      <c r="AW59" s="100" t="n">
        <f aca="false">AW56+AW58</f>
        <v>39622.767346809</v>
      </c>
      <c r="AX59" s="100" t="n">
        <f aca="false">AX56+AX58</f>
        <v>39622.767346809</v>
      </c>
      <c r="AY59" s="100" t="n">
        <f aca="false">AY56+AY58</f>
        <v>37175.429863449</v>
      </c>
      <c r="AZ59" s="100" t="n">
        <f aca="false">AZ56+AZ58</f>
        <v>37175.429863449</v>
      </c>
      <c r="BA59" s="100" t="n">
        <f aca="false">BA56+BA58</f>
        <v>37175.429863449</v>
      </c>
      <c r="BB59" s="100" t="n">
        <f aca="false">BB56+BB58</f>
        <v>37175.429863449</v>
      </c>
      <c r="BC59" s="100" t="n">
        <f aca="false">BC56+BC58</f>
        <v>37175.429863449</v>
      </c>
      <c r="BD59" s="100" t="n">
        <f aca="false">BD56+BD58</f>
        <v>37175.429863449</v>
      </c>
      <c r="BE59" s="100" t="n">
        <f aca="false">BE56+BE58</f>
        <v>37175.429863449</v>
      </c>
      <c r="BF59" s="100" t="n">
        <f aca="false">BF56+BF58</f>
        <v>37175.429863449</v>
      </c>
      <c r="BG59" s="100" t="n">
        <f aca="false">BG56+BG58</f>
        <v>37175.429863449</v>
      </c>
      <c r="BH59" s="100" t="n">
        <f aca="false">BH56+BH58</f>
        <v>37175.429863449</v>
      </c>
      <c r="BI59" s="100" t="n">
        <f aca="false">BI56+BI58</f>
        <v>37175.429863449</v>
      </c>
      <c r="BJ59" s="100" t="n">
        <f aca="false">BJ56+BJ58</f>
        <v>37175.429863449</v>
      </c>
      <c r="BK59" s="100" t="n">
        <f aca="false">BK56+BK58</f>
        <v>34714.0722555882</v>
      </c>
      <c r="BL59" s="100" t="n">
        <f aca="false">BL56+BL58</f>
        <v>34714.0722555882</v>
      </c>
      <c r="BM59" s="100" t="n">
        <f aca="false">BM56+BM58</f>
        <v>34714.0722555882</v>
      </c>
      <c r="BN59" s="100" t="n">
        <f aca="false">BN56+BN58</f>
        <v>34714.0722555882</v>
      </c>
      <c r="BO59" s="100" t="n">
        <f aca="false">BO56+BO58</f>
        <v>34714.0722555882</v>
      </c>
      <c r="BP59" s="100" t="n">
        <f aca="false">BP56+BP58</f>
        <v>34714.0722555882</v>
      </c>
      <c r="BQ59" s="100" t="n">
        <f aca="false">BQ56+BQ58</f>
        <v>34714.0722555882</v>
      </c>
      <c r="BR59" s="100" t="n">
        <f aca="false">BR56+BR58</f>
        <v>34714.0722555882</v>
      </c>
      <c r="BS59" s="100" t="n">
        <f aca="false">BS56+BS58</f>
        <v>34714.0722555882</v>
      </c>
      <c r="BT59" s="100" t="n">
        <f aca="false">BT56+BT58</f>
        <v>34714.0722555882</v>
      </c>
      <c r="BU59" s="100" t="n">
        <f aca="false">BU56+BU58</f>
        <v>34714.0722555882</v>
      </c>
      <c r="BV59" s="100" t="n">
        <f aca="false">BV56+BV58</f>
        <v>34714.0722555882</v>
      </c>
      <c r="BW59" s="100" t="n">
        <f aca="false">BW56+BW58</f>
        <v>32238.2739194915</v>
      </c>
      <c r="BX59" s="100" t="n">
        <f aca="false">BX56+BX58</f>
        <v>32238.2739194915</v>
      </c>
      <c r="BY59" s="100" t="n">
        <f aca="false">BY56+BY58</f>
        <v>32238.2739194915</v>
      </c>
      <c r="BZ59" s="100" t="n">
        <f aca="false">BZ56+BZ58</f>
        <v>32238.2739194915</v>
      </c>
      <c r="CA59" s="100" t="n">
        <f aca="false">CA56+CA58</f>
        <v>32238.2739194915</v>
      </c>
      <c r="CB59" s="100" t="n">
        <f aca="false">CB56+CB58</f>
        <v>32238.2739194915</v>
      </c>
      <c r="CC59" s="100" t="n">
        <f aca="false">CC56+CC58</f>
        <v>32238.2739194915</v>
      </c>
      <c r="CD59" s="100" t="n">
        <f aca="false">CD56+CD58</f>
        <v>32238.2739194915</v>
      </c>
      <c r="CE59" s="100" t="n">
        <f aca="false">CE56+CE58</f>
        <v>32238.2739194915</v>
      </c>
      <c r="CF59" s="100" t="n">
        <f aca="false">CF56+CF58</f>
        <v>32238.2739194915</v>
      </c>
      <c r="CG59" s="100" t="n">
        <f aca="false">CG56+CG58</f>
        <v>32238.2739194915</v>
      </c>
      <c r="CH59" s="100" t="n">
        <f aca="false">CH56+CH58</f>
        <v>32238.2739194915</v>
      </c>
    </row>
    <row r="60" customFormat="false" ht="13.5" hidden="false" customHeight="true" outlineLevel="0" collapsed="false">
      <c r="A60" s="6" t="s">
        <v>536</v>
      </c>
      <c r="C60" s="100" t="n">
        <f aca="false">-(C91+C98+C103+C77+C68*Hipótesis!$D$73*Hipótesis!$D$74/12)</f>
        <v>-337.405912083333</v>
      </c>
      <c r="D60" s="100" t="n">
        <f aca="false">-(D91+D98+D103+D77+D68*Hipótesis!$D$73*Hipótesis!$D$74/12)</f>
        <v>-341.795605833333</v>
      </c>
      <c r="E60" s="100" t="n">
        <f aca="false">-(E91+E98+E103+E77+E68*Hipótesis!$D$73*Hipótesis!$D$74/12)</f>
        <v>-350.958540989583</v>
      </c>
      <c r="F60" s="100" t="n">
        <f aca="false">-(F91+F98+F103+F77+F68*Hipótesis!$D$73*Hipótesis!$D$74/12)</f>
        <v>-356.048897395833</v>
      </c>
      <c r="G60" s="100" t="n">
        <f aca="false">-(G91+G98+G103+G77+G68*Hipótesis!$D$73*Hipótesis!$D$74/12)</f>
        <v>-360.822138802083</v>
      </c>
      <c r="H60" s="100" t="n">
        <f aca="false">-(H91+H98+H103+H77+H68*Hipótesis!$D$73*Hipótesis!$D$74/12)</f>
        <v>-368.502267708333</v>
      </c>
      <c r="I60" s="100" t="n">
        <f aca="false">-(I91+I98+I103+I77+I68*Hipótesis!$D$73*Hipótesis!$D$74/12)</f>
        <v>-382.777319483324</v>
      </c>
      <c r="J60" s="100" t="n">
        <f aca="false">-(J91+J98+J103+J77+J68*Hipótesis!$D$73*Hipótesis!$D$74/12)</f>
        <v>-397.052371258314</v>
      </c>
      <c r="K60" s="100" t="n">
        <f aca="false">-(K91+K98+K103+K77+K68*Hipótesis!$D$73*Hipótesis!$D$74/12)</f>
        <v>-441.274757425449</v>
      </c>
      <c r="L60" s="100" t="n">
        <f aca="false">-(L91+L98+L103+L77+L68*Hipótesis!$D$73*Hipótesis!$D$74/12)</f>
        <v>-535.417157252274</v>
      </c>
      <c r="M60" s="100" t="n">
        <f aca="false">-(M91+M98+M103+M77+M68*Hipótesis!$D$73*Hipótesis!$D$74/12)</f>
        <v>-588.510043890414</v>
      </c>
      <c r="N60" s="100" t="n">
        <f aca="false">-(N91+N98+N103+N77+N68*Hipótesis!$D$73*Hipótesis!$D$74/12)</f>
        <v>-647.923580934914</v>
      </c>
      <c r="O60" s="100" t="n">
        <f aca="false">-(O91+O98+O103+O77+O68*Hipótesis!$D$73*Hipótesis!$D$74/12)</f>
        <v>-601.809933850207</v>
      </c>
      <c r="P60" s="100" t="n">
        <f aca="false">-(P91+P98+P103+P77+P68*Hipótesis!$D$73*Hipótesis!$D$74/12)</f>
        <v>-617.758988784599</v>
      </c>
      <c r="Q60" s="100" t="n">
        <f aca="false">-(Q91+Q98+Q103+Q77+Q68*Hipótesis!$D$73*Hipótesis!$D$74/12)</f>
        <v>-679.93444371899</v>
      </c>
      <c r="R60" s="100" t="n">
        <f aca="false">-(R91+R98+R103+R77+R68*Hipótesis!$D$73*Hipótesis!$D$74/12)</f>
        <v>-742.109898653382</v>
      </c>
      <c r="S60" s="100" t="n">
        <f aca="false">-(S91+S98+S103+S77+S68*Hipótesis!$D$73*Hipótesis!$D$74/12)</f>
        <v>-804.285353587774</v>
      </c>
      <c r="T60" s="100" t="n">
        <f aca="false">-(T91+T98+T103+T77+T68*Hipótesis!$D$73*Hipótesis!$D$74/12)</f>
        <v>-866.460808522166</v>
      </c>
      <c r="U60" s="100" t="n">
        <f aca="false">-(U91+U98+U103+U77+U68*Hipótesis!$D$73*Hipótesis!$D$74/12)</f>
        <v>-882.409863456558</v>
      </c>
      <c r="V60" s="100" t="n">
        <f aca="false">-(V91+V98+V103+V77+V68*Hipótesis!$D$73*Hipótesis!$D$74/12)</f>
        <v>-890.20131839095</v>
      </c>
      <c r="W60" s="100" t="n">
        <f aca="false">-(W91+W98+W103+W77+W68*Hipótesis!$D$73*Hipótesis!$D$74/12)</f>
        <v>-952.376773325342</v>
      </c>
      <c r="X60" s="100" t="n">
        <f aca="false">-(X91+X98+X103+X77+X68*Hipótesis!$D$73*Hipótesis!$D$74/12)</f>
        <v>-994.779616668107</v>
      </c>
      <c r="Y60" s="100" t="n">
        <f aca="false">-(Y91+Y98+Y103+Y77+Y68*Hipótesis!$D$73*Hipótesis!$D$74/12)</f>
        <v>-1037.18246001087</v>
      </c>
      <c r="Z60" s="100" t="n">
        <f aca="false">-(Z91+Z98+Z103+Z77+Z68*Hipótesis!$D$73*Hipótesis!$D$74/12)</f>
        <v>-1072.34572371698</v>
      </c>
      <c r="AA60" s="100" t="n">
        <f aca="false">-(AA91+AA98+AA103+AA77+AA68*Hipótesis!$D$73*Hipótesis!$D$74/12)</f>
        <v>-1061.8723634231</v>
      </c>
      <c r="AB60" s="100" t="n">
        <f aca="false">-(AB91+AB98+AB103+AB77+AB68*Hipótesis!$D$73*Hipótesis!$D$74/12)</f>
        <v>-1043.86687957366</v>
      </c>
      <c r="AC60" s="100" t="n">
        <f aca="false">-(AC91+AC98+AC103+AC77+AC68*Hipótesis!$D$73*Hipótesis!$D$74/12)</f>
        <v>-1073.47458772421</v>
      </c>
      <c r="AD60" s="100" t="n">
        <f aca="false">-(AD91+AD98+AD103+AD77+AD68*Hipótesis!$D$73*Hipótesis!$D$74/12)</f>
        <v>-1103.08229587477</v>
      </c>
      <c r="AE60" s="100" t="n">
        <f aca="false">-(AE91+AE98+AE103+AE77+AE68*Hipótesis!$D$73*Hipótesis!$D$74/12)</f>
        <v>-1132.69000402533</v>
      </c>
      <c r="AF60" s="100" t="n">
        <f aca="false">-(AF91+AF98+AF103+AF77+AF68*Hipótesis!$D$73*Hipótesis!$D$74/12)</f>
        <v>-1162.29771217589</v>
      </c>
      <c r="AG60" s="100" t="n">
        <f aca="false">-(AG91+AG98+AG103+AG77+AG68*Hipótesis!$D$73*Hipótesis!$D$74/12)</f>
        <v>-1191.90542032645</v>
      </c>
      <c r="AH60" s="100" t="n">
        <f aca="false">-(AH91+AH98+AH103+AH77+AH68*Hipótesis!$D$73*Hipótesis!$D$74/12)</f>
        <v>-1221.513128477</v>
      </c>
      <c r="AI60" s="100" t="n">
        <f aca="false">-(AI91+AI98+AI103+AI77+AI68*Hipótesis!$D$73*Hipótesis!$D$74/12)</f>
        <v>-1251.12083662756</v>
      </c>
      <c r="AJ60" s="100" t="n">
        <f aca="false">-(AJ91+AJ98+AJ103+AJ77+AJ68*Hipótesis!$D$73*Hipótesis!$D$74/12)</f>
        <v>-1280.72854477812</v>
      </c>
      <c r="AK60" s="100" t="n">
        <f aca="false">-(AK91+AK98+AK103+AK77+AK68*Hipótesis!$D$73*Hipótesis!$D$74/12)</f>
        <v>-1310.33625292868</v>
      </c>
      <c r="AL60" s="100" t="n">
        <f aca="false">-(AL91+AL98+AL103+AL77+AL68*Hipótesis!$D$73*Hipótesis!$D$74/12)</f>
        <v>-1292.33076907924</v>
      </c>
      <c r="AM60" s="100" t="n">
        <f aca="false">-(AM91+AM98+AM103+AM77+AM68*Hipótesis!$D$73*Hipótesis!$D$74/12)</f>
        <v>-1273.26396298979</v>
      </c>
      <c r="AN60" s="100" t="n">
        <f aca="false">-(AN91+AN98+AN103+AN77+AN68*Hipótesis!$D$73*Hipótesis!$D$74/12)</f>
        <v>-1302.87167114035</v>
      </c>
      <c r="AO60" s="100" t="n">
        <f aca="false">-(AO91+AO98+AO103+AO77+AO68*Hipótesis!$D$73*Hipótesis!$D$74/12)</f>
        <v>-1332.47937929091</v>
      </c>
      <c r="AP60" s="100" t="n">
        <f aca="false">-(AP91+AP98+AP103+AP77+AP68*Hipótesis!$D$73*Hipótesis!$D$74/12)</f>
        <v>-1362.08708744147</v>
      </c>
      <c r="AQ60" s="100" t="n">
        <f aca="false">-(AQ91+AQ98+AQ103+AQ77+AQ68*Hipótesis!$D$73*Hipótesis!$D$74/12)</f>
        <v>-1391.69479559203</v>
      </c>
      <c r="AR60" s="100" t="n">
        <f aca="false">-(AR91+AR98+AR103+AR77+AR68*Hipótesis!$D$73*Hipótesis!$D$74/12)</f>
        <v>-1421.30250374258</v>
      </c>
      <c r="AS60" s="100" t="n">
        <f aca="false">-(AS91+AS98+AS103+AS77+AS68*Hipótesis!$D$73*Hipótesis!$D$74/12)</f>
        <v>-1415.74694818703</v>
      </c>
      <c r="AT60" s="100" t="n">
        <f aca="false">-(AT91+AT98+AT103+AT77+AT68*Hipótesis!$D$73*Hipótesis!$D$74/12)</f>
        <v>-1410.19139263147</v>
      </c>
      <c r="AU60" s="100" t="n">
        <f aca="false">-(AU91+AU98+AU103+AU77+AU68*Hipótesis!$D$73*Hipótesis!$D$74/12)</f>
        <v>-1404.63583707592</v>
      </c>
      <c r="AV60" s="100" t="n">
        <f aca="false">-(AV91+AV98+AV103+AV77+AV68*Hipótesis!$D$73*Hipótesis!$D$74/12)</f>
        <v>-1399.08028152036</v>
      </c>
      <c r="AW60" s="100" t="n">
        <f aca="false">-(AW91+AW98+AW103+AW77+AW68*Hipótesis!$D$73*Hipótesis!$D$74/12)</f>
        <v>-1393.52472596481</v>
      </c>
      <c r="AX60" s="100" t="n">
        <f aca="false">-(AX91+AX98+AX103+AX77+AX68*Hipótesis!$D$73*Hipótesis!$D$74/12)</f>
        <v>-1387.96917040925</v>
      </c>
      <c r="AY60" s="100" t="n">
        <f aca="false">-(AY91+AY98+AY103+AY77+AY68*Hipótesis!$D$73*Hipótesis!$D$74/12)</f>
        <v>-1333.4668651865</v>
      </c>
      <c r="AZ60" s="100" t="n">
        <f aca="false">-(AZ91+AZ98+AZ103+AZ77+AZ68*Hipótesis!$D$73*Hipótesis!$D$74/12)</f>
        <v>-1327.91130963094</v>
      </c>
      <c r="BA60" s="100" t="n">
        <f aca="false">-(BA91+BA98+BA103+BA77+BA68*Hipótesis!$D$73*Hipótesis!$D$74/12)</f>
        <v>-1322.35575407538</v>
      </c>
      <c r="BB60" s="100" t="n">
        <f aca="false">-(BB91+BB98+BB103+BB77+BB68*Hipótesis!$D$73*Hipótesis!$D$74/12)</f>
        <v>-1316.80019851983</v>
      </c>
      <c r="BC60" s="100" t="n">
        <f aca="false">-(BC91+BC98+BC103+BC77+BC68*Hipótesis!$D$73*Hipótesis!$D$74/12)</f>
        <v>-1311.24464296427</v>
      </c>
      <c r="BD60" s="100" t="n">
        <f aca="false">-(BD91+BD98+BD103+BD77+BD68*Hipótesis!$D$73*Hipótesis!$D$74/12)</f>
        <v>-1305.68908740872</v>
      </c>
      <c r="BE60" s="100" t="n">
        <f aca="false">-(BE91+BE98+BE103+BE77+BE68*Hipótesis!$D$73*Hipótesis!$D$74/12)</f>
        <v>-1300.13353185316</v>
      </c>
      <c r="BF60" s="100" t="n">
        <f aca="false">-(BF91+BF98+BF103+BF77+BF68*Hipótesis!$D$73*Hipótesis!$D$74/12)</f>
        <v>-1294.57797629761</v>
      </c>
      <c r="BG60" s="100" t="n">
        <f aca="false">-(BG91+BG98+BG103+BG77+BG68*Hipótesis!$D$73*Hipótesis!$D$74/12)</f>
        <v>-1289.02242074205</v>
      </c>
      <c r="BH60" s="100" t="n">
        <f aca="false">-(BH91+BH98+BH103+BH77+BH68*Hipótesis!$D$73*Hipótesis!$D$74/12)</f>
        <v>-1283.4668651865</v>
      </c>
      <c r="BI60" s="100" t="n">
        <f aca="false">-(BI91+BI98+BI103+BI77+BI68*Hipótesis!$D$73*Hipótesis!$D$74/12)</f>
        <v>-1277.91130963094</v>
      </c>
      <c r="BJ60" s="100" t="n">
        <f aca="false">-(BJ91+BJ98+BJ103+BJ77+BJ68*Hipótesis!$D$73*Hipótesis!$D$74/12)</f>
        <v>-1272.35575407538</v>
      </c>
      <c r="BK60" s="100" t="n">
        <f aca="false">-(BK91+BK98+BK103+BK77+BK68*Hipótesis!$D$73*Hipótesis!$D$74/12)</f>
        <v>-1217.57304636261</v>
      </c>
      <c r="BL60" s="100" t="n">
        <f aca="false">-(BL91+BL98+BL103+BL77+BL68*Hipótesis!$D$73*Hipótesis!$D$74/12)</f>
        <v>-1212.01749080706</v>
      </c>
      <c r="BM60" s="100" t="n">
        <f aca="false">-(BM91+BM98+BM103+BM77+BM68*Hipótesis!$D$73*Hipótesis!$D$74/12)</f>
        <v>-1206.4619352515</v>
      </c>
      <c r="BN60" s="100" t="n">
        <f aca="false">-(BN91+BN98+BN103+BN77+BN68*Hipótesis!$D$73*Hipótesis!$D$74/12)</f>
        <v>-1200.90637969595</v>
      </c>
      <c r="BO60" s="100" t="n">
        <f aca="false">-(BO91+BO98+BO103+BO77+BO68*Hipótesis!$D$73*Hipótesis!$D$74/12)</f>
        <v>-1195.35082414039</v>
      </c>
      <c r="BP60" s="100" t="n">
        <f aca="false">-(BP91+BP98+BP103+BP77+BP68*Hipótesis!$D$73*Hipótesis!$D$74/12)</f>
        <v>-1189.79526858484</v>
      </c>
      <c r="BQ60" s="100" t="n">
        <f aca="false">-(BQ91+BQ98+BQ103+BQ77+BQ68*Hipótesis!$D$73*Hipótesis!$D$74/12)</f>
        <v>-1184.23971302928</v>
      </c>
      <c r="BR60" s="100" t="n">
        <f aca="false">-(BR91+BR98+BR103+BR77+BR68*Hipótesis!$D$73*Hipótesis!$D$74/12)</f>
        <v>-1178.68415747372</v>
      </c>
      <c r="BS60" s="100" t="n">
        <f aca="false">-(BS91+BS98+BS103+BS77+BS68*Hipótesis!$D$73*Hipótesis!$D$74/12)</f>
        <v>-1173.12860191817</v>
      </c>
      <c r="BT60" s="100" t="n">
        <f aca="false">-(BT91+BT98+BT103+BT77+BT68*Hipótesis!$D$73*Hipótesis!$D$74/12)</f>
        <v>-1167.57304636261</v>
      </c>
      <c r="BU60" s="100" t="n">
        <f aca="false">-(BU91+BU98+BU103+BU77+BU68*Hipótesis!$D$73*Hipótesis!$D$74/12)</f>
        <v>-1162.01749080706</v>
      </c>
      <c r="BV60" s="100" t="n">
        <f aca="false">-(BV91+BV98+BV103+BV77+BV68*Hipótesis!$D$73*Hipótesis!$D$74/12)</f>
        <v>-1156.4619352515</v>
      </c>
      <c r="BW60" s="100" t="n">
        <f aca="false">-(BW91+BW98+BW103+BW77+BW68*Hipótesis!$D$73*Hipótesis!$D$74/12)</f>
        <v>-1101.39041297401</v>
      </c>
      <c r="BX60" s="100" t="n">
        <f aca="false">-(BX91+BX98+BX103+BX77+BX68*Hipótesis!$D$73*Hipótesis!$D$74/12)</f>
        <v>-1095.83485741846</v>
      </c>
      <c r="BY60" s="100" t="n">
        <f aca="false">-(BY91+BY98+BY103+BY77+BY68*Hipótesis!$D$73*Hipótesis!$D$74/12)</f>
        <v>-1090.2793018629</v>
      </c>
      <c r="BZ60" s="100" t="n">
        <f aca="false">-(BZ91+BZ98+BZ103+BZ77+BZ68*Hipótesis!$D$73*Hipótesis!$D$74/12)</f>
        <v>-1084.72374630735</v>
      </c>
      <c r="CA60" s="100" t="n">
        <f aca="false">-(CA91+CA98+CA103+CA77+CA68*Hipótesis!$D$73*Hipótesis!$D$74/12)</f>
        <v>-1079.16819075179</v>
      </c>
      <c r="CB60" s="100" t="n">
        <f aca="false">-(CB91+CB98+CB103+CB77+CB68*Hipótesis!$D$73*Hipótesis!$D$74/12)</f>
        <v>-1073.61263519624</v>
      </c>
      <c r="CC60" s="100" t="n">
        <f aca="false">-(CC91+CC98+CC103+CC77+CC68*Hipótesis!$D$73*Hipótesis!$D$74/12)</f>
        <v>-1068.05707964068</v>
      </c>
      <c r="CD60" s="100" t="n">
        <f aca="false">-(CD91+CD98+CD103+CD77+CD68*Hipótesis!$D$73*Hipótesis!$D$74/12)</f>
        <v>-1062.50152408513</v>
      </c>
      <c r="CE60" s="100" t="n">
        <f aca="false">-(CE91+CE98+CE103+CE77+CE68*Hipótesis!$D$73*Hipótesis!$D$74/12)</f>
        <v>-1056.94596852957</v>
      </c>
      <c r="CF60" s="100" t="n">
        <f aca="false">-(CF91+CF98+CF103+CF77+CF68*Hipótesis!$D$73*Hipótesis!$D$74/12)</f>
        <v>-1051.39041297401</v>
      </c>
      <c r="CG60" s="100" t="n">
        <f aca="false">-(CG91+CG98+CG103+CG77+CG68*Hipótesis!$D$73*Hipótesis!$D$74/12)</f>
        <v>-1045.83485741846</v>
      </c>
      <c r="CH60" s="100" t="n">
        <f aca="false">-(CH91+CH98+CH103+CH77+CH68*Hipótesis!$D$73*Hipótesis!$D$74/12)</f>
        <v>-1040.2793018629</v>
      </c>
    </row>
    <row r="61" customFormat="false" ht="13.5" hidden="false" customHeight="true" outlineLevel="0" collapsed="false">
      <c r="A61" s="22" t="s">
        <v>537</v>
      </c>
      <c r="C61" s="100" t="n">
        <f aca="false">C59+C60</f>
        <v>-16198.9527028963</v>
      </c>
      <c r="D61" s="100" t="n">
        <f aca="false">D59+D60</f>
        <v>-15169.6793080415</v>
      </c>
      <c r="E61" s="100" t="n">
        <f aca="false">E59+E60</f>
        <v>-13088.6589916518</v>
      </c>
      <c r="F61" s="100" t="n">
        <f aca="false">F59+F60</f>
        <v>-11968.662162842</v>
      </c>
      <c r="G61" s="100" t="n">
        <f aca="false">G59+G60</f>
        <v>-10916.9152413071</v>
      </c>
      <c r="H61" s="100" t="n">
        <f aca="false">H59+H60</f>
        <v>-9276.20391037247</v>
      </c>
      <c r="I61" s="100" t="n">
        <f aca="false">I59+I60</f>
        <v>-6213.67046043796</v>
      </c>
      <c r="J61" s="100" t="n">
        <f aca="false">J59+J60</f>
        <v>-3151.13701050346</v>
      </c>
      <c r="K61" s="100" t="n">
        <f aca="false">K59+K60</f>
        <v>-118.550894961092</v>
      </c>
      <c r="L61" s="100" t="n">
        <f aca="false">L59+L60</f>
        <v>2864.11520692158</v>
      </c>
      <c r="M61" s="100" t="n">
        <f aca="false">M59+M60</f>
        <v>4831.31065905178</v>
      </c>
      <c r="N61" s="100" t="n">
        <f aca="false">N59+N60</f>
        <v>7582.61916535699</v>
      </c>
      <c r="O61" s="100" t="n">
        <f aca="false">O59+O60</f>
        <v>5212.25485579141</v>
      </c>
      <c r="P61" s="100" t="n">
        <f aca="false">P59+P60</f>
        <v>5391.82202913959</v>
      </c>
      <c r="Q61" s="100" t="n">
        <f aca="false">Q59+Q60</f>
        <v>7836.48280248776</v>
      </c>
      <c r="R61" s="100" t="n">
        <f aca="false">R59+R60</f>
        <v>10281.1435758359</v>
      </c>
      <c r="S61" s="100" t="n">
        <f aca="false">S59+S60</f>
        <v>12725.8043491841</v>
      </c>
      <c r="T61" s="100" t="n">
        <f aca="false">T59+T60</f>
        <v>15170.4651225323</v>
      </c>
      <c r="U61" s="100" t="n">
        <f aca="false">U59+U60</f>
        <v>15350.0322958805</v>
      </c>
      <c r="V61" s="100" t="n">
        <f aca="false">V59+V60</f>
        <v>15129.8770692286</v>
      </c>
      <c r="W61" s="100" t="n">
        <f aca="false">W59+W60</f>
        <v>17574.5378425768</v>
      </c>
      <c r="X61" s="100" t="n">
        <f aca="false">X59+X60</f>
        <v>19248.5375229353</v>
      </c>
      <c r="Y61" s="100" t="n">
        <f aca="false">Y59+Y60</f>
        <v>20922.5372032937</v>
      </c>
      <c r="Z61" s="100" t="n">
        <f aca="false">Z59+Z60</f>
        <v>22315.7909814562</v>
      </c>
      <c r="AA61" s="100" t="n">
        <f aca="false">AA59+AA60</f>
        <v>21472.8501836188</v>
      </c>
      <c r="AB61" s="100" t="n">
        <f aca="false">AB59+AB60</f>
        <v>20538.6131093369</v>
      </c>
      <c r="AC61" s="100" t="n">
        <f aca="false">AC59+AC60</f>
        <v>21937.422443055</v>
      </c>
      <c r="AD61" s="100" t="n">
        <f aca="false">AD59+AD60</f>
        <v>23336.2317767731</v>
      </c>
      <c r="AE61" s="100" t="n">
        <f aca="false">AE59+AE60</f>
        <v>24735.0411104912</v>
      </c>
      <c r="AF61" s="100" t="n">
        <f aca="false">AF59+AF60</f>
        <v>26133.8504442093</v>
      </c>
      <c r="AG61" s="100" t="n">
        <f aca="false">AG59+AG60</f>
        <v>27532.6597779273</v>
      </c>
      <c r="AH61" s="100" t="n">
        <f aca="false">AH59+AH60</f>
        <v>28931.4691116454</v>
      </c>
      <c r="AI61" s="100" t="n">
        <f aca="false">AI59+AI60</f>
        <v>30330.2784453635</v>
      </c>
      <c r="AJ61" s="100" t="n">
        <f aca="false">AJ59+AJ60</f>
        <v>31729.0877790816</v>
      </c>
      <c r="AK61" s="100" t="n">
        <f aca="false">AK59+AK60</f>
        <v>33127.8971127997</v>
      </c>
      <c r="AL61" s="100" t="n">
        <f aca="false">AL59+AL60</f>
        <v>32193.6600385178</v>
      </c>
      <c r="AM61" s="100" t="n">
        <f aca="false">AM59+AM60</f>
        <v>31207.4181744759</v>
      </c>
      <c r="AN61" s="100" t="n">
        <f aca="false">AN59+AN60</f>
        <v>32606.227508194</v>
      </c>
      <c r="AO61" s="100" t="n">
        <f aca="false">AO59+AO60</f>
        <v>34005.0368419121</v>
      </c>
      <c r="AP61" s="100" t="n">
        <f aca="false">AP59+AP60</f>
        <v>35403.8461756302</v>
      </c>
      <c r="AQ61" s="100" t="n">
        <f aca="false">AQ59+AQ60</f>
        <v>36802.6555093483</v>
      </c>
      <c r="AR61" s="100" t="n">
        <f aca="false">AR59+AR60</f>
        <v>38201.4648430664</v>
      </c>
      <c r="AS61" s="100" t="n">
        <f aca="false">AS59+AS60</f>
        <v>38207.0203986219</v>
      </c>
      <c r="AT61" s="100" t="n">
        <f aca="false">AT59+AT60</f>
        <v>38212.5759541775</v>
      </c>
      <c r="AU61" s="100" t="n">
        <f aca="false">AU59+AU60</f>
        <v>38218.1315097331</v>
      </c>
      <c r="AV61" s="100" t="n">
        <f aca="false">AV59+AV60</f>
        <v>38223.6870652886</v>
      </c>
      <c r="AW61" s="100" t="n">
        <f aca="false">AW59+AW60</f>
        <v>38229.2426208442</v>
      </c>
      <c r="AX61" s="100" t="n">
        <f aca="false">AX59+AX60</f>
        <v>38234.7981763997</v>
      </c>
      <c r="AY61" s="100" t="n">
        <f aca="false">AY59+AY60</f>
        <v>35841.9629982625</v>
      </c>
      <c r="AZ61" s="100" t="n">
        <f aca="false">AZ59+AZ60</f>
        <v>35847.518553818</v>
      </c>
      <c r="BA61" s="100" t="n">
        <f aca="false">BA59+BA60</f>
        <v>35853.0741093736</v>
      </c>
      <c r="BB61" s="100" t="n">
        <f aca="false">BB59+BB60</f>
        <v>35858.6296649291</v>
      </c>
      <c r="BC61" s="100" t="n">
        <f aca="false">BC59+BC60</f>
        <v>35864.1852204847</v>
      </c>
      <c r="BD61" s="100" t="n">
        <f aca="false">BD59+BD60</f>
        <v>35869.7407760403</v>
      </c>
      <c r="BE61" s="100" t="n">
        <f aca="false">BE59+BE60</f>
        <v>35875.2963315958</v>
      </c>
      <c r="BF61" s="100" t="n">
        <f aca="false">BF59+BF60</f>
        <v>35880.8518871514</v>
      </c>
      <c r="BG61" s="100" t="n">
        <f aca="false">BG59+BG60</f>
        <v>35886.4074427069</v>
      </c>
      <c r="BH61" s="100" t="n">
        <f aca="false">BH59+BH60</f>
        <v>35891.9629982625</v>
      </c>
      <c r="BI61" s="100" t="n">
        <f aca="false">BI59+BI60</f>
        <v>35897.518553818</v>
      </c>
      <c r="BJ61" s="100" t="n">
        <f aca="false">BJ59+BJ60</f>
        <v>35903.0741093736</v>
      </c>
      <c r="BK61" s="100" t="n">
        <f aca="false">BK59+BK60</f>
        <v>33496.4992092256</v>
      </c>
      <c r="BL61" s="100" t="n">
        <f aca="false">BL59+BL60</f>
        <v>33502.0547647811</v>
      </c>
      <c r="BM61" s="100" t="n">
        <f aca="false">BM59+BM60</f>
        <v>33507.6103203367</v>
      </c>
      <c r="BN61" s="100" t="n">
        <f aca="false">BN59+BN60</f>
        <v>33513.1658758922</v>
      </c>
      <c r="BO61" s="100" t="n">
        <f aca="false">BO59+BO60</f>
        <v>33518.7214314478</v>
      </c>
      <c r="BP61" s="100" t="n">
        <f aca="false">BP59+BP60</f>
        <v>33524.2769870033</v>
      </c>
      <c r="BQ61" s="100" t="n">
        <f aca="false">BQ59+BQ60</f>
        <v>33529.8325425589</v>
      </c>
      <c r="BR61" s="100" t="n">
        <f aca="false">BR59+BR60</f>
        <v>33535.3880981144</v>
      </c>
      <c r="BS61" s="100" t="n">
        <f aca="false">BS59+BS60</f>
        <v>33540.94365367</v>
      </c>
      <c r="BT61" s="100" t="n">
        <f aca="false">BT59+BT60</f>
        <v>33546.4992092256</v>
      </c>
      <c r="BU61" s="100" t="n">
        <f aca="false">BU59+BU60</f>
        <v>33552.0547647811</v>
      </c>
      <c r="BV61" s="100" t="n">
        <f aca="false">BV59+BV60</f>
        <v>33557.6103203367</v>
      </c>
      <c r="BW61" s="100" t="n">
        <f aca="false">BW59+BW60</f>
        <v>31136.8835065175</v>
      </c>
      <c r="BX61" s="100" t="n">
        <f aca="false">BX59+BX60</f>
        <v>31142.4390620731</v>
      </c>
      <c r="BY61" s="100" t="n">
        <f aca="false">BY59+BY60</f>
        <v>31147.9946176286</v>
      </c>
      <c r="BZ61" s="100" t="n">
        <f aca="false">BZ59+BZ60</f>
        <v>31153.5501731842</v>
      </c>
      <c r="CA61" s="100" t="n">
        <f aca="false">CA59+CA60</f>
        <v>31159.1057287397</v>
      </c>
      <c r="CB61" s="100" t="n">
        <f aca="false">CB59+CB60</f>
        <v>31164.6612842953</v>
      </c>
      <c r="CC61" s="100" t="n">
        <f aca="false">CC59+CC60</f>
        <v>31170.2168398509</v>
      </c>
      <c r="CD61" s="100" t="n">
        <f aca="false">CD59+CD60</f>
        <v>31175.7723954064</v>
      </c>
      <c r="CE61" s="100" t="n">
        <f aca="false">CE59+CE60</f>
        <v>31181.327950962</v>
      </c>
      <c r="CF61" s="100" t="n">
        <f aca="false">CF59+CF60</f>
        <v>31186.8835065175</v>
      </c>
      <c r="CG61" s="100" t="n">
        <f aca="false">CG59+CG60</f>
        <v>31192.4390620731</v>
      </c>
      <c r="CH61" s="100" t="n">
        <f aca="false">CH59+CH60</f>
        <v>31197.9946176286</v>
      </c>
    </row>
    <row r="62" customFormat="false" ht="13.5" hidden="false" customHeight="true" outlineLevel="0" collapsed="false">
      <c r="A62" s="6" t="s">
        <v>538</v>
      </c>
      <c r="C62" s="100" t="n">
        <f aca="false">-IF(1&lt;Hipótesis!$D$89,Hipótesis!$D$87,Hipótesis!$D$88)*MAX(0,C61)</f>
        <v>-0</v>
      </c>
      <c r="D62" s="100" t="n">
        <f aca="false">-IF(1&lt;Hipótesis!$D$89,Hipótesis!$D$87,Hipótesis!$D$88)*MAX(0,D61)</f>
        <v>-0</v>
      </c>
      <c r="E62" s="100" t="n">
        <f aca="false">-IF(1&lt;Hipótesis!$D$89,Hipótesis!$D$87,Hipótesis!$D$88)*MAX(0,E61)</f>
        <v>-0</v>
      </c>
      <c r="F62" s="100" t="n">
        <f aca="false">-IF(1&lt;Hipótesis!$D$89,Hipótesis!$D$87,Hipótesis!$D$88)*MAX(0,F61)</f>
        <v>-0</v>
      </c>
      <c r="G62" s="100" t="n">
        <f aca="false">-IF(1&lt;Hipótesis!$D$89,Hipótesis!$D$87,Hipótesis!$D$88)*MAX(0,G61)</f>
        <v>-0</v>
      </c>
      <c r="H62" s="100" t="n">
        <f aca="false">-IF(1&lt;Hipótesis!$D$89,Hipótesis!$D$87,Hipótesis!$D$88)*MAX(0,H61)</f>
        <v>-0</v>
      </c>
      <c r="I62" s="100" t="n">
        <f aca="false">-IF(1&lt;Hipótesis!$D$89,Hipótesis!$D$87,Hipótesis!$D$88)*MAX(0,I61)</f>
        <v>-0</v>
      </c>
      <c r="J62" s="100" t="n">
        <f aca="false">-IF(1&lt;Hipótesis!$D$89,Hipótesis!$D$87,Hipótesis!$D$88)*MAX(0,J61)</f>
        <v>-0</v>
      </c>
      <c r="K62" s="100" t="n">
        <f aca="false">-IF(1&lt;Hipótesis!$D$89,Hipótesis!$D$87,Hipótesis!$D$88)*MAX(0,K61)</f>
        <v>-0</v>
      </c>
      <c r="L62" s="100" t="n">
        <f aca="false">-IF(1&lt;Hipótesis!$D$89,Hipótesis!$D$87,Hipótesis!$D$88)*MAX(0,L61)</f>
        <v>-429.617281038237</v>
      </c>
      <c r="M62" s="100" t="n">
        <f aca="false">-IF(1&lt;Hipótesis!$D$89,Hipótesis!$D$87,Hipótesis!$D$88)*MAX(0,M61)</f>
        <v>-724.696598857767</v>
      </c>
      <c r="N62" s="100" t="n">
        <f aca="false">-IF(1&lt;Hipótesis!$D$89,Hipótesis!$D$87,Hipótesis!$D$88)*MAX(0,N61)</f>
        <v>-1137.39287480355</v>
      </c>
      <c r="O62" s="100" t="n">
        <f aca="false">-IF(2&lt;Hipótesis!$D$89,Hipótesis!$D$87,Hipótesis!$D$88)*MAX(0,O61)</f>
        <v>-781.838228368712</v>
      </c>
      <c r="P62" s="100" t="n">
        <f aca="false">-IF(2&lt;Hipótesis!$D$89,Hipótesis!$D$87,Hipótesis!$D$88)*MAX(0,P61)</f>
        <v>-808.773304370939</v>
      </c>
      <c r="Q62" s="100" t="n">
        <f aca="false">-IF(2&lt;Hipótesis!$D$89,Hipótesis!$D$87,Hipótesis!$D$88)*MAX(0,Q61)</f>
        <v>-1175.47242037316</v>
      </c>
      <c r="R62" s="100" t="n">
        <f aca="false">-IF(2&lt;Hipótesis!$D$89,Hipótesis!$D$87,Hipótesis!$D$88)*MAX(0,R61)</f>
        <v>-1542.17153637539</v>
      </c>
      <c r="S62" s="100" t="n">
        <f aca="false">-IF(2&lt;Hipótesis!$D$89,Hipótesis!$D$87,Hipótesis!$D$88)*MAX(0,S61)</f>
        <v>-1908.87065237762</v>
      </c>
      <c r="T62" s="100" t="n">
        <f aca="false">-IF(2&lt;Hipótesis!$D$89,Hipótesis!$D$87,Hipótesis!$D$88)*MAX(0,T61)</f>
        <v>-2275.56976837984</v>
      </c>
      <c r="U62" s="100" t="n">
        <f aca="false">-IF(2&lt;Hipótesis!$D$89,Hipótesis!$D$87,Hipótesis!$D$88)*MAX(0,U61)</f>
        <v>-2302.50484438207</v>
      </c>
      <c r="V62" s="100" t="n">
        <f aca="false">-IF(2&lt;Hipótesis!$D$89,Hipótesis!$D$87,Hipótesis!$D$88)*MAX(0,V61)</f>
        <v>-2269.4815603843</v>
      </c>
      <c r="W62" s="100" t="n">
        <f aca="false">-IF(2&lt;Hipótesis!$D$89,Hipótesis!$D$87,Hipótesis!$D$88)*MAX(0,W61)</f>
        <v>-2636.18067638652</v>
      </c>
      <c r="X62" s="100" t="n">
        <f aca="false">-IF(2&lt;Hipótesis!$D$89,Hipótesis!$D$87,Hipótesis!$D$88)*MAX(0,X61)</f>
        <v>-2887.28062844029</v>
      </c>
      <c r="Y62" s="100" t="n">
        <f aca="false">-IF(2&lt;Hipótesis!$D$89,Hipótesis!$D$87,Hipótesis!$D$88)*MAX(0,Y61)</f>
        <v>-3138.38058049406</v>
      </c>
      <c r="Z62" s="100" t="n">
        <f aca="false">-IF(2&lt;Hipótesis!$D$89,Hipótesis!$D$87,Hipótesis!$D$88)*MAX(0,Z61)</f>
        <v>-3347.36864721844</v>
      </c>
      <c r="AA62" s="100" t="n">
        <f aca="false">-IF(3&lt;Hipótesis!$D$89,Hipótesis!$D$87,Hipótesis!$D$88)*MAX(0,AA61)</f>
        <v>-3220.92752754282</v>
      </c>
      <c r="AB62" s="100" t="n">
        <f aca="false">-IF(3&lt;Hipótesis!$D$89,Hipótesis!$D$87,Hipótesis!$D$88)*MAX(0,AB61)</f>
        <v>-3080.79196640053</v>
      </c>
      <c r="AC62" s="100" t="n">
        <f aca="false">-IF(3&lt;Hipótesis!$D$89,Hipótesis!$D$87,Hipótesis!$D$88)*MAX(0,AC61)</f>
        <v>-3290.61336645825</v>
      </c>
      <c r="AD62" s="100" t="n">
        <f aca="false">-IF(3&lt;Hipótesis!$D$89,Hipótesis!$D$87,Hipótesis!$D$88)*MAX(0,AD61)</f>
        <v>-3500.43476651596</v>
      </c>
      <c r="AE62" s="100" t="n">
        <f aca="false">-IF(3&lt;Hipótesis!$D$89,Hipótesis!$D$87,Hipótesis!$D$88)*MAX(0,AE61)</f>
        <v>-3710.25616657367</v>
      </c>
      <c r="AF62" s="100" t="n">
        <f aca="false">-IF(3&lt;Hipótesis!$D$89,Hipótesis!$D$87,Hipótesis!$D$88)*MAX(0,AF61)</f>
        <v>-3920.07756663139</v>
      </c>
      <c r="AG62" s="100" t="n">
        <f aca="false">-IF(3&lt;Hipótesis!$D$89,Hipótesis!$D$87,Hipótesis!$D$88)*MAX(0,AG61)</f>
        <v>-4129.8989666891</v>
      </c>
      <c r="AH62" s="100" t="n">
        <f aca="false">-IF(3&lt;Hipótesis!$D$89,Hipótesis!$D$87,Hipótesis!$D$88)*MAX(0,AH61)</f>
        <v>-4339.72036674682</v>
      </c>
      <c r="AI62" s="100" t="n">
        <f aca="false">-IF(3&lt;Hipótesis!$D$89,Hipótesis!$D$87,Hipótesis!$D$88)*MAX(0,AI61)</f>
        <v>-4549.54176680453</v>
      </c>
      <c r="AJ62" s="100" t="n">
        <f aca="false">-IF(3&lt;Hipótesis!$D$89,Hipótesis!$D$87,Hipótesis!$D$88)*MAX(0,AJ61)</f>
        <v>-4759.36316686225</v>
      </c>
      <c r="AK62" s="100" t="n">
        <f aca="false">-IF(3&lt;Hipótesis!$D$89,Hipótesis!$D$87,Hipótesis!$D$88)*MAX(0,AK61)</f>
        <v>-4969.18456691996</v>
      </c>
      <c r="AL62" s="100" t="n">
        <f aca="false">-IF(3&lt;Hipótesis!$D$89,Hipótesis!$D$87,Hipótesis!$D$88)*MAX(0,AL61)</f>
        <v>-4829.04900577767</v>
      </c>
      <c r="AM62" s="100" t="n">
        <f aca="false">-IF(4&lt;Hipótesis!$D$89,Hipótesis!$D$87,Hipótesis!$D$88)*MAX(0,AM61)</f>
        <v>-7801.85454361898</v>
      </c>
      <c r="AN62" s="100" t="n">
        <f aca="false">-IF(4&lt;Hipótesis!$D$89,Hipótesis!$D$87,Hipótesis!$D$88)*MAX(0,AN61)</f>
        <v>-8151.5568770485</v>
      </c>
      <c r="AO62" s="100" t="n">
        <f aca="false">-IF(4&lt;Hipótesis!$D$89,Hipótesis!$D$87,Hipótesis!$D$88)*MAX(0,AO61)</f>
        <v>-8501.25921047803</v>
      </c>
      <c r="AP62" s="100" t="n">
        <f aca="false">-IF(4&lt;Hipótesis!$D$89,Hipótesis!$D$87,Hipótesis!$D$88)*MAX(0,AP61)</f>
        <v>-8850.96154390756</v>
      </c>
      <c r="AQ62" s="100" t="n">
        <f aca="false">-IF(4&lt;Hipótesis!$D$89,Hipótesis!$D$87,Hipótesis!$D$88)*MAX(0,AQ61)</f>
        <v>-9200.66387733707</v>
      </c>
      <c r="AR62" s="100" t="n">
        <f aca="false">-IF(4&lt;Hipótesis!$D$89,Hipótesis!$D$87,Hipótesis!$D$88)*MAX(0,AR61)</f>
        <v>-9550.3662107666</v>
      </c>
      <c r="AS62" s="100" t="n">
        <f aca="false">-IF(4&lt;Hipótesis!$D$89,Hipótesis!$D$87,Hipótesis!$D$88)*MAX(0,AS61)</f>
        <v>-9551.75509965549</v>
      </c>
      <c r="AT62" s="100" t="n">
        <f aca="false">-IF(4&lt;Hipótesis!$D$89,Hipótesis!$D$87,Hipótesis!$D$88)*MAX(0,AT61)</f>
        <v>-9553.14398854437</v>
      </c>
      <c r="AU62" s="100" t="n">
        <f aca="false">-IF(4&lt;Hipótesis!$D$89,Hipótesis!$D$87,Hipótesis!$D$88)*MAX(0,AU61)</f>
        <v>-9554.53287743326</v>
      </c>
      <c r="AV62" s="100" t="n">
        <f aca="false">-IF(4&lt;Hipótesis!$D$89,Hipótesis!$D$87,Hipótesis!$D$88)*MAX(0,AV61)</f>
        <v>-9555.92176632215</v>
      </c>
      <c r="AW62" s="100" t="n">
        <f aca="false">-IF(4&lt;Hipótesis!$D$89,Hipótesis!$D$87,Hipótesis!$D$88)*MAX(0,AW61)</f>
        <v>-9557.31065521104</v>
      </c>
      <c r="AX62" s="100" t="n">
        <f aca="false">-IF(4&lt;Hipótesis!$D$89,Hipótesis!$D$87,Hipótesis!$D$88)*MAX(0,AX61)</f>
        <v>-9558.69954409993</v>
      </c>
      <c r="AY62" s="100" t="n">
        <f aca="false">-IF(5&lt;Hipótesis!$D$89,Hipótesis!$D$87,Hipótesis!$D$88)*MAX(0,AY61)</f>
        <v>-8960.49074956562</v>
      </c>
      <c r="AZ62" s="100" t="n">
        <f aca="false">-IF(5&lt;Hipótesis!$D$89,Hipótesis!$D$87,Hipótesis!$D$88)*MAX(0,AZ61)</f>
        <v>-8961.87963845451</v>
      </c>
      <c r="BA62" s="100" t="n">
        <f aca="false">-IF(5&lt;Hipótesis!$D$89,Hipótesis!$D$87,Hipótesis!$D$88)*MAX(0,BA61)</f>
        <v>-8963.2685273434</v>
      </c>
      <c r="BB62" s="100" t="n">
        <f aca="false">-IF(5&lt;Hipótesis!$D$89,Hipótesis!$D$87,Hipótesis!$D$88)*MAX(0,BB61)</f>
        <v>-8964.65741623229</v>
      </c>
      <c r="BC62" s="100" t="n">
        <f aca="false">-IF(5&lt;Hipótesis!$D$89,Hipótesis!$D$87,Hipótesis!$D$88)*MAX(0,BC61)</f>
        <v>-8966.04630512117</v>
      </c>
      <c r="BD62" s="100" t="n">
        <f aca="false">-IF(5&lt;Hipótesis!$D$89,Hipótesis!$D$87,Hipótesis!$D$88)*MAX(0,BD61)</f>
        <v>-8967.43519401006</v>
      </c>
      <c r="BE62" s="100" t="n">
        <f aca="false">-IF(5&lt;Hipótesis!$D$89,Hipótesis!$D$87,Hipótesis!$D$88)*MAX(0,BE61)</f>
        <v>-8968.82408289895</v>
      </c>
      <c r="BF62" s="100" t="n">
        <f aca="false">-IF(5&lt;Hipótesis!$D$89,Hipótesis!$D$87,Hipótesis!$D$88)*MAX(0,BF61)</f>
        <v>-8970.21297178784</v>
      </c>
      <c r="BG62" s="100" t="n">
        <f aca="false">-IF(5&lt;Hipótesis!$D$89,Hipótesis!$D$87,Hipótesis!$D$88)*MAX(0,BG61)</f>
        <v>-8971.60186067673</v>
      </c>
      <c r="BH62" s="100" t="n">
        <f aca="false">-IF(5&lt;Hipótesis!$D$89,Hipótesis!$D$87,Hipótesis!$D$88)*MAX(0,BH61)</f>
        <v>-8972.99074956562</v>
      </c>
      <c r="BI62" s="100" t="n">
        <f aca="false">-IF(5&lt;Hipótesis!$D$89,Hipótesis!$D$87,Hipótesis!$D$88)*MAX(0,BI61)</f>
        <v>-8974.37963845451</v>
      </c>
      <c r="BJ62" s="100" t="n">
        <f aca="false">-IF(5&lt;Hipótesis!$D$89,Hipótesis!$D$87,Hipótesis!$D$88)*MAX(0,BJ61)</f>
        <v>-8975.7685273434</v>
      </c>
      <c r="BK62" s="100" t="n">
        <f aca="false">-IF(6&lt;Hipótesis!$D$89,Hipótesis!$D$87,Hipótesis!$D$88)*MAX(0,BK61)</f>
        <v>-8374.12480230639</v>
      </c>
      <c r="BL62" s="100" t="n">
        <f aca="false">-IF(6&lt;Hipótesis!$D$89,Hipótesis!$D$87,Hipótesis!$D$88)*MAX(0,BL61)</f>
        <v>-8375.51369119528</v>
      </c>
      <c r="BM62" s="100" t="n">
        <f aca="false">-IF(6&lt;Hipótesis!$D$89,Hipótesis!$D$87,Hipótesis!$D$88)*MAX(0,BM61)</f>
        <v>-8376.90258008417</v>
      </c>
      <c r="BN62" s="100" t="n">
        <f aca="false">-IF(6&lt;Hipótesis!$D$89,Hipótesis!$D$87,Hipótesis!$D$88)*MAX(0,BN61)</f>
        <v>-8378.29146897306</v>
      </c>
      <c r="BO62" s="100" t="n">
        <f aca="false">-IF(6&lt;Hipótesis!$D$89,Hipótesis!$D$87,Hipótesis!$D$88)*MAX(0,BO61)</f>
        <v>-8379.68035786194</v>
      </c>
      <c r="BP62" s="100" t="n">
        <f aca="false">-IF(6&lt;Hipótesis!$D$89,Hipótesis!$D$87,Hipótesis!$D$88)*MAX(0,BP61)</f>
        <v>-8381.06924675083</v>
      </c>
      <c r="BQ62" s="100" t="n">
        <f aca="false">-IF(6&lt;Hipótesis!$D$89,Hipótesis!$D$87,Hipótesis!$D$88)*MAX(0,BQ61)</f>
        <v>-8382.45813563972</v>
      </c>
      <c r="BR62" s="100" t="n">
        <f aca="false">-IF(6&lt;Hipótesis!$D$89,Hipótesis!$D$87,Hipótesis!$D$88)*MAX(0,BR61)</f>
        <v>-8383.84702452861</v>
      </c>
      <c r="BS62" s="100" t="n">
        <f aca="false">-IF(6&lt;Hipótesis!$D$89,Hipótesis!$D$87,Hipótesis!$D$88)*MAX(0,BS61)</f>
        <v>-8385.2359134175</v>
      </c>
      <c r="BT62" s="100" t="n">
        <f aca="false">-IF(6&lt;Hipótesis!$D$89,Hipótesis!$D$87,Hipótesis!$D$88)*MAX(0,BT61)</f>
        <v>-8386.62480230639</v>
      </c>
      <c r="BU62" s="100" t="n">
        <f aca="false">-IF(6&lt;Hipótesis!$D$89,Hipótesis!$D$87,Hipótesis!$D$88)*MAX(0,BU61)</f>
        <v>-8388.01369119528</v>
      </c>
      <c r="BV62" s="100" t="n">
        <f aca="false">-IF(6&lt;Hipótesis!$D$89,Hipótesis!$D$87,Hipótesis!$D$88)*MAX(0,BV61)</f>
        <v>-8389.40258008417</v>
      </c>
      <c r="BW62" s="100" t="n">
        <f aca="false">-IF(7&lt;Hipótesis!$D$89,Hipótesis!$D$87,Hipótesis!$D$88)*MAX(0,BW61)</f>
        <v>-7784.22087662938</v>
      </c>
      <c r="BX62" s="100" t="n">
        <f aca="false">-IF(7&lt;Hipótesis!$D$89,Hipótesis!$D$87,Hipótesis!$D$88)*MAX(0,BX61)</f>
        <v>-7785.60976551827</v>
      </c>
      <c r="BY62" s="100" t="n">
        <f aca="false">-IF(7&lt;Hipótesis!$D$89,Hipótesis!$D$87,Hipótesis!$D$88)*MAX(0,BY61)</f>
        <v>-7786.99865440716</v>
      </c>
      <c r="BZ62" s="100" t="n">
        <f aca="false">-IF(7&lt;Hipótesis!$D$89,Hipótesis!$D$87,Hipótesis!$D$88)*MAX(0,BZ61)</f>
        <v>-7788.38754329605</v>
      </c>
      <c r="CA62" s="100" t="n">
        <f aca="false">-IF(7&lt;Hipótesis!$D$89,Hipótesis!$D$87,Hipótesis!$D$88)*MAX(0,CA61)</f>
        <v>-7789.77643218494</v>
      </c>
      <c r="CB62" s="100" t="n">
        <f aca="false">-IF(7&lt;Hipótesis!$D$89,Hipótesis!$D$87,Hipótesis!$D$88)*MAX(0,CB61)</f>
        <v>-7791.16532107383</v>
      </c>
      <c r="CC62" s="100" t="n">
        <f aca="false">-IF(7&lt;Hipótesis!$D$89,Hipótesis!$D$87,Hipótesis!$D$88)*MAX(0,CC61)</f>
        <v>-7792.55420996272</v>
      </c>
      <c r="CD62" s="100" t="n">
        <f aca="false">-IF(7&lt;Hipótesis!$D$89,Hipótesis!$D$87,Hipótesis!$D$88)*MAX(0,CD61)</f>
        <v>-7793.9430988516</v>
      </c>
      <c r="CE62" s="100" t="n">
        <f aca="false">-IF(7&lt;Hipótesis!$D$89,Hipótesis!$D$87,Hipótesis!$D$88)*MAX(0,CE61)</f>
        <v>-7795.33198774049</v>
      </c>
      <c r="CF62" s="100" t="n">
        <f aca="false">-IF(7&lt;Hipótesis!$D$89,Hipótesis!$D$87,Hipótesis!$D$88)*MAX(0,CF61)</f>
        <v>-7796.72087662938</v>
      </c>
      <c r="CG62" s="100" t="n">
        <f aca="false">-IF(7&lt;Hipótesis!$D$89,Hipótesis!$D$87,Hipótesis!$D$88)*MAX(0,CG61)</f>
        <v>-7798.10976551827</v>
      </c>
      <c r="CH62" s="100" t="n">
        <f aca="false">-IF(7&lt;Hipótesis!$D$89,Hipótesis!$D$87,Hipótesis!$D$88)*MAX(0,CH61)</f>
        <v>-7799.49865440716</v>
      </c>
    </row>
    <row r="63" customFormat="false" ht="13.5" hidden="false" customHeight="true" outlineLevel="0" collapsed="false">
      <c r="A63" s="22" t="s">
        <v>539</v>
      </c>
      <c r="C63" s="100" t="n">
        <f aca="false">C61+C62</f>
        <v>-16198.9527028963</v>
      </c>
      <c r="D63" s="100" t="n">
        <f aca="false">D61+D62</f>
        <v>-15169.6793080415</v>
      </c>
      <c r="E63" s="100" t="n">
        <f aca="false">E61+E62</f>
        <v>-13088.6589916518</v>
      </c>
      <c r="F63" s="100" t="n">
        <f aca="false">F61+F62</f>
        <v>-11968.662162842</v>
      </c>
      <c r="G63" s="100" t="n">
        <f aca="false">G61+G62</f>
        <v>-10916.9152413071</v>
      </c>
      <c r="H63" s="100" t="n">
        <f aca="false">H61+H62</f>
        <v>-9276.20391037247</v>
      </c>
      <c r="I63" s="100" t="n">
        <f aca="false">I61+I62</f>
        <v>-6213.67046043796</v>
      </c>
      <c r="J63" s="100" t="n">
        <f aca="false">J61+J62</f>
        <v>-3151.13701050346</v>
      </c>
      <c r="K63" s="100" t="n">
        <f aca="false">K61+K62</f>
        <v>-118.550894961092</v>
      </c>
      <c r="L63" s="100" t="n">
        <f aca="false">L61+L62</f>
        <v>2434.49792588334</v>
      </c>
      <c r="M63" s="100" t="n">
        <f aca="false">M61+M62</f>
        <v>4106.61406019401</v>
      </c>
      <c r="N63" s="100" t="n">
        <f aca="false">N61+N62</f>
        <v>6445.22629055344</v>
      </c>
      <c r="O63" s="100" t="n">
        <f aca="false">O61+O62</f>
        <v>4430.4166274227</v>
      </c>
      <c r="P63" s="100" t="n">
        <f aca="false">P61+P62</f>
        <v>4583.04872476865</v>
      </c>
      <c r="Q63" s="100" t="n">
        <f aca="false">Q61+Q62</f>
        <v>6661.0103821146</v>
      </c>
      <c r="R63" s="100" t="n">
        <f aca="false">R61+R62</f>
        <v>8738.97203946055</v>
      </c>
      <c r="S63" s="100" t="n">
        <f aca="false">S61+S62</f>
        <v>10816.9336968065</v>
      </c>
      <c r="T63" s="100" t="n">
        <f aca="false">T61+T62</f>
        <v>12894.8953541524</v>
      </c>
      <c r="U63" s="100" t="n">
        <f aca="false">U61+U62</f>
        <v>13047.5274514984</v>
      </c>
      <c r="V63" s="100" t="n">
        <f aca="false">V61+V62</f>
        <v>12860.3955088444</v>
      </c>
      <c r="W63" s="100" t="n">
        <f aca="false">W61+W62</f>
        <v>14938.3571661903</v>
      </c>
      <c r="X63" s="100" t="n">
        <f aca="false">X61+X62</f>
        <v>16361.256894495</v>
      </c>
      <c r="Y63" s="100" t="n">
        <f aca="false">Y61+Y62</f>
        <v>17784.1566227997</v>
      </c>
      <c r="Z63" s="100" t="n">
        <f aca="false">Z61+Z62</f>
        <v>18968.4223342378</v>
      </c>
      <c r="AA63" s="100" t="n">
        <f aca="false">AA61+AA62</f>
        <v>18251.922656076</v>
      </c>
      <c r="AB63" s="100" t="n">
        <f aca="false">AB61+AB62</f>
        <v>17457.8211429364</v>
      </c>
      <c r="AC63" s="100" t="n">
        <f aca="false">AC61+AC62</f>
        <v>18646.8090765967</v>
      </c>
      <c r="AD63" s="100" t="n">
        <f aca="false">AD61+AD62</f>
        <v>19835.7970102571</v>
      </c>
      <c r="AE63" s="100" t="n">
        <f aca="false">AE61+AE62</f>
        <v>21024.7849439175</v>
      </c>
      <c r="AF63" s="100" t="n">
        <f aca="false">AF61+AF62</f>
        <v>22213.7728775779</v>
      </c>
      <c r="AG63" s="100" t="n">
        <f aca="false">AG61+AG62</f>
        <v>23402.7608112382</v>
      </c>
      <c r="AH63" s="100" t="n">
        <f aca="false">AH61+AH62</f>
        <v>24591.7487448986</v>
      </c>
      <c r="AI63" s="100" t="n">
        <f aca="false">AI61+AI62</f>
        <v>25780.736678559</v>
      </c>
      <c r="AJ63" s="100" t="n">
        <f aca="false">AJ61+AJ62</f>
        <v>26969.7246122194</v>
      </c>
      <c r="AK63" s="100" t="n">
        <f aca="false">AK61+AK62</f>
        <v>28158.7125458798</v>
      </c>
      <c r="AL63" s="100" t="n">
        <f aca="false">AL61+AL62</f>
        <v>27364.6110327402</v>
      </c>
      <c r="AM63" s="100" t="n">
        <f aca="false">AM61+AM62</f>
        <v>23405.5636308569</v>
      </c>
      <c r="AN63" s="100" t="n">
        <f aca="false">AN61+AN62</f>
        <v>24454.6706311455</v>
      </c>
      <c r="AO63" s="100" t="n">
        <f aca="false">AO61+AO62</f>
        <v>25503.7776314341</v>
      </c>
      <c r="AP63" s="100" t="n">
        <f aca="false">AP61+AP62</f>
        <v>26552.8846317227</v>
      </c>
      <c r="AQ63" s="100" t="n">
        <f aca="false">AQ61+AQ62</f>
        <v>27601.9916320112</v>
      </c>
      <c r="AR63" s="100" t="n">
        <f aca="false">AR61+AR62</f>
        <v>28651.0986322998</v>
      </c>
      <c r="AS63" s="100" t="n">
        <f aca="false">AS61+AS62</f>
        <v>28655.2652989665</v>
      </c>
      <c r="AT63" s="100" t="n">
        <f aca="false">AT61+AT62</f>
        <v>28659.4319656331</v>
      </c>
      <c r="AU63" s="100" t="n">
        <f aca="false">AU61+AU62</f>
        <v>28663.5986322998</v>
      </c>
      <c r="AV63" s="100" t="n">
        <f aca="false">AV61+AV62</f>
        <v>28667.7652989665</v>
      </c>
      <c r="AW63" s="100" t="n">
        <f aca="false">AW61+AW62</f>
        <v>28671.9319656331</v>
      </c>
      <c r="AX63" s="100" t="n">
        <f aca="false">AX61+AX62</f>
        <v>28676.0986322998</v>
      </c>
      <c r="AY63" s="100" t="n">
        <f aca="false">AY61+AY62</f>
        <v>26881.4722486969</v>
      </c>
      <c r="AZ63" s="100" t="n">
        <f aca="false">AZ61+AZ62</f>
        <v>26885.6389153635</v>
      </c>
      <c r="BA63" s="100" t="n">
        <f aca="false">BA61+BA62</f>
        <v>26889.8055820302</v>
      </c>
      <c r="BB63" s="100" t="n">
        <f aca="false">BB61+BB62</f>
        <v>26893.9722486969</v>
      </c>
      <c r="BC63" s="100" t="n">
        <f aca="false">BC61+BC62</f>
        <v>26898.1389153635</v>
      </c>
      <c r="BD63" s="100" t="n">
        <f aca="false">BD61+BD62</f>
        <v>26902.3055820302</v>
      </c>
      <c r="BE63" s="100" t="n">
        <f aca="false">BE61+BE62</f>
        <v>26906.4722486969</v>
      </c>
      <c r="BF63" s="100" t="n">
        <f aca="false">BF61+BF62</f>
        <v>26910.6389153635</v>
      </c>
      <c r="BG63" s="100" t="n">
        <f aca="false">BG61+BG62</f>
        <v>26914.8055820302</v>
      </c>
      <c r="BH63" s="100" t="n">
        <f aca="false">BH61+BH62</f>
        <v>26918.9722486969</v>
      </c>
      <c r="BI63" s="100" t="n">
        <f aca="false">BI61+BI62</f>
        <v>26923.1389153635</v>
      </c>
      <c r="BJ63" s="100" t="n">
        <f aca="false">BJ61+BJ62</f>
        <v>26927.3055820302</v>
      </c>
      <c r="BK63" s="100" t="n">
        <f aca="false">BK61+BK62</f>
        <v>25122.3744069192</v>
      </c>
      <c r="BL63" s="100" t="n">
        <f aca="false">BL61+BL62</f>
        <v>25126.5410735858</v>
      </c>
      <c r="BM63" s="100" t="n">
        <f aca="false">BM61+BM62</f>
        <v>25130.7077402525</v>
      </c>
      <c r="BN63" s="100" t="n">
        <f aca="false">BN61+BN62</f>
        <v>25134.8744069192</v>
      </c>
      <c r="BO63" s="100" t="n">
        <f aca="false">BO61+BO62</f>
        <v>25139.0410735858</v>
      </c>
      <c r="BP63" s="100" t="n">
        <f aca="false">BP61+BP62</f>
        <v>25143.2077402525</v>
      </c>
      <c r="BQ63" s="100" t="n">
        <f aca="false">BQ61+BQ62</f>
        <v>25147.3744069192</v>
      </c>
      <c r="BR63" s="100" t="n">
        <f aca="false">BR61+BR62</f>
        <v>25151.5410735858</v>
      </c>
      <c r="BS63" s="100" t="n">
        <f aca="false">BS61+BS62</f>
        <v>25155.7077402525</v>
      </c>
      <c r="BT63" s="100" t="n">
        <f aca="false">BT61+BT62</f>
        <v>25159.8744069192</v>
      </c>
      <c r="BU63" s="100" t="n">
        <f aca="false">BU61+BU62</f>
        <v>25164.0410735858</v>
      </c>
      <c r="BV63" s="100" t="n">
        <f aca="false">BV61+BV62</f>
        <v>25168.2077402525</v>
      </c>
      <c r="BW63" s="100" t="n">
        <f aca="false">BW61+BW62</f>
        <v>23352.6626298881</v>
      </c>
      <c r="BX63" s="100" t="n">
        <f aca="false">BX61+BX62</f>
        <v>23356.8292965548</v>
      </c>
      <c r="BY63" s="100" t="n">
        <f aca="false">BY61+BY62</f>
        <v>23360.9959632215</v>
      </c>
      <c r="BZ63" s="100" t="n">
        <f aca="false">BZ61+BZ62</f>
        <v>23365.1626298881</v>
      </c>
      <c r="CA63" s="100" t="n">
        <f aca="false">CA61+CA62</f>
        <v>23369.3292965548</v>
      </c>
      <c r="CB63" s="100" t="n">
        <f aca="false">CB61+CB62</f>
        <v>23373.4959632215</v>
      </c>
      <c r="CC63" s="100" t="n">
        <f aca="false">CC61+CC62</f>
        <v>23377.6626298881</v>
      </c>
      <c r="CD63" s="100" t="n">
        <f aca="false">CD61+CD62</f>
        <v>23381.8292965548</v>
      </c>
      <c r="CE63" s="100" t="n">
        <f aca="false">CE61+CE62</f>
        <v>23385.9959632215</v>
      </c>
      <c r="CF63" s="100" t="n">
        <f aca="false">CF61+CF62</f>
        <v>23390.1626298881</v>
      </c>
      <c r="CG63" s="100" t="n">
        <f aca="false">CG61+CG62</f>
        <v>23394.3292965548</v>
      </c>
      <c r="CH63" s="100" t="n">
        <f aca="false">CH61+CH62</f>
        <v>23398.4959632215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9" t="s">
        <v>540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customFormat="false" ht="13.5" hidden="false" customHeight="true" outlineLevel="0" collapsed="false">
      <c r="A66" s="6" t="s">
        <v>533</v>
      </c>
      <c r="C66" s="100" t="n">
        <f aca="false">C56</f>
        <v>-14686.9039336701</v>
      </c>
      <c r="D66" s="100" t="n">
        <f aca="false">D56</f>
        <v>-13653.2408450653</v>
      </c>
      <c r="E66" s="100" t="n">
        <f aca="false">E56</f>
        <v>-11563.0575935193</v>
      </c>
      <c r="F66" s="100" t="n">
        <f aca="false">F56</f>
        <v>-10437.9704083033</v>
      </c>
      <c r="G66" s="100" t="n">
        <f aca="false">G56</f>
        <v>-9381.45024536213</v>
      </c>
      <c r="H66" s="100" t="n">
        <f aca="false">H56</f>
        <v>-7733.05878552128</v>
      </c>
      <c r="I66" s="100" t="n">
        <f aca="false">I56</f>
        <v>-4656.25028381178</v>
      </c>
      <c r="J66" s="100" t="n">
        <f aca="false">J56</f>
        <v>-1579.44178210229</v>
      </c>
      <c r="K66" s="100" t="n">
        <f aca="false">K56</f>
        <v>1497.36671960721</v>
      </c>
      <c r="L66" s="100" t="n">
        <f aca="false">L56</f>
        <v>4574.17522131671</v>
      </c>
      <c r="M66" s="100" t="n">
        <f aca="false">M56</f>
        <v>6594.46356008505</v>
      </c>
      <c r="N66" s="100" t="n">
        <f aca="false">N56</f>
        <v>9405.18560343476</v>
      </c>
      <c r="O66" s="100" t="n">
        <f aca="false">O56</f>
        <v>6988.70764678448</v>
      </c>
      <c r="P66" s="100" t="n">
        <f aca="false">P56</f>
        <v>7184.22387506705</v>
      </c>
      <c r="Q66" s="100" t="n">
        <f aca="false">Q56</f>
        <v>9691.06010334961</v>
      </c>
      <c r="R66" s="100" t="n">
        <f aca="false">R56</f>
        <v>12197.8963316322</v>
      </c>
      <c r="S66" s="100" t="n">
        <f aca="false">S56</f>
        <v>14704.7325599147</v>
      </c>
      <c r="T66" s="100" t="n">
        <f aca="false">T56</f>
        <v>17211.5687881973</v>
      </c>
      <c r="U66" s="100" t="n">
        <f aca="false">U56</f>
        <v>17407.0850164799</v>
      </c>
      <c r="V66" s="100" t="n">
        <f aca="false">V56</f>
        <v>17194.7212447625</v>
      </c>
      <c r="W66" s="100" t="n">
        <f aca="false">W56</f>
        <v>19701.557473045</v>
      </c>
      <c r="X66" s="100" t="n">
        <f aca="false">X56</f>
        <v>21417.9599967462</v>
      </c>
      <c r="Y66" s="100" t="n">
        <f aca="false">Y56</f>
        <v>23134.3625204474</v>
      </c>
      <c r="Z66" s="100" t="n">
        <f aca="false">Z56</f>
        <v>24562.7795623161</v>
      </c>
      <c r="AA66" s="100" t="n">
        <f aca="false">AA56</f>
        <v>23709.3654041847</v>
      </c>
      <c r="AB66" s="100" t="n">
        <f aca="false">AB56</f>
        <v>22757.1228460534</v>
      </c>
      <c r="AC66" s="100" t="n">
        <f aca="false">AC56</f>
        <v>24185.5398879221</v>
      </c>
      <c r="AD66" s="100" t="n">
        <f aca="false">AD56</f>
        <v>25613.9569297907</v>
      </c>
      <c r="AE66" s="100" t="n">
        <f aca="false">AE56</f>
        <v>27042.3739716593</v>
      </c>
      <c r="AF66" s="100" t="n">
        <f aca="false">AF56</f>
        <v>28470.791013528</v>
      </c>
      <c r="AG66" s="100" t="n">
        <f aca="false">AG56</f>
        <v>29899.2080553967</v>
      </c>
      <c r="AH66" s="100" t="n">
        <f aca="false">AH56</f>
        <v>31327.6250972653</v>
      </c>
      <c r="AI66" s="100" t="n">
        <f aca="false">AI56</f>
        <v>32756.042139134</v>
      </c>
      <c r="AJ66" s="100" t="n">
        <f aca="false">AJ56</f>
        <v>34184.4591810026</v>
      </c>
      <c r="AK66" s="100" t="n">
        <f aca="false">AK56</f>
        <v>35612.8762228713</v>
      </c>
      <c r="AL66" s="100" t="n">
        <f aca="false">AL56</f>
        <v>34660.6336647399</v>
      </c>
      <c r="AM66" s="100" t="n">
        <f aca="false">AM56</f>
        <v>33655.3249946086</v>
      </c>
      <c r="AN66" s="100" t="n">
        <f aca="false">AN56</f>
        <v>35083.7420364772</v>
      </c>
      <c r="AO66" s="100" t="n">
        <f aca="false">AO56</f>
        <v>36512.1590783459</v>
      </c>
      <c r="AP66" s="100" t="n">
        <f aca="false">AP56</f>
        <v>37940.5761202145</v>
      </c>
      <c r="AQ66" s="100" t="n">
        <f aca="false">AQ56</f>
        <v>39368.9931620832</v>
      </c>
      <c r="AR66" s="100" t="n">
        <f aca="false">AR56</f>
        <v>40797.4102039518</v>
      </c>
      <c r="AS66" s="100" t="n">
        <f aca="false">AS56</f>
        <v>40797.4102039518</v>
      </c>
      <c r="AT66" s="100" t="n">
        <f aca="false">AT56</f>
        <v>40797.4102039518</v>
      </c>
      <c r="AU66" s="100" t="n">
        <f aca="false">AU56</f>
        <v>40797.4102039518</v>
      </c>
      <c r="AV66" s="100" t="n">
        <f aca="false">AV56</f>
        <v>40797.4102039518</v>
      </c>
      <c r="AW66" s="100" t="n">
        <f aca="false">AW56</f>
        <v>40797.4102039518</v>
      </c>
      <c r="AX66" s="100" t="n">
        <f aca="false">AX56</f>
        <v>40797.4102039518</v>
      </c>
      <c r="AY66" s="100" t="n">
        <f aca="false">AY56</f>
        <v>38350.0727205918</v>
      </c>
      <c r="AZ66" s="100" t="n">
        <f aca="false">AZ56</f>
        <v>38350.0727205918</v>
      </c>
      <c r="BA66" s="100" t="n">
        <f aca="false">BA56</f>
        <v>38350.0727205918</v>
      </c>
      <c r="BB66" s="100" t="n">
        <f aca="false">BB56</f>
        <v>38350.0727205918</v>
      </c>
      <c r="BC66" s="100" t="n">
        <f aca="false">BC56</f>
        <v>38350.0727205918</v>
      </c>
      <c r="BD66" s="100" t="n">
        <f aca="false">BD56</f>
        <v>38350.0727205918</v>
      </c>
      <c r="BE66" s="100" t="n">
        <f aca="false">BE56</f>
        <v>38350.0727205918</v>
      </c>
      <c r="BF66" s="100" t="n">
        <f aca="false">BF56</f>
        <v>38350.0727205918</v>
      </c>
      <c r="BG66" s="100" t="n">
        <f aca="false">BG56</f>
        <v>38350.0727205918</v>
      </c>
      <c r="BH66" s="100" t="n">
        <f aca="false">BH56</f>
        <v>38350.0727205918</v>
      </c>
      <c r="BI66" s="100" t="n">
        <f aca="false">BI56</f>
        <v>38350.0727205918</v>
      </c>
      <c r="BJ66" s="100" t="n">
        <f aca="false">BJ56</f>
        <v>38350.0727205918</v>
      </c>
      <c r="BK66" s="100" t="n">
        <f aca="false">BK56</f>
        <v>35888.715112731</v>
      </c>
      <c r="BL66" s="100" t="n">
        <f aca="false">BL56</f>
        <v>35888.715112731</v>
      </c>
      <c r="BM66" s="100" t="n">
        <f aca="false">BM56</f>
        <v>35888.715112731</v>
      </c>
      <c r="BN66" s="100" t="n">
        <f aca="false">BN56</f>
        <v>35888.715112731</v>
      </c>
      <c r="BO66" s="100" t="n">
        <f aca="false">BO56</f>
        <v>35888.715112731</v>
      </c>
      <c r="BP66" s="100" t="n">
        <f aca="false">BP56</f>
        <v>35888.715112731</v>
      </c>
      <c r="BQ66" s="100" t="n">
        <f aca="false">BQ56</f>
        <v>35888.715112731</v>
      </c>
      <c r="BR66" s="100" t="n">
        <f aca="false">BR56</f>
        <v>35888.715112731</v>
      </c>
      <c r="BS66" s="100" t="n">
        <f aca="false">BS56</f>
        <v>35888.715112731</v>
      </c>
      <c r="BT66" s="100" t="n">
        <f aca="false">BT56</f>
        <v>35888.715112731</v>
      </c>
      <c r="BU66" s="100" t="n">
        <f aca="false">BU56</f>
        <v>35888.715112731</v>
      </c>
      <c r="BV66" s="100" t="n">
        <f aca="false">BV56</f>
        <v>35888.715112731</v>
      </c>
      <c r="BW66" s="100" t="n">
        <f aca="false">BW56</f>
        <v>33412.9167766344</v>
      </c>
      <c r="BX66" s="100" t="n">
        <f aca="false">BX56</f>
        <v>33412.9167766344</v>
      </c>
      <c r="BY66" s="100" t="n">
        <f aca="false">BY56</f>
        <v>33412.9167766344</v>
      </c>
      <c r="BZ66" s="100" t="n">
        <f aca="false">BZ56</f>
        <v>33412.9167766344</v>
      </c>
      <c r="CA66" s="100" t="n">
        <f aca="false">CA56</f>
        <v>33412.9167766344</v>
      </c>
      <c r="CB66" s="100" t="n">
        <f aca="false">CB56</f>
        <v>33412.9167766344</v>
      </c>
      <c r="CC66" s="100" t="n">
        <f aca="false">CC56</f>
        <v>33412.9167766344</v>
      </c>
      <c r="CD66" s="100" t="n">
        <f aca="false">CD56</f>
        <v>33412.9167766344</v>
      </c>
      <c r="CE66" s="100" t="n">
        <f aca="false">CE56</f>
        <v>33412.9167766344</v>
      </c>
      <c r="CF66" s="100" t="n">
        <f aca="false">CF56</f>
        <v>33412.9167766344</v>
      </c>
      <c r="CG66" s="100" t="n">
        <f aca="false">CG56</f>
        <v>33412.9167766344</v>
      </c>
      <c r="CH66" s="100" t="n">
        <f aca="false">CH56</f>
        <v>33412.9167766344</v>
      </c>
    </row>
    <row r="67" customFormat="false" ht="13.5" hidden="false" customHeight="true" outlineLevel="0" collapsed="false">
      <c r="A67" s="6" t="s">
        <v>541</v>
      </c>
      <c r="C67" s="100" t="n">
        <f aca="false">C62</f>
        <v>-0</v>
      </c>
      <c r="D67" s="100" t="n">
        <f aca="false">D62</f>
        <v>-0</v>
      </c>
      <c r="E67" s="100" t="n">
        <f aca="false">E62</f>
        <v>-0</v>
      </c>
      <c r="F67" s="100" t="n">
        <f aca="false">F62</f>
        <v>-0</v>
      </c>
      <c r="G67" s="100" t="n">
        <f aca="false">G62</f>
        <v>-0</v>
      </c>
      <c r="H67" s="100" t="n">
        <f aca="false">H62</f>
        <v>-0</v>
      </c>
      <c r="I67" s="100" t="n">
        <f aca="false">I62</f>
        <v>-0</v>
      </c>
      <c r="J67" s="100" t="n">
        <f aca="false">J62</f>
        <v>-0</v>
      </c>
      <c r="K67" s="100" t="n">
        <f aca="false">K62</f>
        <v>-0</v>
      </c>
      <c r="L67" s="100" t="n">
        <f aca="false">L62</f>
        <v>-429.617281038237</v>
      </c>
      <c r="M67" s="100" t="n">
        <f aca="false">M62</f>
        <v>-724.696598857767</v>
      </c>
      <c r="N67" s="100" t="n">
        <f aca="false">N62</f>
        <v>-1137.39287480355</v>
      </c>
      <c r="O67" s="100" t="n">
        <f aca="false">O62</f>
        <v>-781.838228368712</v>
      </c>
      <c r="P67" s="100" t="n">
        <f aca="false">P62</f>
        <v>-808.773304370939</v>
      </c>
      <c r="Q67" s="100" t="n">
        <f aca="false">Q62</f>
        <v>-1175.47242037316</v>
      </c>
      <c r="R67" s="100" t="n">
        <f aca="false">R62</f>
        <v>-1542.17153637539</v>
      </c>
      <c r="S67" s="100" t="n">
        <f aca="false">S62</f>
        <v>-1908.87065237762</v>
      </c>
      <c r="T67" s="100" t="n">
        <f aca="false">T62</f>
        <v>-2275.56976837984</v>
      </c>
      <c r="U67" s="100" t="n">
        <f aca="false">U62</f>
        <v>-2302.50484438207</v>
      </c>
      <c r="V67" s="100" t="n">
        <f aca="false">V62</f>
        <v>-2269.4815603843</v>
      </c>
      <c r="W67" s="100" t="n">
        <f aca="false">W62</f>
        <v>-2636.18067638652</v>
      </c>
      <c r="X67" s="100" t="n">
        <f aca="false">X62</f>
        <v>-2887.28062844029</v>
      </c>
      <c r="Y67" s="100" t="n">
        <f aca="false">Y62</f>
        <v>-3138.38058049406</v>
      </c>
      <c r="Z67" s="100" t="n">
        <f aca="false">Z62</f>
        <v>-3347.36864721844</v>
      </c>
      <c r="AA67" s="100" t="n">
        <f aca="false">AA62</f>
        <v>-3220.92752754282</v>
      </c>
      <c r="AB67" s="100" t="n">
        <f aca="false">AB62</f>
        <v>-3080.79196640053</v>
      </c>
      <c r="AC67" s="100" t="n">
        <f aca="false">AC62</f>
        <v>-3290.61336645825</v>
      </c>
      <c r="AD67" s="100" t="n">
        <f aca="false">AD62</f>
        <v>-3500.43476651596</v>
      </c>
      <c r="AE67" s="100" t="n">
        <f aca="false">AE62</f>
        <v>-3710.25616657367</v>
      </c>
      <c r="AF67" s="100" t="n">
        <f aca="false">AF62</f>
        <v>-3920.07756663139</v>
      </c>
      <c r="AG67" s="100" t="n">
        <f aca="false">AG62</f>
        <v>-4129.8989666891</v>
      </c>
      <c r="AH67" s="100" t="n">
        <f aca="false">AH62</f>
        <v>-4339.72036674682</v>
      </c>
      <c r="AI67" s="100" t="n">
        <f aca="false">AI62</f>
        <v>-4549.54176680453</v>
      </c>
      <c r="AJ67" s="100" t="n">
        <f aca="false">AJ62</f>
        <v>-4759.36316686225</v>
      </c>
      <c r="AK67" s="100" t="n">
        <f aca="false">AK62</f>
        <v>-4969.18456691996</v>
      </c>
      <c r="AL67" s="100" t="n">
        <f aca="false">AL62</f>
        <v>-4829.04900577767</v>
      </c>
      <c r="AM67" s="100" t="n">
        <f aca="false">AM62</f>
        <v>-7801.85454361898</v>
      </c>
      <c r="AN67" s="100" t="n">
        <f aca="false">AN62</f>
        <v>-8151.5568770485</v>
      </c>
      <c r="AO67" s="100" t="n">
        <f aca="false">AO62</f>
        <v>-8501.25921047803</v>
      </c>
      <c r="AP67" s="100" t="n">
        <f aca="false">AP62</f>
        <v>-8850.96154390756</v>
      </c>
      <c r="AQ67" s="100" t="n">
        <f aca="false">AQ62</f>
        <v>-9200.66387733707</v>
      </c>
      <c r="AR67" s="100" t="n">
        <f aca="false">AR62</f>
        <v>-9550.3662107666</v>
      </c>
      <c r="AS67" s="100" t="n">
        <f aca="false">AS62</f>
        <v>-9551.75509965549</v>
      </c>
      <c r="AT67" s="100" t="n">
        <f aca="false">AT62</f>
        <v>-9553.14398854437</v>
      </c>
      <c r="AU67" s="100" t="n">
        <f aca="false">AU62</f>
        <v>-9554.53287743326</v>
      </c>
      <c r="AV67" s="100" t="n">
        <f aca="false">AV62</f>
        <v>-9555.92176632215</v>
      </c>
      <c r="AW67" s="100" t="n">
        <f aca="false">AW62</f>
        <v>-9557.31065521104</v>
      </c>
      <c r="AX67" s="100" t="n">
        <f aca="false">AX62</f>
        <v>-9558.69954409993</v>
      </c>
      <c r="AY67" s="100" t="n">
        <f aca="false">AY62</f>
        <v>-8960.49074956562</v>
      </c>
      <c r="AZ67" s="100" t="n">
        <f aca="false">AZ62</f>
        <v>-8961.87963845451</v>
      </c>
      <c r="BA67" s="100" t="n">
        <f aca="false">BA62</f>
        <v>-8963.2685273434</v>
      </c>
      <c r="BB67" s="100" t="n">
        <f aca="false">BB62</f>
        <v>-8964.65741623229</v>
      </c>
      <c r="BC67" s="100" t="n">
        <f aca="false">BC62</f>
        <v>-8966.04630512117</v>
      </c>
      <c r="BD67" s="100" t="n">
        <f aca="false">BD62</f>
        <v>-8967.43519401006</v>
      </c>
      <c r="BE67" s="100" t="n">
        <f aca="false">BE62</f>
        <v>-8968.82408289895</v>
      </c>
      <c r="BF67" s="100" t="n">
        <f aca="false">BF62</f>
        <v>-8970.21297178784</v>
      </c>
      <c r="BG67" s="100" t="n">
        <f aca="false">BG62</f>
        <v>-8971.60186067673</v>
      </c>
      <c r="BH67" s="100" t="n">
        <f aca="false">BH62</f>
        <v>-8972.99074956562</v>
      </c>
      <c r="BI67" s="100" t="n">
        <f aca="false">BI62</f>
        <v>-8974.37963845451</v>
      </c>
      <c r="BJ67" s="100" t="n">
        <f aca="false">BJ62</f>
        <v>-8975.7685273434</v>
      </c>
      <c r="BK67" s="100" t="n">
        <f aca="false">BK62</f>
        <v>-8374.12480230639</v>
      </c>
      <c r="BL67" s="100" t="n">
        <f aca="false">BL62</f>
        <v>-8375.51369119528</v>
      </c>
      <c r="BM67" s="100" t="n">
        <f aca="false">BM62</f>
        <v>-8376.90258008417</v>
      </c>
      <c r="BN67" s="100" t="n">
        <f aca="false">BN62</f>
        <v>-8378.29146897306</v>
      </c>
      <c r="BO67" s="100" t="n">
        <f aca="false">BO62</f>
        <v>-8379.68035786194</v>
      </c>
      <c r="BP67" s="100" t="n">
        <f aca="false">BP62</f>
        <v>-8381.06924675083</v>
      </c>
      <c r="BQ67" s="100" t="n">
        <f aca="false">BQ62</f>
        <v>-8382.45813563972</v>
      </c>
      <c r="BR67" s="100" t="n">
        <f aca="false">BR62</f>
        <v>-8383.84702452861</v>
      </c>
      <c r="BS67" s="100" t="n">
        <f aca="false">BS62</f>
        <v>-8385.2359134175</v>
      </c>
      <c r="BT67" s="100" t="n">
        <f aca="false">BT62</f>
        <v>-8386.62480230639</v>
      </c>
      <c r="BU67" s="100" t="n">
        <f aca="false">BU62</f>
        <v>-8388.01369119528</v>
      </c>
      <c r="BV67" s="100" t="n">
        <f aca="false">BV62</f>
        <v>-8389.40258008417</v>
      </c>
      <c r="BW67" s="100" t="n">
        <f aca="false">BW62</f>
        <v>-7784.22087662938</v>
      </c>
      <c r="BX67" s="100" t="n">
        <f aca="false">BX62</f>
        <v>-7785.60976551827</v>
      </c>
      <c r="BY67" s="100" t="n">
        <f aca="false">BY62</f>
        <v>-7786.99865440716</v>
      </c>
      <c r="BZ67" s="100" t="n">
        <f aca="false">BZ62</f>
        <v>-7788.38754329605</v>
      </c>
      <c r="CA67" s="100" t="n">
        <f aca="false">CA62</f>
        <v>-7789.77643218494</v>
      </c>
      <c r="CB67" s="100" t="n">
        <f aca="false">CB62</f>
        <v>-7791.16532107383</v>
      </c>
      <c r="CC67" s="100" t="n">
        <f aca="false">CC62</f>
        <v>-7792.55420996272</v>
      </c>
      <c r="CD67" s="100" t="n">
        <f aca="false">CD62</f>
        <v>-7793.9430988516</v>
      </c>
      <c r="CE67" s="100" t="n">
        <f aca="false">CE62</f>
        <v>-7795.33198774049</v>
      </c>
      <c r="CF67" s="100" t="n">
        <f aca="false">CF62</f>
        <v>-7796.72087662938</v>
      </c>
      <c r="CG67" s="100" t="n">
        <f aca="false">CG62</f>
        <v>-7798.10976551827</v>
      </c>
      <c r="CH67" s="100" t="n">
        <f aca="false">CH62</f>
        <v>-7799.49865440716</v>
      </c>
    </row>
    <row r="68" customFormat="false" ht="13.5" hidden="false" customHeight="true" outlineLevel="0" collapsed="false">
      <c r="A68" s="6" t="s">
        <v>542</v>
      </c>
      <c r="C68" s="101" t="n">
        <f aca="false">C38*Hipótesis!$D$66/30</f>
        <v>1086.021</v>
      </c>
      <c r="D68" s="101" t="n">
        <f aca="false">D38*Hipótesis!$D$66/30</f>
        <v>2256.606</v>
      </c>
      <c r="E68" s="101" t="n">
        <f aca="false">E38*Hipótesis!$D$66/30</f>
        <v>4700.055375</v>
      </c>
      <c r="F68" s="101" t="n">
        <f aca="false">F38*Hipótesis!$D$66/30</f>
        <v>6057.48375</v>
      </c>
      <c r="G68" s="101" t="n">
        <f aca="false">G38*Hipótesis!$D$66/30</f>
        <v>7330.348125</v>
      </c>
      <c r="H68" s="101" t="n">
        <f aca="false">H38*Hipótesis!$D$66/30</f>
        <v>9378.3825</v>
      </c>
      <c r="I68" s="101" t="n">
        <f aca="false">I38*Hipótesis!$D$66/30</f>
        <v>13185.0629733308</v>
      </c>
      <c r="J68" s="101" t="n">
        <f aca="false">J38*Hipótesis!$D$66/30</f>
        <v>16991.7434466616</v>
      </c>
      <c r="K68" s="101" t="n">
        <f aca="false">K38*Hipótesis!$D$66/30</f>
        <v>20798.4239199924</v>
      </c>
      <c r="L68" s="101" t="n">
        <f aca="false">L38*Hipótesis!$D$66/30</f>
        <v>24605.1043933232</v>
      </c>
      <c r="M68" s="101" t="n">
        <f aca="false">M38*Hipótesis!$D$66/30</f>
        <v>27138.9204916541</v>
      </c>
      <c r="N68" s="101" t="n">
        <f aca="false">N38*Hipótesis!$D$66/30</f>
        <v>30729.7865899849</v>
      </c>
      <c r="O68" s="101" t="n">
        <f aca="false">O38*Hipótesis!$D$66/30</f>
        <v>34320.6526883157</v>
      </c>
      <c r="P68" s="101" t="n">
        <f aca="false">P38*Hipótesis!$D$66/30</f>
        <v>37530.9807866465</v>
      </c>
      <c r="Q68" s="101" t="n">
        <f aca="false">Q38*Hipótesis!$D$66/30</f>
        <v>40741.3088849773</v>
      </c>
      <c r="R68" s="101" t="n">
        <f aca="false">R38*Hipótesis!$D$66/30</f>
        <v>43951.6369833081</v>
      </c>
      <c r="S68" s="101" t="n">
        <f aca="false">S38*Hipótesis!$D$66/30</f>
        <v>47161.9650816389</v>
      </c>
      <c r="T68" s="101" t="n">
        <f aca="false">T38*Hipótesis!$D$66/30</f>
        <v>50372.2931799697</v>
      </c>
      <c r="U68" s="101" t="n">
        <f aca="false">U38*Hipótesis!$D$66/30</f>
        <v>53582.6212783005</v>
      </c>
      <c r="V68" s="101" t="n">
        <f aca="false">V38*Hipótesis!$D$66/30</f>
        <v>56792.9493766314</v>
      </c>
      <c r="W68" s="101" t="n">
        <f aca="false">W38*Hipótesis!$D$66/30</f>
        <v>60003.2774749622</v>
      </c>
      <c r="X68" s="101" t="n">
        <f aca="false">X38*Hipótesis!$D$66/30</f>
        <v>62156.555573293</v>
      </c>
      <c r="Y68" s="101" t="n">
        <f aca="false">Y38*Hipótesis!$D$66/30</f>
        <v>64309.8336716238</v>
      </c>
      <c r="Z68" s="101" t="n">
        <f aca="false">Z38*Hipótesis!$D$66/30</f>
        <v>66068.4797699546</v>
      </c>
      <c r="AA68" s="101" t="n">
        <f aca="false">AA38*Hipótesis!$D$66/30</f>
        <v>67827.1258682854</v>
      </c>
      <c r="AB68" s="101" t="n">
        <f aca="false">AB38*Hipótesis!$D$66/30</f>
        <v>69585.7719666162</v>
      </c>
      <c r="AC68" s="101" t="n">
        <f aca="false">AC38*Hipótesis!$D$66/30</f>
        <v>71344.418064947</v>
      </c>
      <c r="AD68" s="101" t="n">
        <f aca="false">AD38*Hipótesis!$D$66/30</f>
        <v>73103.0641632778</v>
      </c>
      <c r="AE68" s="101" t="n">
        <f aca="false">AE38*Hipótesis!$D$66/30</f>
        <v>74861.7102616087</v>
      </c>
      <c r="AF68" s="101" t="n">
        <f aca="false">AF38*Hipótesis!$D$66/30</f>
        <v>76620.3563599395</v>
      </c>
      <c r="AG68" s="101" t="n">
        <f aca="false">AG38*Hipótesis!$D$66/30</f>
        <v>78379.0024582703</v>
      </c>
      <c r="AH68" s="101" t="n">
        <f aca="false">AH38*Hipótesis!$D$66/30</f>
        <v>80137.6485566011</v>
      </c>
      <c r="AI68" s="101" t="n">
        <f aca="false">AI38*Hipótesis!$D$66/30</f>
        <v>81896.2946549319</v>
      </c>
      <c r="AJ68" s="101" t="n">
        <f aca="false">AJ38*Hipótesis!$D$66/30</f>
        <v>83654.9407532627</v>
      </c>
      <c r="AK68" s="101" t="n">
        <f aca="false">AK38*Hipótesis!$D$66/30</f>
        <v>85413.5868515935</v>
      </c>
      <c r="AL68" s="101" t="n">
        <f aca="false">AL38*Hipótesis!$D$66/30</f>
        <v>87172.2329499243</v>
      </c>
      <c r="AM68" s="101" t="n">
        <f aca="false">AM38*Hipótesis!$D$66/30</f>
        <v>88930.8790482551</v>
      </c>
      <c r="AN68" s="101" t="n">
        <f aca="false">AN38*Hipótesis!$D$66/30</f>
        <v>90689.525146586</v>
      </c>
      <c r="AO68" s="101" t="n">
        <f aca="false">AO38*Hipótesis!$D$66/30</f>
        <v>92448.1712449168</v>
      </c>
      <c r="AP68" s="101" t="n">
        <f aca="false">AP38*Hipótesis!$D$66/30</f>
        <v>94206.8173432476</v>
      </c>
      <c r="AQ68" s="101" t="n">
        <f aca="false">AQ38*Hipótesis!$D$66/30</f>
        <v>95965.4634415784</v>
      </c>
      <c r="AR68" s="101" t="n">
        <f aca="false">AR38*Hipótesis!$D$66/30</f>
        <v>97724.1095399092</v>
      </c>
      <c r="AS68" s="101" t="n">
        <f aca="false">AS38*Hipótesis!$D$66/30</f>
        <v>97724.1095399092</v>
      </c>
      <c r="AT68" s="101" t="n">
        <f aca="false">AT38*Hipótesis!$D$66/30</f>
        <v>97724.1095399092</v>
      </c>
      <c r="AU68" s="101" t="n">
        <f aca="false">AU38*Hipótesis!$D$66/30</f>
        <v>97724.1095399092</v>
      </c>
      <c r="AV68" s="101" t="n">
        <f aca="false">AV38*Hipótesis!$D$66/30</f>
        <v>97724.1095399092</v>
      </c>
      <c r="AW68" s="101" t="n">
        <f aca="false">AW38*Hipótesis!$D$66/30</f>
        <v>97724.1095399092</v>
      </c>
      <c r="AX68" s="101" t="n">
        <f aca="false">AX38*Hipótesis!$D$66/30</f>
        <v>97724.1095399092</v>
      </c>
      <c r="AY68" s="101" t="n">
        <f aca="false">AY38*Hipótesis!$D$66/30</f>
        <v>97724.1095399092</v>
      </c>
      <c r="AZ68" s="101" t="n">
        <f aca="false">AZ38*Hipótesis!$D$66/30</f>
        <v>97724.1095399092</v>
      </c>
      <c r="BA68" s="101" t="n">
        <f aca="false">BA38*Hipótesis!$D$66/30</f>
        <v>97724.1095399092</v>
      </c>
      <c r="BB68" s="101" t="n">
        <f aca="false">BB38*Hipótesis!$D$66/30</f>
        <v>97724.1095399092</v>
      </c>
      <c r="BC68" s="101" t="n">
        <f aca="false">BC38*Hipótesis!$D$66/30</f>
        <v>97724.1095399092</v>
      </c>
      <c r="BD68" s="101" t="n">
        <f aca="false">BD38*Hipótesis!$D$66/30</f>
        <v>97724.1095399092</v>
      </c>
      <c r="BE68" s="101" t="n">
        <f aca="false">BE38*Hipótesis!$D$66/30</f>
        <v>97724.1095399092</v>
      </c>
      <c r="BF68" s="101" t="n">
        <f aca="false">BF38*Hipótesis!$D$66/30</f>
        <v>97724.1095399092</v>
      </c>
      <c r="BG68" s="101" t="n">
        <f aca="false">BG38*Hipótesis!$D$66/30</f>
        <v>97724.1095399092</v>
      </c>
      <c r="BH68" s="101" t="n">
        <f aca="false">BH38*Hipótesis!$D$66/30</f>
        <v>97724.1095399092</v>
      </c>
      <c r="BI68" s="101" t="n">
        <f aca="false">BI38*Hipótesis!$D$66/30</f>
        <v>97724.1095399092</v>
      </c>
      <c r="BJ68" s="101" t="n">
        <f aca="false">BJ38*Hipótesis!$D$66/30</f>
        <v>97724.1095399092</v>
      </c>
      <c r="BK68" s="101" t="n">
        <f aca="false">BK38*Hipótesis!$D$66/30</f>
        <v>97724.1095399092</v>
      </c>
      <c r="BL68" s="101" t="n">
        <f aca="false">BL38*Hipótesis!$D$66/30</f>
        <v>97724.1095399092</v>
      </c>
      <c r="BM68" s="101" t="n">
        <f aca="false">BM38*Hipótesis!$D$66/30</f>
        <v>97724.1095399092</v>
      </c>
      <c r="BN68" s="101" t="n">
        <f aca="false">BN38*Hipótesis!$D$66/30</f>
        <v>97724.1095399092</v>
      </c>
      <c r="BO68" s="101" t="n">
        <f aca="false">BO38*Hipótesis!$D$66/30</f>
        <v>97724.1095399092</v>
      </c>
      <c r="BP68" s="101" t="n">
        <f aca="false">BP38*Hipótesis!$D$66/30</f>
        <v>97724.1095399092</v>
      </c>
      <c r="BQ68" s="101" t="n">
        <f aca="false">BQ38*Hipótesis!$D$66/30</f>
        <v>97724.1095399092</v>
      </c>
      <c r="BR68" s="101" t="n">
        <f aca="false">BR38*Hipótesis!$D$66/30</f>
        <v>97724.1095399092</v>
      </c>
      <c r="BS68" s="101" t="n">
        <f aca="false">BS38*Hipótesis!$D$66/30</f>
        <v>97724.1095399092</v>
      </c>
      <c r="BT68" s="101" t="n">
        <f aca="false">BT38*Hipótesis!$D$66/30</f>
        <v>97724.1095399092</v>
      </c>
      <c r="BU68" s="101" t="n">
        <f aca="false">BU38*Hipótesis!$D$66/30</f>
        <v>97724.1095399092</v>
      </c>
      <c r="BV68" s="101" t="n">
        <f aca="false">BV38*Hipótesis!$D$66/30</f>
        <v>97724.1095399092</v>
      </c>
      <c r="BW68" s="101" t="n">
        <f aca="false">BW38*Hipótesis!$D$66/30</f>
        <v>97724.1095399092</v>
      </c>
      <c r="BX68" s="101" t="n">
        <f aca="false">BX38*Hipótesis!$D$66/30</f>
        <v>97724.1095399092</v>
      </c>
      <c r="BY68" s="101" t="n">
        <f aca="false">BY38*Hipótesis!$D$66/30</f>
        <v>97724.1095399092</v>
      </c>
      <c r="BZ68" s="101" t="n">
        <f aca="false">BZ38*Hipótesis!$D$66/30</f>
        <v>97724.1095399092</v>
      </c>
      <c r="CA68" s="101" t="n">
        <f aca="false">CA38*Hipótesis!$D$66/30</f>
        <v>97724.1095399092</v>
      </c>
      <c r="CB68" s="101" t="n">
        <f aca="false">CB38*Hipótesis!$D$66/30</f>
        <v>97724.1095399092</v>
      </c>
      <c r="CC68" s="101" t="n">
        <f aca="false">CC38*Hipótesis!$D$66/30</f>
        <v>97724.1095399092</v>
      </c>
      <c r="CD68" s="101" t="n">
        <f aca="false">CD38*Hipótesis!$D$66/30</f>
        <v>97724.1095399092</v>
      </c>
      <c r="CE68" s="101" t="n">
        <f aca="false">CE38*Hipótesis!$D$66/30</f>
        <v>97724.1095399092</v>
      </c>
      <c r="CF68" s="101" t="n">
        <f aca="false">CF38*Hipótesis!$D$66/30</f>
        <v>97724.1095399092</v>
      </c>
      <c r="CG68" s="101" t="n">
        <f aca="false">CG38*Hipótesis!$D$66/30</f>
        <v>97724.1095399092</v>
      </c>
      <c r="CH68" s="101" t="n">
        <f aca="false">CH38*Hipótesis!$D$66/30</f>
        <v>97724.1095399092</v>
      </c>
    </row>
    <row r="69" customFormat="false" ht="13.5" hidden="false" customHeight="true" outlineLevel="0" collapsed="false">
      <c r="A69" s="6" t="s">
        <v>543</v>
      </c>
      <c r="C69" s="101" t="n">
        <f aca="false">-C39*Hipótesis!$D$67/30</f>
        <v>92.7333</v>
      </c>
      <c r="D69" s="101" t="n">
        <f aca="false">-D39*Hipótesis!$D$67/30</f>
        <v>199.4301</v>
      </c>
      <c r="E69" s="101" t="n">
        <f aca="false">-E39*Hipótesis!$D$67/30</f>
        <v>492.310220758928</v>
      </c>
      <c r="F69" s="101" t="n">
        <f aca="false">-F39*Hipótesis!$D$67/30</f>
        <v>692.457041517857</v>
      </c>
      <c r="G69" s="101" t="n">
        <f aca="false">-G39*Hipótesis!$D$67/30</f>
        <v>878.640362276786</v>
      </c>
      <c r="H69" s="101" t="n">
        <f aca="false">-H39*Hipótesis!$D$67/30</f>
        <v>1224.82212053571</v>
      </c>
      <c r="I69" s="101" t="n">
        <f aca="false">-I39*Hipótesis!$D$67/30</f>
        <v>1857.98786611626</v>
      </c>
      <c r="J69" s="101" t="n">
        <f aca="false">-J39*Hipótesis!$D$67/30</f>
        <v>2491.15361169682</v>
      </c>
      <c r="K69" s="101" t="n">
        <f aca="false">-K39*Hipótesis!$D$67/30</f>
        <v>3124.31935727737</v>
      </c>
      <c r="L69" s="101" t="n">
        <f aca="false">-L39*Hipótesis!$D$67/30</f>
        <v>3757.48510285792</v>
      </c>
      <c r="M69" s="101" t="n">
        <f aca="false">-M39*Hipótesis!$D$67/30</f>
        <v>4204.46752767954</v>
      </c>
      <c r="N69" s="101" t="n">
        <f aca="false">-N39*Hipótesis!$D$67/30</f>
        <v>4884.17495250116</v>
      </c>
      <c r="O69" s="101" t="n">
        <f aca="false">-O39*Hipótesis!$D$67/30</f>
        <v>5563.88237732278</v>
      </c>
      <c r="P69" s="101" t="n">
        <f aca="false">-P39*Hipótesis!$D$67/30</f>
        <v>6176.6813646444</v>
      </c>
      <c r="Q69" s="101" t="n">
        <f aca="false">-Q39*Hipótesis!$D$67/30</f>
        <v>6789.48035196602</v>
      </c>
      <c r="R69" s="101" t="n">
        <f aca="false">-R39*Hipótesis!$D$67/30</f>
        <v>7402.27933928765</v>
      </c>
      <c r="S69" s="101" t="n">
        <f aca="false">-S39*Hipótesis!$D$67/30</f>
        <v>8015.07832660927</v>
      </c>
      <c r="T69" s="101" t="n">
        <f aca="false">-T39*Hipótesis!$D$67/30</f>
        <v>8627.87731393089</v>
      </c>
      <c r="U69" s="101" t="n">
        <f aca="false">-U39*Hipótesis!$D$67/30</f>
        <v>9240.67630125251</v>
      </c>
      <c r="V69" s="101" t="n">
        <f aca="false">-V39*Hipótesis!$D$67/30</f>
        <v>9853.47528857414</v>
      </c>
      <c r="W69" s="101" t="n">
        <f aca="false">-W39*Hipótesis!$D$67/30</f>
        <v>10466.2742758958</v>
      </c>
      <c r="X69" s="101" t="n">
        <f aca="false">-X39*Hipótesis!$D$67/30</f>
        <v>10846.3482632174</v>
      </c>
      <c r="Y69" s="101" t="n">
        <f aca="false">-Y39*Hipótesis!$D$67/30</f>
        <v>11226.422250539</v>
      </c>
      <c r="Z69" s="101" t="n">
        <f aca="false">-Z39*Hipótesis!$D$67/30</f>
        <v>11513.4062378606</v>
      </c>
      <c r="AA69" s="101" t="n">
        <f aca="false">-AA39*Hipótesis!$D$67/30</f>
        <v>11800.3902251822</v>
      </c>
      <c r="AB69" s="101" t="n">
        <f aca="false">-AB39*Hipótesis!$D$67/30</f>
        <v>12087.3742125039</v>
      </c>
      <c r="AC69" s="101" t="n">
        <f aca="false">-AC39*Hipótesis!$D$67/30</f>
        <v>12374.3581998255</v>
      </c>
      <c r="AD69" s="101" t="n">
        <f aca="false">-AD39*Hipótesis!$D$67/30</f>
        <v>12661.3421871471</v>
      </c>
      <c r="AE69" s="101" t="n">
        <f aca="false">-AE39*Hipótesis!$D$67/30</f>
        <v>12948.3261744687</v>
      </c>
      <c r="AF69" s="101" t="n">
        <f aca="false">-AF39*Hipótesis!$D$67/30</f>
        <v>13235.3101617903</v>
      </c>
      <c r="AG69" s="101" t="n">
        <f aca="false">-AG39*Hipótesis!$D$67/30</f>
        <v>13522.294149112</v>
      </c>
      <c r="AH69" s="101" t="n">
        <f aca="false">-AH39*Hipótesis!$D$67/30</f>
        <v>13809.2781364336</v>
      </c>
      <c r="AI69" s="101" t="n">
        <f aca="false">-AI39*Hipótesis!$D$67/30</f>
        <v>14096.2621237552</v>
      </c>
      <c r="AJ69" s="101" t="n">
        <f aca="false">-AJ39*Hipótesis!$D$67/30</f>
        <v>14383.2461110768</v>
      </c>
      <c r="AK69" s="101" t="n">
        <f aca="false">-AK39*Hipótesis!$D$67/30</f>
        <v>14670.2300983985</v>
      </c>
      <c r="AL69" s="101" t="n">
        <f aca="false">-AL39*Hipótesis!$D$67/30</f>
        <v>14957.2140857201</v>
      </c>
      <c r="AM69" s="101" t="n">
        <f aca="false">-AM39*Hipótesis!$D$67/30</f>
        <v>15244.1980730417</v>
      </c>
      <c r="AN69" s="101" t="n">
        <f aca="false">-AN39*Hipótesis!$D$67/30</f>
        <v>15531.1820603633</v>
      </c>
      <c r="AO69" s="101" t="n">
        <f aca="false">-AO39*Hipótesis!$D$67/30</f>
        <v>15818.1660476849</v>
      </c>
      <c r="AP69" s="101" t="n">
        <f aca="false">-AP39*Hipótesis!$D$67/30</f>
        <v>16105.1500350066</v>
      </c>
      <c r="AQ69" s="101" t="n">
        <f aca="false">-AQ39*Hipótesis!$D$67/30</f>
        <v>16392.1340223282</v>
      </c>
      <c r="AR69" s="101" t="n">
        <f aca="false">-AR39*Hipótesis!$D$67/30</f>
        <v>16679.1180096498</v>
      </c>
      <c r="AS69" s="101" t="n">
        <f aca="false">-AS39*Hipótesis!$D$67/30</f>
        <v>16679.1180096498</v>
      </c>
      <c r="AT69" s="101" t="n">
        <f aca="false">-AT39*Hipótesis!$D$67/30</f>
        <v>16679.1180096498</v>
      </c>
      <c r="AU69" s="101" t="n">
        <f aca="false">-AU39*Hipótesis!$D$67/30</f>
        <v>16679.1180096498</v>
      </c>
      <c r="AV69" s="101" t="n">
        <f aca="false">-AV39*Hipótesis!$D$67/30</f>
        <v>16679.1180096498</v>
      </c>
      <c r="AW69" s="101" t="n">
        <f aca="false">-AW39*Hipótesis!$D$67/30</f>
        <v>16679.1180096498</v>
      </c>
      <c r="AX69" s="101" t="n">
        <f aca="false">-AX39*Hipótesis!$D$67/30</f>
        <v>16679.1180096498</v>
      </c>
      <c r="AY69" s="101" t="n">
        <f aca="false">-AY39*Hipótesis!$D$67/30</f>
        <v>16679.1180096498</v>
      </c>
      <c r="AZ69" s="101" t="n">
        <f aca="false">-AZ39*Hipótesis!$D$67/30</f>
        <v>16679.1180096498</v>
      </c>
      <c r="BA69" s="101" t="n">
        <f aca="false">-BA39*Hipótesis!$D$67/30</f>
        <v>16679.1180096498</v>
      </c>
      <c r="BB69" s="101" t="n">
        <f aca="false">-BB39*Hipótesis!$D$67/30</f>
        <v>16679.1180096498</v>
      </c>
      <c r="BC69" s="101" t="n">
        <f aca="false">-BC39*Hipótesis!$D$67/30</f>
        <v>16679.1180096498</v>
      </c>
      <c r="BD69" s="101" t="n">
        <f aca="false">-BD39*Hipótesis!$D$67/30</f>
        <v>16679.1180096498</v>
      </c>
      <c r="BE69" s="101" t="n">
        <f aca="false">-BE39*Hipótesis!$D$67/30</f>
        <v>16679.1180096498</v>
      </c>
      <c r="BF69" s="101" t="n">
        <f aca="false">-BF39*Hipótesis!$D$67/30</f>
        <v>16679.1180096498</v>
      </c>
      <c r="BG69" s="101" t="n">
        <f aca="false">-BG39*Hipótesis!$D$67/30</f>
        <v>16679.1180096498</v>
      </c>
      <c r="BH69" s="101" t="n">
        <f aca="false">-BH39*Hipótesis!$D$67/30</f>
        <v>16679.1180096498</v>
      </c>
      <c r="BI69" s="101" t="n">
        <f aca="false">-BI39*Hipótesis!$D$67/30</f>
        <v>16679.1180096498</v>
      </c>
      <c r="BJ69" s="101" t="n">
        <f aca="false">-BJ39*Hipótesis!$D$67/30</f>
        <v>16679.1180096498</v>
      </c>
      <c r="BK69" s="101" t="n">
        <f aca="false">-BK39*Hipótesis!$D$67/30</f>
        <v>16679.1180096498</v>
      </c>
      <c r="BL69" s="101" t="n">
        <f aca="false">-BL39*Hipótesis!$D$67/30</f>
        <v>16679.1180096498</v>
      </c>
      <c r="BM69" s="101" t="n">
        <f aca="false">-BM39*Hipótesis!$D$67/30</f>
        <v>16679.1180096498</v>
      </c>
      <c r="BN69" s="101" t="n">
        <f aca="false">-BN39*Hipótesis!$D$67/30</f>
        <v>16679.1180096498</v>
      </c>
      <c r="BO69" s="101" t="n">
        <f aca="false">-BO39*Hipótesis!$D$67/30</f>
        <v>16679.1180096498</v>
      </c>
      <c r="BP69" s="101" t="n">
        <f aca="false">-BP39*Hipótesis!$D$67/30</f>
        <v>16679.1180096498</v>
      </c>
      <c r="BQ69" s="101" t="n">
        <f aca="false">-BQ39*Hipótesis!$D$67/30</f>
        <v>16679.1180096498</v>
      </c>
      <c r="BR69" s="101" t="n">
        <f aca="false">-BR39*Hipótesis!$D$67/30</f>
        <v>16679.1180096498</v>
      </c>
      <c r="BS69" s="101" t="n">
        <f aca="false">-BS39*Hipótesis!$D$67/30</f>
        <v>16679.1180096498</v>
      </c>
      <c r="BT69" s="101" t="n">
        <f aca="false">-BT39*Hipótesis!$D$67/30</f>
        <v>16679.1180096498</v>
      </c>
      <c r="BU69" s="101" t="n">
        <f aca="false">-BU39*Hipótesis!$D$67/30</f>
        <v>16679.1180096498</v>
      </c>
      <c r="BV69" s="101" t="n">
        <f aca="false">-BV39*Hipótesis!$D$67/30</f>
        <v>16679.1180096498</v>
      </c>
      <c r="BW69" s="101" t="n">
        <f aca="false">-BW39*Hipótesis!$D$67/30</f>
        <v>16679.1180096498</v>
      </c>
      <c r="BX69" s="101" t="n">
        <f aca="false">-BX39*Hipótesis!$D$67/30</f>
        <v>16679.1180096498</v>
      </c>
      <c r="BY69" s="101" t="n">
        <f aca="false">-BY39*Hipótesis!$D$67/30</f>
        <v>16679.1180096498</v>
      </c>
      <c r="BZ69" s="101" t="n">
        <f aca="false">-BZ39*Hipótesis!$D$67/30</f>
        <v>16679.1180096498</v>
      </c>
      <c r="CA69" s="101" t="n">
        <f aca="false">-CA39*Hipótesis!$D$67/30</f>
        <v>16679.1180096498</v>
      </c>
      <c r="CB69" s="101" t="n">
        <f aca="false">-CB39*Hipótesis!$D$67/30</f>
        <v>16679.1180096498</v>
      </c>
      <c r="CC69" s="101" t="n">
        <f aca="false">-CC39*Hipótesis!$D$67/30</f>
        <v>16679.1180096498</v>
      </c>
      <c r="CD69" s="101" t="n">
        <f aca="false">-CD39*Hipótesis!$D$67/30</f>
        <v>16679.1180096498</v>
      </c>
      <c r="CE69" s="101" t="n">
        <f aca="false">-CE39*Hipótesis!$D$67/30</f>
        <v>16679.1180096498</v>
      </c>
      <c r="CF69" s="101" t="n">
        <f aca="false">-CF39*Hipótesis!$D$67/30</f>
        <v>16679.1180096498</v>
      </c>
      <c r="CG69" s="101" t="n">
        <f aca="false">-CG39*Hipótesis!$D$67/30</f>
        <v>16679.1180096498</v>
      </c>
      <c r="CH69" s="101" t="n">
        <f aca="false">-CH39*Hipótesis!$D$67/30</f>
        <v>16679.1180096498</v>
      </c>
    </row>
    <row r="70" customFormat="false" ht="13.5" hidden="false" customHeight="true" outlineLevel="0" collapsed="false">
      <c r="A70" s="22" t="s">
        <v>544</v>
      </c>
      <c r="C70" s="101" t="n">
        <f aca="false">C68*(1-Hipótesis!$D$73)-C69</f>
        <v>341.6751</v>
      </c>
      <c r="D70" s="101" t="n">
        <f aca="false">D68*(1-Hipótesis!$D$73)-D69</f>
        <v>703.2123</v>
      </c>
      <c r="E70" s="101" t="n">
        <f aca="false">E68*(1-Hipótesis!$D$73)-E69</f>
        <v>1387.71192924107</v>
      </c>
      <c r="F70" s="101" t="n">
        <f aca="false">F68*(1-Hipótesis!$D$73)-F69</f>
        <v>1730.53645848214</v>
      </c>
      <c r="G70" s="101" t="n">
        <f aca="false">G68*(1-Hipótesis!$D$73)-G69</f>
        <v>2053.49888772321</v>
      </c>
      <c r="H70" s="101" t="n">
        <f aca="false">H68*(1-Hipótesis!$D$73)-H69</f>
        <v>2526.53087946429</v>
      </c>
      <c r="I70" s="101" t="n">
        <f aca="false">I68*(1-Hipótesis!$D$73)-I69</f>
        <v>3416.03732321606</v>
      </c>
      <c r="J70" s="101" t="n">
        <f aca="false">J68*(1-Hipótesis!$D$73)-J69</f>
        <v>4305.54376696783</v>
      </c>
      <c r="K70" s="101" t="n">
        <f aca="false">K68*(1-Hipótesis!$D$73)-K69</f>
        <v>5195.05021071961</v>
      </c>
      <c r="L70" s="101" t="n">
        <f aca="false">L68*(1-Hipótesis!$D$73)-L69</f>
        <v>6084.55665447138</v>
      </c>
      <c r="M70" s="101" t="n">
        <f aca="false">M68*(1-Hipótesis!$D$73)-M69</f>
        <v>6651.10066898209</v>
      </c>
      <c r="N70" s="101" t="n">
        <f aca="false">N68*(1-Hipótesis!$D$73)-N69</f>
        <v>7407.73968349279</v>
      </c>
      <c r="O70" s="101" t="n">
        <f aca="false">O68*(1-Hipótesis!$D$73)-O69</f>
        <v>8164.37869800349</v>
      </c>
      <c r="P70" s="101" t="n">
        <f aca="false">P68*(1-Hipótesis!$D$73)-P69</f>
        <v>8835.71095001419</v>
      </c>
      <c r="Q70" s="101" t="n">
        <f aca="false">Q68*(1-Hipótesis!$D$73)-Q69</f>
        <v>9507.0432020249</v>
      </c>
      <c r="R70" s="101" t="n">
        <f aca="false">R68*(1-Hipótesis!$D$73)-R69</f>
        <v>10178.3754540356</v>
      </c>
      <c r="S70" s="101" t="n">
        <f aca="false">S68*(1-Hipótesis!$D$73)-S69</f>
        <v>10849.7077060463</v>
      </c>
      <c r="T70" s="101" t="n">
        <f aca="false">T68*(1-Hipótesis!$D$73)-T69</f>
        <v>11521.039958057</v>
      </c>
      <c r="U70" s="101" t="n">
        <f aca="false">U68*(1-Hipótesis!$D$73)-U69</f>
        <v>12192.3722100677</v>
      </c>
      <c r="V70" s="101" t="n">
        <f aca="false">V68*(1-Hipótesis!$D$73)-V69</f>
        <v>12863.7044620784</v>
      </c>
      <c r="W70" s="101" t="n">
        <f aca="false">W68*(1-Hipótesis!$D$73)-W69</f>
        <v>13535.0367140891</v>
      </c>
      <c r="X70" s="101" t="n">
        <f aca="false">X68*(1-Hipótesis!$D$73)-X69</f>
        <v>14016.2739660998</v>
      </c>
      <c r="Y70" s="101" t="n">
        <f aca="false">Y68*(1-Hipótesis!$D$73)-Y69</f>
        <v>14497.5112181105</v>
      </c>
      <c r="Z70" s="101" t="n">
        <f aca="false">Z68*(1-Hipótesis!$D$73)-Z69</f>
        <v>14913.9856701212</v>
      </c>
      <c r="AA70" s="101" t="n">
        <f aca="false">AA68*(1-Hipótesis!$D$73)-AA69</f>
        <v>15330.4601221319</v>
      </c>
      <c r="AB70" s="101" t="n">
        <f aca="false">AB68*(1-Hipótesis!$D$73)-AB69</f>
        <v>15746.9345741426</v>
      </c>
      <c r="AC70" s="101" t="n">
        <f aca="false">AC68*(1-Hipótesis!$D$73)-AC69</f>
        <v>16163.4090261533</v>
      </c>
      <c r="AD70" s="101" t="n">
        <f aca="false">AD68*(1-Hipótesis!$D$73)-AD69</f>
        <v>16579.883478164</v>
      </c>
      <c r="AE70" s="101" t="n">
        <f aca="false">AE68*(1-Hipótesis!$D$73)-AE69</f>
        <v>16996.3579301747</v>
      </c>
      <c r="AF70" s="101" t="n">
        <f aca="false">AF68*(1-Hipótesis!$D$73)-AF69</f>
        <v>17412.8323821854</v>
      </c>
      <c r="AG70" s="101" t="n">
        <f aca="false">AG68*(1-Hipótesis!$D$73)-AG69</f>
        <v>17829.3068341961</v>
      </c>
      <c r="AH70" s="101" t="n">
        <f aca="false">AH68*(1-Hipótesis!$D$73)-AH69</f>
        <v>18245.7812862068</v>
      </c>
      <c r="AI70" s="101" t="n">
        <f aca="false">AI68*(1-Hipótesis!$D$73)-AI69</f>
        <v>18662.2557382176</v>
      </c>
      <c r="AJ70" s="101" t="n">
        <f aca="false">AJ68*(1-Hipótesis!$D$73)-AJ69</f>
        <v>19078.7301902283</v>
      </c>
      <c r="AK70" s="101" t="n">
        <f aca="false">AK68*(1-Hipótesis!$D$73)-AK69</f>
        <v>19495.204642239</v>
      </c>
      <c r="AL70" s="101" t="n">
        <f aca="false">AL68*(1-Hipótesis!$D$73)-AL69</f>
        <v>19911.6790942497</v>
      </c>
      <c r="AM70" s="101" t="n">
        <f aca="false">AM68*(1-Hipótesis!$D$73)-AM69</f>
        <v>20328.1535462604</v>
      </c>
      <c r="AN70" s="101" t="n">
        <f aca="false">AN68*(1-Hipótesis!$D$73)-AN69</f>
        <v>20744.6279982711</v>
      </c>
      <c r="AO70" s="101" t="n">
        <f aca="false">AO68*(1-Hipótesis!$D$73)-AO69</f>
        <v>21161.1024502818</v>
      </c>
      <c r="AP70" s="101" t="n">
        <f aca="false">AP68*(1-Hipótesis!$D$73)-AP69</f>
        <v>21577.5769022925</v>
      </c>
      <c r="AQ70" s="101" t="n">
        <f aca="false">AQ68*(1-Hipótesis!$D$73)-AQ69</f>
        <v>21994.0513543032</v>
      </c>
      <c r="AR70" s="101" t="n">
        <f aca="false">AR68*(1-Hipótesis!$D$73)-AR69</f>
        <v>22410.5258063139</v>
      </c>
      <c r="AS70" s="101" t="n">
        <f aca="false">AS68*(1-Hipótesis!$D$73)-AS69</f>
        <v>22410.5258063139</v>
      </c>
      <c r="AT70" s="101" t="n">
        <f aca="false">AT68*(1-Hipótesis!$D$73)-AT69</f>
        <v>22410.5258063139</v>
      </c>
      <c r="AU70" s="101" t="n">
        <f aca="false">AU68*(1-Hipótesis!$D$73)-AU69</f>
        <v>22410.5258063139</v>
      </c>
      <c r="AV70" s="101" t="n">
        <f aca="false">AV68*(1-Hipótesis!$D$73)-AV69</f>
        <v>22410.5258063139</v>
      </c>
      <c r="AW70" s="101" t="n">
        <f aca="false">AW68*(1-Hipótesis!$D$73)-AW69</f>
        <v>22410.5258063139</v>
      </c>
      <c r="AX70" s="101" t="n">
        <f aca="false">AX68*(1-Hipótesis!$D$73)-AX69</f>
        <v>22410.5258063139</v>
      </c>
      <c r="AY70" s="101" t="n">
        <f aca="false">AY68*(1-Hipótesis!$D$73)-AY69</f>
        <v>22410.5258063139</v>
      </c>
      <c r="AZ70" s="101" t="n">
        <f aca="false">AZ68*(1-Hipótesis!$D$73)-AZ69</f>
        <v>22410.5258063139</v>
      </c>
      <c r="BA70" s="101" t="n">
        <f aca="false">BA68*(1-Hipótesis!$D$73)-BA69</f>
        <v>22410.5258063139</v>
      </c>
      <c r="BB70" s="101" t="n">
        <f aca="false">BB68*(1-Hipótesis!$D$73)-BB69</f>
        <v>22410.5258063139</v>
      </c>
      <c r="BC70" s="101" t="n">
        <f aca="false">BC68*(1-Hipótesis!$D$73)-BC69</f>
        <v>22410.5258063139</v>
      </c>
      <c r="BD70" s="101" t="n">
        <f aca="false">BD68*(1-Hipótesis!$D$73)-BD69</f>
        <v>22410.5258063139</v>
      </c>
      <c r="BE70" s="101" t="n">
        <f aca="false">BE68*(1-Hipótesis!$D$73)-BE69</f>
        <v>22410.5258063139</v>
      </c>
      <c r="BF70" s="101" t="n">
        <f aca="false">BF68*(1-Hipótesis!$D$73)-BF69</f>
        <v>22410.5258063139</v>
      </c>
      <c r="BG70" s="101" t="n">
        <f aca="false">BG68*(1-Hipótesis!$D$73)-BG69</f>
        <v>22410.5258063139</v>
      </c>
      <c r="BH70" s="101" t="n">
        <f aca="false">BH68*(1-Hipótesis!$D$73)-BH69</f>
        <v>22410.5258063139</v>
      </c>
      <c r="BI70" s="101" t="n">
        <f aca="false">BI68*(1-Hipótesis!$D$73)-BI69</f>
        <v>22410.5258063139</v>
      </c>
      <c r="BJ70" s="101" t="n">
        <f aca="false">BJ68*(1-Hipótesis!$D$73)-BJ69</f>
        <v>22410.5258063139</v>
      </c>
      <c r="BK70" s="101" t="n">
        <f aca="false">BK68*(1-Hipótesis!$D$73)-BK69</f>
        <v>22410.5258063139</v>
      </c>
      <c r="BL70" s="101" t="n">
        <f aca="false">BL68*(1-Hipótesis!$D$73)-BL69</f>
        <v>22410.5258063139</v>
      </c>
      <c r="BM70" s="101" t="n">
        <f aca="false">BM68*(1-Hipótesis!$D$73)-BM69</f>
        <v>22410.5258063139</v>
      </c>
      <c r="BN70" s="101" t="n">
        <f aca="false">BN68*(1-Hipótesis!$D$73)-BN69</f>
        <v>22410.5258063139</v>
      </c>
      <c r="BO70" s="101" t="n">
        <f aca="false">BO68*(1-Hipótesis!$D$73)-BO69</f>
        <v>22410.5258063139</v>
      </c>
      <c r="BP70" s="101" t="n">
        <f aca="false">BP68*(1-Hipótesis!$D$73)-BP69</f>
        <v>22410.5258063139</v>
      </c>
      <c r="BQ70" s="101" t="n">
        <f aca="false">BQ68*(1-Hipótesis!$D$73)-BQ69</f>
        <v>22410.5258063139</v>
      </c>
      <c r="BR70" s="101" t="n">
        <f aca="false">BR68*(1-Hipótesis!$D$73)-BR69</f>
        <v>22410.5258063139</v>
      </c>
      <c r="BS70" s="101" t="n">
        <f aca="false">BS68*(1-Hipótesis!$D$73)-BS69</f>
        <v>22410.5258063139</v>
      </c>
      <c r="BT70" s="101" t="n">
        <f aca="false">BT68*(1-Hipótesis!$D$73)-BT69</f>
        <v>22410.5258063139</v>
      </c>
      <c r="BU70" s="101" t="n">
        <f aca="false">BU68*(1-Hipótesis!$D$73)-BU69</f>
        <v>22410.5258063139</v>
      </c>
      <c r="BV70" s="101" t="n">
        <f aca="false">BV68*(1-Hipótesis!$D$73)-BV69</f>
        <v>22410.5258063139</v>
      </c>
      <c r="BW70" s="101" t="n">
        <f aca="false">BW68*(1-Hipótesis!$D$73)-BW69</f>
        <v>22410.5258063139</v>
      </c>
      <c r="BX70" s="101" t="n">
        <f aca="false">BX68*(1-Hipótesis!$D$73)-BX69</f>
        <v>22410.5258063139</v>
      </c>
      <c r="BY70" s="101" t="n">
        <f aca="false">BY68*(1-Hipótesis!$D$73)-BY69</f>
        <v>22410.5258063139</v>
      </c>
      <c r="BZ70" s="101" t="n">
        <f aca="false">BZ68*(1-Hipótesis!$D$73)-BZ69</f>
        <v>22410.5258063139</v>
      </c>
      <c r="CA70" s="101" t="n">
        <f aca="false">CA68*(1-Hipótesis!$D$73)-CA69</f>
        <v>22410.5258063139</v>
      </c>
      <c r="CB70" s="101" t="n">
        <f aca="false">CB68*(1-Hipótesis!$D$73)-CB69</f>
        <v>22410.5258063139</v>
      </c>
      <c r="CC70" s="101" t="n">
        <f aca="false">CC68*(1-Hipótesis!$D$73)-CC69</f>
        <v>22410.5258063139</v>
      </c>
      <c r="CD70" s="101" t="n">
        <f aca="false">CD68*(1-Hipótesis!$D$73)-CD69</f>
        <v>22410.5258063139</v>
      </c>
      <c r="CE70" s="101" t="n">
        <f aca="false">CE68*(1-Hipótesis!$D$73)-CE69</f>
        <v>22410.5258063139</v>
      </c>
      <c r="CF70" s="101" t="n">
        <f aca="false">CF68*(1-Hipótesis!$D$73)-CF69</f>
        <v>22410.5258063139</v>
      </c>
      <c r="CG70" s="101" t="n">
        <f aca="false">CG68*(1-Hipótesis!$D$73)-CG69</f>
        <v>22410.5258063139</v>
      </c>
      <c r="CH70" s="101" t="n">
        <f aca="false">CH68*(1-Hipótesis!$D$73)-CH69</f>
        <v>22410.5258063139</v>
      </c>
    </row>
    <row r="71" customFormat="false" ht="13.5" hidden="false" customHeight="true" outlineLevel="0" collapsed="false">
      <c r="A71" s="6" t="s">
        <v>545</v>
      </c>
      <c r="C71" s="100" t="n">
        <f aca="false">-C70</f>
        <v>-341.6751</v>
      </c>
      <c r="D71" s="100" t="n">
        <f aca="false">-(D70-C70)</f>
        <v>-361.5372</v>
      </c>
      <c r="E71" s="100" t="n">
        <f aca="false">-(E70-D70)</f>
        <v>-684.499629241071</v>
      </c>
      <c r="F71" s="100" t="n">
        <f aca="false">-(F70-E70)</f>
        <v>-342.824529241072</v>
      </c>
      <c r="G71" s="100" t="n">
        <f aca="false">-(G70-F70)</f>
        <v>-322.962429241072</v>
      </c>
      <c r="H71" s="100" t="n">
        <f aca="false">-(H70-G70)</f>
        <v>-473.031991741072</v>
      </c>
      <c r="I71" s="100" t="n">
        <f aca="false">-(I70-H70)</f>
        <v>-889.506443751774</v>
      </c>
      <c r="J71" s="100" t="n">
        <f aca="false">-(J70-I70)</f>
        <v>-889.506443751774</v>
      </c>
      <c r="K71" s="100" t="n">
        <f aca="false">-(K70-J70)</f>
        <v>-889.506443751776</v>
      </c>
      <c r="L71" s="100" t="n">
        <f aca="false">-(L70-K70)</f>
        <v>-889.506443751773</v>
      </c>
      <c r="M71" s="100" t="n">
        <f aca="false">-(M70-L70)</f>
        <v>-566.544014510703</v>
      </c>
      <c r="N71" s="100" t="n">
        <f aca="false">-(N70-M70)</f>
        <v>-756.639014510702</v>
      </c>
      <c r="O71" s="100" t="n">
        <f aca="false">-(O70-N70)</f>
        <v>-756.639014510703</v>
      </c>
      <c r="P71" s="100" t="n">
        <f aca="false">-(P70-O70)</f>
        <v>-671.332252010704</v>
      </c>
      <c r="Q71" s="100" t="n">
        <f aca="false">-(Q70-P70)</f>
        <v>-671.332252010701</v>
      </c>
      <c r="R71" s="100" t="n">
        <f aca="false">-(R70-Q70)</f>
        <v>-671.332252010707</v>
      </c>
      <c r="S71" s="100" t="n">
        <f aca="false">-(S70-R70)</f>
        <v>-671.332252010699</v>
      </c>
      <c r="T71" s="100" t="n">
        <f aca="false">-(T70-S70)</f>
        <v>-671.332252010701</v>
      </c>
      <c r="U71" s="100" t="n">
        <f aca="false">-(U70-T70)</f>
        <v>-671.332252010703</v>
      </c>
      <c r="V71" s="100" t="n">
        <f aca="false">-(V70-U70)</f>
        <v>-671.332252010707</v>
      </c>
      <c r="W71" s="100" t="n">
        <f aca="false">-(W70-V70)</f>
        <v>-671.332252010703</v>
      </c>
      <c r="X71" s="100" t="n">
        <f aca="false">-(X70-W70)</f>
        <v>-481.237252010696</v>
      </c>
      <c r="Y71" s="100" t="n">
        <f aca="false">-(Y70-X70)</f>
        <v>-481.237252010711</v>
      </c>
      <c r="Z71" s="100" t="n">
        <f aca="false">-(Z70-Y70)</f>
        <v>-416.474452010703</v>
      </c>
      <c r="AA71" s="100" t="n">
        <f aca="false">-(AA70-Z70)</f>
        <v>-416.474452010698</v>
      </c>
      <c r="AB71" s="100" t="n">
        <f aca="false">-(AB70-AA70)</f>
        <v>-416.474452010705</v>
      </c>
      <c r="AC71" s="100" t="n">
        <f aca="false">-(AC70-AB70)</f>
        <v>-416.474452010703</v>
      </c>
      <c r="AD71" s="100" t="n">
        <f aca="false">-(AD70-AC70)</f>
        <v>-416.474452010703</v>
      </c>
      <c r="AE71" s="100" t="n">
        <f aca="false">-(AE70-AD70)</f>
        <v>-416.474452010698</v>
      </c>
      <c r="AF71" s="100" t="n">
        <f aca="false">-(AF70-AE70)</f>
        <v>-416.474452010705</v>
      </c>
      <c r="AG71" s="100" t="n">
        <f aca="false">-(AG70-AF70)</f>
        <v>-416.474452010702</v>
      </c>
      <c r="AH71" s="100" t="n">
        <f aca="false">-(AH70-AG70)</f>
        <v>-416.474452010705</v>
      </c>
      <c r="AI71" s="100" t="n">
        <f aca="false">-(AI70-AH70)</f>
        <v>-416.474452010705</v>
      </c>
      <c r="AJ71" s="100" t="n">
        <f aca="false">-(AJ70-AI70)</f>
        <v>-416.474452010698</v>
      </c>
      <c r="AK71" s="100" t="n">
        <f aca="false">-(AK70-AJ70)</f>
        <v>-416.474452010702</v>
      </c>
      <c r="AL71" s="100" t="n">
        <f aca="false">-(AL70-AK70)</f>
        <v>-416.474452010705</v>
      </c>
      <c r="AM71" s="100" t="n">
        <f aca="false">-(AM70-AL70)</f>
        <v>-416.474452010702</v>
      </c>
      <c r="AN71" s="100" t="n">
        <f aca="false">-(AN70-AM70)</f>
        <v>-416.474452010709</v>
      </c>
      <c r="AO71" s="100" t="n">
        <f aca="false">-(AO70-AN70)</f>
        <v>-416.474452010702</v>
      </c>
      <c r="AP71" s="100" t="n">
        <f aca="false">-(AP70-AO70)</f>
        <v>-416.474452010702</v>
      </c>
      <c r="AQ71" s="100" t="n">
        <f aca="false">-(AQ70-AP70)</f>
        <v>-416.474452010698</v>
      </c>
      <c r="AR71" s="100" t="n">
        <f aca="false">-(AR70-AQ70)</f>
        <v>-416.474452010705</v>
      </c>
      <c r="AS71" s="100" t="n">
        <f aca="false">-(AS70-AR70)</f>
        <v>-0</v>
      </c>
      <c r="AT71" s="100" t="n">
        <f aca="false">-(AT70-AS70)</f>
        <v>-0</v>
      </c>
      <c r="AU71" s="100" t="n">
        <f aca="false">-(AU70-AT70)</f>
        <v>-0</v>
      </c>
      <c r="AV71" s="100" t="n">
        <f aca="false">-(AV70-AU70)</f>
        <v>-0</v>
      </c>
      <c r="AW71" s="100" t="n">
        <f aca="false">-(AW70-AV70)</f>
        <v>-0</v>
      </c>
      <c r="AX71" s="100" t="n">
        <f aca="false">-(AX70-AW70)</f>
        <v>-0</v>
      </c>
      <c r="AY71" s="100" t="n">
        <f aca="false">-(AY70-AX70)</f>
        <v>-0</v>
      </c>
      <c r="AZ71" s="100" t="n">
        <f aca="false">-(AZ70-AY70)</f>
        <v>-0</v>
      </c>
      <c r="BA71" s="100" t="n">
        <f aca="false">-(BA70-AZ70)</f>
        <v>-0</v>
      </c>
      <c r="BB71" s="100" t="n">
        <f aca="false">-(BB70-BA70)</f>
        <v>-0</v>
      </c>
      <c r="BC71" s="100" t="n">
        <f aca="false">-(BC70-BB70)</f>
        <v>-0</v>
      </c>
      <c r="BD71" s="100" t="n">
        <f aca="false">-(BD70-BC70)</f>
        <v>-0</v>
      </c>
      <c r="BE71" s="100" t="n">
        <f aca="false">-(BE70-BD70)</f>
        <v>-0</v>
      </c>
      <c r="BF71" s="100" t="n">
        <f aca="false">-(BF70-BE70)</f>
        <v>-0</v>
      </c>
      <c r="BG71" s="100" t="n">
        <f aca="false">-(BG70-BF70)</f>
        <v>-0</v>
      </c>
      <c r="BH71" s="100" t="n">
        <f aca="false">-(BH70-BG70)</f>
        <v>-0</v>
      </c>
      <c r="BI71" s="100" t="n">
        <f aca="false">-(BI70-BH70)</f>
        <v>-0</v>
      </c>
      <c r="BJ71" s="100" t="n">
        <f aca="false">-(BJ70-BI70)</f>
        <v>-0</v>
      </c>
      <c r="BK71" s="100" t="n">
        <f aca="false">-(BK70-BJ70)</f>
        <v>-0</v>
      </c>
      <c r="BL71" s="100" t="n">
        <f aca="false">-(BL70-BK70)</f>
        <v>-0</v>
      </c>
      <c r="BM71" s="100" t="n">
        <f aca="false">-(BM70-BL70)</f>
        <v>-0</v>
      </c>
      <c r="BN71" s="100" t="n">
        <f aca="false">-(BN70-BM70)</f>
        <v>-0</v>
      </c>
      <c r="BO71" s="100" t="n">
        <f aca="false">-(BO70-BN70)</f>
        <v>-0</v>
      </c>
      <c r="BP71" s="100" t="n">
        <f aca="false">-(BP70-BO70)</f>
        <v>-0</v>
      </c>
      <c r="BQ71" s="100" t="n">
        <f aca="false">-(BQ70-BP70)</f>
        <v>-0</v>
      </c>
      <c r="BR71" s="100" t="n">
        <f aca="false">-(BR70-BQ70)</f>
        <v>-0</v>
      </c>
      <c r="BS71" s="100" t="n">
        <f aca="false">-(BS70-BR70)</f>
        <v>-0</v>
      </c>
      <c r="BT71" s="100" t="n">
        <f aca="false">-(BT70-BS70)</f>
        <v>-0</v>
      </c>
      <c r="BU71" s="100" t="n">
        <f aca="false">-(BU70-BT70)</f>
        <v>-0</v>
      </c>
      <c r="BV71" s="100" t="n">
        <f aca="false">-(BV70-BU70)</f>
        <v>-0</v>
      </c>
      <c r="BW71" s="100" t="n">
        <f aca="false">-(BW70-BV70)</f>
        <v>-0</v>
      </c>
      <c r="BX71" s="100" t="n">
        <f aca="false">-(BX70-BW70)</f>
        <v>-0</v>
      </c>
      <c r="BY71" s="100" t="n">
        <f aca="false">-(BY70-BX70)</f>
        <v>-0</v>
      </c>
      <c r="BZ71" s="100" t="n">
        <f aca="false">-(BZ70-BY70)</f>
        <v>-0</v>
      </c>
      <c r="CA71" s="100" t="n">
        <f aca="false">-(CA70-BZ70)</f>
        <v>-0</v>
      </c>
      <c r="CB71" s="100" t="n">
        <f aca="false">-(CB70-CA70)</f>
        <v>-0</v>
      </c>
      <c r="CC71" s="100" t="n">
        <f aca="false">-(CC70-CB70)</f>
        <v>-0</v>
      </c>
      <c r="CD71" s="100" t="n">
        <f aca="false">-(CD70-CC70)</f>
        <v>-0</v>
      </c>
      <c r="CE71" s="100" t="n">
        <f aca="false">-(CE70-CD70)</f>
        <v>-0</v>
      </c>
      <c r="CF71" s="100" t="n">
        <f aca="false">-(CF70-CE70)</f>
        <v>-0</v>
      </c>
      <c r="CG71" s="100" t="n">
        <f aca="false">-(CG70-CF70)</f>
        <v>-0</v>
      </c>
      <c r="CH71" s="100" t="n">
        <f aca="false">-(CH70-CG70)</f>
        <v>-0</v>
      </c>
    </row>
    <row r="72" customFormat="false" ht="13.5" hidden="false" customHeight="true" outlineLevel="0" collapsed="false">
      <c r="A72" s="6" t="s">
        <v>546</v>
      </c>
      <c r="C72" s="100" t="n">
        <f aca="false">-CAPEX!$F$22*CAPEX!$C$29</f>
        <v>-29601</v>
      </c>
      <c r="D72" s="100" t="n">
        <f aca="false">-CAPEX!$F$22*CAPEX!$D$29</f>
        <v>-13813.8</v>
      </c>
      <c r="E72" s="100" t="n">
        <f aca="false">-CAPEX!$F$22*CAPEX!$E$29</f>
        <v>-9867</v>
      </c>
      <c r="F72" s="100" t="n">
        <f aca="false">-CAPEX!$F$22*CAPEX!$F$29</f>
        <v>-8880.3</v>
      </c>
      <c r="G72" s="100" t="n">
        <f aca="false">-CAPEX!$F$22*CAPEX!$G$29</f>
        <v>-7893.6</v>
      </c>
      <c r="H72" s="100" t="n">
        <f aca="false">-CAPEX!$F$22*CAPEX!$H$29</f>
        <v>-6906.9</v>
      </c>
      <c r="I72" s="100" t="n">
        <f aca="false">-CAPEX!$F$22*CAPEX!$I$29</f>
        <v>-5920.2</v>
      </c>
      <c r="J72" s="100" t="n">
        <f aca="false">-CAPEX!$F$22*CAPEX!$J$29</f>
        <v>-4933.5</v>
      </c>
      <c r="K72" s="100" t="n">
        <f aca="false">-CAPEX!$F$22*CAPEX!$K$29</f>
        <v>-3946.8</v>
      </c>
      <c r="L72" s="100" t="n">
        <f aca="false">-CAPEX!$F$22*CAPEX!$L$29</f>
        <v>-2960.1</v>
      </c>
      <c r="M72" s="100" t="n">
        <f aca="false">-CAPEX!$F$22*CAPEX!$M$29</f>
        <v>-1973.4</v>
      </c>
      <c r="N72" s="100" t="n">
        <f aca="false">-CAPEX!$F$22*CAPEX!$N$29</f>
        <v>-1973.4</v>
      </c>
      <c r="O72" s="100" t="n">
        <f aca="false">0</f>
        <v>0</v>
      </c>
      <c r="P72" s="100" t="n">
        <f aca="false">0</f>
        <v>0</v>
      </c>
      <c r="Q72" s="100" t="n">
        <f aca="false">0</f>
        <v>0</v>
      </c>
      <c r="R72" s="100" t="n">
        <f aca="false">0</f>
        <v>0</v>
      </c>
      <c r="S72" s="100" t="n">
        <f aca="false">0</f>
        <v>0</v>
      </c>
      <c r="T72" s="100" t="n">
        <f aca="false">0</f>
        <v>0</v>
      </c>
      <c r="U72" s="100" t="n">
        <f aca="false">0</f>
        <v>0</v>
      </c>
      <c r="V72" s="100" t="n">
        <f aca="false">0</f>
        <v>0</v>
      </c>
      <c r="W72" s="100" t="n">
        <f aca="false">0</f>
        <v>0</v>
      </c>
      <c r="X72" s="100" t="n">
        <f aca="false">0</f>
        <v>0</v>
      </c>
      <c r="Y72" s="100" t="n">
        <f aca="false">0</f>
        <v>0</v>
      </c>
      <c r="Z72" s="100" t="n">
        <f aca="false">0</f>
        <v>0</v>
      </c>
      <c r="AA72" s="100" t="n">
        <f aca="false">0</f>
        <v>0</v>
      </c>
      <c r="AB72" s="100" t="n">
        <f aca="false">0</f>
        <v>0</v>
      </c>
      <c r="AC72" s="100" t="n">
        <f aca="false">0</f>
        <v>0</v>
      </c>
      <c r="AD72" s="100" t="n">
        <f aca="false">0</f>
        <v>0</v>
      </c>
      <c r="AE72" s="100" t="n">
        <f aca="false">0</f>
        <v>0</v>
      </c>
      <c r="AF72" s="100" t="n">
        <f aca="false">0</f>
        <v>0</v>
      </c>
      <c r="AG72" s="100" t="n">
        <f aca="false">0</f>
        <v>0</v>
      </c>
      <c r="AH72" s="100" t="n">
        <f aca="false">0</f>
        <v>0</v>
      </c>
      <c r="AI72" s="100" t="n">
        <f aca="false">0</f>
        <v>0</v>
      </c>
      <c r="AJ72" s="100" t="n">
        <f aca="false">0</f>
        <v>0</v>
      </c>
      <c r="AK72" s="100" t="n">
        <f aca="false">0</f>
        <v>0</v>
      </c>
      <c r="AL72" s="100" t="n">
        <f aca="false">0</f>
        <v>0</v>
      </c>
      <c r="AM72" s="100" t="n">
        <f aca="false">0</f>
        <v>0</v>
      </c>
      <c r="AN72" s="100" t="n">
        <f aca="false">0</f>
        <v>0</v>
      </c>
      <c r="AO72" s="100" t="n">
        <f aca="false">0</f>
        <v>0</v>
      </c>
      <c r="AP72" s="100" t="n">
        <f aca="false">0</f>
        <v>0</v>
      </c>
      <c r="AQ72" s="100" t="n">
        <f aca="false">0</f>
        <v>0</v>
      </c>
      <c r="AR72" s="100" t="n">
        <f aca="false">0</f>
        <v>0</v>
      </c>
      <c r="AS72" s="100" t="n">
        <f aca="false">0</f>
        <v>0</v>
      </c>
      <c r="AT72" s="100" t="n">
        <f aca="false">0</f>
        <v>0</v>
      </c>
      <c r="AU72" s="100" t="n">
        <f aca="false">0</f>
        <v>0</v>
      </c>
      <c r="AV72" s="100" t="n">
        <f aca="false">0</f>
        <v>0</v>
      </c>
      <c r="AW72" s="100" t="n">
        <f aca="false">0</f>
        <v>0</v>
      </c>
      <c r="AX72" s="100" t="n">
        <f aca="false">0</f>
        <v>0</v>
      </c>
      <c r="AY72" s="100" t="n">
        <f aca="false">0</f>
        <v>0</v>
      </c>
      <c r="AZ72" s="100" t="n">
        <f aca="false">0</f>
        <v>0</v>
      </c>
      <c r="BA72" s="100" t="n">
        <f aca="false">0</f>
        <v>0</v>
      </c>
      <c r="BB72" s="100" t="n">
        <f aca="false">0</f>
        <v>0</v>
      </c>
      <c r="BC72" s="100" t="n">
        <f aca="false">0</f>
        <v>0</v>
      </c>
      <c r="BD72" s="100" t="n">
        <f aca="false">0</f>
        <v>0</v>
      </c>
      <c r="BE72" s="100" t="n">
        <f aca="false">0</f>
        <v>0</v>
      </c>
      <c r="BF72" s="100" t="n">
        <f aca="false">0</f>
        <v>0</v>
      </c>
      <c r="BG72" s="100" t="n">
        <f aca="false">0</f>
        <v>0</v>
      </c>
      <c r="BH72" s="100" t="n">
        <f aca="false">0</f>
        <v>0</v>
      </c>
      <c r="BI72" s="100" t="n">
        <f aca="false">0</f>
        <v>0</v>
      </c>
      <c r="BJ72" s="100" t="n">
        <f aca="false">0</f>
        <v>0</v>
      </c>
      <c r="BK72" s="100" t="n">
        <f aca="false">0</f>
        <v>0</v>
      </c>
      <c r="BL72" s="100" t="n">
        <f aca="false">0</f>
        <v>0</v>
      </c>
      <c r="BM72" s="100" t="n">
        <f aca="false">0</f>
        <v>0</v>
      </c>
      <c r="BN72" s="100" t="n">
        <f aca="false">0</f>
        <v>0</v>
      </c>
      <c r="BO72" s="100" t="n">
        <f aca="false">0</f>
        <v>0</v>
      </c>
      <c r="BP72" s="100" t="n">
        <f aca="false">0</f>
        <v>0</v>
      </c>
      <c r="BQ72" s="100" t="n">
        <f aca="false">0</f>
        <v>0</v>
      </c>
      <c r="BR72" s="100" t="n">
        <f aca="false">0</f>
        <v>0</v>
      </c>
      <c r="BS72" s="100" t="n">
        <f aca="false">0</f>
        <v>0</v>
      </c>
      <c r="BT72" s="100" t="n">
        <f aca="false">0</f>
        <v>0</v>
      </c>
      <c r="BU72" s="100" t="n">
        <f aca="false">0</f>
        <v>0</v>
      </c>
      <c r="BV72" s="100" t="n">
        <f aca="false">0</f>
        <v>0</v>
      </c>
      <c r="BW72" s="100" t="n">
        <f aca="false">0</f>
        <v>0</v>
      </c>
      <c r="BX72" s="100" t="n">
        <f aca="false">0</f>
        <v>0</v>
      </c>
      <c r="BY72" s="100" t="n">
        <f aca="false">0</f>
        <v>0</v>
      </c>
      <c r="BZ72" s="100" t="n">
        <f aca="false">0</f>
        <v>0</v>
      </c>
      <c r="CA72" s="100" t="n">
        <f aca="false">0</f>
        <v>0</v>
      </c>
      <c r="CB72" s="100" t="n">
        <f aca="false">0</f>
        <v>0</v>
      </c>
      <c r="CC72" s="100" t="n">
        <f aca="false">0</f>
        <v>0</v>
      </c>
      <c r="CD72" s="100" t="n">
        <f aca="false">0</f>
        <v>0</v>
      </c>
      <c r="CE72" s="100" t="n">
        <f aca="false">0</f>
        <v>0</v>
      </c>
      <c r="CF72" s="100" t="n">
        <f aca="false">0</f>
        <v>0</v>
      </c>
      <c r="CG72" s="100" t="n">
        <f aca="false">0</f>
        <v>0</v>
      </c>
      <c r="CH72" s="100" t="n">
        <f aca="false">0</f>
        <v>0</v>
      </c>
    </row>
    <row r="73" customFormat="false" ht="13.5" hidden="false" customHeight="true" outlineLevel="0" collapsed="false">
      <c r="A73" s="6" t="s">
        <v>547</v>
      </c>
      <c r="C73" s="100" t="n">
        <f aca="false">-C36*Hipótesis!$D$68</f>
        <v>-24.1338</v>
      </c>
      <c r="D73" s="100" t="n">
        <f aca="false">-D36*Hipótesis!$D$68</f>
        <v>-50.1468</v>
      </c>
      <c r="E73" s="100" t="n">
        <f aca="false">-E36*Hipótesis!$D$68</f>
        <v>-104.445675</v>
      </c>
      <c r="F73" s="100" t="n">
        <f aca="false">-F36*Hipótesis!$D$68</f>
        <v>-134.61075</v>
      </c>
      <c r="G73" s="100" t="n">
        <f aca="false">-G36*Hipótesis!$D$68</f>
        <v>-162.896625</v>
      </c>
      <c r="H73" s="100" t="n">
        <f aca="false">-H36*Hipótesis!$D$68</f>
        <v>-208.4085</v>
      </c>
      <c r="I73" s="100" t="n">
        <f aca="false">-I36*Hipótesis!$D$68</f>
        <v>-293.001399407351</v>
      </c>
      <c r="J73" s="100" t="n">
        <f aca="false">-J36*Hipótesis!$D$68</f>
        <v>-377.594298814703</v>
      </c>
      <c r="K73" s="100" t="n">
        <f aca="false">-K36*Hipótesis!$D$68</f>
        <v>-462.187198222054</v>
      </c>
      <c r="L73" s="100" t="n">
        <f aca="false">-L36*Hipótesis!$D$68</f>
        <v>-546.780097629405</v>
      </c>
      <c r="M73" s="100" t="n">
        <f aca="false">-M36*Hipótesis!$D$68</f>
        <v>-603.087122036757</v>
      </c>
      <c r="N73" s="100" t="n">
        <f aca="false">-N36*Hipótesis!$D$68</f>
        <v>-682.884146444108</v>
      </c>
      <c r="O73" s="100" t="n">
        <f aca="false">-O36*Hipótesis!$D$68</f>
        <v>-762.68117085146</v>
      </c>
      <c r="P73" s="100" t="n">
        <f aca="false">-P36*Hipótesis!$D$68</f>
        <v>-834.021795258811</v>
      </c>
      <c r="Q73" s="100" t="n">
        <f aca="false">-Q36*Hipótesis!$D$68</f>
        <v>-905.362419666162</v>
      </c>
      <c r="R73" s="100" t="n">
        <f aca="false">-R36*Hipótesis!$D$68</f>
        <v>-976.703044073514</v>
      </c>
      <c r="S73" s="100" t="n">
        <f aca="false">-S36*Hipótesis!$D$68</f>
        <v>-1048.04366848086</v>
      </c>
      <c r="T73" s="100" t="n">
        <f aca="false">-T36*Hipótesis!$D$68</f>
        <v>-1119.38429288822</v>
      </c>
      <c r="U73" s="100" t="n">
        <f aca="false">-U36*Hipótesis!$D$68</f>
        <v>-1190.72491729557</v>
      </c>
      <c r="V73" s="100" t="n">
        <f aca="false">-V36*Hipótesis!$D$68</f>
        <v>-1262.06554170292</v>
      </c>
      <c r="W73" s="100" t="n">
        <f aca="false">-W36*Hipótesis!$D$68</f>
        <v>-1333.40616611027</v>
      </c>
      <c r="X73" s="100" t="n">
        <f aca="false">-X36*Hipótesis!$D$68</f>
        <v>-1381.25679051762</v>
      </c>
      <c r="Y73" s="100" t="n">
        <f aca="false">-Y36*Hipótesis!$D$68</f>
        <v>-1429.10741492497</v>
      </c>
      <c r="Z73" s="100" t="n">
        <f aca="false">-Z36*Hipótesis!$D$68</f>
        <v>-1468.18843933232</v>
      </c>
      <c r="AA73" s="100" t="n">
        <f aca="false">-AA36*Hipótesis!$D$68</f>
        <v>-1507.26946373968</v>
      </c>
      <c r="AB73" s="100" t="n">
        <f aca="false">-AB36*Hipótesis!$D$68</f>
        <v>-1546.35048814703</v>
      </c>
      <c r="AC73" s="100" t="n">
        <f aca="false">-AC36*Hipótesis!$D$68</f>
        <v>-1585.43151255438</v>
      </c>
      <c r="AD73" s="100" t="n">
        <f aca="false">-AD36*Hipótesis!$D$68</f>
        <v>-1624.51253696173</v>
      </c>
      <c r="AE73" s="100" t="n">
        <f aca="false">-AE36*Hipótesis!$D$68</f>
        <v>-1663.59356136908</v>
      </c>
      <c r="AF73" s="100" t="n">
        <f aca="false">-AF36*Hipótesis!$D$68</f>
        <v>-1702.67458577643</v>
      </c>
      <c r="AG73" s="100" t="n">
        <f aca="false">-AG36*Hipótesis!$D$68</f>
        <v>-1741.75561018378</v>
      </c>
      <c r="AH73" s="100" t="n">
        <f aca="false">-AH36*Hipótesis!$D$68</f>
        <v>-1780.83663459114</v>
      </c>
      <c r="AI73" s="100" t="n">
        <f aca="false">-AI36*Hipótesis!$D$68</f>
        <v>-1819.91765899849</v>
      </c>
      <c r="AJ73" s="100" t="n">
        <f aca="false">-AJ36*Hipótesis!$D$68</f>
        <v>-1858.99868340584</v>
      </c>
      <c r="AK73" s="100" t="n">
        <f aca="false">-AK36*Hipótesis!$D$68</f>
        <v>-1898.07970781319</v>
      </c>
      <c r="AL73" s="100" t="n">
        <f aca="false">-AL36*Hipótesis!$D$68</f>
        <v>-1937.16073222054</v>
      </c>
      <c r="AM73" s="100" t="n">
        <f aca="false">-AM36*Hipótesis!$D$68</f>
        <v>-1976.24175662789</v>
      </c>
      <c r="AN73" s="100" t="n">
        <f aca="false">-AN36*Hipótesis!$D$68</f>
        <v>-2015.32278103524</v>
      </c>
      <c r="AO73" s="100" t="n">
        <f aca="false">-AO36*Hipótesis!$D$68</f>
        <v>-2054.4038054426</v>
      </c>
      <c r="AP73" s="100" t="n">
        <f aca="false">-AP36*Hipótesis!$D$68</f>
        <v>-2093.48482984995</v>
      </c>
      <c r="AQ73" s="100" t="n">
        <f aca="false">-AQ36*Hipótesis!$D$68</f>
        <v>-2132.5658542573</v>
      </c>
      <c r="AR73" s="100" t="n">
        <f aca="false">-AR36*Hipótesis!$D$68</f>
        <v>-2171.64687866465</v>
      </c>
      <c r="AS73" s="100" t="n">
        <f aca="false">-AS36*Hipótesis!$D$68</f>
        <v>-2171.64687866465</v>
      </c>
      <c r="AT73" s="100" t="n">
        <f aca="false">-AT36*Hipótesis!$D$68</f>
        <v>-2171.64687866465</v>
      </c>
      <c r="AU73" s="100" t="n">
        <f aca="false">-AU36*Hipótesis!$D$68</f>
        <v>-2171.64687866465</v>
      </c>
      <c r="AV73" s="100" t="n">
        <f aca="false">-AV36*Hipótesis!$D$68</f>
        <v>-2171.64687866465</v>
      </c>
      <c r="AW73" s="100" t="n">
        <f aca="false">-AW36*Hipótesis!$D$68</f>
        <v>-2171.64687866465</v>
      </c>
      <c r="AX73" s="100" t="n">
        <f aca="false">-AX36*Hipótesis!$D$68</f>
        <v>-2171.64687866465</v>
      </c>
      <c r="AY73" s="100" t="n">
        <f aca="false">-AY36*Hipótesis!$D$68</f>
        <v>-2171.64687866465</v>
      </c>
      <c r="AZ73" s="100" t="n">
        <f aca="false">-AZ36*Hipótesis!$D$68</f>
        <v>-2171.64687866465</v>
      </c>
      <c r="BA73" s="100" t="n">
        <f aca="false">-BA36*Hipótesis!$D$68</f>
        <v>-2171.64687866465</v>
      </c>
      <c r="BB73" s="100" t="n">
        <f aca="false">-BB36*Hipótesis!$D$68</f>
        <v>-2171.64687866465</v>
      </c>
      <c r="BC73" s="100" t="n">
        <f aca="false">-BC36*Hipótesis!$D$68</f>
        <v>-2171.64687866465</v>
      </c>
      <c r="BD73" s="100" t="n">
        <f aca="false">-BD36*Hipótesis!$D$68</f>
        <v>-2171.64687866465</v>
      </c>
      <c r="BE73" s="100" t="n">
        <f aca="false">-BE36*Hipótesis!$D$68</f>
        <v>-2171.64687866465</v>
      </c>
      <c r="BF73" s="100" t="n">
        <f aca="false">-BF36*Hipótesis!$D$68</f>
        <v>-2171.64687866465</v>
      </c>
      <c r="BG73" s="100" t="n">
        <f aca="false">-BG36*Hipótesis!$D$68</f>
        <v>-2171.64687866465</v>
      </c>
      <c r="BH73" s="100" t="n">
        <f aca="false">-BH36*Hipótesis!$D$68</f>
        <v>-2171.64687866465</v>
      </c>
      <c r="BI73" s="100" t="n">
        <f aca="false">-BI36*Hipótesis!$D$68</f>
        <v>-2171.64687866465</v>
      </c>
      <c r="BJ73" s="100" t="n">
        <f aca="false">-BJ36*Hipótesis!$D$68</f>
        <v>-2171.64687866465</v>
      </c>
      <c r="BK73" s="100" t="n">
        <f aca="false">-BK36*Hipótesis!$D$68</f>
        <v>-2171.64687866465</v>
      </c>
      <c r="BL73" s="100" t="n">
        <f aca="false">-BL36*Hipótesis!$D$68</f>
        <v>-2171.64687866465</v>
      </c>
      <c r="BM73" s="100" t="n">
        <f aca="false">-BM36*Hipótesis!$D$68</f>
        <v>-2171.64687866465</v>
      </c>
      <c r="BN73" s="100" t="n">
        <f aca="false">-BN36*Hipótesis!$D$68</f>
        <v>-2171.64687866465</v>
      </c>
      <c r="BO73" s="100" t="n">
        <f aca="false">-BO36*Hipótesis!$D$68</f>
        <v>-2171.64687866465</v>
      </c>
      <c r="BP73" s="100" t="n">
        <f aca="false">-BP36*Hipótesis!$D$68</f>
        <v>-2171.64687866465</v>
      </c>
      <c r="BQ73" s="100" t="n">
        <f aca="false">-BQ36*Hipótesis!$D$68</f>
        <v>-2171.64687866465</v>
      </c>
      <c r="BR73" s="100" t="n">
        <f aca="false">-BR36*Hipótesis!$D$68</f>
        <v>-2171.64687866465</v>
      </c>
      <c r="BS73" s="100" t="n">
        <f aca="false">-BS36*Hipótesis!$D$68</f>
        <v>-2171.64687866465</v>
      </c>
      <c r="BT73" s="100" t="n">
        <f aca="false">-BT36*Hipótesis!$D$68</f>
        <v>-2171.64687866465</v>
      </c>
      <c r="BU73" s="100" t="n">
        <f aca="false">-BU36*Hipótesis!$D$68</f>
        <v>-2171.64687866465</v>
      </c>
      <c r="BV73" s="100" t="n">
        <f aca="false">-BV36*Hipótesis!$D$68</f>
        <v>-2171.64687866465</v>
      </c>
      <c r="BW73" s="100" t="n">
        <f aca="false">-BW36*Hipótesis!$D$68</f>
        <v>-2171.64687866465</v>
      </c>
      <c r="BX73" s="100" t="n">
        <f aca="false">-BX36*Hipótesis!$D$68</f>
        <v>-2171.64687866465</v>
      </c>
      <c r="BY73" s="100" t="n">
        <f aca="false">-BY36*Hipótesis!$D$68</f>
        <v>-2171.64687866465</v>
      </c>
      <c r="BZ73" s="100" t="n">
        <f aca="false">-BZ36*Hipótesis!$D$68</f>
        <v>-2171.64687866465</v>
      </c>
      <c r="CA73" s="100" t="n">
        <f aca="false">-CA36*Hipótesis!$D$68</f>
        <v>-2171.64687866465</v>
      </c>
      <c r="CB73" s="100" t="n">
        <f aca="false">-CB36*Hipótesis!$D$68</f>
        <v>-2171.64687866465</v>
      </c>
      <c r="CC73" s="100" t="n">
        <f aca="false">-CC36*Hipótesis!$D$68</f>
        <v>-2171.64687866465</v>
      </c>
      <c r="CD73" s="100" t="n">
        <f aca="false">-CD36*Hipótesis!$D$68</f>
        <v>-2171.64687866465</v>
      </c>
      <c r="CE73" s="100" t="n">
        <f aca="false">-CE36*Hipótesis!$D$68</f>
        <v>-2171.64687866465</v>
      </c>
      <c r="CF73" s="100" t="n">
        <f aca="false">-CF36*Hipótesis!$D$68</f>
        <v>-2171.64687866465</v>
      </c>
      <c r="CG73" s="100" t="n">
        <f aca="false">-CG36*Hipótesis!$D$68</f>
        <v>-2171.64687866465</v>
      </c>
      <c r="CH73" s="100" t="n">
        <f aca="false">-CH36*Hipótesis!$D$68</f>
        <v>-2171.64687866465</v>
      </c>
    </row>
    <row r="74" customFormat="false" ht="13.5" hidden="false" customHeight="true" outlineLevel="0" collapsed="false">
      <c r="A74" s="22" t="s">
        <v>548</v>
      </c>
      <c r="C74" s="100" t="n">
        <f aca="false">C66+C67+C71+C72+C73</f>
        <v>-44653.7128336701</v>
      </c>
      <c r="D74" s="100" t="n">
        <f aca="false">D66+D67+D71+D72+D73</f>
        <v>-27878.7248450653</v>
      </c>
      <c r="E74" s="100" t="n">
        <f aca="false">E66+E67+E71+E72+E73</f>
        <v>-22219.0028977604</v>
      </c>
      <c r="F74" s="100" t="n">
        <f aca="false">F66+F67+F71+F72+F73</f>
        <v>-19795.7056875444</v>
      </c>
      <c r="G74" s="100" t="n">
        <f aca="false">G66+G67+G71+G72+G73</f>
        <v>-17760.9092996032</v>
      </c>
      <c r="H74" s="100" t="n">
        <f aca="false">H66+H67+H71+H72+H73</f>
        <v>-15321.3992772624</v>
      </c>
      <c r="I74" s="100" t="n">
        <f aca="false">I66+I67+I71+I72+I73</f>
        <v>-11758.9581269709</v>
      </c>
      <c r="J74" s="100" t="n">
        <f aca="false">J66+J67+J71+J72+J73</f>
        <v>-7780.04252466876</v>
      </c>
      <c r="K74" s="100" t="n">
        <f aca="false">K66+K67+K71+K72+K73</f>
        <v>-3801.12692236662</v>
      </c>
      <c r="L74" s="100" t="n">
        <f aca="false">L66+L67+L71+L72+L73</f>
        <v>-251.828601102704</v>
      </c>
      <c r="M74" s="100" t="n">
        <f aca="false">M66+M67+M71+M72+M73</f>
        <v>2726.73582467983</v>
      </c>
      <c r="N74" s="100" t="n">
        <f aca="false">N66+N67+N71+N72+N73</f>
        <v>4854.8695676764</v>
      </c>
      <c r="O74" s="100" t="n">
        <f aca="false">O66+O67+O71+O72+O73</f>
        <v>4687.5492330536</v>
      </c>
      <c r="P74" s="100" t="n">
        <f aca="false">P66+P67+P71+P72+P73</f>
        <v>4870.09652342659</v>
      </c>
      <c r="Q74" s="100" t="n">
        <f aca="false">Q66+Q67+Q71+Q72+Q73</f>
        <v>6938.89301129958</v>
      </c>
      <c r="R74" s="100" t="n">
        <f aca="false">R66+R67+R71+R72+R73</f>
        <v>9007.68949917257</v>
      </c>
      <c r="S74" s="100" t="n">
        <f aca="false">S66+S67+S71+S72+S73</f>
        <v>11076.4859870456</v>
      </c>
      <c r="T74" s="100" t="n">
        <f aca="false">T66+T67+T71+T72+T73</f>
        <v>13145.2824749186</v>
      </c>
      <c r="U74" s="100" t="n">
        <f aca="false">U66+U67+U71+U72+U73</f>
        <v>13242.5230027915</v>
      </c>
      <c r="V74" s="100" t="n">
        <f aca="false">V66+V67+V71+V72+V73</f>
        <v>12991.8418906645</v>
      </c>
      <c r="W74" s="100" t="n">
        <f aca="false">W66+W67+W71+W72+W73</f>
        <v>15060.6383785375</v>
      </c>
      <c r="X74" s="100" t="n">
        <f aca="false">X66+X67+X71+X72+X73</f>
        <v>16668.1853257776</v>
      </c>
      <c r="Y74" s="100" t="n">
        <f aca="false">Y66+Y67+Y71+Y72+Y73</f>
        <v>18085.6372730177</v>
      </c>
      <c r="Z74" s="100" t="n">
        <f aca="false">Z66+Z67+Z71+Z72+Z73</f>
        <v>19330.7480237546</v>
      </c>
      <c r="AA74" s="100" t="n">
        <f aca="false">AA66+AA67+AA71+AA72+AA73</f>
        <v>18564.6939608916</v>
      </c>
      <c r="AB74" s="100" t="n">
        <f aca="false">AB66+AB67+AB71+AB72+AB73</f>
        <v>17713.5059394951</v>
      </c>
      <c r="AC74" s="100" t="n">
        <f aca="false">AC66+AC67+AC71+AC72+AC73</f>
        <v>18893.0205568987</v>
      </c>
      <c r="AD74" s="100" t="n">
        <f aca="false">AD66+AD67+AD71+AD72+AD73</f>
        <v>20072.5351743023</v>
      </c>
      <c r="AE74" s="100" t="n">
        <f aca="false">AE66+AE67+AE71+AE72+AE73</f>
        <v>21252.0497917059</v>
      </c>
      <c r="AF74" s="100" t="n">
        <f aca="false">AF66+AF67+AF71+AF72+AF73</f>
        <v>22431.5644091095</v>
      </c>
      <c r="AG74" s="100" t="n">
        <f aca="false">AG66+AG67+AG71+AG72+AG73</f>
        <v>23611.0790265131</v>
      </c>
      <c r="AH74" s="100" t="n">
        <f aca="false">AH66+AH67+AH71+AH72+AH73</f>
        <v>24790.5936439166</v>
      </c>
      <c r="AI74" s="100" t="n">
        <f aca="false">AI66+AI67+AI71+AI72+AI73</f>
        <v>25970.1082613202</v>
      </c>
      <c r="AJ74" s="100" t="n">
        <f aca="false">AJ66+AJ67+AJ71+AJ72+AJ73</f>
        <v>27149.6228787238</v>
      </c>
      <c r="AK74" s="100" t="n">
        <f aca="false">AK66+AK67+AK71+AK72+AK73</f>
        <v>28329.1374961274</v>
      </c>
      <c r="AL74" s="100" t="n">
        <f aca="false">AL66+AL67+AL71+AL72+AL73</f>
        <v>27477.949474731</v>
      </c>
      <c r="AM74" s="100" t="n">
        <f aca="false">AM66+AM67+AM71+AM72+AM73</f>
        <v>23460.754242351</v>
      </c>
      <c r="AN74" s="100" t="n">
        <f aca="false">AN66+AN67+AN71+AN72+AN73</f>
        <v>24500.3879263828</v>
      </c>
      <c r="AO74" s="100" t="n">
        <f aca="false">AO66+AO67+AO71+AO72+AO73</f>
        <v>25540.0216104146</v>
      </c>
      <c r="AP74" s="100" t="n">
        <f aca="false">AP66+AP67+AP71+AP72+AP73</f>
        <v>26579.6552944463</v>
      </c>
      <c r="AQ74" s="100" t="n">
        <f aca="false">AQ66+AQ67+AQ71+AQ72+AQ73</f>
        <v>27619.2889784781</v>
      </c>
      <c r="AR74" s="100" t="n">
        <f aca="false">AR66+AR67+AR71+AR72+AR73</f>
        <v>28658.9226625099</v>
      </c>
      <c r="AS74" s="100" t="n">
        <f aca="false">AS66+AS67+AS71+AS72+AS73</f>
        <v>29074.0082256317</v>
      </c>
      <c r="AT74" s="100" t="n">
        <f aca="false">AT66+AT67+AT71+AT72+AT73</f>
        <v>29072.6193367428</v>
      </c>
      <c r="AU74" s="100" t="n">
        <f aca="false">AU66+AU67+AU71+AU72+AU73</f>
        <v>29071.2304478539</v>
      </c>
      <c r="AV74" s="100" t="n">
        <f aca="false">AV66+AV67+AV71+AV72+AV73</f>
        <v>29069.841558965</v>
      </c>
      <c r="AW74" s="100" t="n">
        <f aca="false">AW66+AW67+AW71+AW72+AW73</f>
        <v>29068.4526700761</v>
      </c>
      <c r="AX74" s="100" t="n">
        <f aca="false">AX66+AX67+AX71+AX72+AX73</f>
        <v>29067.0637811872</v>
      </c>
      <c r="AY74" s="100" t="n">
        <f aca="false">AY66+AY67+AY71+AY72+AY73</f>
        <v>27217.9350923616</v>
      </c>
      <c r="AZ74" s="100" t="n">
        <f aca="false">AZ66+AZ67+AZ71+AZ72+AZ73</f>
        <v>27216.5462034727</v>
      </c>
      <c r="BA74" s="100" t="n">
        <f aca="false">BA66+BA67+BA71+BA72+BA73</f>
        <v>27215.1573145838</v>
      </c>
      <c r="BB74" s="100" t="n">
        <f aca="false">BB66+BB67+BB71+BB72+BB73</f>
        <v>27213.7684256949</v>
      </c>
      <c r="BC74" s="100" t="n">
        <f aca="false">BC66+BC67+BC71+BC72+BC73</f>
        <v>27212.379536806</v>
      </c>
      <c r="BD74" s="100" t="n">
        <f aca="false">BD66+BD67+BD71+BD72+BD73</f>
        <v>27210.9906479171</v>
      </c>
      <c r="BE74" s="100" t="n">
        <f aca="false">BE66+BE67+BE71+BE72+BE73</f>
        <v>27209.6017590282</v>
      </c>
      <c r="BF74" s="100" t="n">
        <f aca="false">BF66+BF67+BF71+BF72+BF73</f>
        <v>27208.2128701393</v>
      </c>
      <c r="BG74" s="100" t="n">
        <f aca="false">BG66+BG67+BG71+BG72+BG73</f>
        <v>27206.8239812504</v>
      </c>
      <c r="BH74" s="100" t="n">
        <f aca="false">BH66+BH67+BH71+BH72+BH73</f>
        <v>27205.4350923616</v>
      </c>
      <c r="BI74" s="100" t="n">
        <f aca="false">BI66+BI67+BI71+BI72+BI73</f>
        <v>27204.0462034727</v>
      </c>
      <c r="BJ74" s="100" t="n">
        <f aca="false">BJ66+BJ67+BJ71+BJ72+BJ73</f>
        <v>27202.6573145838</v>
      </c>
      <c r="BK74" s="100" t="n">
        <f aca="false">BK66+BK67+BK71+BK72+BK73</f>
        <v>25342.94343176</v>
      </c>
      <c r="BL74" s="100" t="n">
        <f aca="false">BL66+BL67+BL71+BL72+BL73</f>
        <v>25341.5545428711</v>
      </c>
      <c r="BM74" s="100" t="n">
        <f aca="false">BM66+BM67+BM71+BM72+BM73</f>
        <v>25340.1656539822</v>
      </c>
      <c r="BN74" s="100" t="n">
        <f aca="false">BN66+BN67+BN71+BN72+BN73</f>
        <v>25338.7767650933</v>
      </c>
      <c r="BO74" s="100" t="n">
        <f aca="false">BO66+BO67+BO71+BO72+BO73</f>
        <v>25337.3878762044</v>
      </c>
      <c r="BP74" s="100" t="n">
        <f aca="false">BP66+BP67+BP71+BP72+BP73</f>
        <v>25335.9989873155</v>
      </c>
      <c r="BQ74" s="100" t="n">
        <f aca="false">BQ66+BQ67+BQ71+BQ72+BQ73</f>
        <v>25334.6100984267</v>
      </c>
      <c r="BR74" s="100" t="n">
        <f aca="false">BR66+BR67+BR71+BR72+BR73</f>
        <v>25333.2212095378</v>
      </c>
      <c r="BS74" s="100" t="n">
        <f aca="false">BS66+BS67+BS71+BS72+BS73</f>
        <v>25331.8323206489</v>
      </c>
      <c r="BT74" s="100" t="n">
        <f aca="false">BT66+BT67+BT71+BT72+BT73</f>
        <v>25330.44343176</v>
      </c>
      <c r="BU74" s="100" t="n">
        <f aca="false">BU66+BU67+BU71+BU72+BU73</f>
        <v>25329.0545428711</v>
      </c>
      <c r="BV74" s="100" t="n">
        <f aca="false">BV66+BV67+BV71+BV72+BV73</f>
        <v>25327.6656539822</v>
      </c>
      <c r="BW74" s="100" t="n">
        <f aca="false">BW66+BW67+BW71+BW72+BW73</f>
        <v>23457.0490213404</v>
      </c>
      <c r="BX74" s="100" t="n">
        <f aca="false">BX66+BX67+BX71+BX72+BX73</f>
        <v>23455.6601324515</v>
      </c>
      <c r="BY74" s="100" t="n">
        <f aca="false">BY66+BY67+BY71+BY72+BY73</f>
        <v>23454.2712435626</v>
      </c>
      <c r="BZ74" s="100" t="n">
        <f aca="false">BZ66+BZ67+BZ71+BZ72+BZ73</f>
        <v>23452.8823546737</v>
      </c>
      <c r="CA74" s="100" t="n">
        <f aca="false">CA66+CA67+CA71+CA72+CA73</f>
        <v>23451.4934657848</v>
      </c>
      <c r="CB74" s="100" t="n">
        <f aca="false">CB66+CB67+CB71+CB72+CB73</f>
        <v>23450.1045768959</v>
      </c>
      <c r="CC74" s="100" t="n">
        <f aca="false">CC66+CC67+CC71+CC72+CC73</f>
        <v>23448.715688007</v>
      </c>
      <c r="CD74" s="100" t="n">
        <f aca="false">CD66+CD67+CD71+CD72+CD73</f>
        <v>23447.3267991181</v>
      </c>
      <c r="CE74" s="100" t="n">
        <f aca="false">CE66+CE67+CE71+CE72+CE73</f>
        <v>23445.9379102293</v>
      </c>
      <c r="CF74" s="100" t="n">
        <f aca="false">CF66+CF67+CF71+CF72+CF73</f>
        <v>23444.5490213404</v>
      </c>
      <c r="CG74" s="100" t="n">
        <f aca="false">CG66+CG67+CG71+CG72+CG73</f>
        <v>23443.1601324515</v>
      </c>
      <c r="CH74" s="100" t="n">
        <f aca="false">CH66+CH67+CH71+CH72+CH73</f>
        <v>23441.7712435626</v>
      </c>
    </row>
    <row r="75" customFormat="false" ht="13.5" hidden="false" customHeight="true" outlineLevel="0" collapsed="false">
      <c r="A75" s="6" t="s">
        <v>549</v>
      </c>
      <c r="C75" s="100" t="n">
        <f aca="false">Hipótesis!$D$122</f>
        <v>200000</v>
      </c>
      <c r="D75" s="100" t="n">
        <f aca="false">0</f>
        <v>0</v>
      </c>
      <c r="E75" s="100" t="n">
        <f aca="false">0</f>
        <v>0</v>
      </c>
      <c r="F75" s="100" t="n">
        <f aca="false">0</f>
        <v>0</v>
      </c>
      <c r="G75" s="100" t="n">
        <f aca="false">0</f>
        <v>0</v>
      </c>
      <c r="H75" s="100" t="n">
        <f aca="false">0</f>
        <v>0</v>
      </c>
      <c r="I75" s="100" t="n">
        <f aca="false">0</f>
        <v>0</v>
      </c>
      <c r="J75" s="100" t="n">
        <f aca="false">0</f>
        <v>0</v>
      </c>
      <c r="K75" s="100" t="n">
        <f aca="false">0</f>
        <v>0</v>
      </c>
      <c r="L75" s="100" t="n">
        <f aca="false">0</f>
        <v>0</v>
      </c>
      <c r="M75" s="100" t="n">
        <f aca="false">0</f>
        <v>0</v>
      </c>
      <c r="N75" s="100" t="n">
        <f aca="false">0</f>
        <v>0</v>
      </c>
      <c r="O75" s="100" t="n">
        <f aca="false">0</f>
        <v>0</v>
      </c>
      <c r="P75" s="100" t="n">
        <f aca="false">0</f>
        <v>0</v>
      </c>
      <c r="Q75" s="100" t="n">
        <f aca="false">0</f>
        <v>0</v>
      </c>
      <c r="R75" s="100" t="n">
        <f aca="false">0</f>
        <v>0</v>
      </c>
      <c r="S75" s="100" t="n">
        <f aca="false">0</f>
        <v>0</v>
      </c>
      <c r="T75" s="100" t="n">
        <f aca="false">0</f>
        <v>0</v>
      </c>
      <c r="U75" s="100" t="n">
        <f aca="false">0</f>
        <v>0</v>
      </c>
      <c r="V75" s="100" t="n">
        <f aca="false">0</f>
        <v>0</v>
      </c>
      <c r="W75" s="100" t="n">
        <f aca="false">0</f>
        <v>0</v>
      </c>
      <c r="X75" s="100" t="n">
        <f aca="false">0</f>
        <v>0</v>
      </c>
      <c r="Y75" s="100" t="n">
        <f aca="false">0</f>
        <v>0</v>
      </c>
      <c r="Z75" s="100" t="n">
        <f aca="false">0</f>
        <v>0</v>
      </c>
      <c r="AA75" s="100" t="n">
        <f aca="false">0</f>
        <v>0</v>
      </c>
      <c r="AB75" s="100" t="n">
        <f aca="false">0</f>
        <v>0</v>
      </c>
      <c r="AC75" s="100" t="n">
        <f aca="false">0</f>
        <v>0</v>
      </c>
      <c r="AD75" s="100" t="n">
        <f aca="false">0</f>
        <v>0</v>
      </c>
      <c r="AE75" s="100" t="n">
        <f aca="false">0</f>
        <v>0</v>
      </c>
      <c r="AF75" s="100" t="n">
        <f aca="false">0</f>
        <v>0</v>
      </c>
      <c r="AG75" s="100" t="n">
        <f aca="false">0</f>
        <v>0</v>
      </c>
      <c r="AH75" s="100" t="n">
        <f aca="false">0</f>
        <v>0</v>
      </c>
      <c r="AI75" s="100" t="n">
        <f aca="false">0</f>
        <v>0</v>
      </c>
      <c r="AJ75" s="100" t="n">
        <f aca="false">0</f>
        <v>0</v>
      </c>
      <c r="AK75" s="100" t="n">
        <f aca="false">0</f>
        <v>0</v>
      </c>
      <c r="AL75" s="100" t="n">
        <f aca="false">0</f>
        <v>0</v>
      </c>
      <c r="AM75" s="100" t="n">
        <f aca="false">0</f>
        <v>0</v>
      </c>
      <c r="AN75" s="100" t="n">
        <f aca="false">0</f>
        <v>0</v>
      </c>
      <c r="AO75" s="100" t="n">
        <f aca="false">0</f>
        <v>0</v>
      </c>
      <c r="AP75" s="100" t="n">
        <f aca="false">0</f>
        <v>0</v>
      </c>
      <c r="AQ75" s="100" t="n">
        <f aca="false">0</f>
        <v>0</v>
      </c>
      <c r="AR75" s="100" t="n">
        <f aca="false">0</f>
        <v>0</v>
      </c>
      <c r="AS75" s="100" t="n">
        <f aca="false">0</f>
        <v>0</v>
      </c>
      <c r="AT75" s="100" t="n">
        <f aca="false">0</f>
        <v>0</v>
      </c>
      <c r="AU75" s="100" t="n">
        <f aca="false">0</f>
        <v>0</v>
      </c>
      <c r="AV75" s="100" t="n">
        <f aca="false">0</f>
        <v>0</v>
      </c>
      <c r="AW75" s="100" t="n">
        <f aca="false">0</f>
        <v>0</v>
      </c>
      <c r="AX75" s="100" t="n">
        <f aca="false">0</f>
        <v>0</v>
      </c>
      <c r="AY75" s="100" t="n">
        <f aca="false">0</f>
        <v>0</v>
      </c>
      <c r="AZ75" s="100" t="n">
        <f aca="false">0</f>
        <v>0</v>
      </c>
      <c r="BA75" s="100" t="n">
        <f aca="false">0</f>
        <v>0</v>
      </c>
      <c r="BB75" s="100" t="n">
        <f aca="false">0</f>
        <v>0</v>
      </c>
      <c r="BC75" s="100" t="n">
        <f aca="false">0</f>
        <v>0</v>
      </c>
      <c r="BD75" s="100" t="n">
        <f aca="false">0</f>
        <v>0</v>
      </c>
      <c r="BE75" s="100" t="n">
        <f aca="false">0</f>
        <v>0</v>
      </c>
      <c r="BF75" s="100" t="n">
        <f aca="false">0</f>
        <v>0</v>
      </c>
      <c r="BG75" s="100" t="n">
        <f aca="false">0</f>
        <v>0</v>
      </c>
      <c r="BH75" s="100" t="n">
        <f aca="false">0</f>
        <v>0</v>
      </c>
      <c r="BI75" s="100" t="n">
        <f aca="false">0</f>
        <v>0</v>
      </c>
      <c r="BJ75" s="100" t="n">
        <f aca="false">0</f>
        <v>0</v>
      </c>
      <c r="BK75" s="100" t="n">
        <f aca="false">0</f>
        <v>0</v>
      </c>
      <c r="BL75" s="100" t="n">
        <f aca="false">0</f>
        <v>0</v>
      </c>
      <c r="BM75" s="100" t="n">
        <f aca="false">0</f>
        <v>0</v>
      </c>
      <c r="BN75" s="100" t="n">
        <f aca="false">0</f>
        <v>0</v>
      </c>
      <c r="BO75" s="100" t="n">
        <f aca="false">0</f>
        <v>0</v>
      </c>
      <c r="BP75" s="100" t="n">
        <f aca="false">0</f>
        <v>0</v>
      </c>
      <c r="BQ75" s="100" t="n">
        <f aca="false">0</f>
        <v>0</v>
      </c>
      <c r="BR75" s="100" t="n">
        <f aca="false">0</f>
        <v>0</v>
      </c>
      <c r="BS75" s="100" t="n">
        <f aca="false">0</f>
        <v>0</v>
      </c>
      <c r="BT75" s="100" t="n">
        <f aca="false">0</f>
        <v>0</v>
      </c>
      <c r="BU75" s="100" t="n">
        <f aca="false">0</f>
        <v>0</v>
      </c>
      <c r="BV75" s="100" t="n">
        <f aca="false">0</f>
        <v>0</v>
      </c>
      <c r="BW75" s="100" t="n">
        <f aca="false">0</f>
        <v>0</v>
      </c>
      <c r="BX75" s="100" t="n">
        <f aca="false">0</f>
        <v>0</v>
      </c>
      <c r="BY75" s="100" t="n">
        <f aca="false">0</f>
        <v>0</v>
      </c>
      <c r="BZ75" s="100" t="n">
        <f aca="false">0</f>
        <v>0</v>
      </c>
      <c r="CA75" s="100" t="n">
        <f aca="false">0</f>
        <v>0</v>
      </c>
      <c r="CB75" s="100" t="n">
        <f aca="false">0</f>
        <v>0</v>
      </c>
      <c r="CC75" s="100" t="n">
        <f aca="false">0</f>
        <v>0</v>
      </c>
      <c r="CD75" s="100" t="n">
        <f aca="false">0</f>
        <v>0</v>
      </c>
      <c r="CE75" s="100" t="n">
        <f aca="false">0</f>
        <v>0</v>
      </c>
      <c r="CF75" s="100" t="n">
        <f aca="false">0</f>
        <v>0</v>
      </c>
      <c r="CG75" s="100" t="n">
        <f aca="false">0</f>
        <v>0</v>
      </c>
      <c r="CH75" s="100" t="n">
        <f aca="false">0</f>
        <v>0</v>
      </c>
    </row>
    <row r="76" customFormat="false" ht="13.5" hidden="false" customHeight="true" outlineLevel="0" collapsed="false">
      <c r="A76" s="6" t="s">
        <v>550</v>
      </c>
      <c r="C76" s="100" t="n">
        <f aca="false">-C106</f>
        <v>-333.333333333333</v>
      </c>
      <c r="D76" s="100" t="n">
        <f aca="false">-D106</f>
        <v>-333.333333333333</v>
      </c>
      <c r="E76" s="100" t="n">
        <f aca="false">-E106</f>
        <v>-333.333333333333</v>
      </c>
      <c r="F76" s="100" t="n">
        <f aca="false">-F106</f>
        <v>-333.333333333333</v>
      </c>
      <c r="G76" s="100" t="n">
        <f aca="false">-G106</f>
        <v>-333.333333333333</v>
      </c>
      <c r="H76" s="100" t="n">
        <f aca="false">-H106</f>
        <v>-333.333333333333</v>
      </c>
      <c r="I76" s="100" t="n">
        <f aca="false">-I106</f>
        <v>-333.333333333333</v>
      </c>
      <c r="J76" s="100" t="n">
        <f aca="false">-J106</f>
        <v>-333.333333333333</v>
      </c>
      <c r="K76" s="100" t="n">
        <f aca="false">-K106</f>
        <v>-363.280667725478</v>
      </c>
      <c r="L76" s="100" t="n">
        <f aca="false">-L106</f>
        <v>-424.816837759668</v>
      </c>
      <c r="M76" s="100" t="n">
        <f aca="false">-M106</f>
        <v>-465.222604535034</v>
      </c>
      <c r="N76" s="100" t="n">
        <f aca="false">-N106</f>
        <v>-521.437045402029</v>
      </c>
      <c r="O76" s="100" t="n">
        <f aca="false">-O106</f>
        <v>-473.107486269023</v>
      </c>
      <c r="P76" s="100" t="n">
        <f aca="false">-P106</f>
        <v>-477.017810834674</v>
      </c>
      <c r="Q76" s="100" t="n">
        <f aca="false">-Q106</f>
        <v>-527.154535400326</v>
      </c>
      <c r="R76" s="100" t="n">
        <f aca="false">-R106</f>
        <v>-577.291259965977</v>
      </c>
      <c r="S76" s="100" t="n">
        <f aca="false">-S106</f>
        <v>-627.427984531628</v>
      </c>
      <c r="T76" s="100" t="n">
        <f aca="false">-T106</f>
        <v>-677.56470909728</v>
      </c>
      <c r="U76" s="100" t="n">
        <f aca="false">-U106</f>
        <v>-681.475033662931</v>
      </c>
      <c r="V76" s="100" t="n">
        <f aca="false">-V106</f>
        <v>-677.227758228582</v>
      </c>
      <c r="W76" s="100" t="n">
        <f aca="false">-W106</f>
        <v>-727.364482794234</v>
      </c>
      <c r="X76" s="100" t="n">
        <f aca="false">-X106</f>
        <v>-761.692533268258</v>
      </c>
      <c r="Y76" s="100" t="n">
        <f aca="false">-Y106</f>
        <v>-796.020583742282</v>
      </c>
      <c r="Z76" s="100" t="n">
        <f aca="false">-Z106</f>
        <v>-824.588924579655</v>
      </c>
      <c r="AA76" s="100" t="n">
        <f aca="false">-AA106</f>
        <v>-2474.1873080837</v>
      </c>
      <c r="AB76" s="100" t="n">
        <f aca="false">-AB106</f>
        <v>-2449.58690136551</v>
      </c>
      <c r="AC76" s="100" t="n">
        <f aca="false">-AC106</f>
        <v>-2472.59968664733</v>
      </c>
      <c r="AD76" s="100" t="n">
        <f aca="false">-AD106</f>
        <v>-2495.61247192915</v>
      </c>
      <c r="AE76" s="100" t="n">
        <f aca="false">-AE106</f>
        <v>-2518.62525721096</v>
      </c>
      <c r="AF76" s="100" t="n">
        <f aca="false">-AF106</f>
        <v>-2541.63804249278</v>
      </c>
      <c r="AG76" s="100" t="n">
        <f aca="false">-AG106</f>
        <v>-2564.6508277746</v>
      </c>
      <c r="AH76" s="100" t="n">
        <f aca="false">-AH106</f>
        <v>-2587.66361305642</v>
      </c>
      <c r="AI76" s="100" t="n">
        <f aca="false">-AI106</f>
        <v>-2610.67639833824</v>
      </c>
      <c r="AJ76" s="100" t="n">
        <f aca="false">-AJ106</f>
        <v>-2633.68918362005</v>
      </c>
      <c r="AK76" s="100" t="n">
        <f aca="false">-AK106</f>
        <v>-2656.70196890187</v>
      </c>
      <c r="AL76" s="100" t="n">
        <f aca="false">-AL106</f>
        <v>-2632.10156218369</v>
      </c>
      <c r="AM76" s="100" t="n">
        <f aca="false">-AM106</f>
        <v>-2606.4398332255</v>
      </c>
      <c r="AN76" s="100" t="n">
        <f aca="false">-AN106</f>
        <v>-2629.45261850732</v>
      </c>
      <c r="AO76" s="100" t="n">
        <f aca="false">-AO106</f>
        <v>-2652.46540378914</v>
      </c>
      <c r="AP76" s="100" t="n">
        <f aca="false">-AP106</f>
        <v>-2675.47818907096</v>
      </c>
      <c r="AQ76" s="100" t="n">
        <f aca="false">-AQ106</f>
        <v>-2698.49097435277</v>
      </c>
      <c r="AR76" s="100" t="n">
        <f aca="false">-AR106</f>
        <v>-2721.50375963459</v>
      </c>
      <c r="AS76" s="100" t="n">
        <f aca="false">-AS106</f>
        <v>-2715.94820407904</v>
      </c>
      <c r="AT76" s="100" t="n">
        <f aca="false">-AT106</f>
        <v>-2710.39264852348</v>
      </c>
      <c r="AU76" s="100" t="n">
        <f aca="false">-AU106</f>
        <v>-2704.83709296793</v>
      </c>
      <c r="AV76" s="100" t="n">
        <f aca="false">-AV106</f>
        <v>-2699.28153741237</v>
      </c>
      <c r="AW76" s="100" t="n">
        <f aca="false">-AW106</f>
        <v>-2693.72598185681</v>
      </c>
      <c r="AX76" s="100" t="n">
        <f aca="false">-AX106</f>
        <v>-2688.17042630126</v>
      </c>
      <c r="AY76" s="100" t="n">
        <f aca="false">-AY106</f>
        <v>-2633.6681210785</v>
      </c>
      <c r="AZ76" s="100" t="n">
        <f aca="false">-AZ106</f>
        <v>-2628.11256552295</v>
      </c>
      <c r="BA76" s="100" t="n">
        <f aca="false">-BA106</f>
        <v>-2622.55700996739</v>
      </c>
      <c r="BB76" s="100" t="n">
        <f aca="false">-BB106</f>
        <v>-2617.00145441184</v>
      </c>
      <c r="BC76" s="100" t="n">
        <f aca="false">-BC106</f>
        <v>-2611.44589885628</v>
      </c>
      <c r="BD76" s="100" t="n">
        <f aca="false">-BD106</f>
        <v>-2605.89034330073</v>
      </c>
      <c r="BE76" s="100" t="n">
        <f aca="false">-BE106</f>
        <v>-2600.33478774517</v>
      </c>
      <c r="BF76" s="100" t="n">
        <f aca="false">-BF106</f>
        <v>-2594.77923218961</v>
      </c>
      <c r="BG76" s="100" t="n">
        <f aca="false">-BG106</f>
        <v>-2589.22367663406</v>
      </c>
      <c r="BH76" s="100" t="n">
        <f aca="false">-BH106</f>
        <v>-2583.6681210785</v>
      </c>
      <c r="BI76" s="100" t="n">
        <f aca="false">-BI106</f>
        <v>-2578.11256552295</v>
      </c>
      <c r="BJ76" s="100" t="n">
        <f aca="false">-BJ106</f>
        <v>-2572.55700996739</v>
      </c>
      <c r="BK76" s="100" t="n">
        <f aca="false">-BK106</f>
        <v>-2517.77430225462</v>
      </c>
      <c r="BL76" s="100" t="n">
        <f aca="false">-BL106</f>
        <v>-2512.21874669907</v>
      </c>
      <c r="BM76" s="100" t="n">
        <f aca="false">-BM106</f>
        <v>-2506.66319114351</v>
      </c>
      <c r="BN76" s="100" t="n">
        <f aca="false">-BN106</f>
        <v>-2501.10763558795</v>
      </c>
      <c r="BO76" s="100" t="n">
        <f aca="false">-BO106</f>
        <v>-2495.5520800324</v>
      </c>
      <c r="BP76" s="100" t="n">
        <f aca="false">-BP106</f>
        <v>-2489.99652447684</v>
      </c>
      <c r="BQ76" s="100" t="n">
        <f aca="false">-BQ106</f>
        <v>-2484.44096892129</v>
      </c>
      <c r="BR76" s="100" t="n">
        <f aca="false">-BR106</f>
        <v>-2478.88541336573</v>
      </c>
      <c r="BS76" s="100" t="n">
        <f aca="false">-BS106</f>
        <v>-2473.32985781018</v>
      </c>
      <c r="BT76" s="100" t="n">
        <f aca="false">-BT106</f>
        <v>-2467.77430225462</v>
      </c>
      <c r="BU76" s="100" t="n">
        <f aca="false">-BU106</f>
        <v>-2462.21874669907</v>
      </c>
      <c r="BV76" s="100" t="n">
        <f aca="false">-BV106</f>
        <v>-2456.66319114351</v>
      </c>
      <c r="BW76" s="100" t="n">
        <f aca="false">-BW106</f>
        <v>-2401.59166886602</v>
      </c>
      <c r="BX76" s="100" t="n">
        <f aca="false">-BX106</f>
        <v>-2396.03611331047</v>
      </c>
      <c r="BY76" s="100" t="n">
        <f aca="false">-BY106</f>
        <v>-2390.48055775491</v>
      </c>
      <c r="BZ76" s="100" t="n">
        <f aca="false">-BZ106</f>
        <v>-2384.92500219935</v>
      </c>
      <c r="CA76" s="100" t="n">
        <f aca="false">-CA106</f>
        <v>-2379.3694466438</v>
      </c>
      <c r="CB76" s="100" t="n">
        <f aca="false">-CB106</f>
        <v>-2373.81389108824</v>
      </c>
      <c r="CC76" s="100" t="n">
        <f aca="false">-CC106</f>
        <v>-2368.25833553269</v>
      </c>
      <c r="CD76" s="100" t="n">
        <f aca="false">-CD106</f>
        <v>-2362.70277997713</v>
      </c>
      <c r="CE76" s="100" t="n">
        <f aca="false">-CE106</f>
        <v>-2357.14722442158</v>
      </c>
      <c r="CF76" s="100" t="n">
        <f aca="false">-CF106</f>
        <v>-2351.59166886602</v>
      </c>
      <c r="CG76" s="100" t="n">
        <f aca="false">-CG106</f>
        <v>-2346.03611331047</v>
      </c>
      <c r="CH76" s="100" t="n">
        <f aca="false">-CH106</f>
        <v>-2340.48055775485</v>
      </c>
    </row>
    <row r="77" customFormat="false" ht="13.5" hidden="false" customHeight="true" outlineLevel="0" collapsed="false">
      <c r="A77" s="6" t="s">
        <v>551</v>
      </c>
      <c r="C77" s="100" t="n">
        <f aca="false">0</f>
        <v>0</v>
      </c>
      <c r="D77" s="100" t="n">
        <f aca="false">C81*Hipótesis!$D$71/12</f>
        <v>-0</v>
      </c>
      <c r="E77" s="100" t="n">
        <f aca="false">D81*Hipótesis!$D$71/12</f>
        <v>0</v>
      </c>
      <c r="F77" s="100" t="n">
        <f aca="false">E81*Hipótesis!$D$71/12</f>
        <v>0</v>
      </c>
      <c r="G77" s="100" t="n">
        <f aca="false">F81*Hipótesis!$D$71/12</f>
        <v>0</v>
      </c>
      <c r="H77" s="100" t="n">
        <f aca="false">G81*Hipótesis!$D$71/12</f>
        <v>0</v>
      </c>
      <c r="I77" s="100" t="n">
        <f aca="false">H81*Hipótesis!$D$71/12</f>
        <v>0</v>
      </c>
      <c r="J77" s="100" t="n">
        <f aca="false">I81*Hipótesis!$D$71/12</f>
        <v>0</v>
      </c>
      <c r="K77" s="100" t="n">
        <f aca="false">J81*Hipótesis!$D$71/12</f>
        <v>0</v>
      </c>
      <c r="L77" s="100" t="n">
        <f aca="false">K81*Hipótesis!$D$71/12</f>
        <v>18.3311780176439</v>
      </c>
      <c r="M77" s="100" t="n">
        <f aca="false">L81*Hipótesis!$D$71/12</f>
        <v>21.5164875116773</v>
      </c>
      <c r="N77" s="100" t="n">
        <f aca="false">M81*Hipótesis!$D$71/12</f>
        <v>11.2498358204422</v>
      </c>
      <c r="O77" s="100" t="n">
        <f aca="false">N81*Hipótesis!$D$71/12</f>
        <v>0</v>
      </c>
      <c r="P77" s="100" t="n">
        <f aca="false">O81*Hipótesis!$D$71/12</f>
        <v>0</v>
      </c>
      <c r="Q77" s="100" t="n">
        <f aca="false">P81*Hipótesis!$D$71/12</f>
        <v>0</v>
      </c>
      <c r="R77" s="100" t="n">
        <f aca="false">Q81*Hipótesis!$D$71/12</f>
        <v>0</v>
      </c>
      <c r="S77" s="100" t="n">
        <f aca="false">R81*Hipótesis!$D$71/12</f>
        <v>0</v>
      </c>
      <c r="T77" s="100" t="n">
        <f aca="false">S81*Hipótesis!$D$71/12</f>
        <v>0</v>
      </c>
      <c r="U77" s="100" t="n">
        <f aca="false">T81*Hipótesis!$D$71/12</f>
        <v>0</v>
      </c>
      <c r="V77" s="100" t="n">
        <f aca="false">U81*Hipótesis!$D$71/12</f>
        <v>0</v>
      </c>
      <c r="W77" s="100" t="n">
        <f aca="false">V81*Hipótesis!$D$71/12</f>
        <v>0</v>
      </c>
      <c r="X77" s="100" t="n">
        <f aca="false">W81*Hipótesis!$D$71/12</f>
        <v>0</v>
      </c>
      <c r="Y77" s="100" t="n">
        <f aca="false">X81*Hipótesis!$D$71/12</f>
        <v>0</v>
      </c>
      <c r="Z77" s="100" t="n">
        <f aca="false">Y81*Hipótesis!$D$71/12</f>
        <v>0</v>
      </c>
      <c r="AA77" s="100" t="n">
        <f aca="false">Z81*Hipótesis!$D$71/12</f>
        <v>0</v>
      </c>
      <c r="AB77" s="100" t="n">
        <f aca="false">AA81*Hipótesis!$D$71/12</f>
        <v>0</v>
      </c>
      <c r="AC77" s="100" t="n">
        <f aca="false">AB81*Hipótesis!$D$71/12</f>
        <v>0</v>
      </c>
      <c r="AD77" s="100" t="n">
        <f aca="false">AC81*Hipótesis!$D$71/12</f>
        <v>0</v>
      </c>
      <c r="AE77" s="100" t="n">
        <f aca="false">AD81*Hipótesis!$D$71/12</f>
        <v>0</v>
      </c>
      <c r="AF77" s="100" t="n">
        <f aca="false">AE81*Hipótesis!$D$71/12</f>
        <v>0</v>
      </c>
      <c r="AG77" s="100" t="n">
        <f aca="false">AF81*Hipótesis!$D$71/12</f>
        <v>0</v>
      </c>
      <c r="AH77" s="100" t="n">
        <f aca="false">AG81*Hipótesis!$D$71/12</f>
        <v>0</v>
      </c>
      <c r="AI77" s="100" t="n">
        <f aca="false">AH81*Hipótesis!$D$71/12</f>
        <v>0</v>
      </c>
      <c r="AJ77" s="100" t="n">
        <f aca="false">AI81*Hipótesis!$D$71/12</f>
        <v>0</v>
      </c>
      <c r="AK77" s="100" t="n">
        <f aca="false">AJ81*Hipótesis!$D$71/12</f>
        <v>0</v>
      </c>
      <c r="AL77" s="100" t="n">
        <f aca="false">AK81*Hipótesis!$D$71/12</f>
        <v>0</v>
      </c>
      <c r="AM77" s="100" t="n">
        <f aca="false">AL81*Hipótesis!$D$71/12</f>
        <v>0</v>
      </c>
      <c r="AN77" s="100" t="n">
        <f aca="false">AM81*Hipótesis!$D$71/12</f>
        <v>0</v>
      </c>
      <c r="AO77" s="100" t="n">
        <f aca="false">AN81*Hipótesis!$D$71/12</f>
        <v>0</v>
      </c>
      <c r="AP77" s="100" t="n">
        <f aca="false">AO81*Hipótesis!$D$71/12</f>
        <v>0</v>
      </c>
      <c r="AQ77" s="100" t="n">
        <f aca="false">AP81*Hipótesis!$D$71/12</f>
        <v>0</v>
      </c>
      <c r="AR77" s="100" t="n">
        <f aca="false">AQ81*Hipótesis!$D$71/12</f>
        <v>0</v>
      </c>
      <c r="AS77" s="100" t="n">
        <f aca="false">AR81*Hipótesis!$D$71/12</f>
        <v>0</v>
      </c>
      <c r="AT77" s="100" t="n">
        <f aca="false">AS81*Hipótesis!$D$71/12</f>
        <v>0</v>
      </c>
      <c r="AU77" s="100" t="n">
        <f aca="false">AT81*Hipótesis!$D$71/12</f>
        <v>0</v>
      </c>
      <c r="AV77" s="100" t="n">
        <f aca="false">AU81*Hipótesis!$D$71/12</f>
        <v>0</v>
      </c>
      <c r="AW77" s="100" t="n">
        <f aca="false">AV81*Hipótesis!$D$71/12</f>
        <v>0</v>
      </c>
      <c r="AX77" s="100" t="n">
        <f aca="false">AW81*Hipótesis!$D$71/12</f>
        <v>0</v>
      </c>
      <c r="AY77" s="100" t="n">
        <f aca="false">AX81*Hipótesis!$D$71/12</f>
        <v>0</v>
      </c>
      <c r="AZ77" s="100" t="n">
        <f aca="false">AY81*Hipótesis!$D$71/12</f>
        <v>0</v>
      </c>
      <c r="BA77" s="100" t="n">
        <f aca="false">AZ81*Hipótesis!$D$71/12</f>
        <v>0</v>
      </c>
      <c r="BB77" s="100" t="n">
        <f aca="false">BA81*Hipótesis!$D$71/12</f>
        <v>0</v>
      </c>
      <c r="BC77" s="100" t="n">
        <f aca="false">BB81*Hipótesis!$D$71/12</f>
        <v>0</v>
      </c>
      <c r="BD77" s="100" t="n">
        <f aca="false">BC81*Hipótesis!$D$71/12</f>
        <v>0</v>
      </c>
      <c r="BE77" s="100" t="n">
        <f aca="false">BD81*Hipótesis!$D$71/12</f>
        <v>0</v>
      </c>
      <c r="BF77" s="100" t="n">
        <f aca="false">BE81*Hipótesis!$D$71/12</f>
        <v>0</v>
      </c>
      <c r="BG77" s="100" t="n">
        <f aca="false">BF81*Hipótesis!$D$71/12</f>
        <v>0</v>
      </c>
      <c r="BH77" s="100" t="n">
        <f aca="false">BG81*Hipótesis!$D$71/12</f>
        <v>0</v>
      </c>
      <c r="BI77" s="100" t="n">
        <f aca="false">BH81*Hipótesis!$D$71/12</f>
        <v>0</v>
      </c>
      <c r="BJ77" s="100" t="n">
        <f aca="false">BI81*Hipótesis!$D$71/12</f>
        <v>0</v>
      </c>
      <c r="BK77" s="100" t="n">
        <f aca="false">BJ81*Hipótesis!$D$71/12</f>
        <v>0</v>
      </c>
      <c r="BL77" s="100" t="n">
        <f aca="false">BK81*Hipótesis!$D$71/12</f>
        <v>0</v>
      </c>
      <c r="BM77" s="100" t="n">
        <f aca="false">BL81*Hipótesis!$D$71/12</f>
        <v>0</v>
      </c>
      <c r="BN77" s="100" t="n">
        <f aca="false">BM81*Hipótesis!$D$71/12</f>
        <v>0</v>
      </c>
      <c r="BO77" s="100" t="n">
        <f aca="false">BN81*Hipótesis!$D$71/12</f>
        <v>0</v>
      </c>
      <c r="BP77" s="100" t="n">
        <f aca="false">BO81*Hipótesis!$D$71/12</f>
        <v>0</v>
      </c>
      <c r="BQ77" s="100" t="n">
        <f aca="false">BP81*Hipótesis!$D$71/12</f>
        <v>0</v>
      </c>
      <c r="BR77" s="100" t="n">
        <f aca="false">BQ81*Hipótesis!$D$71/12</f>
        <v>0</v>
      </c>
      <c r="BS77" s="100" t="n">
        <f aca="false">BR81*Hipótesis!$D$71/12</f>
        <v>0</v>
      </c>
      <c r="BT77" s="100" t="n">
        <f aca="false">BS81*Hipótesis!$D$71/12</f>
        <v>0</v>
      </c>
      <c r="BU77" s="100" t="n">
        <f aca="false">BT81*Hipótesis!$D$71/12</f>
        <v>0</v>
      </c>
      <c r="BV77" s="100" t="n">
        <f aca="false">BU81*Hipótesis!$D$71/12</f>
        <v>0</v>
      </c>
      <c r="BW77" s="100" t="n">
        <f aca="false">BV81*Hipótesis!$D$71/12</f>
        <v>0</v>
      </c>
      <c r="BX77" s="100" t="n">
        <f aca="false">BW81*Hipótesis!$D$71/12</f>
        <v>0</v>
      </c>
      <c r="BY77" s="100" t="n">
        <f aca="false">BX81*Hipótesis!$D$71/12</f>
        <v>0</v>
      </c>
      <c r="BZ77" s="100" t="n">
        <f aca="false">BY81*Hipótesis!$D$71/12</f>
        <v>0</v>
      </c>
      <c r="CA77" s="100" t="n">
        <f aca="false">BZ81*Hipótesis!$D$71/12</f>
        <v>0</v>
      </c>
      <c r="CB77" s="100" t="n">
        <f aca="false">CA81*Hipótesis!$D$71/12</f>
        <v>0</v>
      </c>
      <c r="CC77" s="100" t="n">
        <f aca="false">CB81*Hipótesis!$D$71/12</f>
        <v>0</v>
      </c>
      <c r="CD77" s="100" t="n">
        <f aca="false">CC81*Hipótesis!$D$71/12</f>
        <v>0</v>
      </c>
      <c r="CE77" s="100" t="n">
        <f aca="false">CD81*Hipótesis!$D$71/12</f>
        <v>0</v>
      </c>
      <c r="CF77" s="100" t="n">
        <f aca="false">CE81*Hipótesis!$D$71/12</f>
        <v>0</v>
      </c>
      <c r="CG77" s="100" t="n">
        <f aca="false">CF81*Hipótesis!$D$71/12</f>
        <v>0</v>
      </c>
      <c r="CH77" s="100" t="n">
        <f aca="false">CG81*Hipótesis!$D$71/12</f>
        <v>0</v>
      </c>
    </row>
    <row r="78" customFormat="false" ht="13.5" hidden="false" customHeight="true" outlineLevel="0" collapsed="false">
      <c r="A78" s="22" t="s">
        <v>552</v>
      </c>
      <c r="C78" s="100" t="n">
        <f aca="false">C74+C75+C76-C77</f>
        <v>155012.953832997</v>
      </c>
      <c r="D78" s="100" t="n">
        <f aca="false">D74+D75+D76-D77</f>
        <v>-28212.0581783986</v>
      </c>
      <c r="E78" s="100" t="n">
        <f aca="false">E74+E75+E76-E77</f>
        <v>-22552.3362310937</v>
      </c>
      <c r="F78" s="100" t="n">
        <f aca="false">F74+F75+F76-F77</f>
        <v>-20129.0390208777</v>
      </c>
      <c r="G78" s="100" t="n">
        <f aca="false">G74+G75+G76-G77</f>
        <v>-18094.2426329365</v>
      </c>
      <c r="H78" s="100" t="n">
        <f aca="false">H74+H75+H76-H77</f>
        <v>-15654.7326105957</v>
      </c>
      <c r="I78" s="100" t="n">
        <f aca="false">I74+I75+I76-I77</f>
        <v>-12092.2914603042</v>
      </c>
      <c r="J78" s="100" t="n">
        <f aca="false">J74+J75+J76-J77</f>
        <v>-8113.3758580021</v>
      </c>
      <c r="K78" s="100" t="n">
        <f aca="false">K74+K75+K76-K77</f>
        <v>-4164.40759009209</v>
      </c>
      <c r="L78" s="100" t="n">
        <f aca="false">L74+L75+L76-L77</f>
        <v>-694.976616880016</v>
      </c>
      <c r="M78" s="100" t="n">
        <f aca="false">M74+M75+M76-M77</f>
        <v>2239.99673263311</v>
      </c>
      <c r="N78" s="100" t="n">
        <f aca="false">N74+N75+N76-N77</f>
        <v>4322.18268645393</v>
      </c>
      <c r="O78" s="100" t="n">
        <f aca="false">O74+O75+O76-O77</f>
        <v>4214.44174678458</v>
      </c>
      <c r="P78" s="100" t="n">
        <f aca="false">P74+P75+P76-P77</f>
        <v>4393.07871259192</v>
      </c>
      <c r="Q78" s="100" t="n">
        <f aca="false">Q74+Q75+Q76-Q77</f>
        <v>6411.73847589926</v>
      </c>
      <c r="R78" s="100" t="n">
        <f aca="false">R74+R75+R76-R77</f>
        <v>8430.39823920659</v>
      </c>
      <c r="S78" s="100" t="n">
        <f aca="false">S74+S75+S76-S77</f>
        <v>10449.0580025139</v>
      </c>
      <c r="T78" s="100" t="n">
        <f aca="false">T74+T75+T76-T77</f>
        <v>12467.7177658213</v>
      </c>
      <c r="U78" s="100" t="n">
        <f aca="false">U74+U75+U76-U77</f>
        <v>12561.0479691286</v>
      </c>
      <c r="V78" s="100" t="n">
        <f aca="false">V74+V75+V76-V77</f>
        <v>12314.6141324359</v>
      </c>
      <c r="W78" s="100" t="n">
        <f aca="false">W74+W75+W76-W77</f>
        <v>14333.2738957433</v>
      </c>
      <c r="X78" s="100" t="n">
        <f aca="false">X74+X75+X76-X77</f>
        <v>15906.4927925094</v>
      </c>
      <c r="Y78" s="100" t="n">
        <f aca="false">Y74+Y75+Y76-Y77</f>
        <v>17289.6166892754</v>
      </c>
      <c r="Z78" s="100" t="n">
        <f aca="false">Z74+Z75+Z76-Z77</f>
        <v>18506.159099175</v>
      </c>
      <c r="AA78" s="100" t="n">
        <f aca="false">AA74+AA75+AA76-AA77</f>
        <v>16090.5066528079</v>
      </c>
      <c r="AB78" s="100" t="n">
        <f aca="false">AB74+AB75+AB76-AB77</f>
        <v>15263.9190381296</v>
      </c>
      <c r="AC78" s="100" t="n">
        <f aca="false">AC74+AC75+AC76-AC77</f>
        <v>16420.4208702514</v>
      </c>
      <c r="AD78" s="100" t="n">
        <f aca="false">AD74+AD75+AD76-AD77</f>
        <v>17576.9227023732</v>
      </c>
      <c r="AE78" s="100" t="n">
        <f aca="false">AE74+AE75+AE76-AE77</f>
        <v>18733.4245344949</v>
      </c>
      <c r="AF78" s="100" t="n">
        <f aca="false">AF74+AF75+AF76-AF77</f>
        <v>19889.9263666167</v>
      </c>
      <c r="AG78" s="100" t="n">
        <f aca="false">AG74+AG75+AG76-AG77</f>
        <v>21046.4281987385</v>
      </c>
      <c r="AH78" s="100" t="n">
        <f aca="false">AH74+AH75+AH76-AH77</f>
        <v>22202.9300308602</v>
      </c>
      <c r="AI78" s="100" t="n">
        <f aca="false">AI74+AI75+AI76-AI77</f>
        <v>23359.431862982</v>
      </c>
      <c r="AJ78" s="100" t="n">
        <f aca="false">AJ74+AJ75+AJ76-AJ77</f>
        <v>24515.9336951038</v>
      </c>
      <c r="AK78" s="100" t="n">
        <f aca="false">AK74+AK75+AK76-AK77</f>
        <v>25672.4355272255</v>
      </c>
      <c r="AL78" s="100" t="n">
        <f aca="false">AL74+AL75+AL76-AL77</f>
        <v>24845.8479125473</v>
      </c>
      <c r="AM78" s="100" t="n">
        <f aca="false">AM74+AM75+AM76-AM77</f>
        <v>20854.3144091255</v>
      </c>
      <c r="AN78" s="100" t="n">
        <f aca="false">AN74+AN75+AN76-AN77</f>
        <v>21870.9353078754</v>
      </c>
      <c r="AO78" s="100" t="n">
        <f aca="false">AO74+AO75+AO76-AO77</f>
        <v>22887.5562066254</v>
      </c>
      <c r="AP78" s="100" t="n">
        <f aca="false">AP74+AP75+AP76-AP77</f>
        <v>23904.1771053754</v>
      </c>
      <c r="AQ78" s="100" t="n">
        <f aca="false">AQ74+AQ75+AQ76-AQ77</f>
        <v>24920.7980041253</v>
      </c>
      <c r="AR78" s="100" t="n">
        <f aca="false">AR74+AR75+AR76-AR77</f>
        <v>25937.4189028753</v>
      </c>
      <c r="AS78" s="100" t="n">
        <f aca="false">AS74+AS75+AS76-AS77</f>
        <v>26358.0600215527</v>
      </c>
      <c r="AT78" s="100" t="n">
        <f aca="false">AT74+AT75+AT76-AT77</f>
        <v>26362.2266882193</v>
      </c>
      <c r="AU78" s="100" t="n">
        <f aca="false">AU74+AU75+AU76-AU77</f>
        <v>26366.393354886</v>
      </c>
      <c r="AV78" s="100" t="n">
        <f aca="false">AV74+AV75+AV76-AV77</f>
        <v>26370.5600215527</v>
      </c>
      <c r="AW78" s="100" t="n">
        <f aca="false">AW74+AW75+AW76-AW77</f>
        <v>26374.7266882193</v>
      </c>
      <c r="AX78" s="100" t="n">
        <f aca="false">AX74+AX75+AX76-AX77</f>
        <v>26378.893354886</v>
      </c>
      <c r="AY78" s="100" t="n">
        <f aca="false">AY74+AY75+AY76-AY77</f>
        <v>24584.2669712831</v>
      </c>
      <c r="AZ78" s="100" t="n">
        <f aca="false">AZ74+AZ75+AZ76-AZ77</f>
        <v>24588.4336379497</v>
      </c>
      <c r="BA78" s="100" t="n">
        <f aca="false">BA74+BA75+BA76-BA77</f>
        <v>24592.6003046164</v>
      </c>
      <c r="BB78" s="100" t="n">
        <f aca="false">BB74+BB75+BB76-BB77</f>
        <v>24596.7669712831</v>
      </c>
      <c r="BC78" s="100" t="n">
        <f aca="false">BC74+BC75+BC76-BC77</f>
        <v>24600.9336379497</v>
      </c>
      <c r="BD78" s="100" t="n">
        <f aca="false">BD74+BD75+BD76-BD77</f>
        <v>24605.1003046164</v>
      </c>
      <c r="BE78" s="100" t="n">
        <f aca="false">BE74+BE75+BE76-BE77</f>
        <v>24609.2669712831</v>
      </c>
      <c r="BF78" s="100" t="n">
        <f aca="false">BF74+BF75+BF76-BF77</f>
        <v>24613.4336379497</v>
      </c>
      <c r="BG78" s="100" t="n">
        <f aca="false">BG74+BG75+BG76-BG77</f>
        <v>24617.6003046164</v>
      </c>
      <c r="BH78" s="100" t="n">
        <f aca="false">BH74+BH75+BH76-BH77</f>
        <v>24621.7669712831</v>
      </c>
      <c r="BI78" s="100" t="n">
        <f aca="false">BI74+BI75+BI76-BI77</f>
        <v>24625.9336379497</v>
      </c>
      <c r="BJ78" s="100" t="n">
        <f aca="false">BJ74+BJ75+BJ76-BJ77</f>
        <v>24630.1003046164</v>
      </c>
      <c r="BK78" s="100" t="n">
        <f aca="false">BK74+BK75+BK76-BK77</f>
        <v>22825.1691295054</v>
      </c>
      <c r="BL78" s="100" t="n">
        <f aca="false">BL74+BL75+BL76-BL77</f>
        <v>22829.335796172</v>
      </c>
      <c r="BM78" s="100" t="n">
        <f aca="false">BM74+BM75+BM76-BM77</f>
        <v>22833.5024628387</v>
      </c>
      <c r="BN78" s="100" t="n">
        <f aca="false">BN74+BN75+BN76-BN77</f>
        <v>22837.6691295054</v>
      </c>
      <c r="BO78" s="100" t="n">
        <f aca="false">BO74+BO75+BO76-BO77</f>
        <v>22841.835796172</v>
      </c>
      <c r="BP78" s="100" t="n">
        <f aca="false">BP74+BP75+BP76-BP77</f>
        <v>22846.0024628387</v>
      </c>
      <c r="BQ78" s="100" t="n">
        <f aca="false">BQ74+BQ75+BQ76-BQ77</f>
        <v>22850.1691295054</v>
      </c>
      <c r="BR78" s="100" t="n">
        <f aca="false">BR74+BR75+BR76-BR77</f>
        <v>22854.335796172</v>
      </c>
      <c r="BS78" s="100" t="n">
        <f aca="false">BS74+BS75+BS76-BS77</f>
        <v>22858.5024628387</v>
      </c>
      <c r="BT78" s="100" t="n">
        <f aca="false">BT74+BT75+BT76-BT77</f>
        <v>22862.6691295054</v>
      </c>
      <c r="BU78" s="100" t="n">
        <f aca="false">BU74+BU75+BU76-BU77</f>
        <v>22866.835796172</v>
      </c>
      <c r="BV78" s="100" t="n">
        <f aca="false">BV74+BV75+BV76-BV77</f>
        <v>22871.0024628387</v>
      </c>
      <c r="BW78" s="100" t="n">
        <f aca="false">BW74+BW75+BW76-BW77</f>
        <v>21055.4573524743</v>
      </c>
      <c r="BX78" s="100" t="n">
        <f aca="false">BX74+BX75+BX76-BX77</f>
        <v>21059.624019141</v>
      </c>
      <c r="BY78" s="100" t="n">
        <f aca="false">BY74+BY75+BY76-BY77</f>
        <v>21063.7906858077</v>
      </c>
      <c r="BZ78" s="100" t="n">
        <f aca="false">BZ74+BZ75+BZ76-BZ77</f>
        <v>21067.9573524743</v>
      </c>
      <c r="CA78" s="100" t="n">
        <f aca="false">CA74+CA75+CA76-CA77</f>
        <v>21072.124019141</v>
      </c>
      <c r="CB78" s="100" t="n">
        <f aca="false">CB74+CB75+CB76-CB77</f>
        <v>21076.2906858077</v>
      </c>
      <c r="CC78" s="100" t="n">
        <f aca="false">CC74+CC75+CC76-CC77</f>
        <v>21080.4573524743</v>
      </c>
      <c r="CD78" s="100" t="n">
        <f aca="false">CD74+CD75+CD76-CD77</f>
        <v>21084.624019141</v>
      </c>
      <c r="CE78" s="100" t="n">
        <f aca="false">CE74+CE75+CE76-CE77</f>
        <v>21088.7906858077</v>
      </c>
      <c r="CF78" s="100" t="n">
        <f aca="false">CF74+CF75+CF76-CF77</f>
        <v>21092.9573524743</v>
      </c>
      <c r="CG78" s="100" t="n">
        <f aca="false">CG74+CG75+CG76-CG77</f>
        <v>21097.124019141</v>
      </c>
      <c r="CH78" s="100" t="n">
        <f aca="false">CH74+CH75+CH76-CH77</f>
        <v>21101.2906858077</v>
      </c>
    </row>
    <row r="79" customFormat="false" ht="13.5" hidden="false" customHeight="true" outlineLevel="0" collapsed="false">
      <c r="A79" s="6" t="s">
        <v>553</v>
      </c>
      <c r="C79" s="100" t="n">
        <f aca="false">C78</f>
        <v>155012.953832997</v>
      </c>
      <c r="D79" s="100" t="n">
        <f aca="false">C86+D78</f>
        <v>126800.895654598</v>
      </c>
      <c r="E79" s="100" t="n">
        <f aca="false">D86+E78</f>
        <v>104248.559423504</v>
      </c>
      <c r="F79" s="100" t="n">
        <f aca="false">E86+F78</f>
        <v>84119.5204026265</v>
      </c>
      <c r="G79" s="100" t="n">
        <f aca="false">F86+G78</f>
        <v>66025.27776969</v>
      </c>
      <c r="H79" s="100" t="n">
        <f aca="false">G86+H78</f>
        <v>50370.5451590943</v>
      </c>
      <c r="I79" s="100" t="n">
        <f aca="false">H86+I78</f>
        <v>38278.2536987901</v>
      </c>
      <c r="J79" s="100" t="n">
        <f aca="false">I86+J78</f>
        <v>30164.877840788</v>
      </c>
      <c r="K79" s="100" t="n">
        <f aca="false">J86+K78</f>
        <v>26000.4702506959</v>
      </c>
      <c r="L79" s="100" t="n">
        <f aca="false">K86+L78</f>
        <v>29305.02338312</v>
      </c>
      <c r="M79" s="100" t="n">
        <f aca="false">L86+M78</f>
        <v>32239.9967326331</v>
      </c>
      <c r="N79" s="100" t="n">
        <f aca="false">M86+N78</f>
        <v>34322.1826864539</v>
      </c>
      <c r="O79" s="100" t="n">
        <f aca="false">N86+O78</f>
        <v>36082.1147996875</v>
      </c>
      <c r="P79" s="100" t="n">
        <f aca="false">O86+P78</f>
        <v>40475.1935122794</v>
      </c>
      <c r="Q79" s="100" t="n">
        <f aca="false">P86+Q78</f>
        <v>46886.9319881787</v>
      </c>
      <c r="R79" s="100" t="n">
        <f aca="false">Q86+R78</f>
        <v>55317.3302273853</v>
      </c>
      <c r="S79" s="100" t="n">
        <f aca="false">R86+S78</f>
        <v>65766.3882298992</v>
      </c>
      <c r="T79" s="100" t="n">
        <f aca="false">S86+T78</f>
        <v>78234.1059957205</v>
      </c>
      <c r="U79" s="100" t="n">
        <f aca="false">T86+U78</f>
        <v>90795.1539648491</v>
      </c>
      <c r="V79" s="100" t="n">
        <f aca="false">U86+V78</f>
        <v>103109.768097285</v>
      </c>
      <c r="W79" s="100" t="n">
        <f aca="false">V86+W78</f>
        <v>117443.041993028</v>
      </c>
      <c r="X79" s="100" t="n">
        <f aca="false">W86+X78</f>
        <v>133349.534785538</v>
      </c>
      <c r="Y79" s="100" t="n">
        <f aca="false">X86+Y78</f>
        <v>150639.151474813</v>
      </c>
      <c r="Z79" s="100" t="n">
        <f aca="false">Y86+Z78</f>
        <v>169145.310573988</v>
      </c>
      <c r="AA79" s="100" t="n">
        <f aca="false">Z86+AA78</f>
        <v>185235.817226796</v>
      </c>
      <c r="AB79" s="100" t="n">
        <f aca="false">AA86+AB78</f>
        <v>200499.736264926</v>
      </c>
      <c r="AC79" s="100" t="n">
        <f aca="false">AB86+AC78</f>
        <v>216920.157135177</v>
      </c>
      <c r="AD79" s="100" t="n">
        <f aca="false">AC86+AD78</f>
        <v>234497.07983755</v>
      </c>
      <c r="AE79" s="100" t="n">
        <f aca="false">AD86+AE78</f>
        <v>253230.504372045</v>
      </c>
      <c r="AF79" s="100" t="n">
        <f aca="false">AE86+AF78</f>
        <v>273120.430738662</v>
      </c>
      <c r="AG79" s="100" t="n">
        <f aca="false">AF86+AG78</f>
        <v>294166.8589374</v>
      </c>
      <c r="AH79" s="100" t="n">
        <f aca="false">AG86+AH78</f>
        <v>316369.78896826</v>
      </c>
      <c r="AI79" s="100" t="n">
        <f aca="false">AH86+AI78</f>
        <v>339729.220831242</v>
      </c>
      <c r="AJ79" s="100" t="n">
        <f aca="false">AI86+AJ78</f>
        <v>364245.154526346</v>
      </c>
      <c r="AK79" s="100" t="n">
        <f aca="false">AJ86+AK78</f>
        <v>389917.590053572</v>
      </c>
      <c r="AL79" s="100" t="n">
        <f aca="false">AK86+AL78</f>
        <v>414763.437966119</v>
      </c>
      <c r="AM79" s="100" t="n">
        <f aca="false">AL86+AM78</f>
        <v>435617.752375245</v>
      </c>
      <c r="AN79" s="100" t="n">
        <f aca="false">AM86+AN78</f>
        <v>457488.68768312</v>
      </c>
      <c r="AO79" s="100" t="n">
        <f aca="false">AN86+AO78</f>
        <v>480376.243889745</v>
      </c>
      <c r="AP79" s="100" t="n">
        <f aca="false">AO86+AP78</f>
        <v>504280.420995121</v>
      </c>
      <c r="AQ79" s="100" t="n">
        <f aca="false">AP86+AQ78</f>
        <v>529201.218999246</v>
      </c>
      <c r="AR79" s="100" t="n">
        <f aca="false">AQ86+AR78</f>
        <v>555138.637902121</v>
      </c>
      <c r="AS79" s="100" t="n">
        <f aca="false">AR86+AS78</f>
        <v>581496.697923674</v>
      </c>
      <c r="AT79" s="100" t="n">
        <f aca="false">AS86+AT78</f>
        <v>607858.924611893</v>
      </c>
      <c r="AU79" s="100" t="n">
        <f aca="false">AT86+AU78</f>
        <v>634225.317966779</v>
      </c>
      <c r="AV79" s="100" t="n">
        <f aca="false">AU86+AV78</f>
        <v>660595.877988332</v>
      </c>
      <c r="AW79" s="100" t="n">
        <f aca="false">AV86+AW78</f>
        <v>686970.604676551</v>
      </c>
      <c r="AX79" s="100" t="n">
        <f aca="false">AW86+AX78</f>
        <v>713349.498031437</v>
      </c>
      <c r="AY79" s="100" t="n">
        <f aca="false">AX86+AY78</f>
        <v>606668.133569413</v>
      </c>
      <c r="AZ79" s="100" t="n">
        <f aca="false">AY86+AZ78</f>
        <v>631256.567207363</v>
      </c>
      <c r="BA79" s="100" t="n">
        <f aca="false">AZ86+BA78</f>
        <v>655849.167511979</v>
      </c>
      <c r="BB79" s="100" t="n">
        <f aca="false">BA86+BB78</f>
        <v>680445.934483262</v>
      </c>
      <c r="BC79" s="100" t="n">
        <f aca="false">BB86+BC78</f>
        <v>705046.868121212</v>
      </c>
      <c r="BD79" s="100" t="n">
        <f aca="false">BC86+BD78</f>
        <v>729651.968425828</v>
      </c>
      <c r="BE79" s="100" t="n">
        <f aca="false">BD86+BE78</f>
        <v>754261.235397111</v>
      </c>
      <c r="BF79" s="100" t="n">
        <f aca="false">BE86+BF78</f>
        <v>778874.669035061</v>
      </c>
      <c r="BG79" s="100" t="n">
        <f aca="false">BF86+BG78</f>
        <v>803492.269339677</v>
      </c>
      <c r="BH79" s="100" t="n">
        <f aca="false">BG86+BH78</f>
        <v>828114.03631096</v>
      </c>
      <c r="BI79" s="100" t="n">
        <f aca="false">BH86+BI78</f>
        <v>852739.96994891</v>
      </c>
      <c r="BJ79" s="100" t="n">
        <f aca="false">BI86+BJ78</f>
        <v>877370.070253526</v>
      </c>
      <c r="BK79" s="100" t="n">
        <f aca="false">BJ86+BK78</f>
        <v>771054.172589287</v>
      </c>
      <c r="BL79" s="100" t="n">
        <f aca="false">BK86+BL78</f>
        <v>793883.508385459</v>
      </c>
      <c r="BM79" s="100" t="n">
        <f aca="false">BL86+BM78</f>
        <v>816717.010848298</v>
      </c>
      <c r="BN79" s="100" t="n">
        <f aca="false">BM86+BN78</f>
        <v>839554.679977803</v>
      </c>
      <c r="BO79" s="100" t="n">
        <f aca="false">BN86+BO78</f>
        <v>862396.515773975</v>
      </c>
      <c r="BP79" s="100" t="n">
        <f aca="false">BO86+BP78</f>
        <v>885242.518236814</v>
      </c>
      <c r="BQ79" s="100" t="n">
        <f aca="false">BP86+BQ78</f>
        <v>908092.687366319</v>
      </c>
      <c r="BR79" s="100" t="n">
        <f aca="false">BQ86+BR78</f>
        <v>930947.023162491</v>
      </c>
      <c r="BS79" s="100" t="n">
        <f aca="false">BR86+BS78</f>
        <v>953805.52562533</v>
      </c>
      <c r="BT79" s="100" t="n">
        <f aca="false">BS86+BT78</f>
        <v>976668.194754835</v>
      </c>
      <c r="BU79" s="100" t="n">
        <f aca="false">BT86+BU78</f>
        <v>999535.030551007</v>
      </c>
      <c r="BV79" s="100" t="n">
        <f aca="false">BU86+BV78</f>
        <v>1022406.03301385</v>
      </c>
      <c r="BW79" s="100" t="n">
        <f aca="false">BV86+BW78</f>
        <v>922764.093213108</v>
      </c>
      <c r="BX79" s="100" t="n">
        <f aca="false">BW86+BX78</f>
        <v>943823.717232249</v>
      </c>
      <c r="BY79" s="100" t="n">
        <f aca="false">BX86+BY78</f>
        <v>964887.507918057</v>
      </c>
      <c r="BZ79" s="100" t="n">
        <f aca="false">BY86+BZ78</f>
        <v>985955.465270531</v>
      </c>
      <c r="CA79" s="100" t="n">
        <f aca="false">BZ86+CA78</f>
        <v>1007027.58928967</v>
      </c>
      <c r="CB79" s="100" t="n">
        <f aca="false">CA86+CB78</f>
        <v>1028103.87997548</v>
      </c>
      <c r="CC79" s="100" t="n">
        <f aca="false">CB86+CC78</f>
        <v>1049184.33732795</v>
      </c>
      <c r="CD79" s="100" t="n">
        <f aca="false">CC86+CD78</f>
        <v>1070268.9613471</v>
      </c>
      <c r="CE79" s="100" t="n">
        <f aca="false">CD86+CE78</f>
        <v>1091357.7520329</v>
      </c>
      <c r="CF79" s="100" t="n">
        <f aca="false">CE86+CF78</f>
        <v>1112450.70938538</v>
      </c>
      <c r="CG79" s="100" t="n">
        <f aca="false">CF86+CG78</f>
        <v>1133547.83340452</v>
      </c>
      <c r="CH79" s="100" t="n">
        <f aca="false">CG86+CH78</f>
        <v>1154649.12409033</v>
      </c>
    </row>
    <row r="80" customFormat="false" ht="13.5" hidden="false" customHeight="true" outlineLevel="0" collapsed="false">
      <c r="A80" s="22" t="s">
        <v>554</v>
      </c>
      <c r="C80" s="100" t="n">
        <f aca="false">IF(C79&lt;Hipótesis!$D$72,MIN(Hipótesis!$D$70-0,Hipótesis!$D$72-C79),-MIN(0,MAX(0,C79-Hipótesis!$D$72)))</f>
        <v>-0</v>
      </c>
      <c r="D80" s="100" t="n">
        <f aca="false">IF(D79&lt;Hipótesis!$D$72,MIN(Hipótesis!$D$70-C81,Hipótesis!$D$72-D79),-MIN(C81,MAX(0,D79-Hipótesis!$D$72)))</f>
        <v>0</v>
      </c>
      <c r="E80" s="100" t="n">
        <f aca="false">IF(E79&lt;Hipótesis!$D$72,MIN(Hipótesis!$D$70-D81,Hipótesis!$D$72-E79),-MIN(D81,MAX(0,E79-Hipótesis!$D$72)))</f>
        <v>-0</v>
      </c>
      <c r="F80" s="100" t="n">
        <f aca="false">IF(F79&lt;Hipótesis!$D$72,MIN(Hipótesis!$D$70-E81,Hipótesis!$D$72-F79),-MIN(E81,MAX(0,F79-Hipótesis!$D$72)))</f>
        <v>-0</v>
      </c>
      <c r="G80" s="100" t="n">
        <f aca="false">IF(G79&lt;Hipótesis!$D$72,MIN(Hipótesis!$D$70-F81,Hipótesis!$D$72-G79),-MIN(F81,MAX(0,G79-Hipótesis!$D$72)))</f>
        <v>-0</v>
      </c>
      <c r="H80" s="100" t="n">
        <f aca="false">IF(H79&lt;Hipótesis!$D$72,MIN(Hipótesis!$D$70-G81,Hipótesis!$D$72-H79),-MIN(G81,MAX(0,H79-Hipótesis!$D$72)))</f>
        <v>-0</v>
      </c>
      <c r="I80" s="100" t="n">
        <f aca="false">IF(I79&lt;Hipótesis!$D$72,MIN(Hipótesis!$D$70-H81,Hipótesis!$D$72-I79),-MIN(H81,MAX(0,I79-Hipótesis!$D$72)))</f>
        <v>-0</v>
      </c>
      <c r="J80" s="100" t="n">
        <f aca="false">IF(J79&lt;Hipótesis!$D$72,MIN(Hipótesis!$D$70-I81,Hipótesis!$D$72-J79),-MIN(I81,MAX(0,J79-Hipótesis!$D$72)))</f>
        <v>-0</v>
      </c>
      <c r="K80" s="100" t="n">
        <f aca="false">IF(K79&lt;Hipótesis!$D$72,MIN(Hipótesis!$D$70-J81,Hipótesis!$D$72-K79),-MIN(J81,MAX(0,K79-Hipótesis!$D$72)))</f>
        <v>3999.52974930412</v>
      </c>
      <c r="L80" s="100" t="n">
        <f aca="false">IF(L79&lt;Hipótesis!$D$72,MIN(Hipótesis!$D$70-K81,Hipótesis!$D$72-L79),-MIN(K81,MAX(0,L79-Hipótesis!$D$72)))</f>
        <v>694.976616880016</v>
      </c>
      <c r="M80" s="100" t="n">
        <f aca="false">IF(M79&lt;Hipótesis!$D$72,MIN(Hipótesis!$D$70-L81,Hipótesis!$D$72-M79),-MIN(L81,MAX(0,M79-Hipótesis!$D$72)))</f>
        <v>-2239.99673263311</v>
      </c>
      <c r="N80" s="100" t="n">
        <f aca="false">IF(N79&lt;Hipótesis!$D$72,MIN(Hipótesis!$D$70-M81,Hipótesis!$D$72-N79),-MIN(M81,MAX(0,N79-Hipótesis!$D$72)))</f>
        <v>-2454.50963355102</v>
      </c>
      <c r="O80" s="100" t="n">
        <f aca="false">IF(O79&lt;Hipótesis!$D$72,MIN(Hipótesis!$D$70-N81,Hipótesis!$D$72-O79),-MIN(N81,MAX(0,O79-Hipótesis!$D$72)))</f>
        <v>-0</v>
      </c>
      <c r="P80" s="100" t="n">
        <f aca="false">IF(P79&lt;Hipótesis!$D$72,MIN(Hipótesis!$D$70-O81,Hipótesis!$D$72-P79),-MIN(O81,MAX(0,P79-Hipótesis!$D$72)))</f>
        <v>-0</v>
      </c>
      <c r="Q80" s="100" t="n">
        <f aca="false">IF(Q79&lt;Hipótesis!$D$72,MIN(Hipótesis!$D$70-P81,Hipótesis!$D$72-Q79),-MIN(P81,MAX(0,Q79-Hipótesis!$D$72)))</f>
        <v>-0</v>
      </c>
      <c r="R80" s="100" t="n">
        <f aca="false">IF(R79&lt;Hipótesis!$D$72,MIN(Hipótesis!$D$70-Q81,Hipótesis!$D$72-R79),-MIN(Q81,MAX(0,R79-Hipótesis!$D$72)))</f>
        <v>-0</v>
      </c>
      <c r="S80" s="100" t="n">
        <f aca="false">IF(S79&lt;Hipótesis!$D$72,MIN(Hipótesis!$D$70-R81,Hipótesis!$D$72-S79),-MIN(R81,MAX(0,S79-Hipótesis!$D$72)))</f>
        <v>-0</v>
      </c>
      <c r="T80" s="100" t="n">
        <f aca="false">IF(T79&lt;Hipótesis!$D$72,MIN(Hipótesis!$D$70-S81,Hipótesis!$D$72-T79),-MIN(S81,MAX(0,T79-Hipótesis!$D$72)))</f>
        <v>-0</v>
      </c>
      <c r="U80" s="100" t="n">
        <f aca="false">IF(U79&lt;Hipótesis!$D$72,MIN(Hipótesis!$D$70-T81,Hipótesis!$D$72-U79),-MIN(T81,MAX(0,U79-Hipótesis!$D$72)))</f>
        <v>-0</v>
      </c>
      <c r="V80" s="100" t="n">
        <f aca="false">IF(V79&lt;Hipótesis!$D$72,MIN(Hipótesis!$D$70-U81,Hipótesis!$D$72-V79),-MIN(U81,MAX(0,V79-Hipótesis!$D$72)))</f>
        <v>-0</v>
      </c>
      <c r="W80" s="100" t="n">
        <f aca="false">IF(W79&lt;Hipótesis!$D$72,MIN(Hipótesis!$D$70-V81,Hipótesis!$D$72-W79),-MIN(V81,MAX(0,W79-Hipótesis!$D$72)))</f>
        <v>-0</v>
      </c>
      <c r="X80" s="100" t="n">
        <f aca="false">IF(X79&lt;Hipótesis!$D$72,MIN(Hipótesis!$D$70-W81,Hipótesis!$D$72-X79),-MIN(W81,MAX(0,X79-Hipótesis!$D$72)))</f>
        <v>-0</v>
      </c>
      <c r="Y80" s="100" t="n">
        <f aca="false">IF(Y79&lt;Hipótesis!$D$72,MIN(Hipótesis!$D$70-X81,Hipótesis!$D$72-Y79),-MIN(X81,MAX(0,Y79-Hipótesis!$D$72)))</f>
        <v>-0</v>
      </c>
      <c r="Z80" s="100" t="n">
        <f aca="false">IF(Z79&lt;Hipótesis!$D$72,MIN(Hipótesis!$D$70-Y81,Hipótesis!$D$72-Z79),-MIN(Y81,MAX(0,Z79-Hipótesis!$D$72)))</f>
        <v>-0</v>
      </c>
      <c r="AA80" s="100" t="n">
        <f aca="false">IF(AA79&lt;Hipótesis!$D$72,MIN(Hipótesis!$D$70-Z81,Hipótesis!$D$72-AA79),-MIN(Z81,MAX(0,AA79-Hipótesis!$D$72)))</f>
        <v>-0</v>
      </c>
      <c r="AB80" s="100" t="n">
        <f aca="false">IF(AB79&lt;Hipótesis!$D$72,MIN(Hipótesis!$D$70-AA81,Hipótesis!$D$72-AB79),-MIN(AA81,MAX(0,AB79-Hipótesis!$D$72)))</f>
        <v>-0</v>
      </c>
      <c r="AC80" s="100" t="n">
        <f aca="false">IF(AC79&lt;Hipótesis!$D$72,MIN(Hipótesis!$D$70-AB81,Hipótesis!$D$72-AC79),-MIN(AB81,MAX(0,AC79-Hipótesis!$D$72)))</f>
        <v>-0</v>
      </c>
      <c r="AD80" s="100" t="n">
        <f aca="false">IF(AD79&lt;Hipótesis!$D$72,MIN(Hipótesis!$D$70-AC81,Hipótesis!$D$72-AD79),-MIN(AC81,MAX(0,AD79-Hipótesis!$D$72)))</f>
        <v>-0</v>
      </c>
      <c r="AE80" s="100" t="n">
        <f aca="false">IF(AE79&lt;Hipótesis!$D$72,MIN(Hipótesis!$D$70-AD81,Hipótesis!$D$72-AE79),-MIN(AD81,MAX(0,AE79-Hipótesis!$D$72)))</f>
        <v>-0</v>
      </c>
      <c r="AF80" s="100" t="n">
        <f aca="false">IF(AF79&lt;Hipótesis!$D$72,MIN(Hipótesis!$D$70-AE81,Hipótesis!$D$72-AF79),-MIN(AE81,MAX(0,AF79-Hipótesis!$D$72)))</f>
        <v>-0</v>
      </c>
      <c r="AG80" s="100" t="n">
        <f aca="false">IF(AG79&lt;Hipótesis!$D$72,MIN(Hipótesis!$D$70-AF81,Hipótesis!$D$72-AG79),-MIN(AF81,MAX(0,AG79-Hipótesis!$D$72)))</f>
        <v>-0</v>
      </c>
      <c r="AH80" s="100" t="n">
        <f aca="false">IF(AH79&lt;Hipótesis!$D$72,MIN(Hipótesis!$D$70-AG81,Hipótesis!$D$72-AH79),-MIN(AG81,MAX(0,AH79-Hipótesis!$D$72)))</f>
        <v>-0</v>
      </c>
      <c r="AI80" s="100" t="n">
        <f aca="false">IF(AI79&lt;Hipótesis!$D$72,MIN(Hipótesis!$D$70-AH81,Hipótesis!$D$72-AI79),-MIN(AH81,MAX(0,AI79-Hipótesis!$D$72)))</f>
        <v>-0</v>
      </c>
      <c r="AJ80" s="100" t="n">
        <f aca="false">IF(AJ79&lt;Hipótesis!$D$72,MIN(Hipótesis!$D$70-AI81,Hipótesis!$D$72-AJ79),-MIN(AI81,MAX(0,AJ79-Hipótesis!$D$72)))</f>
        <v>-0</v>
      </c>
      <c r="AK80" s="100" t="n">
        <f aca="false">IF(AK79&lt;Hipótesis!$D$72,MIN(Hipótesis!$D$70-AJ81,Hipótesis!$D$72-AK79),-MIN(AJ81,MAX(0,AK79-Hipótesis!$D$72)))</f>
        <v>-0</v>
      </c>
      <c r="AL80" s="100" t="n">
        <f aca="false">IF(AL79&lt;Hipótesis!$D$72,MIN(Hipótesis!$D$70-AK81,Hipótesis!$D$72-AL79),-MIN(AK81,MAX(0,AL79-Hipótesis!$D$72)))</f>
        <v>-0</v>
      </c>
      <c r="AM80" s="100" t="n">
        <f aca="false">IF(AM79&lt;Hipótesis!$D$72,MIN(Hipótesis!$D$70-AL81,Hipótesis!$D$72-AM79),-MIN(AL81,MAX(0,AM79-Hipótesis!$D$72)))</f>
        <v>-0</v>
      </c>
      <c r="AN80" s="100" t="n">
        <f aca="false">IF(AN79&lt;Hipótesis!$D$72,MIN(Hipótesis!$D$70-AM81,Hipótesis!$D$72-AN79),-MIN(AM81,MAX(0,AN79-Hipótesis!$D$72)))</f>
        <v>-0</v>
      </c>
      <c r="AO80" s="100" t="n">
        <f aca="false">IF(AO79&lt;Hipótesis!$D$72,MIN(Hipótesis!$D$70-AN81,Hipótesis!$D$72-AO79),-MIN(AN81,MAX(0,AO79-Hipótesis!$D$72)))</f>
        <v>-0</v>
      </c>
      <c r="AP80" s="100" t="n">
        <f aca="false">IF(AP79&lt;Hipótesis!$D$72,MIN(Hipótesis!$D$70-AO81,Hipótesis!$D$72-AP79),-MIN(AO81,MAX(0,AP79-Hipótesis!$D$72)))</f>
        <v>-0</v>
      </c>
      <c r="AQ80" s="100" t="n">
        <f aca="false">IF(AQ79&lt;Hipótesis!$D$72,MIN(Hipótesis!$D$70-AP81,Hipótesis!$D$72-AQ79),-MIN(AP81,MAX(0,AQ79-Hipótesis!$D$72)))</f>
        <v>-0</v>
      </c>
      <c r="AR80" s="100" t="n">
        <f aca="false">IF(AR79&lt;Hipótesis!$D$72,MIN(Hipótesis!$D$70-AQ81,Hipótesis!$D$72-AR79),-MIN(AQ81,MAX(0,AR79-Hipótesis!$D$72)))</f>
        <v>-0</v>
      </c>
      <c r="AS80" s="100" t="n">
        <f aca="false">IF(AS79&lt;Hipótesis!$D$72,MIN(Hipótesis!$D$70-AR81,Hipótesis!$D$72-AS79),-MIN(AR81,MAX(0,AS79-Hipótesis!$D$72)))</f>
        <v>-0</v>
      </c>
      <c r="AT80" s="100" t="n">
        <f aca="false">IF(AT79&lt;Hipótesis!$D$72,MIN(Hipótesis!$D$70-AS81,Hipótesis!$D$72-AT79),-MIN(AS81,MAX(0,AT79-Hipótesis!$D$72)))</f>
        <v>-0</v>
      </c>
      <c r="AU80" s="100" t="n">
        <f aca="false">IF(AU79&lt;Hipótesis!$D$72,MIN(Hipótesis!$D$70-AT81,Hipótesis!$D$72-AU79),-MIN(AT81,MAX(0,AU79-Hipótesis!$D$72)))</f>
        <v>-0</v>
      </c>
      <c r="AV80" s="100" t="n">
        <f aca="false">IF(AV79&lt;Hipótesis!$D$72,MIN(Hipótesis!$D$70-AU81,Hipótesis!$D$72-AV79),-MIN(AU81,MAX(0,AV79-Hipótesis!$D$72)))</f>
        <v>-0</v>
      </c>
      <c r="AW80" s="100" t="n">
        <f aca="false">IF(AW79&lt;Hipótesis!$D$72,MIN(Hipótesis!$D$70-AV81,Hipótesis!$D$72-AW79),-MIN(AV81,MAX(0,AW79-Hipótesis!$D$72)))</f>
        <v>-0</v>
      </c>
      <c r="AX80" s="100" t="n">
        <f aca="false">IF(AX79&lt;Hipótesis!$D$72,MIN(Hipótesis!$D$70-AW81,Hipótesis!$D$72-AX79),-MIN(AW81,MAX(0,AX79-Hipótesis!$D$72)))</f>
        <v>-0</v>
      </c>
      <c r="AY80" s="100" t="n">
        <f aca="false">IF(AY79&lt;Hipótesis!$D$72,MIN(Hipótesis!$D$70-AX81,Hipótesis!$D$72-AY79),-MIN(AX81,MAX(0,AY79-Hipótesis!$D$72)))</f>
        <v>-0</v>
      </c>
      <c r="AZ80" s="100" t="n">
        <f aca="false">IF(AZ79&lt;Hipótesis!$D$72,MIN(Hipótesis!$D$70-AY81,Hipótesis!$D$72-AZ79),-MIN(AY81,MAX(0,AZ79-Hipótesis!$D$72)))</f>
        <v>-0</v>
      </c>
      <c r="BA80" s="100" t="n">
        <f aca="false">IF(BA79&lt;Hipótesis!$D$72,MIN(Hipótesis!$D$70-AZ81,Hipótesis!$D$72-BA79),-MIN(AZ81,MAX(0,BA79-Hipótesis!$D$72)))</f>
        <v>-0</v>
      </c>
      <c r="BB80" s="100" t="n">
        <f aca="false">IF(BB79&lt;Hipótesis!$D$72,MIN(Hipótesis!$D$70-BA81,Hipótesis!$D$72-BB79),-MIN(BA81,MAX(0,BB79-Hipótesis!$D$72)))</f>
        <v>-0</v>
      </c>
      <c r="BC80" s="100" t="n">
        <f aca="false">IF(BC79&lt;Hipótesis!$D$72,MIN(Hipótesis!$D$70-BB81,Hipótesis!$D$72-BC79),-MIN(BB81,MAX(0,BC79-Hipótesis!$D$72)))</f>
        <v>-0</v>
      </c>
      <c r="BD80" s="100" t="n">
        <f aca="false">IF(BD79&lt;Hipótesis!$D$72,MIN(Hipótesis!$D$70-BC81,Hipótesis!$D$72-BD79),-MIN(BC81,MAX(0,BD79-Hipótesis!$D$72)))</f>
        <v>-0</v>
      </c>
      <c r="BE80" s="100" t="n">
        <f aca="false">IF(BE79&lt;Hipótesis!$D$72,MIN(Hipótesis!$D$70-BD81,Hipótesis!$D$72-BE79),-MIN(BD81,MAX(0,BE79-Hipótesis!$D$72)))</f>
        <v>-0</v>
      </c>
      <c r="BF80" s="100" t="n">
        <f aca="false">IF(BF79&lt;Hipótesis!$D$72,MIN(Hipótesis!$D$70-BE81,Hipótesis!$D$72-BF79),-MIN(BE81,MAX(0,BF79-Hipótesis!$D$72)))</f>
        <v>-0</v>
      </c>
      <c r="BG80" s="100" t="n">
        <f aca="false">IF(BG79&lt;Hipótesis!$D$72,MIN(Hipótesis!$D$70-BF81,Hipótesis!$D$72-BG79),-MIN(BF81,MAX(0,BG79-Hipótesis!$D$72)))</f>
        <v>-0</v>
      </c>
      <c r="BH80" s="100" t="n">
        <f aca="false">IF(BH79&lt;Hipótesis!$D$72,MIN(Hipótesis!$D$70-BG81,Hipótesis!$D$72-BH79),-MIN(BG81,MAX(0,BH79-Hipótesis!$D$72)))</f>
        <v>-0</v>
      </c>
      <c r="BI80" s="100" t="n">
        <f aca="false">IF(BI79&lt;Hipótesis!$D$72,MIN(Hipótesis!$D$70-BH81,Hipótesis!$D$72-BI79),-MIN(BH81,MAX(0,BI79-Hipótesis!$D$72)))</f>
        <v>-0</v>
      </c>
      <c r="BJ80" s="100" t="n">
        <f aca="false">IF(BJ79&lt;Hipótesis!$D$72,MIN(Hipótesis!$D$70-BI81,Hipótesis!$D$72-BJ79),-MIN(BI81,MAX(0,BJ79-Hipótesis!$D$72)))</f>
        <v>-0</v>
      </c>
      <c r="BK80" s="100" t="n">
        <f aca="false">IF(BK79&lt;Hipótesis!$D$72,MIN(Hipótesis!$D$70-BJ81,Hipótesis!$D$72-BK79),-MIN(BJ81,MAX(0,BK79-Hipótesis!$D$72)))</f>
        <v>-0</v>
      </c>
      <c r="BL80" s="100" t="n">
        <f aca="false">IF(BL79&lt;Hipótesis!$D$72,MIN(Hipótesis!$D$70-BK81,Hipótesis!$D$72-BL79),-MIN(BK81,MAX(0,BL79-Hipótesis!$D$72)))</f>
        <v>-0</v>
      </c>
      <c r="BM80" s="100" t="n">
        <f aca="false">IF(BM79&lt;Hipótesis!$D$72,MIN(Hipótesis!$D$70-BL81,Hipótesis!$D$72-BM79),-MIN(BL81,MAX(0,BM79-Hipótesis!$D$72)))</f>
        <v>-0</v>
      </c>
      <c r="BN80" s="100" t="n">
        <f aca="false">IF(BN79&lt;Hipótesis!$D$72,MIN(Hipótesis!$D$70-BM81,Hipótesis!$D$72-BN79),-MIN(BM81,MAX(0,BN79-Hipótesis!$D$72)))</f>
        <v>-0</v>
      </c>
      <c r="BO80" s="100" t="n">
        <f aca="false">IF(BO79&lt;Hipótesis!$D$72,MIN(Hipótesis!$D$70-BN81,Hipótesis!$D$72-BO79),-MIN(BN81,MAX(0,BO79-Hipótesis!$D$72)))</f>
        <v>-0</v>
      </c>
      <c r="BP80" s="100" t="n">
        <f aca="false">IF(BP79&lt;Hipótesis!$D$72,MIN(Hipótesis!$D$70-BO81,Hipótesis!$D$72-BP79),-MIN(BO81,MAX(0,BP79-Hipótesis!$D$72)))</f>
        <v>-0</v>
      </c>
      <c r="BQ80" s="100" t="n">
        <f aca="false">IF(BQ79&lt;Hipótesis!$D$72,MIN(Hipótesis!$D$70-BP81,Hipótesis!$D$72-BQ79),-MIN(BP81,MAX(0,BQ79-Hipótesis!$D$72)))</f>
        <v>-0</v>
      </c>
      <c r="BR80" s="100" t="n">
        <f aca="false">IF(BR79&lt;Hipótesis!$D$72,MIN(Hipótesis!$D$70-BQ81,Hipótesis!$D$72-BR79),-MIN(BQ81,MAX(0,BR79-Hipótesis!$D$72)))</f>
        <v>-0</v>
      </c>
      <c r="BS80" s="100" t="n">
        <f aca="false">IF(BS79&lt;Hipótesis!$D$72,MIN(Hipótesis!$D$70-BR81,Hipótesis!$D$72-BS79),-MIN(BR81,MAX(0,BS79-Hipótesis!$D$72)))</f>
        <v>-0</v>
      </c>
      <c r="BT80" s="100" t="n">
        <f aca="false">IF(BT79&lt;Hipótesis!$D$72,MIN(Hipótesis!$D$70-BS81,Hipótesis!$D$72-BT79),-MIN(BS81,MAX(0,BT79-Hipótesis!$D$72)))</f>
        <v>-0</v>
      </c>
      <c r="BU80" s="100" t="n">
        <f aca="false">IF(BU79&lt;Hipótesis!$D$72,MIN(Hipótesis!$D$70-BT81,Hipótesis!$D$72-BU79),-MIN(BT81,MAX(0,BU79-Hipótesis!$D$72)))</f>
        <v>-0</v>
      </c>
      <c r="BV80" s="100" t="n">
        <f aca="false">IF(BV79&lt;Hipótesis!$D$72,MIN(Hipótesis!$D$70-BU81,Hipótesis!$D$72-BV79),-MIN(BU81,MAX(0,BV79-Hipótesis!$D$72)))</f>
        <v>-0</v>
      </c>
      <c r="BW80" s="100" t="n">
        <f aca="false">IF(BW79&lt;Hipótesis!$D$72,MIN(Hipótesis!$D$70-BV81,Hipótesis!$D$72-BW79),-MIN(BV81,MAX(0,BW79-Hipótesis!$D$72)))</f>
        <v>-0</v>
      </c>
      <c r="BX80" s="100" t="n">
        <f aca="false">IF(BX79&lt;Hipótesis!$D$72,MIN(Hipótesis!$D$70-BW81,Hipótesis!$D$72-BX79),-MIN(BW81,MAX(0,BX79-Hipótesis!$D$72)))</f>
        <v>-0</v>
      </c>
      <c r="BY80" s="100" t="n">
        <f aca="false">IF(BY79&lt;Hipótesis!$D$72,MIN(Hipótesis!$D$70-BX81,Hipótesis!$D$72-BY79),-MIN(BX81,MAX(0,BY79-Hipótesis!$D$72)))</f>
        <v>-0</v>
      </c>
      <c r="BZ80" s="100" t="n">
        <f aca="false">IF(BZ79&lt;Hipótesis!$D$72,MIN(Hipótesis!$D$70-BY81,Hipótesis!$D$72-BZ79),-MIN(BY81,MAX(0,BZ79-Hipótesis!$D$72)))</f>
        <v>-0</v>
      </c>
      <c r="CA80" s="100" t="n">
        <f aca="false">IF(CA79&lt;Hipótesis!$D$72,MIN(Hipótesis!$D$70-BZ81,Hipótesis!$D$72-CA79),-MIN(BZ81,MAX(0,CA79-Hipótesis!$D$72)))</f>
        <v>-0</v>
      </c>
      <c r="CB80" s="100" t="n">
        <f aca="false">IF(CB79&lt;Hipótesis!$D$72,MIN(Hipótesis!$D$70-CA81,Hipótesis!$D$72-CB79),-MIN(CA81,MAX(0,CB79-Hipótesis!$D$72)))</f>
        <v>-0</v>
      </c>
      <c r="CC80" s="100" t="n">
        <f aca="false">IF(CC79&lt;Hipótesis!$D$72,MIN(Hipótesis!$D$70-CB81,Hipótesis!$D$72-CC79),-MIN(CB81,MAX(0,CC79-Hipótesis!$D$72)))</f>
        <v>-0</v>
      </c>
      <c r="CD80" s="100" t="n">
        <f aca="false">IF(CD79&lt;Hipótesis!$D$72,MIN(Hipótesis!$D$70-CC81,Hipótesis!$D$72-CD79),-MIN(CC81,MAX(0,CD79-Hipótesis!$D$72)))</f>
        <v>-0</v>
      </c>
      <c r="CE80" s="100" t="n">
        <f aca="false">IF(CE79&lt;Hipótesis!$D$72,MIN(Hipótesis!$D$70-CD81,Hipótesis!$D$72-CE79),-MIN(CD81,MAX(0,CE79-Hipótesis!$D$72)))</f>
        <v>-0</v>
      </c>
      <c r="CF80" s="100" t="n">
        <f aca="false">IF(CF79&lt;Hipótesis!$D$72,MIN(Hipótesis!$D$70-CE81,Hipótesis!$D$72-CF79),-MIN(CE81,MAX(0,CF79-Hipótesis!$D$72)))</f>
        <v>-0</v>
      </c>
      <c r="CG80" s="100" t="n">
        <f aca="false">IF(CG79&lt;Hipótesis!$D$72,MIN(Hipótesis!$D$70-CF81,Hipótesis!$D$72-CG79),-MIN(CF81,MAX(0,CG79-Hipótesis!$D$72)))</f>
        <v>-0</v>
      </c>
      <c r="CH80" s="100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46" t="s">
        <v>555</v>
      </c>
      <c r="C81" s="63" t="n">
        <f aca="false">C80</f>
        <v>-0</v>
      </c>
      <c r="D81" s="63" t="n">
        <f aca="false">C81+D80</f>
        <v>0</v>
      </c>
      <c r="E81" s="63" t="n">
        <f aca="false">D81+E80</f>
        <v>0</v>
      </c>
      <c r="F81" s="63" t="n">
        <f aca="false">E81+F80</f>
        <v>0</v>
      </c>
      <c r="G81" s="63" t="n">
        <f aca="false">F81+G80</f>
        <v>0</v>
      </c>
      <c r="H81" s="63" t="n">
        <f aca="false">G81+H80</f>
        <v>0</v>
      </c>
      <c r="I81" s="63" t="n">
        <f aca="false">H81+I80</f>
        <v>0</v>
      </c>
      <c r="J81" s="63" t="n">
        <f aca="false">I81+J80</f>
        <v>0</v>
      </c>
      <c r="K81" s="63" t="n">
        <f aca="false">J81+K80</f>
        <v>3999.52974930412</v>
      </c>
      <c r="L81" s="63" t="n">
        <f aca="false">K81+L80</f>
        <v>4694.50636618414</v>
      </c>
      <c r="M81" s="63" t="n">
        <f aca="false">L81+M80</f>
        <v>2454.50963355102</v>
      </c>
      <c r="N81" s="63" t="n">
        <f aca="false">M81+N80</f>
        <v>0</v>
      </c>
      <c r="O81" s="63" t="n">
        <f aca="false">N81+O80</f>
        <v>0</v>
      </c>
      <c r="P81" s="63" t="n">
        <f aca="false">O81+P80</f>
        <v>0</v>
      </c>
      <c r="Q81" s="63" t="n">
        <f aca="false">P81+Q80</f>
        <v>0</v>
      </c>
      <c r="R81" s="63" t="n">
        <f aca="false">Q81+R80</f>
        <v>0</v>
      </c>
      <c r="S81" s="63" t="n">
        <f aca="false">R81+S80</f>
        <v>0</v>
      </c>
      <c r="T81" s="63" t="n">
        <f aca="false">S81+T80</f>
        <v>0</v>
      </c>
      <c r="U81" s="63" t="n">
        <f aca="false">T81+U80</f>
        <v>0</v>
      </c>
      <c r="V81" s="63" t="n">
        <f aca="false">U81+V80</f>
        <v>0</v>
      </c>
      <c r="W81" s="63" t="n">
        <f aca="false">V81+W80</f>
        <v>0</v>
      </c>
      <c r="X81" s="63" t="n">
        <f aca="false">W81+X80</f>
        <v>0</v>
      </c>
      <c r="Y81" s="63" t="n">
        <f aca="false">X81+Y80</f>
        <v>0</v>
      </c>
      <c r="Z81" s="63" t="n">
        <f aca="false">Y81+Z80</f>
        <v>0</v>
      </c>
      <c r="AA81" s="63" t="n">
        <f aca="false">Z81+AA80</f>
        <v>0</v>
      </c>
      <c r="AB81" s="63" t="n">
        <f aca="false">AA81+AB80</f>
        <v>0</v>
      </c>
      <c r="AC81" s="63" t="n">
        <f aca="false">AB81+AC80</f>
        <v>0</v>
      </c>
      <c r="AD81" s="63" t="n">
        <f aca="false">AC81+AD80</f>
        <v>0</v>
      </c>
      <c r="AE81" s="63" t="n">
        <f aca="false">AD81+AE80</f>
        <v>0</v>
      </c>
      <c r="AF81" s="63" t="n">
        <f aca="false">AE81+AF80</f>
        <v>0</v>
      </c>
      <c r="AG81" s="63" t="n">
        <f aca="false">AF81+AG80</f>
        <v>0</v>
      </c>
      <c r="AH81" s="63" t="n">
        <f aca="false">AG81+AH80</f>
        <v>0</v>
      </c>
      <c r="AI81" s="63" t="n">
        <f aca="false">AH81+AI80</f>
        <v>0</v>
      </c>
      <c r="AJ81" s="63" t="n">
        <f aca="false">AI81+AJ80</f>
        <v>0</v>
      </c>
      <c r="AK81" s="63" t="n">
        <f aca="false">AJ81+AK80</f>
        <v>0</v>
      </c>
      <c r="AL81" s="63" t="n">
        <f aca="false">AK81+AL80</f>
        <v>0</v>
      </c>
      <c r="AM81" s="63" t="n">
        <f aca="false">AL81+AM80</f>
        <v>0</v>
      </c>
      <c r="AN81" s="63" t="n">
        <f aca="false">AM81+AN80</f>
        <v>0</v>
      </c>
      <c r="AO81" s="63" t="n">
        <f aca="false">AN81+AO80</f>
        <v>0</v>
      </c>
      <c r="AP81" s="63" t="n">
        <f aca="false">AO81+AP80</f>
        <v>0</v>
      </c>
      <c r="AQ81" s="63" t="n">
        <f aca="false">AP81+AQ80</f>
        <v>0</v>
      </c>
      <c r="AR81" s="63" t="n">
        <f aca="false">AQ81+AR80</f>
        <v>0</v>
      </c>
      <c r="AS81" s="63" t="n">
        <f aca="false">AR81+AS80</f>
        <v>0</v>
      </c>
      <c r="AT81" s="63" t="n">
        <f aca="false">AS81+AT80</f>
        <v>0</v>
      </c>
      <c r="AU81" s="63" t="n">
        <f aca="false">AT81+AU80</f>
        <v>0</v>
      </c>
      <c r="AV81" s="63" t="n">
        <f aca="false">AU81+AV80</f>
        <v>0</v>
      </c>
      <c r="AW81" s="63" t="n">
        <f aca="false">AV81+AW80</f>
        <v>0</v>
      </c>
      <c r="AX81" s="63" t="n">
        <f aca="false">AW81+AX80</f>
        <v>0</v>
      </c>
      <c r="AY81" s="63" t="n">
        <f aca="false">AX81+AY80</f>
        <v>0</v>
      </c>
      <c r="AZ81" s="63" t="n">
        <f aca="false">AY81+AZ80</f>
        <v>0</v>
      </c>
      <c r="BA81" s="63" t="n">
        <f aca="false">AZ81+BA80</f>
        <v>0</v>
      </c>
      <c r="BB81" s="63" t="n">
        <f aca="false">BA81+BB80</f>
        <v>0</v>
      </c>
      <c r="BC81" s="63" t="n">
        <f aca="false">BB81+BC80</f>
        <v>0</v>
      </c>
      <c r="BD81" s="63" t="n">
        <f aca="false">BC81+BD80</f>
        <v>0</v>
      </c>
      <c r="BE81" s="63" t="n">
        <f aca="false">BD81+BE80</f>
        <v>0</v>
      </c>
      <c r="BF81" s="63" t="n">
        <f aca="false">BE81+BF80</f>
        <v>0</v>
      </c>
      <c r="BG81" s="63" t="n">
        <f aca="false">BF81+BG80</f>
        <v>0</v>
      </c>
      <c r="BH81" s="63" t="n">
        <f aca="false">BG81+BH80</f>
        <v>0</v>
      </c>
      <c r="BI81" s="63" t="n">
        <f aca="false">BH81+BI80</f>
        <v>0</v>
      </c>
      <c r="BJ81" s="63" t="n">
        <f aca="false">BI81+BJ80</f>
        <v>0</v>
      </c>
      <c r="BK81" s="63" t="n">
        <f aca="false">BJ81+BK80</f>
        <v>0</v>
      </c>
      <c r="BL81" s="63" t="n">
        <f aca="false">BK81+BL80</f>
        <v>0</v>
      </c>
      <c r="BM81" s="63" t="n">
        <f aca="false">BL81+BM80</f>
        <v>0</v>
      </c>
      <c r="BN81" s="63" t="n">
        <f aca="false">BM81+BN80</f>
        <v>0</v>
      </c>
      <c r="BO81" s="63" t="n">
        <f aca="false">BN81+BO80</f>
        <v>0</v>
      </c>
      <c r="BP81" s="63" t="n">
        <f aca="false">BO81+BP80</f>
        <v>0</v>
      </c>
      <c r="BQ81" s="63" t="n">
        <f aca="false">BP81+BQ80</f>
        <v>0</v>
      </c>
      <c r="BR81" s="63" t="n">
        <f aca="false">BQ81+BR80</f>
        <v>0</v>
      </c>
      <c r="BS81" s="63" t="n">
        <f aca="false">BR81+BS80</f>
        <v>0</v>
      </c>
      <c r="BT81" s="63" t="n">
        <f aca="false">BS81+BT80</f>
        <v>0</v>
      </c>
      <c r="BU81" s="63" t="n">
        <f aca="false">BT81+BU80</f>
        <v>0</v>
      </c>
      <c r="BV81" s="63" t="n">
        <f aca="false">BU81+BV80</f>
        <v>0</v>
      </c>
      <c r="BW81" s="63" t="n">
        <f aca="false">BV81+BW80</f>
        <v>0</v>
      </c>
      <c r="BX81" s="63" t="n">
        <f aca="false">BW81+BX80</f>
        <v>0</v>
      </c>
      <c r="BY81" s="63" t="n">
        <f aca="false">BX81+BY80</f>
        <v>0</v>
      </c>
      <c r="BZ81" s="63" t="n">
        <f aca="false">BY81+BZ80</f>
        <v>0</v>
      </c>
      <c r="CA81" s="63" t="n">
        <f aca="false">BZ81+CA80</f>
        <v>0</v>
      </c>
      <c r="CB81" s="63" t="n">
        <f aca="false">CA81+CB80</f>
        <v>0</v>
      </c>
      <c r="CC81" s="63" t="n">
        <f aca="false">CB81+CC80</f>
        <v>0</v>
      </c>
      <c r="CD81" s="63" t="n">
        <f aca="false">CC81+CD80</f>
        <v>0</v>
      </c>
      <c r="CE81" s="63" t="n">
        <f aca="false">CD81+CE80</f>
        <v>0</v>
      </c>
      <c r="CF81" s="63" t="n">
        <f aca="false">CE81+CF80</f>
        <v>0</v>
      </c>
      <c r="CG81" s="63" t="n">
        <f aca="false">CF81+CG80</f>
        <v>0</v>
      </c>
      <c r="CH81" s="63" t="n">
        <f aca="false">CG81+CH80</f>
        <v>0</v>
      </c>
    </row>
    <row r="82" customFormat="false" ht="13.5" hidden="false" customHeight="true" outlineLevel="0" collapsed="false">
      <c r="A82" s="6" t="s">
        <v>556</v>
      </c>
      <c r="C82" s="100" t="n">
        <f aca="false">C79+C80</f>
        <v>155012.953832997</v>
      </c>
      <c r="D82" s="100" t="n">
        <f aca="false">D79+D80</f>
        <v>126800.895654598</v>
      </c>
      <c r="E82" s="100" t="n">
        <f aca="false">E79+E80</f>
        <v>104248.559423504</v>
      </c>
      <c r="F82" s="100" t="n">
        <f aca="false">F79+F80</f>
        <v>84119.5204026265</v>
      </c>
      <c r="G82" s="100" t="n">
        <f aca="false">G79+G80</f>
        <v>66025.27776969</v>
      </c>
      <c r="H82" s="100" t="n">
        <f aca="false">H79+H80</f>
        <v>50370.5451590943</v>
      </c>
      <c r="I82" s="100" t="n">
        <f aca="false">I79+I80</f>
        <v>38278.2536987901</v>
      </c>
      <c r="J82" s="100" t="n">
        <f aca="false">J79+J80</f>
        <v>30164.877840788</v>
      </c>
      <c r="K82" s="100" t="n">
        <f aca="false">K79+K80</f>
        <v>30000</v>
      </c>
      <c r="L82" s="100" t="n">
        <f aca="false">L79+L80</f>
        <v>30000</v>
      </c>
      <c r="M82" s="100" t="n">
        <f aca="false">M79+M80</f>
        <v>30000</v>
      </c>
      <c r="N82" s="100" t="n">
        <f aca="false">N79+N80</f>
        <v>31867.6730529029</v>
      </c>
      <c r="O82" s="100" t="n">
        <f aca="false">O79+O80</f>
        <v>36082.1147996875</v>
      </c>
      <c r="P82" s="100" t="n">
        <f aca="false">P79+P80</f>
        <v>40475.1935122794</v>
      </c>
      <c r="Q82" s="100" t="n">
        <f aca="false">Q79+Q80</f>
        <v>46886.9319881787</v>
      </c>
      <c r="R82" s="100" t="n">
        <f aca="false">R79+R80</f>
        <v>55317.3302273853</v>
      </c>
      <c r="S82" s="100" t="n">
        <f aca="false">S79+S80</f>
        <v>65766.3882298992</v>
      </c>
      <c r="T82" s="100" t="n">
        <f aca="false">T79+T80</f>
        <v>78234.1059957205</v>
      </c>
      <c r="U82" s="100" t="n">
        <f aca="false">U79+U80</f>
        <v>90795.1539648491</v>
      </c>
      <c r="V82" s="100" t="n">
        <f aca="false">V79+V80</f>
        <v>103109.768097285</v>
      </c>
      <c r="W82" s="100" t="n">
        <f aca="false">W79+W80</f>
        <v>117443.041993028</v>
      </c>
      <c r="X82" s="100" t="n">
        <f aca="false">X79+X80</f>
        <v>133349.534785538</v>
      </c>
      <c r="Y82" s="100" t="n">
        <f aca="false">Y79+Y80</f>
        <v>150639.151474813</v>
      </c>
      <c r="Z82" s="100" t="n">
        <f aca="false">Z79+Z80</f>
        <v>169145.310573988</v>
      </c>
      <c r="AA82" s="100" t="n">
        <f aca="false">AA79+AA80</f>
        <v>185235.817226796</v>
      </c>
      <c r="AB82" s="100" t="n">
        <f aca="false">AB79+AB80</f>
        <v>200499.736264926</v>
      </c>
      <c r="AC82" s="100" t="n">
        <f aca="false">AC79+AC80</f>
        <v>216920.157135177</v>
      </c>
      <c r="AD82" s="100" t="n">
        <f aca="false">AD79+AD80</f>
        <v>234497.07983755</v>
      </c>
      <c r="AE82" s="100" t="n">
        <f aca="false">AE79+AE80</f>
        <v>253230.504372045</v>
      </c>
      <c r="AF82" s="100" t="n">
        <f aca="false">AF79+AF80</f>
        <v>273120.430738662</v>
      </c>
      <c r="AG82" s="100" t="n">
        <f aca="false">AG79+AG80</f>
        <v>294166.8589374</v>
      </c>
      <c r="AH82" s="100" t="n">
        <f aca="false">AH79+AH80</f>
        <v>316369.78896826</v>
      </c>
      <c r="AI82" s="100" t="n">
        <f aca="false">AI79+AI80</f>
        <v>339729.220831242</v>
      </c>
      <c r="AJ82" s="100" t="n">
        <f aca="false">AJ79+AJ80</f>
        <v>364245.154526346</v>
      </c>
      <c r="AK82" s="100" t="n">
        <f aca="false">AK79+AK80</f>
        <v>389917.590053572</v>
      </c>
      <c r="AL82" s="100" t="n">
        <f aca="false">AL79+AL80</f>
        <v>414763.437966119</v>
      </c>
      <c r="AM82" s="100" t="n">
        <f aca="false">AM79+AM80</f>
        <v>435617.752375245</v>
      </c>
      <c r="AN82" s="100" t="n">
        <f aca="false">AN79+AN80</f>
        <v>457488.68768312</v>
      </c>
      <c r="AO82" s="100" t="n">
        <f aca="false">AO79+AO80</f>
        <v>480376.243889745</v>
      </c>
      <c r="AP82" s="100" t="n">
        <f aca="false">AP79+AP80</f>
        <v>504280.420995121</v>
      </c>
      <c r="AQ82" s="100" t="n">
        <f aca="false">AQ79+AQ80</f>
        <v>529201.218999246</v>
      </c>
      <c r="AR82" s="100" t="n">
        <f aca="false">AR79+AR80</f>
        <v>555138.637902121</v>
      </c>
      <c r="AS82" s="100" t="n">
        <f aca="false">AS79+AS80</f>
        <v>581496.697923674</v>
      </c>
      <c r="AT82" s="100" t="n">
        <f aca="false">AT79+AT80</f>
        <v>607858.924611893</v>
      </c>
      <c r="AU82" s="100" t="n">
        <f aca="false">AU79+AU80</f>
        <v>634225.317966779</v>
      </c>
      <c r="AV82" s="100" t="n">
        <f aca="false">AV79+AV80</f>
        <v>660595.877988332</v>
      </c>
      <c r="AW82" s="100" t="n">
        <f aca="false">AW79+AW80</f>
        <v>686970.604676551</v>
      </c>
      <c r="AX82" s="100" t="n">
        <f aca="false">AX79+AX80</f>
        <v>713349.498031437</v>
      </c>
      <c r="AY82" s="100" t="n">
        <f aca="false">AY79+AY80</f>
        <v>606668.133569413</v>
      </c>
      <c r="AZ82" s="100" t="n">
        <f aca="false">AZ79+AZ80</f>
        <v>631256.567207363</v>
      </c>
      <c r="BA82" s="100" t="n">
        <f aca="false">BA79+BA80</f>
        <v>655849.167511979</v>
      </c>
      <c r="BB82" s="100" t="n">
        <f aca="false">BB79+BB80</f>
        <v>680445.934483262</v>
      </c>
      <c r="BC82" s="100" t="n">
        <f aca="false">BC79+BC80</f>
        <v>705046.868121212</v>
      </c>
      <c r="BD82" s="100" t="n">
        <f aca="false">BD79+BD80</f>
        <v>729651.968425828</v>
      </c>
      <c r="BE82" s="100" t="n">
        <f aca="false">BE79+BE80</f>
        <v>754261.235397111</v>
      </c>
      <c r="BF82" s="100" t="n">
        <f aca="false">BF79+BF80</f>
        <v>778874.669035061</v>
      </c>
      <c r="BG82" s="100" t="n">
        <f aca="false">BG79+BG80</f>
        <v>803492.269339677</v>
      </c>
      <c r="BH82" s="100" t="n">
        <f aca="false">BH79+BH80</f>
        <v>828114.03631096</v>
      </c>
      <c r="BI82" s="100" t="n">
        <f aca="false">BI79+BI80</f>
        <v>852739.96994891</v>
      </c>
      <c r="BJ82" s="100" t="n">
        <f aca="false">BJ79+BJ80</f>
        <v>877370.070253526</v>
      </c>
      <c r="BK82" s="100" t="n">
        <f aca="false">BK79+BK80</f>
        <v>771054.172589287</v>
      </c>
      <c r="BL82" s="100" t="n">
        <f aca="false">BL79+BL80</f>
        <v>793883.508385459</v>
      </c>
      <c r="BM82" s="100" t="n">
        <f aca="false">BM79+BM80</f>
        <v>816717.010848298</v>
      </c>
      <c r="BN82" s="100" t="n">
        <f aca="false">BN79+BN80</f>
        <v>839554.679977803</v>
      </c>
      <c r="BO82" s="100" t="n">
        <f aca="false">BO79+BO80</f>
        <v>862396.515773975</v>
      </c>
      <c r="BP82" s="100" t="n">
        <f aca="false">BP79+BP80</f>
        <v>885242.518236814</v>
      </c>
      <c r="BQ82" s="100" t="n">
        <f aca="false">BQ79+BQ80</f>
        <v>908092.687366319</v>
      </c>
      <c r="BR82" s="100" t="n">
        <f aca="false">BR79+BR80</f>
        <v>930947.023162491</v>
      </c>
      <c r="BS82" s="100" t="n">
        <f aca="false">BS79+BS80</f>
        <v>953805.52562533</v>
      </c>
      <c r="BT82" s="100" t="n">
        <f aca="false">BT79+BT80</f>
        <v>976668.194754835</v>
      </c>
      <c r="BU82" s="100" t="n">
        <f aca="false">BU79+BU80</f>
        <v>999535.030551007</v>
      </c>
      <c r="BV82" s="100" t="n">
        <f aca="false">BV79+BV80</f>
        <v>1022406.03301385</v>
      </c>
      <c r="BW82" s="100" t="n">
        <f aca="false">BW79+BW80</f>
        <v>922764.093213108</v>
      </c>
      <c r="BX82" s="100" t="n">
        <f aca="false">BX79+BX80</f>
        <v>943823.717232249</v>
      </c>
      <c r="BY82" s="100" t="n">
        <f aca="false">BY79+BY80</f>
        <v>964887.507918057</v>
      </c>
      <c r="BZ82" s="100" t="n">
        <f aca="false">BZ79+BZ80</f>
        <v>985955.465270531</v>
      </c>
      <c r="CA82" s="100" t="n">
        <f aca="false">CA79+CA80</f>
        <v>1007027.58928967</v>
      </c>
      <c r="CB82" s="100" t="n">
        <f aca="false">CB79+CB80</f>
        <v>1028103.87997548</v>
      </c>
      <c r="CC82" s="100" t="n">
        <f aca="false">CC79+CC80</f>
        <v>1049184.33732795</v>
      </c>
      <c r="CD82" s="100" t="n">
        <f aca="false">CD79+CD80</f>
        <v>1070268.9613471</v>
      </c>
      <c r="CE82" s="100" t="n">
        <f aca="false">CE79+CE80</f>
        <v>1091357.7520329</v>
      </c>
      <c r="CF82" s="100" t="n">
        <f aca="false">CF79+CF80</f>
        <v>1112450.70938538</v>
      </c>
      <c r="CG82" s="100" t="n">
        <f aca="false">CG79+CG80</f>
        <v>1133547.83340452</v>
      </c>
      <c r="CH82" s="100" t="n">
        <f aca="false">CH79+CH80</f>
        <v>1154649.12409033</v>
      </c>
    </row>
    <row r="83" customFormat="false" ht="13.5" hidden="false" customHeight="true" outlineLevel="0" collapsed="false">
      <c r="A83" s="6" t="s">
        <v>557</v>
      </c>
      <c r="C83" s="100" t="n">
        <f aca="false">-IF(AND(1&gt;=Hipótesis!$D$76,MOD(1,12)=0,C81=0),MIN(Hipótesis!$D$77*MAX(0,SUM(C63:C63)),MAX(0,C82-Hipótesis!$D$80)),0)</f>
        <v>-0</v>
      </c>
      <c r="D83" s="100" t="n">
        <f aca="false">-IF(AND(2&gt;=Hipótesis!$D$76,MOD(2,12)=0,D81=0),MIN(Hipótesis!$D$77*MAX(0,SUM(C63:D63)),MAX(0,D82-Hipótesis!$D$80)),0)</f>
        <v>-0</v>
      </c>
      <c r="E83" s="100" t="n">
        <f aca="false">-IF(AND(3&gt;=Hipótesis!$D$76,MOD(3,12)=0,E81=0),MIN(Hipótesis!$D$77*MAX(0,SUM(C63:E63)),MAX(0,E82-Hipótesis!$D$80)),0)</f>
        <v>-0</v>
      </c>
      <c r="F83" s="100" t="n">
        <f aca="false">-IF(AND(4&gt;=Hipótesis!$D$76,MOD(4,12)=0,F81=0),MIN(Hipótesis!$D$77*MAX(0,SUM(C63:F63)),MAX(0,F82-Hipótesis!$D$80)),0)</f>
        <v>-0</v>
      </c>
      <c r="G83" s="100" t="n">
        <f aca="false">-IF(AND(5&gt;=Hipótesis!$D$76,MOD(5,12)=0,G81=0),MIN(Hipótesis!$D$77*MAX(0,SUM(C63:G63)),MAX(0,G82-Hipótesis!$D$80)),0)</f>
        <v>-0</v>
      </c>
      <c r="H83" s="100" t="n">
        <f aca="false">-IF(AND(6&gt;=Hipótesis!$D$76,MOD(6,12)=0,H81=0),MIN(Hipótesis!$D$77*MAX(0,SUM(C63:H63)),MAX(0,H82-Hipótesis!$D$80)),0)</f>
        <v>-0</v>
      </c>
      <c r="I83" s="100" t="n">
        <f aca="false">-IF(AND(7&gt;=Hipótesis!$D$76,MOD(7,12)=0,I81=0),MIN(Hipótesis!$D$77*MAX(0,SUM(C63:I63)),MAX(0,I82-Hipótesis!$D$80)),0)</f>
        <v>-0</v>
      </c>
      <c r="J83" s="100" t="n">
        <f aca="false">-IF(AND(8&gt;=Hipótesis!$D$76,MOD(8,12)=0,J81=0),MIN(Hipótesis!$D$77*MAX(0,SUM(C63:J63)),MAX(0,J82-Hipótesis!$D$80)),0)</f>
        <v>-0</v>
      </c>
      <c r="K83" s="100" t="n">
        <f aca="false">-IF(AND(9&gt;=Hipótesis!$D$76,MOD(9,12)=0,K81=0),MIN(Hipótesis!$D$77*MAX(0,SUM(C63:K63)),MAX(0,K82-Hipótesis!$D$80)),0)</f>
        <v>-0</v>
      </c>
      <c r="L83" s="100" t="n">
        <f aca="false">-IF(AND(10&gt;=Hipótesis!$D$76,MOD(10,12)=0,L81=0),MIN(Hipótesis!$D$77*MAX(0,SUM(C63:L63)),MAX(0,L82-Hipótesis!$D$80)),0)</f>
        <v>-0</v>
      </c>
      <c r="M83" s="100" t="n">
        <f aca="false">-IF(AND(11&gt;=Hipótesis!$D$76,MOD(11,12)=0,M81=0),MIN(Hipótesis!$D$77*MAX(0,SUM(C63:M63)),MAX(0,M82-Hipótesis!$D$80)),0)</f>
        <v>-0</v>
      </c>
      <c r="N83" s="100" t="n">
        <f aca="false">-IF(AND(12&gt;=Hipótesis!$D$76,MOD(12,12)=0,N81=0),MIN(Hipótesis!$D$77*MAX(0,SUM(C63:N63)),MAX(0,N82-Hipótesis!$D$80)),0)</f>
        <v>-0</v>
      </c>
      <c r="O83" s="100" t="n">
        <f aca="false">-IF(AND(13&gt;=Hipótesis!$D$76,MOD(13,12)=0,O81=0),MIN(Hipótesis!$D$77*MAX(0,SUM(D63:O63)),MAX(0,O82-Hipótesis!$D$80)),0)</f>
        <v>-0</v>
      </c>
      <c r="P83" s="100" t="n">
        <f aca="false">-IF(AND(14&gt;=Hipótesis!$D$76,MOD(14,12)=0,P81=0),MIN(Hipótesis!$D$77*MAX(0,SUM(E63:P63)),MAX(0,P82-Hipótesis!$D$80)),0)</f>
        <v>-0</v>
      </c>
      <c r="Q83" s="100" t="n">
        <f aca="false">-IF(AND(15&gt;=Hipótesis!$D$76,MOD(15,12)=0,Q81=0),MIN(Hipótesis!$D$77*MAX(0,SUM(F63:Q63)),MAX(0,Q82-Hipótesis!$D$80)),0)</f>
        <v>-0</v>
      </c>
      <c r="R83" s="100" t="n">
        <f aca="false">-IF(AND(16&gt;=Hipótesis!$D$76,MOD(16,12)=0,R81=0),MIN(Hipótesis!$D$77*MAX(0,SUM(G63:R63)),MAX(0,R82-Hipótesis!$D$80)),0)</f>
        <v>-0</v>
      </c>
      <c r="S83" s="100" t="n">
        <f aca="false">-IF(AND(17&gt;=Hipótesis!$D$76,MOD(17,12)=0,S81=0),MIN(Hipótesis!$D$77*MAX(0,SUM(H63:S63)),MAX(0,S82-Hipótesis!$D$80)),0)</f>
        <v>-0</v>
      </c>
      <c r="T83" s="100" t="n">
        <f aca="false">-IF(AND(18&gt;=Hipótesis!$D$76,MOD(18,12)=0,T81=0),MIN(Hipótesis!$D$77*MAX(0,SUM(I63:T63)),MAX(0,T82-Hipótesis!$D$80)),0)</f>
        <v>-0</v>
      </c>
      <c r="U83" s="100" t="n">
        <f aca="false">-IF(AND(19&gt;=Hipótesis!$D$76,MOD(19,12)=0,U81=0),MIN(Hipótesis!$D$77*MAX(0,SUM(J63:U63)),MAX(0,U82-Hipótesis!$D$80)),0)</f>
        <v>-0</v>
      </c>
      <c r="V83" s="100" t="n">
        <f aca="false">-IF(AND(20&gt;=Hipótesis!$D$76,MOD(20,12)=0,V81=0),MIN(Hipótesis!$D$77*MAX(0,SUM(K63:V63)),MAX(0,V82-Hipótesis!$D$80)),0)</f>
        <v>-0</v>
      </c>
      <c r="W83" s="100" t="n">
        <f aca="false">-IF(AND(21&gt;=Hipótesis!$D$76,MOD(21,12)=0,W81=0),MIN(Hipótesis!$D$77*MAX(0,SUM(L63:W63)),MAX(0,W82-Hipótesis!$D$80)),0)</f>
        <v>-0</v>
      </c>
      <c r="X83" s="100" t="n">
        <f aca="false">-IF(AND(22&gt;=Hipótesis!$D$76,MOD(22,12)=0,X81=0),MIN(Hipótesis!$D$77*MAX(0,SUM(M63:X63)),MAX(0,X82-Hipótesis!$D$80)),0)</f>
        <v>-0</v>
      </c>
      <c r="Y83" s="100" t="n">
        <f aca="false">-IF(AND(23&gt;=Hipótesis!$D$76,MOD(23,12)=0,Y81=0),MIN(Hipótesis!$D$77*MAX(0,SUM(N63:Y63)),MAX(0,Y82-Hipótesis!$D$80)),0)</f>
        <v>-0</v>
      </c>
      <c r="Z83" s="100" t="n">
        <f aca="false">-IF(AND(24&gt;=Hipótesis!$D$76,MOD(24,12)=0,Z81=0),MIN(Hipótesis!$D$77*MAX(0,SUM(O63:Z63)),MAX(0,Z82-Hipótesis!$D$80)),0)</f>
        <v>-0</v>
      </c>
      <c r="AA83" s="100" t="n">
        <f aca="false">-IF(AND(25&gt;=Hipótesis!$D$76,MOD(25,12)=0,AA81=0),MIN(Hipótesis!$D$77*MAX(0,SUM(P63:AA63)),MAX(0,AA82-Hipótesis!$D$80)),0)</f>
        <v>-0</v>
      </c>
      <c r="AB83" s="100" t="n">
        <f aca="false">-IF(AND(26&gt;=Hipótesis!$D$76,MOD(26,12)=0,AB81=0),MIN(Hipótesis!$D$77*MAX(0,SUM(Q63:AB63)),MAX(0,AB82-Hipótesis!$D$80)),0)</f>
        <v>-0</v>
      </c>
      <c r="AC83" s="100" t="n">
        <f aca="false">-IF(AND(27&gt;=Hipótesis!$D$76,MOD(27,12)=0,AC81=0),MIN(Hipótesis!$D$77*MAX(0,SUM(R63:AC63)),MAX(0,AC82-Hipótesis!$D$80)),0)</f>
        <v>-0</v>
      </c>
      <c r="AD83" s="100" t="n">
        <f aca="false">-IF(AND(28&gt;=Hipótesis!$D$76,MOD(28,12)=0,AD81=0),MIN(Hipótesis!$D$77*MAX(0,SUM(S63:AD63)),MAX(0,AD82-Hipótesis!$D$80)),0)</f>
        <v>-0</v>
      </c>
      <c r="AE83" s="100" t="n">
        <f aca="false">-IF(AND(29&gt;=Hipótesis!$D$76,MOD(29,12)=0,AE81=0),MIN(Hipótesis!$D$77*MAX(0,SUM(T63:AE63)),MAX(0,AE82-Hipótesis!$D$80)),0)</f>
        <v>-0</v>
      </c>
      <c r="AF83" s="100" t="n">
        <f aca="false">-IF(AND(30&gt;=Hipótesis!$D$76,MOD(30,12)=0,AF81=0),MIN(Hipótesis!$D$77*MAX(0,SUM(U63:AF63)),MAX(0,AF82-Hipótesis!$D$80)),0)</f>
        <v>-0</v>
      </c>
      <c r="AG83" s="100" t="n">
        <f aca="false">-IF(AND(31&gt;=Hipótesis!$D$76,MOD(31,12)=0,AG81=0),MIN(Hipótesis!$D$77*MAX(0,SUM(V63:AG63)),MAX(0,AG82-Hipótesis!$D$80)),0)</f>
        <v>-0</v>
      </c>
      <c r="AH83" s="100" t="n">
        <f aca="false">-IF(AND(32&gt;=Hipótesis!$D$76,MOD(32,12)=0,AH81=0),MIN(Hipótesis!$D$77*MAX(0,SUM(W63:AH63)),MAX(0,AH82-Hipótesis!$D$80)),0)</f>
        <v>-0</v>
      </c>
      <c r="AI83" s="100" t="n">
        <f aca="false">-IF(AND(33&gt;=Hipótesis!$D$76,MOD(33,12)=0,AI81=0),MIN(Hipótesis!$D$77*MAX(0,SUM(X63:AI63)),MAX(0,AI82-Hipótesis!$D$80)),0)</f>
        <v>-0</v>
      </c>
      <c r="AJ83" s="100" t="n">
        <f aca="false">-IF(AND(34&gt;=Hipótesis!$D$76,MOD(34,12)=0,AJ81=0),MIN(Hipótesis!$D$77*MAX(0,SUM(Y63:AJ63)),MAX(0,AJ82-Hipótesis!$D$80)),0)</f>
        <v>-0</v>
      </c>
      <c r="AK83" s="100" t="n">
        <f aca="false">-IF(AND(35&gt;=Hipótesis!$D$76,MOD(35,12)=0,AK81=0),MIN(Hipótesis!$D$77*MAX(0,SUM(Z63:AK63)),MAX(0,AK82-Hipótesis!$D$80)),0)</f>
        <v>-0</v>
      </c>
      <c r="AL83" s="100" t="n">
        <f aca="false">-IF(AND(36&gt;=Hipótesis!$D$76,MOD(36,12)=0,AL81=0),MIN(Hipótesis!$D$77*MAX(0,SUM(AA63:AL63)),MAX(0,AL82-Hipótesis!$D$80)),0)</f>
        <v>-0</v>
      </c>
      <c r="AM83" s="100" t="n">
        <f aca="false">-IF(AND(37&gt;=Hipótesis!$D$76,MOD(37,12)=0,AM81=0),MIN(Hipótesis!$D$77*MAX(0,SUM(AB63:AM63)),MAX(0,AM82-Hipótesis!$D$80)),0)</f>
        <v>-0</v>
      </c>
      <c r="AN83" s="100" t="n">
        <f aca="false">-IF(AND(38&gt;=Hipótesis!$D$76,MOD(38,12)=0,AN81=0),MIN(Hipótesis!$D$77*MAX(0,SUM(AC63:AN63)),MAX(0,AN82-Hipótesis!$D$80)),0)</f>
        <v>-0</v>
      </c>
      <c r="AO83" s="100" t="n">
        <f aca="false">-IF(AND(39&gt;=Hipótesis!$D$76,MOD(39,12)=0,AO81=0),MIN(Hipótesis!$D$77*MAX(0,SUM(AD63:AO63)),MAX(0,AO82-Hipótesis!$D$80)),0)</f>
        <v>-0</v>
      </c>
      <c r="AP83" s="100" t="n">
        <f aca="false">-IF(AND(40&gt;=Hipótesis!$D$76,MOD(40,12)=0,AP81=0),MIN(Hipótesis!$D$77*MAX(0,SUM(AE63:AP63)),MAX(0,AP82-Hipótesis!$D$80)),0)</f>
        <v>-0</v>
      </c>
      <c r="AQ83" s="100" t="n">
        <f aca="false">-IF(AND(41&gt;=Hipótesis!$D$76,MOD(41,12)=0,AQ81=0),MIN(Hipótesis!$D$77*MAX(0,SUM(AF63:AQ63)),MAX(0,AQ82-Hipótesis!$D$80)),0)</f>
        <v>-0</v>
      </c>
      <c r="AR83" s="100" t="n">
        <f aca="false">-IF(AND(42&gt;=Hipótesis!$D$76,MOD(42,12)=0,AR81=0),MIN(Hipótesis!$D$77*MAX(0,SUM(AG63:AR63)),MAX(0,AR82-Hipótesis!$D$80)),0)</f>
        <v>-0</v>
      </c>
      <c r="AS83" s="100" t="n">
        <f aca="false">-IF(AND(43&gt;=Hipótesis!$D$76,MOD(43,12)=0,AS81=0),MIN(Hipótesis!$D$77*MAX(0,SUM(AH63:AS63)),MAX(0,AS82-Hipótesis!$D$80)),0)</f>
        <v>-0</v>
      </c>
      <c r="AT83" s="100" t="n">
        <f aca="false">-IF(AND(44&gt;=Hipótesis!$D$76,MOD(44,12)=0,AT81=0),MIN(Hipótesis!$D$77*MAX(0,SUM(AI63:AT63)),MAX(0,AT82-Hipótesis!$D$80)),0)</f>
        <v>-0</v>
      </c>
      <c r="AU83" s="100" t="n">
        <f aca="false">-IF(AND(45&gt;=Hipótesis!$D$76,MOD(45,12)=0,AU81=0),MIN(Hipótesis!$D$77*MAX(0,SUM(AJ63:AU63)),MAX(0,AU82-Hipótesis!$D$80)),0)</f>
        <v>-0</v>
      </c>
      <c r="AV83" s="100" t="n">
        <f aca="false">-IF(AND(46&gt;=Hipótesis!$D$76,MOD(46,12)=0,AV81=0),MIN(Hipótesis!$D$77*MAX(0,SUM(AK63:AV63)),MAX(0,AV82-Hipótesis!$D$80)),0)</f>
        <v>-0</v>
      </c>
      <c r="AW83" s="100" t="n">
        <f aca="false">-IF(AND(47&gt;=Hipótesis!$D$76,MOD(47,12)=0,AW81=0),MIN(Hipótesis!$D$77*MAX(0,SUM(AL63:AW63)),MAX(0,AW82-Hipótesis!$D$80)),0)</f>
        <v>-0</v>
      </c>
      <c r="AX83" s="100" t="n">
        <f aca="false">-IF(AND(48&gt;=Hipótesis!$D$76,MOD(48,12)=0,AX81=0),MIN(Hipótesis!$D$77*MAX(0,SUM(AM63:AX63)),MAX(0,AX82-Hipótesis!$D$80)),0)</f>
        <v>-131265.631433308</v>
      </c>
      <c r="AY83" s="100" t="n">
        <f aca="false">-IF(AND(49&gt;=Hipótesis!$D$76,MOD(49,12)=0,AY81=0),MIN(Hipótesis!$D$77*MAX(0,SUM(AN63:AY63)),MAX(0,AY82-Hipótesis!$D$80)),0)</f>
        <v>-0</v>
      </c>
      <c r="AZ83" s="100" t="n">
        <f aca="false">-IF(AND(50&gt;=Hipótesis!$D$76,MOD(50,12)=0,AZ81=0),MIN(Hipótesis!$D$77*MAX(0,SUM(AO63:AZ63)),MAX(0,AZ82-Hipótesis!$D$80)),0)</f>
        <v>-0</v>
      </c>
      <c r="BA83" s="100" t="n">
        <f aca="false">-IF(AND(51&gt;=Hipótesis!$D$76,MOD(51,12)=0,BA81=0),MIN(Hipótesis!$D$77*MAX(0,SUM(AP63:BA63)),MAX(0,BA82-Hipótesis!$D$80)),0)</f>
        <v>-0</v>
      </c>
      <c r="BB83" s="100" t="n">
        <f aca="false">-IF(AND(52&gt;=Hipótesis!$D$76,MOD(52,12)=0,BB81=0),MIN(Hipótesis!$D$77*MAX(0,SUM(AQ63:BB63)),MAX(0,BB82-Hipótesis!$D$80)),0)</f>
        <v>-0</v>
      </c>
      <c r="BC83" s="100" t="n">
        <f aca="false">-IF(AND(53&gt;=Hipótesis!$D$76,MOD(53,12)=0,BC81=0),MIN(Hipótesis!$D$77*MAX(0,SUM(AR63:BC63)),MAX(0,BC82-Hipótesis!$D$80)),0)</f>
        <v>-0</v>
      </c>
      <c r="BD83" s="100" t="n">
        <f aca="false">-IF(AND(54&gt;=Hipótesis!$D$76,MOD(54,12)=0,BD81=0),MIN(Hipótesis!$D$77*MAX(0,SUM(AS63:BD63)),MAX(0,BD82-Hipótesis!$D$80)),0)</f>
        <v>-0</v>
      </c>
      <c r="BE83" s="100" t="n">
        <f aca="false">-IF(AND(55&gt;=Hipótesis!$D$76,MOD(55,12)=0,BE81=0),MIN(Hipótesis!$D$77*MAX(0,SUM(AT63:BE63)),MAX(0,BE82-Hipótesis!$D$80)),0)</f>
        <v>-0</v>
      </c>
      <c r="BF83" s="100" t="n">
        <f aca="false">-IF(AND(56&gt;=Hipótesis!$D$76,MOD(56,12)=0,BF81=0),MIN(Hipótesis!$D$77*MAX(0,SUM(AU63:BF63)),MAX(0,BF82-Hipótesis!$D$80)),0)</f>
        <v>-0</v>
      </c>
      <c r="BG83" s="100" t="n">
        <f aca="false">-IF(AND(57&gt;=Hipótesis!$D$76,MOD(57,12)=0,BG81=0),MIN(Hipótesis!$D$77*MAX(0,SUM(AV63:BG63)),MAX(0,BG82-Hipótesis!$D$80)),0)</f>
        <v>-0</v>
      </c>
      <c r="BH83" s="100" t="n">
        <f aca="false">-IF(AND(58&gt;=Hipótesis!$D$76,MOD(58,12)=0,BH81=0),MIN(Hipótesis!$D$77*MAX(0,SUM(AW63:BH63)),MAX(0,BH82-Hipótesis!$D$80)),0)</f>
        <v>-0</v>
      </c>
      <c r="BI83" s="100" t="n">
        <f aca="false">-IF(AND(59&gt;=Hipótesis!$D$76,MOD(59,12)=0,BI81=0),MIN(Hipótesis!$D$77*MAX(0,SUM(AX63:BI63)),MAX(0,BI82-Hipótesis!$D$80)),0)</f>
        <v>-0</v>
      </c>
      <c r="BJ83" s="100" t="n">
        <f aca="false">-IF(AND(60&gt;=Hipótesis!$D$76,MOD(60,12)=0,BJ81=0),MIN(Hipótesis!$D$77*MAX(0,SUM(AY63:BJ63)),MAX(0,BJ82-Hipótesis!$D$80)),0)</f>
        <v>-129141.066793745</v>
      </c>
      <c r="BK83" s="100" t="n">
        <f aca="false">-IF(AND(61&gt;=Hipótesis!$D$76,MOD(61,12)=0,BK81=0),MIN(Hipótesis!$D$77*MAX(0,SUM(AZ63:BK63)),MAX(0,BK82-Hipótesis!$D$80)),0)</f>
        <v>-0</v>
      </c>
      <c r="BL83" s="100" t="n">
        <f aca="false">-IF(AND(62&gt;=Hipótesis!$D$76,MOD(62,12)=0,BL81=0),MIN(Hipótesis!$D$77*MAX(0,SUM(BA63:BL63)),MAX(0,BL82-Hipótesis!$D$80)),0)</f>
        <v>-0</v>
      </c>
      <c r="BM83" s="100" t="n">
        <f aca="false">-IF(AND(63&gt;=Hipótesis!$D$76,MOD(63,12)=0,BM81=0),MIN(Hipótesis!$D$77*MAX(0,SUM(BB63:BM63)),MAX(0,BM82-Hipótesis!$D$80)),0)</f>
        <v>-0</v>
      </c>
      <c r="BN83" s="100" t="n">
        <f aca="false">-IF(AND(64&gt;=Hipótesis!$D$76,MOD(64,12)=0,BN81=0),MIN(Hipótesis!$D$77*MAX(0,SUM(BC63:BN63)),MAX(0,BN82-Hipótesis!$D$80)),0)</f>
        <v>-0</v>
      </c>
      <c r="BO83" s="100" t="n">
        <f aca="false">-IF(AND(65&gt;=Hipótesis!$D$76,MOD(65,12)=0,BO81=0),MIN(Hipótesis!$D$77*MAX(0,SUM(BD63:BO63)),MAX(0,BO82-Hipótesis!$D$80)),0)</f>
        <v>-0</v>
      </c>
      <c r="BP83" s="100" t="n">
        <f aca="false">-IF(AND(66&gt;=Hipótesis!$D$76,MOD(66,12)=0,BP81=0),MIN(Hipótesis!$D$77*MAX(0,SUM(BE63:BP63)),MAX(0,BP82-Hipótesis!$D$80)),0)</f>
        <v>-0</v>
      </c>
      <c r="BQ83" s="100" t="n">
        <f aca="false">-IF(AND(67&gt;=Hipótesis!$D$76,MOD(67,12)=0,BQ81=0),MIN(Hipótesis!$D$77*MAX(0,SUM(BF63:BQ63)),MAX(0,BQ82-Hipótesis!$D$80)),0)</f>
        <v>-0</v>
      </c>
      <c r="BR83" s="100" t="n">
        <f aca="false">-IF(AND(68&gt;=Hipótesis!$D$76,MOD(68,12)=0,BR81=0),MIN(Hipótesis!$D$77*MAX(0,SUM(BG63:BR63)),MAX(0,BR82-Hipótesis!$D$80)),0)</f>
        <v>-0</v>
      </c>
      <c r="BS83" s="100" t="n">
        <f aca="false">-IF(AND(69&gt;=Hipótesis!$D$76,MOD(69,12)=0,BS81=0),MIN(Hipótesis!$D$77*MAX(0,SUM(BH63:BS63)),MAX(0,BS82-Hipótesis!$D$80)),0)</f>
        <v>-0</v>
      </c>
      <c r="BT83" s="100" t="n">
        <f aca="false">-IF(AND(70&gt;=Hipótesis!$D$76,MOD(70,12)=0,BT81=0),MIN(Hipótesis!$D$77*MAX(0,SUM(BI63:BT63)),MAX(0,BT82-Hipótesis!$D$80)),0)</f>
        <v>-0</v>
      </c>
      <c r="BU83" s="100" t="n">
        <f aca="false">-IF(AND(71&gt;=Hipótesis!$D$76,MOD(71,12)=0,BU81=0),MIN(Hipótesis!$D$77*MAX(0,SUM(BJ63:BU63)),MAX(0,BU82-Hipótesis!$D$80)),0)</f>
        <v>-0</v>
      </c>
      <c r="BV83" s="100" t="n">
        <f aca="false">-IF(AND(72&gt;=Hipótesis!$D$76,MOD(72,12)=0,BV81=0),MIN(Hipótesis!$D$77*MAX(0,SUM(BK63:BV63)),MAX(0,BV82-Hipótesis!$D$80)),0)</f>
        <v>-120697.397153212</v>
      </c>
      <c r="BW83" s="100" t="n">
        <f aca="false">-IF(AND(73&gt;=Hipótesis!$D$76,MOD(73,12)=0,BW81=0),MIN(Hipótesis!$D$77*MAX(0,SUM(BL63:BW63)),MAX(0,BW82-Hipótesis!$D$80)),0)</f>
        <v>-0</v>
      </c>
      <c r="BX83" s="100" t="n">
        <f aca="false">-IF(AND(74&gt;=Hipótesis!$D$76,MOD(74,12)=0,BX81=0),MIN(Hipótesis!$D$77*MAX(0,SUM(BM63:BX63)),MAX(0,BX82-Hipótesis!$D$80)),0)</f>
        <v>-0</v>
      </c>
      <c r="BY83" s="100" t="n">
        <f aca="false">-IF(AND(75&gt;=Hipótesis!$D$76,MOD(75,12)=0,BY81=0),MIN(Hipótesis!$D$77*MAX(0,SUM(BN63:BY63)),MAX(0,BY82-Hipótesis!$D$80)),0)</f>
        <v>-0</v>
      </c>
      <c r="BZ83" s="100" t="n">
        <f aca="false">-IF(AND(76&gt;=Hipótesis!$D$76,MOD(76,12)=0,BZ81=0),MIN(Hipótesis!$D$77*MAX(0,SUM(BO63:BZ63)),MAX(0,BZ82-Hipótesis!$D$80)),0)</f>
        <v>-0</v>
      </c>
      <c r="CA83" s="100" t="n">
        <f aca="false">-IF(AND(77&gt;=Hipótesis!$D$76,MOD(77,12)=0,CA81=0),MIN(Hipótesis!$D$77*MAX(0,SUM(BP63:CA63)),MAX(0,CA82-Hipótesis!$D$80)),0)</f>
        <v>-0</v>
      </c>
      <c r="CB83" s="100" t="n">
        <f aca="false">-IF(AND(78&gt;=Hipótesis!$D$76,MOD(78,12)=0,CB81=0),MIN(Hipótesis!$D$77*MAX(0,SUM(BQ63:CB63)),MAX(0,CB82-Hipótesis!$D$80)),0)</f>
        <v>-0</v>
      </c>
      <c r="CC83" s="100" t="n">
        <f aca="false">-IF(AND(79&gt;=Hipótesis!$D$76,MOD(79,12)=0,CC81=0),MIN(Hipótesis!$D$77*MAX(0,SUM(BR63:CC63)),MAX(0,CC82-Hipótesis!$D$80)),0)</f>
        <v>-0</v>
      </c>
      <c r="CD83" s="100" t="n">
        <f aca="false">-IF(AND(80&gt;=Hipótesis!$D$76,MOD(80,12)=0,CD81=0),MIN(Hipótesis!$D$77*MAX(0,SUM(BS63:CD63)),MAX(0,CD82-Hipótesis!$D$80)),0)</f>
        <v>-0</v>
      </c>
      <c r="CE83" s="100" t="n">
        <f aca="false">-IF(AND(81&gt;=Hipótesis!$D$76,MOD(81,12)=0,CE81=0),MIN(Hipótesis!$D$77*MAX(0,SUM(BT63:CE63)),MAX(0,CE82-Hipótesis!$D$80)),0)</f>
        <v>-0</v>
      </c>
      <c r="CF83" s="100" t="n">
        <f aca="false">-IF(AND(82&gt;=Hipótesis!$D$76,MOD(82,12)=0,CF81=0),MIN(Hipótesis!$D$77*MAX(0,SUM(BU63:CF63)),MAX(0,CF82-Hipótesis!$D$80)),0)</f>
        <v>-0</v>
      </c>
      <c r="CG83" s="100" t="n">
        <f aca="false">-IF(AND(83&gt;=Hipótesis!$D$76,MOD(83,12)=0,CG81=0),MIN(Hipótesis!$D$77*MAX(0,SUM(BV63:CG63)),MAX(0,CG82-Hipótesis!$D$80)),0)</f>
        <v>-0</v>
      </c>
      <c r="CH83" s="100" t="n">
        <f aca="false">-IF(AND(84&gt;=Hipótesis!$D$76,MOD(84,12)=0,CH81=0),MIN(Hipótesis!$D$77*MAX(0,SUM(BW63:CH63)),MAX(0,CH82-Hipótesis!$D$80)),0)</f>
        <v>-112202.780623463</v>
      </c>
    </row>
    <row r="84" customFormat="false" ht="13.5" hidden="false" customHeight="true" outlineLevel="0" collapsed="false">
      <c r="A84" s="22" t="s">
        <v>558</v>
      </c>
      <c r="C84" s="100" t="n">
        <f aca="false">-IF(AND(1&gt;=Hipótesis!$D$78,MOD(1,12)=0,C96=0,C89=0,C101=0,C81=0),MIN(Hipótesis!$D$79*MAX(0,C112),MAX(0,C82+C83-Hipótesis!$D$80)),0)</f>
        <v>-0</v>
      </c>
      <c r="D84" s="100" t="n">
        <f aca="false">-IF(AND(2&gt;=Hipótesis!$D$78,MOD(2,12)=0,D96=0,D89=0,D101=0,D81=0),MIN(Hipótesis!$D$79*MAX(0,D112),MAX(0,D82+D83-Hipótesis!$D$80)),0)</f>
        <v>-0</v>
      </c>
      <c r="E84" s="100" t="n">
        <f aca="false">-IF(AND(3&gt;=Hipótesis!$D$78,MOD(3,12)=0,E96=0,E89=0,E101=0,E81=0),MIN(Hipótesis!$D$79*MAX(0,E112),MAX(0,E82+E83-Hipótesis!$D$80)),0)</f>
        <v>-0</v>
      </c>
      <c r="F84" s="100" t="n">
        <f aca="false">-IF(AND(4&gt;=Hipótesis!$D$78,MOD(4,12)=0,F96=0,F89=0,F101=0,F81=0),MIN(Hipótesis!$D$79*MAX(0,F112),MAX(0,F82+F83-Hipótesis!$D$80)),0)</f>
        <v>-0</v>
      </c>
      <c r="G84" s="100" t="n">
        <f aca="false">-IF(AND(5&gt;=Hipótesis!$D$78,MOD(5,12)=0,G96=0,G89=0,G101=0,G81=0),MIN(Hipótesis!$D$79*MAX(0,G112),MAX(0,G82+G83-Hipótesis!$D$80)),0)</f>
        <v>-0</v>
      </c>
      <c r="H84" s="100" t="n">
        <f aca="false">-IF(AND(6&gt;=Hipótesis!$D$78,MOD(6,12)=0,H96=0,H89=0,H101=0,H81=0),MIN(Hipótesis!$D$79*MAX(0,H112),MAX(0,H82+H83-Hipótesis!$D$80)),0)</f>
        <v>-0</v>
      </c>
      <c r="I84" s="100" t="n">
        <f aca="false">-IF(AND(7&gt;=Hipótesis!$D$78,MOD(7,12)=0,I96=0,I89=0,I101=0,I81=0),MIN(Hipótesis!$D$79*MAX(0,I112),MAX(0,I82+I83-Hipótesis!$D$80)),0)</f>
        <v>-0</v>
      </c>
      <c r="J84" s="100" t="n">
        <f aca="false">-IF(AND(8&gt;=Hipótesis!$D$78,MOD(8,12)=0,J96=0,J89=0,J101=0,J81=0),MIN(Hipótesis!$D$79*MAX(0,J112),MAX(0,J82+J83-Hipótesis!$D$80)),0)</f>
        <v>-0</v>
      </c>
      <c r="K84" s="100" t="n">
        <f aca="false">-IF(AND(9&gt;=Hipótesis!$D$78,MOD(9,12)=0,K96=0,K89=0,K101=0,K81=0),MIN(Hipótesis!$D$79*MAX(0,K112),MAX(0,K82+K83-Hipótesis!$D$80)),0)</f>
        <v>-0</v>
      </c>
      <c r="L84" s="100" t="n">
        <f aca="false">-IF(AND(10&gt;=Hipótesis!$D$78,MOD(10,12)=0,L96=0,L89=0,L101=0,L81=0),MIN(Hipótesis!$D$79*MAX(0,L112),MAX(0,L82+L83-Hipótesis!$D$80)),0)</f>
        <v>-0</v>
      </c>
      <c r="M84" s="100" t="n">
        <f aca="false">-IF(AND(11&gt;=Hipótesis!$D$78,MOD(11,12)=0,M96=0,M89=0,M101=0,M81=0),MIN(Hipótesis!$D$79*MAX(0,M112),MAX(0,M82+M83-Hipótesis!$D$80)),0)</f>
        <v>-0</v>
      </c>
      <c r="N84" s="100" t="n">
        <f aca="false">-IF(AND(12&gt;=Hipótesis!$D$78,MOD(12,12)=0,N96=0,N89=0,N101=0,N81=0),MIN(Hipótesis!$D$79*MAX(0,N112),MAX(0,N82+N83-Hipótesis!$D$80)),0)</f>
        <v>-0</v>
      </c>
      <c r="O84" s="100" t="n">
        <f aca="false">-IF(AND(13&gt;=Hipótesis!$D$78,MOD(13,12)=0,O96=0,O89=0,O101=0,O81=0),MIN(Hipótesis!$D$79*MAX(0,O112),MAX(0,O82+O83-Hipótesis!$D$80)),0)</f>
        <v>-0</v>
      </c>
      <c r="P84" s="100" t="n">
        <f aca="false">-IF(AND(14&gt;=Hipótesis!$D$78,MOD(14,12)=0,P96=0,P89=0,P101=0,P81=0),MIN(Hipótesis!$D$79*MAX(0,P112),MAX(0,P82+P83-Hipótesis!$D$80)),0)</f>
        <v>-0</v>
      </c>
      <c r="Q84" s="100" t="n">
        <f aca="false">-IF(AND(15&gt;=Hipótesis!$D$78,MOD(15,12)=0,Q96=0,Q89=0,Q101=0,Q81=0),MIN(Hipótesis!$D$79*MAX(0,Q112),MAX(0,Q82+Q83-Hipótesis!$D$80)),0)</f>
        <v>-0</v>
      </c>
      <c r="R84" s="100" t="n">
        <f aca="false">-IF(AND(16&gt;=Hipótesis!$D$78,MOD(16,12)=0,R96=0,R89=0,R101=0,R81=0),MIN(Hipótesis!$D$79*MAX(0,R112),MAX(0,R82+R83-Hipótesis!$D$80)),0)</f>
        <v>-0</v>
      </c>
      <c r="S84" s="100" t="n">
        <f aca="false">-IF(AND(17&gt;=Hipótesis!$D$78,MOD(17,12)=0,S96=0,S89=0,S101=0,S81=0),MIN(Hipótesis!$D$79*MAX(0,S112),MAX(0,S82+S83-Hipótesis!$D$80)),0)</f>
        <v>-0</v>
      </c>
      <c r="T84" s="100" t="n">
        <f aca="false">-IF(AND(18&gt;=Hipótesis!$D$78,MOD(18,12)=0,T96=0,T89=0,T101=0,T81=0),MIN(Hipótesis!$D$79*MAX(0,T112),MAX(0,T82+T83-Hipótesis!$D$80)),0)</f>
        <v>-0</v>
      </c>
      <c r="U84" s="100" t="n">
        <f aca="false">-IF(AND(19&gt;=Hipótesis!$D$78,MOD(19,12)=0,U96=0,U89=0,U101=0,U81=0),MIN(Hipótesis!$D$79*MAX(0,U112),MAX(0,U82+U83-Hipótesis!$D$80)),0)</f>
        <v>-0</v>
      </c>
      <c r="V84" s="100" t="n">
        <f aca="false">-IF(AND(20&gt;=Hipótesis!$D$78,MOD(20,12)=0,V96=0,V89=0,V101=0,V81=0),MIN(Hipótesis!$D$79*MAX(0,V112),MAX(0,V82+V83-Hipótesis!$D$80)),0)</f>
        <v>-0</v>
      </c>
      <c r="W84" s="100" t="n">
        <f aca="false">-IF(AND(21&gt;=Hipótesis!$D$78,MOD(21,12)=0,W96=0,W89=0,W101=0,W81=0),MIN(Hipótesis!$D$79*MAX(0,W112),MAX(0,W82+W83-Hipótesis!$D$80)),0)</f>
        <v>-0</v>
      </c>
      <c r="X84" s="100" t="n">
        <f aca="false">-IF(AND(22&gt;=Hipótesis!$D$78,MOD(22,12)=0,X96=0,X89=0,X101=0,X81=0),MIN(Hipótesis!$D$79*MAX(0,X112),MAX(0,X82+X83-Hipótesis!$D$80)),0)</f>
        <v>-0</v>
      </c>
      <c r="Y84" s="100" t="n">
        <f aca="false">-IF(AND(23&gt;=Hipótesis!$D$78,MOD(23,12)=0,Y96=0,Y89=0,Y101=0,Y81=0),MIN(Hipótesis!$D$79*MAX(0,Y112),MAX(0,Y82+Y83-Hipótesis!$D$80)),0)</f>
        <v>-0</v>
      </c>
      <c r="Z84" s="100" t="n">
        <f aca="false">-IF(AND(24&gt;=Hipótesis!$D$78,MOD(24,12)=0,Z96=0,Z89=0,Z101=0,Z81=0),MIN(Hipótesis!$D$79*MAX(0,Z112),MAX(0,Z82+Z83-Hipótesis!$D$80)),0)</f>
        <v>-0</v>
      </c>
      <c r="AA84" s="100" t="n">
        <f aca="false">-IF(AND(25&gt;=Hipótesis!$D$78,MOD(25,12)=0,AA96=0,AA89=0,AA101=0,AA81=0),MIN(Hipótesis!$D$79*MAX(0,AA112),MAX(0,AA82+AA83-Hipótesis!$D$80)),0)</f>
        <v>-0</v>
      </c>
      <c r="AB84" s="100" t="n">
        <f aca="false">-IF(AND(26&gt;=Hipótesis!$D$78,MOD(26,12)=0,AB96=0,AB89=0,AB101=0,AB81=0),MIN(Hipótesis!$D$79*MAX(0,AB112),MAX(0,AB82+AB83-Hipótesis!$D$80)),0)</f>
        <v>-0</v>
      </c>
      <c r="AC84" s="100" t="n">
        <f aca="false">-IF(AND(27&gt;=Hipótesis!$D$78,MOD(27,12)=0,AC96=0,AC89=0,AC101=0,AC81=0),MIN(Hipótesis!$D$79*MAX(0,AC112),MAX(0,AC82+AC83-Hipótesis!$D$80)),0)</f>
        <v>-0</v>
      </c>
      <c r="AD84" s="100" t="n">
        <f aca="false">-IF(AND(28&gt;=Hipótesis!$D$78,MOD(28,12)=0,AD96=0,AD89=0,AD101=0,AD81=0),MIN(Hipótesis!$D$79*MAX(0,AD112),MAX(0,AD82+AD83-Hipótesis!$D$80)),0)</f>
        <v>-0</v>
      </c>
      <c r="AE84" s="100" t="n">
        <f aca="false">-IF(AND(29&gt;=Hipótesis!$D$78,MOD(29,12)=0,AE96=0,AE89=0,AE101=0,AE81=0),MIN(Hipótesis!$D$79*MAX(0,AE112),MAX(0,AE82+AE83-Hipótesis!$D$80)),0)</f>
        <v>-0</v>
      </c>
      <c r="AF84" s="100" t="n">
        <f aca="false">-IF(AND(30&gt;=Hipótesis!$D$78,MOD(30,12)=0,AF96=0,AF89=0,AF101=0,AF81=0),MIN(Hipótesis!$D$79*MAX(0,AF112),MAX(0,AF82+AF83-Hipótesis!$D$80)),0)</f>
        <v>-0</v>
      </c>
      <c r="AG84" s="100" t="n">
        <f aca="false">-IF(AND(31&gt;=Hipótesis!$D$78,MOD(31,12)=0,AG96=0,AG89=0,AG101=0,AG81=0),MIN(Hipótesis!$D$79*MAX(0,AG112),MAX(0,AG82+AG83-Hipótesis!$D$80)),0)</f>
        <v>-0</v>
      </c>
      <c r="AH84" s="100" t="n">
        <f aca="false">-IF(AND(32&gt;=Hipótesis!$D$78,MOD(32,12)=0,AH96=0,AH89=0,AH101=0,AH81=0),MIN(Hipótesis!$D$79*MAX(0,AH112),MAX(0,AH82+AH83-Hipótesis!$D$80)),0)</f>
        <v>-0</v>
      </c>
      <c r="AI84" s="100" t="n">
        <f aca="false">-IF(AND(33&gt;=Hipótesis!$D$78,MOD(33,12)=0,AI96=0,AI89=0,AI101=0,AI81=0),MIN(Hipótesis!$D$79*MAX(0,AI112),MAX(0,AI82+AI83-Hipótesis!$D$80)),0)</f>
        <v>-0</v>
      </c>
      <c r="AJ84" s="100" t="n">
        <f aca="false">-IF(AND(34&gt;=Hipótesis!$D$78,MOD(34,12)=0,AJ96=0,AJ89=0,AJ101=0,AJ81=0),MIN(Hipótesis!$D$79*MAX(0,AJ112),MAX(0,AJ82+AJ83-Hipótesis!$D$80)),0)</f>
        <v>-0</v>
      </c>
      <c r="AK84" s="100" t="n">
        <f aca="false">-IF(AND(35&gt;=Hipótesis!$D$78,MOD(35,12)=0,AK96=0,AK89=0,AK101=0,AK81=0),MIN(Hipótesis!$D$79*MAX(0,AK112),MAX(0,AK82+AK83-Hipótesis!$D$80)),0)</f>
        <v>-0</v>
      </c>
      <c r="AL84" s="100" t="n">
        <f aca="false">-IF(AND(36&gt;=Hipótesis!$D$78,MOD(36,12)=0,AL96=0,AL89=0,AL101=0,AL81=0),MIN(Hipótesis!$D$79*MAX(0,AL112),MAX(0,AL82+AL83-Hipótesis!$D$80)),0)</f>
        <v>-0</v>
      </c>
      <c r="AM84" s="100" t="n">
        <f aca="false">-IF(AND(37&gt;=Hipótesis!$D$78,MOD(37,12)=0,AM96=0,AM89=0,AM101=0,AM81=0),MIN(Hipótesis!$D$79*MAX(0,AM112),MAX(0,AM82+AM83-Hipótesis!$D$80)),0)</f>
        <v>-0</v>
      </c>
      <c r="AN84" s="100" t="n">
        <f aca="false">-IF(AND(38&gt;=Hipótesis!$D$78,MOD(38,12)=0,AN96=0,AN89=0,AN101=0,AN81=0),MIN(Hipótesis!$D$79*MAX(0,AN112),MAX(0,AN82+AN83-Hipótesis!$D$80)),0)</f>
        <v>-0</v>
      </c>
      <c r="AO84" s="100" t="n">
        <f aca="false">-IF(AND(39&gt;=Hipótesis!$D$78,MOD(39,12)=0,AO96=0,AO89=0,AO101=0,AO81=0),MIN(Hipótesis!$D$79*MAX(0,AO112),MAX(0,AO82+AO83-Hipótesis!$D$80)),0)</f>
        <v>-0</v>
      </c>
      <c r="AP84" s="100" t="n">
        <f aca="false">-IF(AND(40&gt;=Hipótesis!$D$78,MOD(40,12)=0,AP96=0,AP89=0,AP101=0,AP81=0),MIN(Hipótesis!$D$79*MAX(0,AP112),MAX(0,AP82+AP83-Hipótesis!$D$80)),0)</f>
        <v>-0</v>
      </c>
      <c r="AQ84" s="100" t="n">
        <f aca="false">-IF(AND(41&gt;=Hipótesis!$D$78,MOD(41,12)=0,AQ96=0,AQ89=0,AQ101=0,AQ81=0),MIN(Hipótesis!$D$79*MAX(0,AQ112),MAX(0,AQ82+AQ83-Hipótesis!$D$80)),0)</f>
        <v>-0</v>
      </c>
      <c r="AR84" s="100" t="n">
        <f aca="false">-IF(AND(42&gt;=Hipótesis!$D$78,MOD(42,12)=0,AR96=0,AR89=0,AR101=0,AR81=0),MIN(Hipótesis!$D$79*MAX(0,AR112),MAX(0,AR82+AR83-Hipótesis!$D$80)),0)</f>
        <v>-0</v>
      </c>
      <c r="AS84" s="100" t="n">
        <f aca="false">-IF(AND(43&gt;=Hipótesis!$D$78,MOD(43,12)=0,AS96=0,AS89=0,AS101=0,AS81=0),MIN(Hipótesis!$D$79*MAX(0,AS112),MAX(0,AS82+AS83-Hipótesis!$D$80)),0)</f>
        <v>-0</v>
      </c>
      <c r="AT84" s="100" t="n">
        <f aca="false">-IF(AND(44&gt;=Hipótesis!$D$78,MOD(44,12)=0,AT96=0,AT89=0,AT101=0,AT81=0),MIN(Hipótesis!$D$79*MAX(0,AT112),MAX(0,AT82+AT83-Hipótesis!$D$80)),0)</f>
        <v>-0</v>
      </c>
      <c r="AU84" s="100" t="n">
        <f aca="false">-IF(AND(45&gt;=Hipótesis!$D$78,MOD(45,12)=0,AU96=0,AU89=0,AU101=0,AU81=0),MIN(Hipótesis!$D$79*MAX(0,AU112),MAX(0,AU82+AU83-Hipótesis!$D$80)),0)</f>
        <v>-0</v>
      </c>
      <c r="AV84" s="100" t="n">
        <f aca="false">-IF(AND(46&gt;=Hipótesis!$D$78,MOD(46,12)=0,AV96=0,AV89=0,AV101=0,AV81=0),MIN(Hipótesis!$D$79*MAX(0,AV112),MAX(0,AV82+AV83-Hipótesis!$D$80)),0)</f>
        <v>-0</v>
      </c>
      <c r="AW84" s="100" t="n">
        <f aca="false">-IF(AND(47&gt;=Hipótesis!$D$78,MOD(47,12)=0,AW96=0,AW89=0,AW101=0,AW81=0),MIN(Hipótesis!$D$79*MAX(0,AW112),MAX(0,AW82+AW83-Hipótesis!$D$80)),0)</f>
        <v>-0</v>
      </c>
      <c r="AX84" s="100" t="n">
        <f aca="false">-IF(AND(48&gt;=Hipótesis!$D$78,MOD(48,12)=0,AX96=0,AX89=0,AX101=0,AX81=0),MIN(Hipótesis!$D$79*MAX(0,AX112),MAX(0,AX82+AX83-Hipótesis!$D$80)),0)</f>
        <v>-0</v>
      </c>
      <c r="AY84" s="100" t="n">
        <f aca="false">-IF(AND(49&gt;=Hipótesis!$D$78,MOD(49,12)=0,AY96=0,AY89=0,AY101=0,AY81=0),MIN(Hipótesis!$D$79*MAX(0,AY112),MAX(0,AY82+AY83-Hipótesis!$D$80)),0)</f>
        <v>-0</v>
      </c>
      <c r="AZ84" s="100" t="n">
        <f aca="false">-IF(AND(50&gt;=Hipótesis!$D$78,MOD(50,12)=0,AZ96=0,AZ89=0,AZ101=0,AZ81=0),MIN(Hipótesis!$D$79*MAX(0,AZ112),MAX(0,AZ82+AZ83-Hipótesis!$D$80)),0)</f>
        <v>-0</v>
      </c>
      <c r="BA84" s="100" t="n">
        <f aca="false">-IF(AND(51&gt;=Hipótesis!$D$78,MOD(51,12)=0,BA96=0,BA89=0,BA101=0,BA81=0),MIN(Hipótesis!$D$79*MAX(0,BA112),MAX(0,BA82+BA83-Hipótesis!$D$80)),0)</f>
        <v>-0</v>
      </c>
      <c r="BB84" s="100" t="n">
        <f aca="false">-IF(AND(52&gt;=Hipótesis!$D$78,MOD(52,12)=0,BB96=0,BB89=0,BB101=0,BB81=0),MIN(Hipótesis!$D$79*MAX(0,BB112),MAX(0,BB82+BB83-Hipótesis!$D$80)),0)</f>
        <v>-0</v>
      </c>
      <c r="BC84" s="100" t="n">
        <f aca="false">-IF(AND(53&gt;=Hipótesis!$D$78,MOD(53,12)=0,BC96=0,BC89=0,BC101=0,BC81=0),MIN(Hipótesis!$D$79*MAX(0,BC112),MAX(0,BC82+BC83-Hipótesis!$D$80)),0)</f>
        <v>-0</v>
      </c>
      <c r="BD84" s="100" t="n">
        <f aca="false">-IF(AND(54&gt;=Hipótesis!$D$78,MOD(54,12)=0,BD96=0,BD89=0,BD101=0,BD81=0),MIN(Hipótesis!$D$79*MAX(0,BD112),MAX(0,BD82+BD83-Hipótesis!$D$80)),0)</f>
        <v>-0</v>
      </c>
      <c r="BE84" s="100" t="n">
        <f aca="false">-IF(AND(55&gt;=Hipótesis!$D$78,MOD(55,12)=0,BE96=0,BE89=0,BE101=0,BE81=0),MIN(Hipótesis!$D$79*MAX(0,BE112),MAX(0,BE82+BE83-Hipótesis!$D$80)),0)</f>
        <v>-0</v>
      </c>
      <c r="BF84" s="100" t="n">
        <f aca="false">-IF(AND(56&gt;=Hipótesis!$D$78,MOD(56,12)=0,BF96=0,BF89=0,BF101=0,BF81=0),MIN(Hipótesis!$D$79*MAX(0,BF112),MAX(0,BF82+BF83-Hipótesis!$D$80)),0)</f>
        <v>-0</v>
      </c>
      <c r="BG84" s="100" t="n">
        <f aca="false">-IF(AND(57&gt;=Hipótesis!$D$78,MOD(57,12)=0,BG96=0,BG89=0,BG101=0,BG81=0),MIN(Hipótesis!$D$79*MAX(0,BG112),MAX(0,BG82+BG83-Hipótesis!$D$80)),0)</f>
        <v>-0</v>
      </c>
      <c r="BH84" s="100" t="n">
        <f aca="false">-IF(AND(58&gt;=Hipótesis!$D$78,MOD(58,12)=0,BH96=0,BH89=0,BH101=0,BH81=0),MIN(Hipótesis!$D$79*MAX(0,BH112),MAX(0,BH82+BH83-Hipótesis!$D$80)),0)</f>
        <v>-0</v>
      </c>
      <c r="BI84" s="100" t="n">
        <f aca="false">-IF(AND(59&gt;=Hipótesis!$D$78,MOD(59,12)=0,BI96=0,BI89=0,BI101=0,BI81=0),MIN(Hipótesis!$D$79*MAX(0,BI112),MAX(0,BI82+BI83-Hipótesis!$D$80)),0)</f>
        <v>-0</v>
      </c>
      <c r="BJ84" s="100" t="n">
        <f aca="false">-IF(AND(60&gt;=Hipótesis!$D$78,MOD(60,12)=0,BJ96=0,BJ89=0,BJ101=0,BJ81=0),MIN(Hipótesis!$D$79*MAX(0,BJ112),MAX(0,BJ82+BJ83-Hipótesis!$D$80)),0)</f>
        <v>-0</v>
      </c>
      <c r="BK84" s="100" t="n">
        <f aca="false">-IF(AND(61&gt;=Hipótesis!$D$78,MOD(61,12)=0,BK96=0,BK89=0,BK101=0,BK81=0),MIN(Hipótesis!$D$79*MAX(0,BK112),MAX(0,BK82+BK83-Hipótesis!$D$80)),0)</f>
        <v>-0</v>
      </c>
      <c r="BL84" s="100" t="n">
        <f aca="false">-IF(AND(62&gt;=Hipótesis!$D$78,MOD(62,12)=0,BL96=0,BL89=0,BL101=0,BL81=0),MIN(Hipótesis!$D$79*MAX(0,BL112),MAX(0,BL82+BL83-Hipótesis!$D$80)),0)</f>
        <v>-0</v>
      </c>
      <c r="BM84" s="100" t="n">
        <f aca="false">-IF(AND(63&gt;=Hipótesis!$D$78,MOD(63,12)=0,BM96=0,BM89=0,BM101=0,BM81=0),MIN(Hipótesis!$D$79*MAX(0,BM112),MAX(0,BM82+BM83-Hipótesis!$D$80)),0)</f>
        <v>-0</v>
      </c>
      <c r="BN84" s="100" t="n">
        <f aca="false">-IF(AND(64&gt;=Hipótesis!$D$78,MOD(64,12)=0,BN96=0,BN89=0,BN101=0,BN81=0),MIN(Hipótesis!$D$79*MAX(0,BN112),MAX(0,BN82+BN83-Hipótesis!$D$80)),0)</f>
        <v>-0</v>
      </c>
      <c r="BO84" s="100" t="n">
        <f aca="false">-IF(AND(65&gt;=Hipótesis!$D$78,MOD(65,12)=0,BO96=0,BO89=0,BO101=0,BO81=0),MIN(Hipótesis!$D$79*MAX(0,BO112),MAX(0,BO82+BO83-Hipótesis!$D$80)),0)</f>
        <v>-0</v>
      </c>
      <c r="BP84" s="100" t="n">
        <f aca="false">-IF(AND(66&gt;=Hipótesis!$D$78,MOD(66,12)=0,BP96=0,BP89=0,BP101=0,BP81=0),MIN(Hipótesis!$D$79*MAX(0,BP112),MAX(0,BP82+BP83-Hipótesis!$D$80)),0)</f>
        <v>-0</v>
      </c>
      <c r="BQ84" s="100" t="n">
        <f aca="false">-IF(AND(67&gt;=Hipótesis!$D$78,MOD(67,12)=0,BQ96=0,BQ89=0,BQ101=0,BQ81=0),MIN(Hipótesis!$D$79*MAX(0,BQ112),MAX(0,BQ82+BQ83-Hipótesis!$D$80)),0)</f>
        <v>-0</v>
      </c>
      <c r="BR84" s="100" t="n">
        <f aca="false">-IF(AND(68&gt;=Hipótesis!$D$78,MOD(68,12)=0,BR96=0,BR89=0,BR101=0,BR81=0),MIN(Hipótesis!$D$79*MAX(0,BR112),MAX(0,BR82+BR83-Hipótesis!$D$80)),0)</f>
        <v>-0</v>
      </c>
      <c r="BS84" s="100" t="n">
        <f aca="false">-IF(AND(69&gt;=Hipótesis!$D$78,MOD(69,12)=0,BS96=0,BS89=0,BS101=0,BS81=0),MIN(Hipótesis!$D$79*MAX(0,BS112),MAX(0,BS82+BS83-Hipótesis!$D$80)),0)</f>
        <v>-0</v>
      </c>
      <c r="BT84" s="100" t="n">
        <f aca="false">-IF(AND(70&gt;=Hipótesis!$D$78,MOD(70,12)=0,BT96=0,BT89=0,BT101=0,BT81=0),MIN(Hipótesis!$D$79*MAX(0,BT112),MAX(0,BT82+BT83-Hipótesis!$D$80)),0)</f>
        <v>-0</v>
      </c>
      <c r="BU84" s="100" t="n">
        <f aca="false">-IF(AND(71&gt;=Hipótesis!$D$78,MOD(71,12)=0,BU96=0,BU89=0,BU101=0,BU81=0),MIN(Hipótesis!$D$79*MAX(0,BU112),MAX(0,BU82+BU83-Hipótesis!$D$80)),0)</f>
        <v>-0</v>
      </c>
      <c r="BV84" s="100" t="n">
        <f aca="false">-IF(AND(72&gt;=Hipótesis!$D$78,MOD(72,12)=0,BV96=0,BV89=0,BV101=0,BV81=0),MIN(Hipótesis!$D$79*MAX(0,BV112),MAX(0,BV82+BV83-Hipótesis!$D$80)),0)</f>
        <v>-0</v>
      </c>
      <c r="BW84" s="100" t="n">
        <f aca="false">-IF(AND(73&gt;=Hipótesis!$D$78,MOD(73,12)=0,BW96=0,BW89=0,BW101=0,BW81=0),MIN(Hipótesis!$D$79*MAX(0,BW112),MAX(0,BW82+BW83-Hipótesis!$D$80)),0)</f>
        <v>-0</v>
      </c>
      <c r="BX84" s="100" t="n">
        <f aca="false">-IF(AND(74&gt;=Hipótesis!$D$78,MOD(74,12)=0,BX96=0,BX89=0,BX101=0,BX81=0),MIN(Hipótesis!$D$79*MAX(0,BX112),MAX(0,BX82+BX83-Hipótesis!$D$80)),0)</f>
        <v>-0</v>
      </c>
      <c r="BY84" s="100" t="n">
        <f aca="false">-IF(AND(75&gt;=Hipótesis!$D$78,MOD(75,12)=0,BY96=0,BY89=0,BY101=0,BY81=0),MIN(Hipótesis!$D$79*MAX(0,BY112),MAX(0,BY82+BY83-Hipótesis!$D$80)),0)</f>
        <v>-0</v>
      </c>
      <c r="BZ84" s="100" t="n">
        <f aca="false">-IF(AND(76&gt;=Hipótesis!$D$78,MOD(76,12)=0,BZ96=0,BZ89=0,BZ101=0,BZ81=0),MIN(Hipótesis!$D$79*MAX(0,BZ112),MAX(0,BZ82+BZ83-Hipótesis!$D$80)),0)</f>
        <v>-0</v>
      </c>
      <c r="CA84" s="100" t="n">
        <f aca="false">-IF(AND(77&gt;=Hipótesis!$D$78,MOD(77,12)=0,CA96=0,CA89=0,CA101=0,CA81=0),MIN(Hipótesis!$D$79*MAX(0,CA112),MAX(0,CA82+CA83-Hipótesis!$D$80)),0)</f>
        <v>-0</v>
      </c>
      <c r="CB84" s="100" t="n">
        <f aca="false">-IF(AND(78&gt;=Hipótesis!$D$78,MOD(78,12)=0,CB96=0,CB89=0,CB101=0,CB81=0),MIN(Hipótesis!$D$79*MAX(0,CB112),MAX(0,CB82+CB83-Hipótesis!$D$80)),0)</f>
        <v>-0</v>
      </c>
      <c r="CC84" s="100" t="n">
        <f aca="false">-IF(AND(79&gt;=Hipótesis!$D$78,MOD(79,12)=0,CC96=0,CC89=0,CC101=0,CC81=0),MIN(Hipótesis!$D$79*MAX(0,CC112),MAX(0,CC82+CC83-Hipótesis!$D$80)),0)</f>
        <v>-0</v>
      </c>
      <c r="CD84" s="100" t="n">
        <f aca="false">-IF(AND(80&gt;=Hipótesis!$D$78,MOD(80,12)=0,CD96=0,CD89=0,CD101=0,CD81=0),MIN(Hipótesis!$D$79*MAX(0,CD112),MAX(0,CD82+CD83-Hipótesis!$D$80)),0)</f>
        <v>-0</v>
      </c>
      <c r="CE84" s="100" t="n">
        <f aca="false">-IF(AND(81&gt;=Hipótesis!$D$78,MOD(81,12)=0,CE96=0,CE89=0,CE101=0,CE81=0),MIN(Hipótesis!$D$79*MAX(0,CE112),MAX(0,CE82+CE83-Hipótesis!$D$80)),0)</f>
        <v>-0</v>
      </c>
      <c r="CF84" s="100" t="n">
        <f aca="false">-IF(AND(82&gt;=Hipótesis!$D$78,MOD(82,12)=0,CF96=0,CF89=0,CF101=0,CF81=0),MIN(Hipótesis!$D$79*MAX(0,CF112),MAX(0,CF82+CF83-Hipótesis!$D$80)),0)</f>
        <v>-0</v>
      </c>
      <c r="CG84" s="100" t="n">
        <f aca="false">-IF(AND(83&gt;=Hipótesis!$D$78,MOD(83,12)=0,CG96=0,CG89=0,CG101=0,CG81=0),MIN(Hipótesis!$D$79*MAX(0,CG112),MAX(0,CG82+CG83-Hipótesis!$D$80)),0)</f>
        <v>-0</v>
      </c>
      <c r="CH84" s="100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22" t="s">
        <v>559</v>
      </c>
      <c r="C85" s="100" t="n">
        <f aca="false">C78+C80+C83+C84</f>
        <v>155012.953832997</v>
      </c>
      <c r="D85" s="100" t="n">
        <f aca="false">D78+D80+D83+D84</f>
        <v>-28212.0581783986</v>
      </c>
      <c r="E85" s="100" t="n">
        <f aca="false">E78+E80+E83+E84</f>
        <v>-22552.3362310937</v>
      </c>
      <c r="F85" s="100" t="n">
        <f aca="false">F78+F80+F83+F84</f>
        <v>-20129.0390208777</v>
      </c>
      <c r="G85" s="100" t="n">
        <f aca="false">G78+G80+G83+G84</f>
        <v>-18094.2426329365</v>
      </c>
      <c r="H85" s="100" t="n">
        <f aca="false">H78+H80+H83+H84</f>
        <v>-15654.7326105957</v>
      </c>
      <c r="I85" s="100" t="n">
        <f aca="false">I78+I80+I83+I84</f>
        <v>-12092.2914603042</v>
      </c>
      <c r="J85" s="100" t="n">
        <f aca="false">J78+J80+J83+J84</f>
        <v>-8113.3758580021</v>
      </c>
      <c r="K85" s="100" t="n">
        <f aca="false">K78+K80+K83+K84</f>
        <v>-164.877840787972</v>
      </c>
      <c r="L85" s="100" t="n">
        <f aca="false">L78+L80+L83+L84</f>
        <v>0</v>
      </c>
      <c r="M85" s="100" t="n">
        <f aca="false">M78+M80+M83+M84</f>
        <v>0</v>
      </c>
      <c r="N85" s="100" t="n">
        <f aca="false">N78+N80+N83+N84</f>
        <v>1867.67305290291</v>
      </c>
      <c r="O85" s="100" t="n">
        <f aca="false">O78+O80+O83+O84</f>
        <v>4214.44174678458</v>
      </c>
      <c r="P85" s="100" t="n">
        <f aca="false">P78+P80+P83+P84</f>
        <v>4393.07871259192</v>
      </c>
      <c r="Q85" s="100" t="n">
        <f aca="false">Q78+Q80+Q83+Q84</f>
        <v>6411.73847589926</v>
      </c>
      <c r="R85" s="100" t="n">
        <f aca="false">R78+R80+R83+R84</f>
        <v>8430.39823920659</v>
      </c>
      <c r="S85" s="100" t="n">
        <f aca="false">S78+S80+S83+S84</f>
        <v>10449.0580025139</v>
      </c>
      <c r="T85" s="100" t="n">
        <f aca="false">T78+T80+T83+T84</f>
        <v>12467.7177658213</v>
      </c>
      <c r="U85" s="100" t="n">
        <f aca="false">U78+U80+U83+U84</f>
        <v>12561.0479691286</v>
      </c>
      <c r="V85" s="100" t="n">
        <f aca="false">V78+V80+V83+V84</f>
        <v>12314.6141324359</v>
      </c>
      <c r="W85" s="100" t="n">
        <f aca="false">W78+W80+W83+W84</f>
        <v>14333.2738957433</v>
      </c>
      <c r="X85" s="100" t="n">
        <f aca="false">X78+X80+X83+X84</f>
        <v>15906.4927925094</v>
      </c>
      <c r="Y85" s="100" t="n">
        <f aca="false">Y78+Y80+Y83+Y84</f>
        <v>17289.6166892754</v>
      </c>
      <c r="Z85" s="100" t="n">
        <f aca="false">Z78+Z80+Z83+Z84</f>
        <v>18506.159099175</v>
      </c>
      <c r="AA85" s="100" t="n">
        <f aca="false">AA78+AA80+AA83+AA84</f>
        <v>16090.5066528079</v>
      </c>
      <c r="AB85" s="100" t="n">
        <f aca="false">AB78+AB80+AB83+AB84</f>
        <v>15263.9190381296</v>
      </c>
      <c r="AC85" s="100" t="n">
        <f aca="false">AC78+AC80+AC83+AC84</f>
        <v>16420.4208702514</v>
      </c>
      <c r="AD85" s="100" t="n">
        <f aca="false">AD78+AD80+AD83+AD84</f>
        <v>17576.9227023732</v>
      </c>
      <c r="AE85" s="100" t="n">
        <f aca="false">AE78+AE80+AE83+AE84</f>
        <v>18733.4245344949</v>
      </c>
      <c r="AF85" s="100" t="n">
        <f aca="false">AF78+AF80+AF83+AF84</f>
        <v>19889.9263666167</v>
      </c>
      <c r="AG85" s="100" t="n">
        <f aca="false">AG78+AG80+AG83+AG84</f>
        <v>21046.4281987385</v>
      </c>
      <c r="AH85" s="100" t="n">
        <f aca="false">AH78+AH80+AH83+AH84</f>
        <v>22202.9300308602</v>
      </c>
      <c r="AI85" s="100" t="n">
        <f aca="false">AI78+AI80+AI83+AI84</f>
        <v>23359.431862982</v>
      </c>
      <c r="AJ85" s="100" t="n">
        <f aca="false">AJ78+AJ80+AJ83+AJ84</f>
        <v>24515.9336951038</v>
      </c>
      <c r="AK85" s="100" t="n">
        <f aca="false">AK78+AK80+AK83+AK84</f>
        <v>25672.4355272255</v>
      </c>
      <c r="AL85" s="100" t="n">
        <f aca="false">AL78+AL80+AL83+AL84</f>
        <v>24845.8479125473</v>
      </c>
      <c r="AM85" s="100" t="n">
        <f aca="false">AM78+AM80+AM83+AM84</f>
        <v>20854.3144091255</v>
      </c>
      <c r="AN85" s="100" t="n">
        <f aca="false">AN78+AN80+AN83+AN84</f>
        <v>21870.9353078754</v>
      </c>
      <c r="AO85" s="100" t="n">
        <f aca="false">AO78+AO80+AO83+AO84</f>
        <v>22887.5562066254</v>
      </c>
      <c r="AP85" s="100" t="n">
        <f aca="false">AP78+AP80+AP83+AP84</f>
        <v>23904.1771053754</v>
      </c>
      <c r="AQ85" s="100" t="n">
        <f aca="false">AQ78+AQ80+AQ83+AQ84</f>
        <v>24920.7980041253</v>
      </c>
      <c r="AR85" s="100" t="n">
        <f aca="false">AR78+AR80+AR83+AR84</f>
        <v>25937.4189028753</v>
      </c>
      <c r="AS85" s="100" t="n">
        <f aca="false">AS78+AS80+AS83+AS84</f>
        <v>26358.0600215527</v>
      </c>
      <c r="AT85" s="100" t="n">
        <f aca="false">AT78+AT80+AT83+AT84</f>
        <v>26362.2266882193</v>
      </c>
      <c r="AU85" s="100" t="n">
        <f aca="false">AU78+AU80+AU83+AU84</f>
        <v>26366.393354886</v>
      </c>
      <c r="AV85" s="100" t="n">
        <f aca="false">AV78+AV80+AV83+AV84</f>
        <v>26370.5600215527</v>
      </c>
      <c r="AW85" s="100" t="n">
        <f aca="false">AW78+AW80+AW83+AW84</f>
        <v>26374.7266882193</v>
      </c>
      <c r="AX85" s="100" t="n">
        <f aca="false">AX78+AX80+AX83+AX84</f>
        <v>-104886.738078422</v>
      </c>
      <c r="AY85" s="100" t="n">
        <f aca="false">AY78+AY80+AY83+AY84</f>
        <v>24584.2669712831</v>
      </c>
      <c r="AZ85" s="100" t="n">
        <f aca="false">AZ78+AZ80+AZ83+AZ84</f>
        <v>24588.4336379497</v>
      </c>
      <c r="BA85" s="100" t="n">
        <f aca="false">BA78+BA80+BA83+BA84</f>
        <v>24592.6003046164</v>
      </c>
      <c r="BB85" s="100" t="n">
        <f aca="false">BB78+BB80+BB83+BB84</f>
        <v>24596.7669712831</v>
      </c>
      <c r="BC85" s="100" t="n">
        <f aca="false">BC78+BC80+BC83+BC84</f>
        <v>24600.9336379497</v>
      </c>
      <c r="BD85" s="100" t="n">
        <f aca="false">BD78+BD80+BD83+BD84</f>
        <v>24605.1003046164</v>
      </c>
      <c r="BE85" s="100" t="n">
        <f aca="false">BE78+BE80+BE83+BE84</f>
        <v>24609.2669712831</v>
      </c>
      <c r="BF85" s="100" t="n">
        <f aca="false">BF78+BF80+BF83+BF84</f>
        <v>24613.4336379497</v>
      </c>
      <c r="BG85" s="100" t="n">
        <f aca="false">BG78+BG80+BG83+BG84</f>
        <v>24617.6003046164</v>
      </c>
      <c r="BH85" s="100" t="n">
        <f aca="false">BH78+BH80+BH83+BH84</f>
        <v>24621.7669712831</v>
      </c>
      <c r="BI85" s="100" t="n">
        <f aca="false">BI78+BI80+BI83+BI84</f>
        <v>24625.9336379497</v>
      </c>
      <c r="BJ85" s="100" t="n">
        <f aca="false">BJ78+BJ80+BJ83+BJ84</f>
        <v>-104510.966489129</v>
      </c>
      <c r="BK85" s="100" t="n">
        <f aca="false">BK78+BK80+BK83+BK84</f>
        <v>22825.1691295054</v>
      </c>
      <c r="BL85" s="100" t="n">
        <f aca="false">BL78+BL80+BL83+BL84</f>
        <v>22829.335796172</v>
      </c>
      <c r="BM85" s="100" t="n">
        <f aca="false">BM78+BM80+BM83+BM84</f>
        <v>22833.5024628387</v>
      </c>
      <c r="BN85" s="100" t="n">
        <f aca="false">BN78+BN80+BN83+BN84</f>
        <v>22837.6691295054</v>
      </c>
      <c r="BO85" s="100" t="n">
        <f aca="false">BO78+BO80+BO83+BO84</f>
        <v>22841.835796172</v>
      </c>
      <c r="BP85" s="100" t="n">
        <f aca="false">BP78+BP80+BP83+BP84</f>
        <v>22846.0024628387</v>
      </c>
      <c r="BQ85" s="100" t="n">
        <f aca="false">BQ78+BQ80+BQ83+BQ84</f>
        <v>22850.1691295054</v>
      </c>
      <c r="BR85" s="100" t="n">
        <f aca="false">BR78+BR80+BR83+BR84</f>
        <v>22854.335796172</v>
      </c>
      <c r="BS85" s="100" t="n">
        <f aca="false">BS78+BS80+BS83+BS84</f>
        <v>22858.5024628387</v>
      </c>
      <c r="BT85" s="100" t="n">
        <f aca="false">BT78+BT80+BT83+BT84</f>
        <v>22862.6691295054</v>
      </c>
      <c r="BU85" s="100" t="n">
        <f aca="false">BU78+BU80+BU83+BU84</f>
        <v>22866.835796172</v>
      </c>
      <c r="BV85" s="100" t="n">
        <f aca="false">BV78+BV80+BV83+BV84</f>
        <v>-97826.3946903733</v>
      </c>
      <c r="BW85" s="100" t="n">
        <f aca="false">BW78+BW80+BW83+BW84</f>
        <v>21055.4573524743</v>
      </c>
      <c r="BX85" s="100" t="n">
        <f aca="false">BX78+BX80+BX83+BX84</f>
        <v>21059.624019141</v>
      </c>
      <c r="BY85" s="100" t="n">
        <f aca="false">BY78+BY80+BY83+BY84</f>
        <v>21063.7906858077</v>
      </c>
      <c r="BZ85" s="100" t="n">
        <f aca="false">BZ78+BZ80+BZ83+BZ84</f>
        <v>21067.9573524743</v>
      </c>
      <c r="CA85" s="100" t="n">
        <f aca="false">CA78+CA80+CA83+CA84</f>
        <v>21072.124019141</v>
      </c>
      <c r="CB85" s="100" t="n">
        <f aca="false">CB78+CB80+CB83+CB84</f>
        <v>21076.2906858077</v>
      </c>
      <c r="CC85" s="100" t="n">
        <f aca="false">CC78+CC80+CC83+CC84</f>
        <v>21080.4573524743</v>
      </c>
      <c r="CD85" s="100" t="n">
        <f aca="false">CD78+CD80+CD83+CD84</f>
        <v>21084.624019141</v>
      </c>
      <c r="CE85" s="100" t="n">
        <f aca="false">CE78+CE80+CE83+CE84</f>
        <v>21088.7906858077</v>
      </c>
      <c r="CF85" s="100" t="n">
        <f aca="false">CF78+CF80+CF83+CF84</f>
        <v>21092.9573524743</v>
      </c>
      <c r="CG85" s="100" t="n">
        <f aca="false">CG78+CG80+CG83+CG84</f>
        <v>21097.124019141</v>
      </c>
      <c r="CH85" s="100" t="n">
        <f aca="false">CH78+CH80+CH83+CH84</f>
        <v>-91101.4899376554</v>
      </c>
    </row>
    <row r="86" customFormat="false" ht="13.5" hidden="false" customHeight="true" outlineLevel="0" collapsed="false">
      <c r="A86" s="46" t="s">
        <v>560</v>
      </c>
      <c r="C86" s="63" t="n">
        <f aca="false">C85</f>
        <v>155012.953832997</v>
      </c>
      <c r="D86" s="63" t="n">
        <f aca="false">C86+D85</f>
        <v>126800.895654598</v>
      </c>
      <c r="E86" s="63" t="n">
        <f aca="false">D86+E85</f>
        <v>104248.559423504</v>
      </c>
      <c r="F86" s="63" t="n">
        <f aca="false">E86+F85</f>
        <v>84119.5204026265</v>
      </c>
      <c r="G86" s="63" t="n">
        <f aca="false">F86+G85</f>
        <v>66025.27776969</v>
      </c>
      <c r="H86" s="63" t="n">
        <f aca="false">G86+H85</f>
        <v>50370.5451590943</v>
      </c>
      <c r="I86" s="63" t="n">
        <f aca="false">H86+I85</f>
        <v>38278.2536987901</v>
      </c>
      <c r="J86" s="63" t="n">
        <f aca="false">I86+J85</f>
        <v>30164.877840788</v>
      </c>
      <c r="K86" s="63" t="n">
        <f aca="false">J86+K85</f>
        <v>30000</v>
      </c>
      <c r="L86" s="63" t="n">
        <f aca="false">K86+L85</f>
        <v>30000</v>
      </c>
      <c r="M86" s="63" t="n">
        <f aca="false">L86+M85</f>
        <v>30000</v>
      </c>
      <c r="N86" s="63" t="n">
        <f aca="false">M86+N85</f>
        <v>31867.6730529029</v>
      </c>
      <c r="O86" s="63" t="n">
        <f aca="false">N86+O85</f>
        <v>36082.1147996875</v>
      </c>
      <c r="P86" s="63" t="n">
        <f aca="false">O86+P85</f>
        <v>40475.1935122794</v>
      </c>
      <c r="Q86" s="63" t="n">
        <f aca="false">P86+Q85</f>
        <v>46886.9319881787</v>
      </c>
      <c r="R86" s="63" t="n">
        <f aca="false">Q86+R85</f>
        <v>55317.3302273853</v>
      </c>
      <c r="S86" s="63" t="n">
        <f aca="false">R86+S85</f>
        <v>65766.3882298992</v>
      </c>
      <c r="T86" s="63" t="n">
        <f aca="false">S86+T85</f>
        <v>78234.1059957205</v>
      </c>
      <c r="U86" s="63" t="n">
        <f aca="false">T86+U85</f>
        <v>90795.1539648491</v>
      </c>
      <c r="V86" s="63" t="n">
        <f aca="false">U86+V85</f>
        <v>103109.768097285</v>
      </c>
      <c r="W86" s="63" t="n">
        <f aca="false">V86+W85</f>
        <v>117443.041993028</v>
      </c>
      <c r="X86" s="63" t="n">
        <f aca="false">W86+X85</f>
        <v>133349.534785538</v>
      </c>
      <c r="Y86" s="63" t="n">
        <f aca="false">X86+Y85</f>
        <v>150639.151474813</v>
      </c>
      <c r="Z86" s="63" t="n">
        <f aca="false">Y86+Z85</f>
        <v>169145.310573988</v>
      </c>
      <c r="AA86" s="63" t="n">
        <f aca="false">Z86+AA85</f>
        <v>185235.817226796</v>
      </c>
      <c r="AB86" s="63" t="n">
        <f aca="false">AA86+AB85</f>
        <v>200499.736264926</v>
      </c>
      <c r="AC86" s="63" t="n">
        <f aca="false">AB86+AC85</f>
        <v>216920.157135177</v>
      </c>
      <c r="AD86" s="63" t="n">
        <f aca="false">AC86+AD85</f>
        <v>234497.07983755</v>
      </c>
      <c r="AE86" s="63" t="n">
        <f aca="false">AD86+AE85</f>
        <v>253230.504372045</v>
      </c>
      <c r="AF86" s="63" t="n">
        <f aca="false">AE86+AF85</f>
        <v>273120.430738662</v>
      </c>
      <c r="AG86" s="63" t="n">
        <f aca="false">AF86+AG85</f>
        <v>294166.8589374</v>
      </c>
      <c r="AH86" s="63" t="n">
        <f aca="false">AG86+AH85</f>
        <v>316369.78896826</v>
      </c>
      <c r="AI86" s="63" t="n">
        <f aca="false">AH86+AI85</f>
        <v>339729.220831242</v>
      </c>
      <c r="AJ86" s="63" t="n">
        <f aca="false">AI86+AJ85</f>
        <v>364245.154526346</v>
      </c>
      <c r="AK86" s="63" t="n">
        <f aca="false">AJ86+AK85</f>
        <v>389917.590053572</v>
      </c>
      <c r="AL86" s="63" t="n">
        <f aca="false">AK86+AL85</f>
        <v>414763.437966119</v>
      </c>
      <c r="AM86" s="63" t="n">
        <f aca="false">AL86+AM85</f>
        <v>435617.752375245</v>
      </c>
      <c r="AN86" s="63" t="n">
        <f aca="false">AM86+AN85</f>
        <v>457488.68768312</v>
      </c>
      <c r="AO86" s="63" t="n">
        <f aca="false">AN86+AO85</f>
        <v>480376.243889745</v>
      </c>
      <c r="AP86" s="63" t="n">
        <f aca="false">AO86+AP85</f>
        <v>504280.420995121</v>
      </c>
      <c r="AQ86" s="63" t="n">
        <f aca="false">AP86+AQ85</f>
        <v>529201.218999246</v>
      </c>
      <c r="AR86" s="63" t="n">
        <f aca="false">AQ86+AR85</f>
        <v>555138.637902121</v>
      </c>
      <c r="AS86" s="63" t="n">
        <f aca="false">AR86+AS85</f>
        <v>581496.697923674</v>
      </c>
      <c r="AT86" s="63" t="n">
        <f aca="false">AS86+AT85</f>
        <v>607858.924611893</v>
      </c>
      <c r="AU86" s="63" t="n">
        <f aca="false">AT86+AU85</f>
        <v>634225.317966779</v>
      </c>
      <c r="AV86" s="63" t="n">
        <f aca="false">AU86+AV85</f>
        <v>660595.877988332</v>
      </c>
      <c r="AW86" s="63" t="n">
        <f aca="false">AV86+AW85</f>
        <v>686970.604676551</v>
      </c>
      <c r="AX86" s="63" t="n">
        <f aca="false">AW86+AX85</f>
        <v>582083.86659813</v>
      </c>
      <c r="AY86" s="63" t="n">
        <f aca="false">AX86+AY85</f>
        <v>606668.133569413</v>
      </c>
      <c r="AZ86" s="63" t="n">
        <f aca="false">AY86+AZ85</f>
        <v>631256.567207363</v>
      </c>
      <c r="BA86" s="63" t="n">
        <f aca="false">AZ86+BA85</f>
        <v>655849.167511979</v>
      </c>
      <c r="BB86" s="63" t="n">
        <f aca="false">BA86+BB85</f>
        <v>680445.934483262</v>
      </c>
      <c r="BC86" s="63" t="n">
        <f aca="false">BB86+BC85</f>
        <v>705046.868121212</v>
      </c>
      <c r="BD86" s="63" t="n">
        <f aca="false">BC86+BD85</f>
        <v>729651.968425828</v>
      </c>
      <c r="BE86" s="63" t="n">
        <f aca="false">BD86+BE85</f>
        <v>754261.235397111</v>
      </c>
      <c r="BF86" s="63" t="n">
        <f aca="false">BE86+BF85</f>
        <v>778874.669035061</v>
      </c>
      <c r="BG86" s="63" t="n">
        <f aca="false">BF86+BG85</f>
        <v>803492.269339677</v>
      </c>
      <c r="BH86" s="63" t="n">
        <f aca="false">BG86+BH85</f>
        <v>828114.03631096</v>
      </c>
      <c r="BI86" s="63" t="n">
        <f aca="false">BH86+BI85</f>
        <v>852739.96994891</v>
      </c>
      <c r="BJ86" s="63" t="n">
        <f aca="false">BI86+BJ85</f>
        <v>748229.003459781</v>
      </c>
      <c r="BK86" s="63" t="n">
        <f aca="false">BJ86+BK85</f>
        <v>771054.172589287</v>
      </c>
      <c r="BL86" s="63" t="n">
        <f aca="false">BK86+BL85</f>
        <v>793883.508385459</v>
      </c>
      <c r="BM86" s="63" t="n">
        <f aca="false">BL86+BM85</f>
        <v>816717.010848298</v>
      </c>
      <c r="BN86" s="63" t="n">
        <f aca="false">BM86+BN85</f>
        <v>839554.679977803</v>
      </c>
      <c r="BO86" s="63" t="n">
        <f aca="false">BN86+BO85</f>
        <v>862396.515773975</v>
      </c>
      <c r="BP86" s="63" t="n">
        <f aca="false">BO86+BP85</f>
        <v>885242.518236814</v>
      </c>
      <c r="BQ86" s="63" t="n">
        <f aca="false">BP86+BQ85</f>
        <v>908092.687366319</v>
      </c>
      <c r="BR86" s="63" t="n">
        <f aca="false">BQ86+BR85</f>
        <v>930947.023162491</v>
      </c>
      <c r="BS86" s="63" t="n">
        <f aca="false">BR86+BS85</f>
        <v>953805.52562533</v>
      </c>
      <c r="BT86" s="63" t="n">
        <f aca="false">BS86+BT85</f>
        <v>976668.194754835</v>
      </c>
      <c r="BU86" s="63" t="n">
        <f aca="false">BT86+BU85</f>
        <v>999535.030551007</v>
      </c>
      <c r="BV86" s="63" t="n">
        <f aca="false">BU86+BV85</f>
        <v>901708.635860634</v>
      </c>
      <c r="BW86" s="63" t="n">
        <f aca="false">BV86+BW85</f>
        <v>922764.093213108</v>
      </c>
      <c r="BX86" s="63" t="n">
        <f aca="false">BW86+BX85</f>
        <v>943823.717232249</v>
      </c>
      <c r="BY86" s="63" t="n">
        <f aca="false">BX86+BY85</f>
        <v>964887.507918057</v>
      </c>
      <c r="BZ86" s="63" t="n">
        <f aca="false">BY86+BZ85</f>
        <v>985955.465270531</v>
      </c>
      <c r="CA86" s="63" t="n">
        <f aca="false">BZ86+CA85</f>
        <v>1007027.58928967</v>
      </c>
      <c r="CB86" s="63" t="n">
        <f aca="false">CA86+CB85</f>
        <v>1028103.87997548</v>
      </c>
      <c r="CC86" s="63" t="n">
        <f aca="false">CB86+CC85</f>
        <v>1049184.33732795</v>
      </c>
      <c r="CD86" s="63" t="n">
        <f aca="false">CC86+CD85</f>
        <v>1070268.9613471</v>
      </c>
      <c r="CE86" s="63" t="n">
        <f aca="false">CD86+CE85</f>
        <v>1091357.7520329</v>
      </c>
      <c r="CF86" s="63" t="n">
        <f aca="false">CE86+CF85</f>
        <v>1112450.70938538</v>
      </c>
      <c r="CG86" s="63" t="n">
        <f aca="false">CF86+CG85</f>
        <v>1133547.83340452</v>
      </c>
      <c r="CH86" s="63" t="n">
        <f aca="false">CG86+CH85</f>
        <v>1042446.34346686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9" t="s">
        <v>561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</row>
    <row r="89" customFormat="false" ht="13.5" hidden="false" customHeight="true" outlineLevel="0" collapsed="false">
      <c r="A89" s="6" t="s">
        <v>562</v>
      </c>
      <c r="C89" s="100" t="n">
        <f aca="false">IF(Hipótesis!$D$94=5,0,Hipótesis!$D$93)</f>
        <v>0</v>
      </c>
      <c r="D89" s="100" t="n">
        <f aca="false">C89-C90</f>
        <v>0</v>
      </c>
      <c r="E89" s="100" t="n">
        <f aca="false">D89-D90</f>
        <v>0</v>
      </c>
      <c r="F89" s="100" t="n">
        <f aca="false">E89-E90</f>
        <v>0</v>
      </c>
      <c r="G89" s="100" t="n">
        <f aca="false">F89-F90</f>
        <v>0</v>
      </c>
      <c r="H89" s="100" t="n">
        <f aca="false">G89-G90</f>
        <v>0</v>
      </c>
      <c r="I89" s="100" t="n">
        <f aca="false">H89-H90</f>
        <v>0</v>
      </c>
      <c r="J89" s="100" t="n">
        <f aca="false">I89-I90</f>
        <v>0</v>
      </c>
      <c r="K89" s="100" t="n">
        <f aca="false">J89-J90</f>
        <v>0</v>
      </c>
      <c r="L89" s="100" t="n">
        <f aca="false">K89-K90</f>
        <v>0</v>
      </c>
      <c r="M89" s="100" t="n">
        <f aca="false">L89-L90</f>
        <v>0</v>
      </c>
      <c r="N89" s="100" t="n">
        <f aca="false">M89-M90</f>
        <v>0</v>
      </c>
      <c r="O89" s="100" t="n">
        <f aca="false">N89-N90</f>
        <v>0</v>
      </c>
      <c r="P89" s="100" t="n">
        <f aca="false">O89-O90</f>
        <v>0</v>
      </c>
      <c r="Q89" s="100" t="n">
        <f aca="false">P89-P90</f>
        <v>0</v>
      </c>
      <c r="R89" s="100" t="n">
        <f aca="false">Q89-Q90</f>
        <v>0</v>
      </c>
      <c r="S89" s="100" t="n">
        <f aca="false">R89-R90</f>
        <v>0</v>
      </c>
      <c r="T89" s="100" t="n">
        <f aca="false">S89-S90</f>
        <v>0</v>
      </c>
      <c r="U89" s="100" t="n">
        <f aca="false">T89-T90</f>
        <v>0</v>
      </c>
      <c r="V89" s="100" t="n">
        <f aca="false">U89-U90</f>
        <v>0</v>
      </c>
      <c r="W89" s="100" t="n">
        <f aca="false">V89-V90</f>
        <v>0</v>
      </c>
      <c r="X89" s="100" t="n">
        <f aca="false">W89-W90</f>
        <v>0</v>
      </c>
      <c r="Y89" s="100" t="n">
        <f aca="false">X89-X90</f>
        <v>0</v>
      </c>
      <c r="Z89" s="100" t="n">
        <f aca="false">Y89-Y90</f>
        <v>0</v>
      </c>
      <c r="AA89" s="100" t="n">
        <f aca="false">Z89-Z90</f>
        <v>0</v>
      </c>
      <c r="AB89" s="100" t="n">
        <f aca="false">AA89-AA90</f>
        <v>0</v>
      </c>
      <c r="AC89" s="100" t="n">
        <f aca="false">AB89-AB90</f>
        <v>0</v>
      </c>
      <c r="AD89" s="100" t="n">
        <f aca="false">AC89-AC90</f>
        <v>0</v>
      </c>
      <c r="AE89" s="100" t="n">
        <f aca="false">AD89-AD90</f>
        <v>0</v>
      </c>
      <c r="AF89" s="100" t="n">
        <f aca="false">AE89-AE90</f>
        <v>0</v>
      </c>
      <c r="AG89" s="100" t="n">
        <f aca="false">AF89-AF90</f>
        <v>0</v>
      </c>
      <c r="AH89" s="100" t="n">
        <f aca="false">AG89-AG90</f>
        <v>0</v>
      </c>
      <c r="AI89" s="100" t="n">
        <f aca="false">AH89-AH90</f>
        <v>0</v>
      </c>
      <c r="AJ89" s="100" t="n">
        <f aca="false">AI89-AI90</f>
        <v>0</v>
      </c>
      <c r="AK89" s="100" t="n">
        <f aca="false">AJ89-AJ90</f>
        <v>0</v>
      </c>
      <c r="AL89" s="100" t="n">
        <f aca="false">AK89-AK90</f>
        <v>0</v>
      </c>
      <c r="AM89" s="100" t="n">
        <f aca="false">AL89-AL90</f>
        <v>0</v>
      </c>
      <c r="AN89" s="100" t="n">
        <f aca="false">AM89-AM90</f>
        <v>0</v>
      </c>
      <c r="AO89" s="100" t="n">
        <f aca="false">AN89-AN90</f>
        <v>0</v>
      </c>
      <c r="AP89" s="100" t="n">
        <f aca="false">AO89-AO90</f>
        <v>0</v>
      </c>
      <c r="AQ89" s="100" t="n">
        <f aca="false">AP89-AP90</f>
        <v>0</v>
      </c>
      <c r="AR89" s="100" t="n">
        <f aca="false">AQ89-AQ90</f>
        <v>0</v>
      </c>
      <c r="AS89" s="100" t="n">
        <f aca="false">AR89-AR90</f>
        <v>0</v>
      </c>
      <c r="AT89" s="100" t="n">
        <f aca="false">AS89-AS90</f>
        <v>0</v>
      </c>
      <c r="AU89" s="100" t="n">
        <f aca="false">AT89-AT90</f>
        <v>0</v>
      </c>
      <c r="AV89" s="100" t="n">
        <f aca="false">AU89-AU90</f>
        <v>0</v>
      </c>
      <c r="AW89" s="100" t="n">
        <f aca="false">AV89-AV90</f>
        <v>0</v>
      </c>
      <c r="AX89" s="100" t="n">
        <f aca="false">AW89-AW90</f>
        <v>0</v>
      </c>
      <c r="AY89" s="100" t="n">
        <f aca="false">AX89-AX90</f>
        <v>0</v>
      </c>
      <c r="AZ89" s="100" t="n">
        <f aca="false">AY89-AY90</f>
        <v>0</v>
      </c>
      <c r="BA89" s="100" t="n">
        <f aca="false">AZ89-AZ90</f>
        <v>0</v>
      </c>
      <c r="BB89" s="100" t="n">
        <f aca="false">BA89-BA90</f>
        <v>0</v>
      </c>
      <c r="BC89" s="100" t="n">
        <f aca="false">BB89-BB90</f>
        <v>0</v>
      </c>
      <c r="BD89" s="100" t="n">
        <f aca="false">BC89-BC90</f>
        <v>0</v>
      </c>
      <c r="BE89" s="100" t="n">
        <f aca="false">BD89-BD90</f>
        <v>0</v>
      </c>
      <c r="BF89" s="100" t="n">
        <f aca="false">BE89-BE90</f>
        <v>0</v>
      </c>
      <c r="BG89" s="100" t="n">
        <f aca="false">BF89-BF90</f>
        <v>0</v>
      </c>
      <c r="BH89" s="100" t="n">
        <f aca="false">BG89-BG90</f>
        <v>0</v>
      </c>
      <c r="BI89" s="100" t="n">
        <f aca="false">BH89-BH90</f>
        <v>0</v>
      </c>
      <c r="BJ89" s="100" t="n">
        <f aca="false">BI89-BI90</f>
        <v>0</v>
      </c>
      <c r="BK89" s="100" t="n">
        <f aca="false">BJ89-BJ90</f>
        <v>0</v>
      </c>
      <c r="BL89" s="100" t="n">
        <f aca="false">BK89-BK90</f>
        <v>0</v>
      </c>
      <c r="BM89" s="100" t="n">
        <f aca="false">BL89-BL90</f>
        <v>0</v>
      </c>
      <c r="BN89" s="100" t="n">
        <f aca="false">BM89-BM90</f>
        <v>0</v>
      </c>
      <c r="BO89" s="100" t="n">
        <f aca="false">BN89-BN90</f>
        <v>0</v>
      </c>
      <c r="BP89" s="100" t="n">
        <f aca="false">BO89-BO90</f>
        <v>0</v>
      </c>
      <c r="BQ89" s="100" t="n">
        <f aca="false">BP89-BP90</f>
        <v>0</v>
      </c>
      <c r="BR89" s="100" t="n">
        <f aca="false">BQ89-BQ90</f>
        <v>0</v>
      </c>
      <c r="BS89" s="100" t="n">
        <f aca="false">BR89-BR90</f>
        <v>0</v>
      </c>
      <c r="BT89" s="100" t="n">
        <f aca="false">BS89-BS90</f>
        <v>0</v>
      </c>
      <c r="BU89" s="100" t="n">
        <f aca="false">BT89-BT90</f>
        <v>0</v>
      </c>
      <c r="BV89" s="100" t="n">
        <f aca="false">BU89-BU90</f>
        <v>0</v>
      </c>
      <c r="BW89" s="100" t="n">
        <f aca="false">BV89-BV90</f>
        <v>0</v>
      </c>
      <c r="BX89" s="100" t="n">
        <f aca="false">BW89-BW90</f>
        <v>0</v>
      </c>
      <c r="BY89" s="100" t="n">
        <f aca="false">BX89-BX90</f>
        <v>0</v>
      </c>
      <c r="BZ89" s="100" t="n">
        <f aca="false">BY89-BY90</f>
        <v>0</v>
      </c>
      <c r="CA89" s="100" t="n">
        <f aca="false">BZ89-BZ90</f>
        <v>0</v>
      </c>
      <c r="CB89" s="100" t="n">
        <f aca="false">CA89-CA90</f>
        <v>0</v>
      </c>
      <c r="CC89" s="100" t="n">
        <f aca="false">CB89-CB90</f>
        <v>0</v>
      </c>
      <c r="CD89" s="100" t="n">
        <f aca="false">CC89-CC90</f>
        <v>0</v>
      </c>
      <c r="CE89" s="100" t="n">
        <f aca="false">CD89-CD90</f>
        <v>0</v>
      </c>
      <c r="CF89" s="100" t="n">
        <f aca="false">CE89-CE90</f>
        <v>0</v>
      </c>
      <c r="CG89" s="100" t="n">
        <f aca="false">CF89-CF90</f>
        <v>0</v>
      </c>
      <c r="CH89" s="100" t="n">
        <f aca="false">CG89-CG90</f>
        <v>0</v>
      </c>
    </row>
    <row r="90" customFormat="false" ht="13.5" hidden="false" customHeight="true" outlineLevel="0" collapsed="false">
      <c r="A90" s="6" t="s">
        <v>563</v>
      </c>
      <c r="C90" s="100" t="n">
        <f aca="false">IF(1&lt;=Hipótesis!$D$97,0,IF(C89&gt;0,MIN(C89,Hipótesis!$D$93/MAX(Hipótesis!$D$96-Hipótesis!$D$97,1)),0))</f>
        <v>0</v>
      </c>
      <c r="D90" s="100" t="n">
        <f aca="false">IF(2&lt;=Hipótesis!$D$97,0,IF(D89&gt;0,MIN(D89,Hipótesis!$D$93/MAX(Hipótesis!$D$96-Hipótesis!$D$97,1)),0))</f>
        <v>0</v>
      </c>
      <c r="E90" s="100" t="n">
        <f aca="false">IF(3&lt;=Hipótesis!$D$97,0,IF(E89&gt;0,MIN(E89,Hipótesis!$D$93/MAX(Hipótesis!$D$96-Hipótesis!$D$97,1)),0))</f>
        <v>0</v>
      </c>
      <c r="F90" s="100" t="n">
        <f aca="false">IF(4&lt;=Hipótesis!$D$97,0,IF(F89&gt;0,MIN(F89,Hipótesis!$D$93/MAX(Hipótesis!$D$96-Hipótesis!$D$97,1)),0))</f>
        <v>0</v>
      </c>
      <c r="G90" s="100" t="n">
        <f aca="false">IF(5&lt;=Hipótesis!$D$97,0,IF(G89&gt;0,MIN(G89,Hipótesis!$D$93/MAX(Hipótesis!$D$96-Hipótesis!$D$97,1)),0))</f>
        <v>0</v>
      </c>
      <c r="H90" s="100" t="n">
        <f aca="false">IF(6&lt;=Hipótesis!$D$97,0,IF(H89&gt;0,MIN(H89,Hipótesis!$D$93/MAX(Hipótesis!$D$96-Hipótesis!$D$97,1)),0))</f>
        <v>0</v>
      </c>
      <c r="I90" s="100" t="n">
        <f aca="false">IF(7&lt;=Hipótesis!$D$97,0,IF(I89&gt;0,MIN(I89,Hipótesis!$D$93/MAX(Hipótesis!$D$96-Hipótesis!$D$97,1)),0))</f>
        <v>0</v>
      </c>
      <c r="J90" s="100" t="n">
        <f aca="false">IF(8&lt;=Hipótesis!$D$97,0,IF(J89&gt;0,MIN(J89,Hipótesis!$D$93/MAX(Hipótesis!$D$96-Hipótesis!$D$97,1)),0))</f>
        <v>0</v>
      </c>
      <c r="K90" s="100" t="n">
        <f aca="false">IF(9&lt;=Hipótesis!$D$97,0,IF(K89&gt;0,MIN(K89,Hipótesis!$D$93/MAX(Hipótesis!$D$96-Hipótesis!$D$97,1)),0))</f>
        <v>0</v>
      </c>
      <c r="L90" s="100" t="n">
        <f aca="false">IF(10&lt;=Hipótesis!$D$97,0,IF(L89&gt;0,MIN(L89,Hipótesis!$D$93/MAX(Hipótesis!$D$96-Hipótesis!$D$97,1)),0))</f>
        <v>0</v>
      </c>
      <c r="M90" s="100" t="n">
        <f aca="false">IF(11&lt;=Hipótesis!$D$97,0,IF(M89&gt;0,MIN(M89,Hipótesis!$D$93/MAX(Hipótesis!$D$96-Hipótesis!$D$97,1)),0))</f>
        <v>0</v>
      </c>
      <c r="N90" s="100" t="n">
        <f aca="false">IF(12&lt;=Hipótesis!$D$97,0,IF(N89&gt;0,MIN(N89,Hipótesis!$D$93/MAX(Hipótesis!$D$96-Hipótesis!$D$97,1)),0))</f>
        <v>0</v>
      </c>
      <c r="O90" s="100" t="n">
        <f aca="false">IF(13&lt;=Hipótesis!$D$97,0,IF(O89&gt;0,MIN(O89,Hipótesis!$D$93/MAX(Hipótesis!$D$96-Hipótesis!$D$97,1)),0))</f>
        <v>0</v>
      </c>
      <c r="P90" s="100" t="n">
        <f aca="false">IF(14&lt;=Hipótesis!$D$97,0,IF(P89&gt;0,MIN(P89,Hipótesis!$D$93/MAX(Hipótesis!$D$96-Hipótesis!$D$97,1)),0))</f>
        <v>0</v>
      </c>
      <c r="Q90" s="100" t="n">
        <f aca="false">IF(15&lt;=Hipótesis!$D$97,0,IF(Q89&gt;0,MIN(Q89,Hipótesis!$D$93/MAX(Hipótesis!$D$96-Hipótesis!$D$97,1)),0))</f>
        <v>0</v>
      </c>
      <c r="R90" s="100" t="n">
        <f aca="false">IF(16&lt;=Hipótesis!$D$97,0,IF(R89&gt;0,MIN(R89,Hipótesis!$D$93/MAX(Hipótesis!$D$96-Hipótesis!$D$97,1)),0))</f>
        <v>0</v>
      </c>
      <c r="S90" s="100" t="n">
        <f aca="false">IF(17&lt;=Hipótesis!$D$97,0,IF(S89&gt;0,MIN(S89,Hipótesis!$D$93/MAX(Hipótesis!$D$96-Hipótesis!$D$97,1)),0))</f>
        <v>0</v>
      </c>
      <c r="T90" s="100" t="n">
        <f aca="false">IF(18&lt;=Hipótesis!$D$97,0,IF(T89&gt;0,MIN(T89,Hipótesis!$D$93/MAX(Hipótesis!$D$96-Hipótesis!$D$97,1)),0))</f>
        <v>0</v>
      </c>
      <c r="U90" s="100" t="n">
        <f aca="false">IF(19&lt;=Hipótesis!$D$97,0,IF(U89&gt;0,MIN(U89,Hipótesis!$D$93/MAX(Hipótesis!$D$96-Hipótesis!$D$97,1)),0))</f>
        <v>0</v>
      </c>
      <c r="V90" s="100" t="n">
        <f aca="false">IF(20&lt;=Hipótesis!$D$97,0,IF(V89&gt;0,MIN(V89,Hipótesis!$D$93/MAX(Hipótesis!$D$96-Hipótesis!$D$97,1)),0))</f>
        <v>0</v>
      </c>
      <c r="W90" s="100" t="n">
        <f aca="false">IF(21&lt;=Hipótesis!$D$97,0,IF(W89&gt;0,MIN(W89,Hipótesis!$D$93/MAX(Hipótesis!$D$96-Hipótesis!$D$97,1)),0))</f>
        <v>0</v>
      </c>
      <c r="X90" s="100" t="n">
        <f aca="false">IF(22&lt;=Hipótesis!$D$97,0,IF(X89&gt;0,MIN(X89,Hipótesis!$D$93/MAX(Hipótesis!$D$96-Hipótesis!$D$97,1)),0))</f>
        <v>0</v>
      </c>
      <c r="Y90" s="100" t="n">
        <f aca="false">IF(23&lt;=Hipótesis!$D$97,0,IF(Y89&gt;0,MIN(Y89,Hipótesis!$D$93/MAX(Hipótesis!$D$96-Hipótesis!$D$97,1)),0))</f>
        <v>0</v>
      </c>
      <c r="Z90" s="100" t="n">
        <f aca="false">IF(24&lt;=Hipótesis!$D$97,0,IF(Z89&gt;0,MIN(Z89,Hipótesis!$D$93/MAX(Hipótesis!$D$96-Hipótesis!$D$97,1)),0))</f>
        <v>0</v>
      </c>
      <c r="AA90" s="100" t="n">
        <f aca="false">IF(25&lt;=Hipótesis!$D$97,0,IF(AA89&gt;0,MIN(AA89,Hipótesis!$D$93/MAX(Hipótesis!$D$96-Hipótesis!$D$97,1)),0))</f>
        <v>0</v>
      </c>
      <c r="AB90" s="100" t="n">
        <f aca="false">IF(26&lt;=Hipótesis!$D$97,0,IF(AB89&gt;0,MIN(AB89,Hipótesis!$D$93/MAX(Hipótesis!$D$96-Hipótesis!$D$97,1)),0))</f>
        <v>0</v>
      </c>
      <c r="AC90" s="100" t="n">
        <f aca="false">IF(27&lt;=Hipótesis!$D$97,0,IF(AC89&gt;0,MIN(AC89,Hipótesis!$D$93/MAX(Hipótesis!$D$96-Hipótesis!$D$97,1)),0))</f>
        <v>0</v>
      </c>
      <c r="AD90" s="100" t="n">
        <f aca="false">IF(28&lt;=Hipótesis!$D$97,0,IF(AD89&gt;0,MIN(AD89,Hipótesis!$D$93/MAX(Hipótesis!$D$96-Hipótesis!$D$97,1)),0))</f>
        <v>0</v>
      </c>
      <c r="AE90" s="100" t="n">
        <f aca="false">IF(29&lt;=Hipótesis!$D$97,0,IF(AE89&gt;0,MIN(AE89,Hipótesis!$D$93/MAX(Hipótesis!$D$96-Hipótesis!$D$97,1)),0))</f>
        <v>0</v>
      </c>
      <c r="AF90" s="100" t="n">
        <f aca="false">IF(30&lt;=Hipótesis!$D$97,0,IF(AF89&gt;0,MIN(AF89,Hipótesis!$D$93/MAX(Hipótesis!$D$96-Hipótesis!$D$97,1)),0))</f>
        <v>0</v>
      </c>
      <c r="AG90" s="100" t="n">
        <f aca="false">IF(31&lt;=Hipótesis!$D$97,0,IF(AG89&gt;0,MIN(AG89,Hipótesis!$D$93/MAX(Hipótesis!$D$96-Hipótesis!$D$97,1)),0))</f>
        <v>0</v>
      </c>
      <c r="AH90" s="100" t="n">
        <f aca="false">IF(32&lt;=Hipótesis!$D$97,0,IF(AH89&gt;0,MIN(AH89,Hipótesis!$D$93/MAX(Hipótesis!$D$96-Hipótesis!$D$97,1)),0))</f>
        <v>0</v>
      </c>
      <c r="AI90" s="100" t="n">
        <f aca="false">IF(33&lt;=Hipótesis!$D$97,0,IF(AI89&gt;0,MIN(AI89,Hipótesis!$D$93/MAX(Hipótesis!$D$96-Hipótesis!$D$97,1)),0))</f>
        <v>0</v>
      </c>
      <c r="AJ90" s="100" t="n">
        <f aca="false">IF(34&lt;=Hipótesis!$D$97,0,IF(AJ89&gt;0,MIN(AJ89,Hipótesis!$D$93/MAX(Hipótesis!$D$96-Hipótesis!$D$97,1)),0))</f>
        <v>0</v>
      </c>
      <c r="AK90" s="100" t="n">
        <f aca="false">IF(35&lt;=Hipótesis!$D$97,0,IF(AK89&gt;0,MIN(AK89,Hipótesis!$D$93/MAX(Hipótesis!$D$96-Hipótesis!$D$97,1)),0))</f>
        <v>0</v>
      </c>
      <c r="AL90" s="100" t="n">
        <f aca="false">IF(36&lt;=Hipótesis!$D$97,0,IF(AL89&gt;0,MIN(AL89,Hipótesis!$D$93/MAX(Hipótesis!$D$96-Hipótesis!$D$97,1)),0))</f>
        <v>0</v>
      </c>
      <c r="AM90" s="100" t="n">
        <f aca="false">IF(37&lt;=Hipótesis!$D$97,0,IF(AM89&gt;0,MIN(AM89,Hipótesis!$D$93/MAX(Hipótesis!$D$96-Hipótesis!$D$97,1)),0))</f>
        <v>0</v>
      </c>
      <c r="AN90" s="100" t="n">
        <f aca="false">IF(38&lt;=Hipótesis!$D$97,0,IF(AN89&gt;0,MIN(AN89,Hipótesis!$D$93/MAX(Hipótesis!$D$96-Hipótesis!$D$97,1)),0))</f>
        <v>0</v>
      </c>
      <c r="AO90" s="100" t="n">
        <f aca="false">IF(39&lt;=Hipótesis!$D$97,0,IF(AO89&gt;0,MIN(AO89,Hipótesis!$D$93/MAX(Hipótesis!$D$96-Hipótesis!$D$97,1)),0))</f>
        <v>0</v>
      </c>
      <c r="AP90" s="100" t="n">
        <f aca="false">IF(40&lt;=Hipótesis!$D$97,0,IF(AP89&gt;0,MIN(AP89,Hipótesis!$D$93/MAX(Hipótesis!$D$96-Hipótesis!$D$97,1)),0))</f>
        <v>0</v>
      </c>
      <c r="AQ90" s="100" t="n">
        <f aca="false">IF(41&lt;=Hipótesis!$D$97,0,IF(AQ89&gt;0,MIN(AQ89,Hipótesis!$D$93/MAX(Hipótesis!$D$96-Hipótesis!$D$97,1)),0))</f>
        <v>0</v>
      </c>
      <c r="AR90" s="100" t="n">
        <f aca="false">IF(42&lt;=Hipótesis!$D$97,0,IF(AR89&gt;0,MIN(AR89,Hipótesis!$D$93/MAX(Hipótesis!$D$96-Hipótesis!$D$97,1)),0))</f>
        <v>0</v>
      </c>
      <c r="AS90" s="100" t="n">
        <f aca="false">IF(43&lt;=Hipótesis!$D$97,0,IF(AS89&gt;0,MIN(AS89,Hipótesis!$D$93/MAX(Hipótesis!$D$96-Hipótesis!$D$97,1)),0))</f>
        <v>0</v>
      </c>
      <c r="AT90" s="100" t="n">
        <f aca="false">IF(44&lt;=Hipótesis!$D$97,0,IF(AT89&gt;0,MIN(AT89,Hipótesis!$D$93/MAX(Hipótesis!$D$96-Hipótesis!$D$97,1)),0))</f>
        <v>0</v>
      </c>
      <c r="AU90" s="100" t="n">
        <f aca="false">IF(45&lt;=Hipótesis!$D$97,0,IF(AU89&gt;0,MIN(AU89,Hipótesis!$D$93/MAX(Hipótesis!$D$96-Hipótesis!$D$97,1)),0))</f>
        <v>0</v>
      </c>
      <c r="AV90" s="100" t="n">
        <f aca="false">IF(46&lt;=Hipótesis!$D$97,0,IF(AV89&gt;0,MIN(AV89,Hipótesis!$D$93/MAX(Hipótesis!$D$96-Hipótesis!$D$97,1)),0))</f>
        <v>0</v>
      </c>
      <c r="AW90" s="100" t="n">
        <f aca="false">IF(47&lt;=Hipótesis!$D$97,0,IF(AW89&gt;0,MIN(AW89,Hipótesis!$D$93/MAX(Hipótesis!$D$96-Hipótesis!$D$97,1)),0))</f>
        <v>0</v>
      </c>
      <c r="AX90" s="100" t="n">
        <f aca="false">IF(48&lt;=Hipótesis!$D$97,0,IF(AX89&gt;0,MIN(AX89,Hipótesis!$D$93/MAX(Hipótesis!$D$96-Hipótesis!$D$97,1)),0))</f>
        <v>0</v>
      </c>
      <c r="AY90" s="100" t="n">
        <f aca="false">IF(49&lt;=Hipótesis!$D$97,0,IF(AY89&gt;0,MIN(AY89,Hipótesis!$D$93/MAX(Hipótesis!$D$96-Hipótesis!$D$97,1)),0))</f>
        <v>0</v>
      </c>
      <c r="AZ90" s="100" t="n">
        <f aca="false">IF(50&lt;=Hipótesis!$D$97,0,IF(AZ89&gt;0,MIN(AZ89,Hipótesis!$D$93/MAX(Hipótesis!$D$96-Hipótesis!$D$97,1)),0))</f>
        <v>0</v>
      </c>
      <c r="BA90" s="100" t="n">
        <f aca="false">IF(51&lt;=Hipótesis!$D$97,0,IF(BA89&gt;0,MIN(BA89,Hipótesis!$D$93/MAX(Hipótesis!$D$96-Hipótesis!$D$97,1)),0))</f>
        <v>0</v>
      </c>
      <c r="BB90" s="100" t="n">
        <f aca="false">IF(52&lt;=Hipótesis!$D$97,0,IF(BB89&gt;0,MIN(BB89,Hipótesis!$D$93/MAX(Hipótesis!$D$96-Hipótesis!$D$97,1)),0))</f>
        <v>0</v>
      </c>
      <c r="BC90" s="100" t="n">
        <f aca="false">IF(53&lt;=Hipótesis!$D$97,0,IF(BC89&gt;0,MIN(BC89,Hipótesis!$D$93/MAX(Hipótesis!$D$96-Hipótesis!$D$97,1)),0))</f>
        <v>0</v>
      </c>
      <c r="BD90" s="100" t="n">
        <f aca="false">IF(54&lt;=Hipótesis!$D$97,0,IF(BD89&gt;0,MIN(BD89,Hipótesis!$D$93/MAX(Hipótesis!$D$96-Hipótesis!$D$97,1)),0))</f>
        <v>0</v>
      </c>
      <c r="BE90" s="100" t="n">
        <f aca="false">IF(55&lt;=Hipótesis!$D$97,0,IF(BE89&gt;0,MIN(BE89,Hipótesis!$D$93/MAX(Hipótesis!$D$96-Hipótesis!$D$97,1)),0))</f>
        <v>0</v>
      </c>
      <c r="BF90" s="100" t="n">
        <f aca="false">IF(56&lt;=Hipótesis!$D$97,0,IF(BF89&gt;0,MIN(BF89,Hipótesis!$D$93/MAX(Hipótesis!$D$96-Hipótesis!$D$97,1)),0))</f>
        <v>0</v>
      </c>
      <c r="BG90" s="100" t="n">
        <f aca="false">IF(57&lt;=Hipótesis!$D$97,0,IF(BG89&gt;0,MIN(BG89,Hipótesis!$D$93/MAX(Hipótesis!$D$96-Hipótesis!$D$97,1)),0))</f>
        <v>0</v>
      </c>
      <c r="BH90" s="100" t="n">
        <f aca="false">IF(58&lt;=Hipótesis!$D$97,0,IF(BH89&gt;0,MIN(BH89,Hipótesis!$D$93/MAX(Hipótesis!$D$96-Hipótesis!$D$97,1)),0))</f>
        <v>0</v>
      </c>
      <c r="BI90" s="100" t="n">
        <f aca="false">IF(59&lt;=Hipótesis!$D$97,0,IF(BI89&gt;0,MIN(BI89,Hipótesis!$D$93/MAX(Hipótesis!$D$96-Hipótesis!$D$97,1)),0))</f>
        <v>0</v>
      </c>
      <c r="BJ90" s="100" t="n">
        <f aca="false">IF(60&lt;=Hipótesis!$D$97,0,IF(BJ89&gt;0,MIN(BJ89,Hipótesis!$D$93/MAX(Hipótesis!$D$96-Hipótesis!$D$97,1)),0))</f>
        <v>0</v>
      </c>
      <c r="BK90" s="100" t="n">
        <f aca="false">IF(61&lt;=Hipótesis!$D$97,0,IF(BK89&gt;0,MIN(BK89,Hipótesis!$D$93/MAX(Hipótesis!$D$96-Hipótesis!$D$97,1)),0))</f>
        <v>0</v>
      </c>
      <c r="BL90" s="100" t="n">
        <f aca="false">IF(62&lt;=Hipótesis!$D$97,0,IF(BL89&gt;0,MIN(BL89,Hipótesis!$D$93/MAX(Hipótesis!$D$96-Hipótesis!$D$97,1)),0))</f>
        <v>0</v>
      </c>
      <c r="BM90" s="100" t="n">
        <f aca="false">IF(63&lt;=Hipótesis!$D$97,0,IF(BM89&gt;0,MIN(BM89,Hipótesis!$D$93/MAX(Hipótesis!$D$96-Hipótesis!$D$97,1)),0))</f>
        <v>0</v>
      </c>
      <c r="BN90" s="100" t="n">
        <f aca="false">IF(64&lt;=Hipótesis!$D$97,0,IF(BN89&gt;0,MIN(BN89,Hipótesis!$D$93/MAX(Hipótesis!$D$96-Hipótesis!$D$97,1)),0))</f>
        <v>0</v>
      </c>
      <c r="BO90" s="100" t="n">
        <f aca="false">IF(65&lt;=Hipótesis!$D$97,0,IF(BO89&gt;0,MIN(BO89,Hipótesis!$D$93/MAX(Hipótesis!$D$96-Hipótesis!$D$97,1)),0))</f>
        <v>0</v>
      </c>
      <c r="BP90" s="100" t="n">
        <f aca="false">IF(66&lt;=Hipótesis!$D$97,0,IF(BP89&gt;0,MIN(BP89,Hipótesis!$D$93/MAX(Hipótesis!$D$96-Hipótesis!$D$97,1)),0))</f>
        <v>0</v>
      </c>
      <c r="BQ90" s="100" t="n">
        <f aca="false">IF(67&lt;=Hipótesis!$D$97,0,IF(BQ89&gt;0,MIN(BQ89,Hipótesis!$D$93/MAX(Hipótesis!$D$96-Hipótesis!$D$97,1)),0))</f>
        <v>0</v>
      </c>
      <c r="BR90" s="100" t="n">
        <f aca="false">IF(68&lt;=Hipótesis!$D$97,0,IF(BR89&gt;0,MIN(BR89,Hipótesis!$D$93/MAX(Hipótesis!$D$96-Hipótesis!$D$97,1)),0))</f>
        <v>0</v>
      </c>
      <c r="BS90" s="100" t="n">
        <f aca="false">IF(69&lt;=Hipótesis!$D$97,0,IF(BS89&gt;0,MIN(BS89,Hipótesis!$D$93/MAX(Hipótesis!$D$96-Hipótesis!$D$97,1)),0))</f>
        <v>0</v>
      </c>
      <c r="BT90" s="100" t="n">
        <f aca="false">IF(70&lt;=Hipótesis!$D$97,0,IF(BT89&gt;0,MIN(BT89,Hipótesis!$D$93/MAX(Hipótesis!$D$96-Hipótesis!$D$97,1)),0))</f>
        <v>0</v>
      </c>
      <c r="BU90" s="100" t="n">
        <f aca="false">IF(71&lt;=Hipótesis!$D$97,0,IF(BU89&gt;0,MIN(BU89,Hipótesis!$D$93/MAX(Hipótesis!$D$96-Hipótesis!$D$97,1)),0))</f>
        <v>0</v>
      </c>
      <c r="BV90" s="100" t="n">
        <f aca="false">IF(72&lt;=Hipótesis!$D$97,0,IF(BV89&gt;0,MIN(BV89,Hipótesis!$D$93/MAX(Hipótesis!$D$96-Hipótesis!$D$97,1)),0))</f>
        <v>0</v>
      </c>
      <c r="BW90" s="100" t="n">
        <f aca="false">IF(73&lt;=Hipótesis!$D$97,0,IF(BW89&gt;0,MIN(BW89,Hipótesis!$D$93/MAX(Hipótesis!$D$96-Hipótesis!$D$97,1)),0))</f>
        <v>0</v>
      </c>
      <c r="BX90" s="100" t="n">
        <f aca="false">IF(74&lt;=Hipótesis!$D$97,0,IF(BX89&gt;0,MIN(BX89,Hipótesis!$D$93/MAX(Hipótesis!$D$96-Hipótesis!$D$97,1)),0))</f>
        <v>0</v>
      </c>
      <c r="BY90" s="100" t="n">
        <f aca="false">IF(75&lt;=Hipótesis!$D$97,0,IF(BY89&gt;0,MIN(BY89,Hipótesis!$D$93/MAX(Hipótesis!$D$96-Hipótesis!$D$97,1)),0))</f>
        <v>0</v>
      </c>
      <c r="BZ90" s="100" t="n">
        <f aca="false">IF(76&lt;=Hipótesis!$D$97,0,IF(BZ89&gt;0,MIN(BZ89,Hipótesis!$D$93/MAX(Hipótesis!$D$96-Hipótesis!$D$97,1)),0))</f>
        <v>0</v>
      </c>
      <c r="CA90" s="100" t="n">
        <f aca="false">IF(77&lt;=Hipótesis!$D$97,0,IF(CA89&gt;0,MIN(CA89,Hipótesis!$D$93/MAX(Hipótesis!$D$96-Hipótesis!$D$97,1)),0))</f>
        <v>0</v>
      </c>
      <c r="CB90" s="100" t="n">
        <f aca="false">IF(78&lt;=Hipótesis!$D$97,0,IF(CB89&gt;0,MIN(CB89,Hipótesis!$D$93/MAX(Hipótesis!$D$96-Hipótesis!$D$97,1)),0))</f>
        <v>0</v>
      </c>
      <c r="CC90" s="100" t="n">
        <f aca="false">IF(79&lt;=Hipótesis!$D$97,0,IF(CC89&gt;0,MIN(CC89,Hipótesis!$D$93/MAX(Hipótesis!$D$96-Hipótesis!$D$97,1)),0))</f>
        <v>0</v>
      </c>
      <c r="CD90" s="100" t="n">
        <f aca="false">IF(80&lt;=Hipótesis!$D$97,0,IF(CD89&gt;0,MIN(CD89,Hipótesis!$D$93/MAX(Hipótesis!$D$96-Hipótesis!$D$97,1)),0))</f>
        <v>0</v>
      </c>
      <c r="CE90" s="100" t="n">
        <f aca="false">IF(81&lt;=Hipótesis!$D$97,0,IF(CE89&gt;0,MIN(CE89,Hipótesis!$D$93/MAX(Hipótesis!$D$96-Hipótesis!$D$97,1)),0))</f>
        <v>0</v>
      </c>
      <c r="CF90" s="100" t="n">
        <f aca="false">IF(82&lt;=Hipótesis!$D$97,0,IF(CF89&gt;0,MIN(CF89,Hipótesis!$D$93/MAX(Hipótesis!$D$96-Hipótesis!$D$97,1)),0))</f>
        <v>0</v>
      </c>
      <c r="CG90" s="100" t="n">
        <f aca="false">IF(83&lt;=Hipótesis!$D$97,0,IF(CG89&gt;0,MIN(CG89,Hipótesis!$D$93/MAX(Hipótesis!$D$96-Hipótesis!$D$97,1)),0))</f>
        <v>0</v>
      </c>
      <c r="CH90" s="100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6" t="s">
        <v>564</v>
      </c>
      <c r="C91" s="100" t="n">
        <f aca="false">C89*Hipótesis!$D$95/12</f>
        <v>0</v>
      </c>
      <c r="D91" s="100" t="n">
        <f aca="false">D89*Hipótesis!$D$95/12</f>
        <v>0</v>
      </c>
      <c r="E91" s="100" t="n">
        <f aca="false">E89*Hipótesis!$D$95/12</f>
        <v>0</v>
      </c>
      <c r="F91" s="100" t="n">
        <f aca="false">F89*Hipótesis!$D$95/12</f>
        <v>0</v>
      </c>
      <c r="G91" s="100" t="n">
        <f aca="false">G89*Hipótesis!$D$95/12</f>
        <v>0</v>
      </c>
      <c r="H91" s="100" t="n">
        <f aca="false">H89*Hipótesis!$D$95/12</f>
        <v>0</v>
      </c>
      <c r="I91" s="100" t="n">
        <f aca="false">I89*Hipótesis!$D$95/12</f>
        <v>0</v>
      </c>
      <c r="J91" s="100" t="n">
        <f aca="false">J89*Hipótesis!$D$95/12</f>
        <v>0</v>
      </c>
      <c r="K91" s="100" t="n">
        <f aca="false">K89*Hipótesis!$D$95/12</f>
        <v>0</v>
      </c>
      <c r="L91" s="100" t="n">
        <f aca="false">L89*Hipótesis!$D$95/12</f>
        <v>0</v>
      </c>
      <c r="M91" s="100" t="n">
        <f aca="false">M89*Hipótesis!$D$95/12</f>
        <v>0</v>
      </c>
      <c r="N91" s="100" t="n">
        <f aca="false">N89*Hipótesis!$D$95/12</f>
        <v>0</v>
      </c>
      <c r="O91" s="100" t="n">
        <f aca="false">O89*Hipótesis!$D$95/12</f>
        <v>0</v>
      </c>
      <c r="P91" s="100" t="n">
        <f aca="false">P89*Hipótesis!$D$95/12</f>
        <v>0</v>
      </c>
      <c r="Q91" s="100" t="n">
        <f aca="false">Q89*Hipótesis!$D$95/12</f>
        <v>0</v>
      </c>
      <c r="R91" s="100" t="n">
        <f aca="false">R89*Hipótesis!$D$95/12</f>
        <v>0</v>
      </c>
      <c r="S91" s="100" t="n">
        <f aca="false">S89*Hipótesis!$D$95/12</f>
        <v>0</v>
      </c>
      <c r="T91" s="100" t="n">
        <f aca="false">T89*Hipótesis!$D$95/12</f>
        <v>0</v>
      </c>
      <c r="U91" s="100" t="n">
        <f aca="false">U89*Hipótesis!$D$95/12</f>
        <v>0</v>
      </c>
      <c r="V91" s="100" t="n">
        <f aca="false">V89*Hipótesis!$D$95/12</f>
        <v>0</v>
      </c>
      <c r="W91" s="100" t="n">
        <f aca="false">W89*Hipótesis!$D$95/12</f>
        <v>0</v>
      </c>
      <c r="X91" s="100" t="n">
        <f aca="false">X89*Hipótesis!$D$95/12</f>
        <v>0</v>
      </c>
      <c r="Y91" s="100" t="n">
        <f aca="false">Y89*Hipótesis!$D$95/12</f>
        <v>0</v>
      </c>
      <c r="Z91" s="100" t="n">
        <f aca="false">Z89*Hipótesis!$D$95/12</f>
        <v>0</v>
      </c>
      <c r="AA91" s="100" t="n">
        <f aca="false">AA89*Hipótesis!$D$95/12</f>
        <v>0</v>
      </c>
      <c r="AB91" s="100" t="n">
        <f aca="false">AB89*Hipótesis!$D$95/12</f>
        <v>0</v>
      </c>
      <c r="AC91" s="100" t="n">
        <f aca="false">AC89*Hipótesis!$D$95/12</f>
        <v>0</v>
      </c>
      <c r="AD91" s="100" t="n">
        <f aca="false">AD89*Hipótesis!$D$95/12</f>
        <v>0</v>
      </c>
      <c r="AE91" s="100" t="n">
        <f aca="false">AE89*Hipótesis!$D$95/12</f>
        <v>0</v>
      </c>
      <c r="AF91" s="100" t="n">
        <f aca="false">AF89*Hipótesis!$D$95/12</f>
        <v>0</v>
      </c>
      <c r="AG91" s="100" t="n">
        <f aca="false">AG89*Hipótesis!$D$95/12</f>
        <v>0</v>
      </c>
      <c r="AH91" s="100" t="n">
        <f aca="false">AH89*Hipótesis!$D$95/12</f>
        <v>0</v>
      </c>
      <c r="AI91" s="100" t="n">
        <f aca="false">AI89*Hipótesis!$D$95/12</f>
        <v>0</v>
      </c>
      <c r="AJ91" s="100" t="n">
        <f aca="false">AJ89*Hipótesis!$D$95/12</f>
        <v>0</v>
      </c>
      <c r="AK91" s="100" t="n">
        <f aca="false">AK89*Hipótesis!$D$95/12</f>
        <v>0</v>
      </c>
      <c r="AL91" s="100" t="n">
        <f aca="false">AL89*Hipótesis!$D$95/12</f>
        <v>0</v>
      </c>
      <c r="AM91" s="100" t="n">
        <f aca="false">AM89*Hipótesis!$D$95/12</f>
        <v>0</v>
      </c>
      <c r="AN91" s="100" t="n">
        <f aca="false">AN89*Hipótesis!$D$95/12</f>
        <v>0</v>
      </c>
      <c r="AO91" s="100" t="n">
        <f aca="false">AO89*Hipótesis!$D$95/12</f>
        <v>0</v>
      </c>
      <c r="AP91" s="100" t="n">
        <f aca="false">AP89*Hipótesis!$D$95/12</f>
        <v>0</v>
      </c>
      <c r="AQ91" s="100" t="n">
        <f aca="false">AQ89*Hipótesis!$D$95/12</f>
        <v>0</v>
      </c>
      <c r="AR91" s="100" t="n">
        <f aca="false">AR89*Hipótesis!$D$95/12</f>
        <v>0</v>
      </c>
      <c r="AS91" s="100" t="n">
        <f aca="false">AS89*Hipótesis!$D$95/12</f>
        <v>0</v>
      </c>
      <c r="AT91" s="100" t="n">
        <f aca="false">AT89*Hipótesis!$D$95/12</f>
        <v>0</v>
      </c>
      <c r="AU91" s="100" t="n">
        <f aca="false">AU89*Hipótesis!$D$95/12</f>
        <v>0</v>
      </c>
      <c r="AV91" s="100" t="n">
        <f aca="false">AV89*Hipótesis!$D$95/12</f>
        <v>0</v>
      </c>
      <c r="AW91" s="100" t="n">
        <f aca="false">AW89*Hipótesis!$D$95/12</f>
        <v>0</v>
      </c>
      <c r="AX91" s="100" t="n">
        <f aca="false">AX89*Hipótesis!$D$95/12</f>
        <v>0</v>
      </c>
      <c r="AY91" s="100" t="n">
        <f aca="false">AY89*Hipótesis!$D$95/12</f>
        <v>0</v>
      </c>
      <c r="AZ91" s="100" t="n">
        <f aca="false">AZ89*Hipótesis!$D$95/12</f>
        <v>0</v>
      </c>
      <c r="BA91" s="100" t="n">
        <f aca="false">BA89*Hipótesis!$D$95/12</f>
        <v>0</v>
      </c>
      <c r="BB91" s="100" t="n">
        <f aca="false">BB89*Hipótesis!$D$95/12</f>
        <v>0</v>
      </c>
      <c r="BC91" s="100" t="n">
        <f aca="false">BC89*Hipótesis!$D$95/12</f>
        <v>0</v>
      </c>
      <c r="BD91" s="100" t="n">
        <f aca="false">BD89*Hipótesis!$D$95/12</f>
        <v>0</v>
      </c>
      <c r="BE91" s="100" t="n">
        <f aca="false">BE89*Hipótesis!$D$95/12</f>
        <v>0</v>
      </c>
      <c r="BF91" s="100" t="n">
        <f aca="false">BF89*Hipótesis!$D$95/12</f>
        <v>0</v>
      </c>
      <c r="BG91" s="100" t="n">
        <f aca="false">BG89*Hipótesis!$D$95/12</f>
        <v>0</v>
      </c>
      <c r="BH91" s="100" t="n">
        <f aca="false">BH89*Hipótesis!$D$95/12</f>
        <v>0</v>
      </c>
      <c r="BI91" s="100" t="n">
        <f aca="false">BI89*Hipótesis!$D$95/12</f>
        <v>0</v>
      </c>
      <c r="BJ91" s="100" t="n">
        <f aca="false">BJ89*Hipótesis!$D$95/12</f>
        <v>0</v>
      </c>
      <c r="BK91" s="100" t="n">
        <f aca="false">BK89*Hipótesis!$D$95/12</f>
        <v>0</v>
      </c>
      <c r="BL91" s="100" t="n">
        <f aca="false">BL89*Hipótesis!$D$95/12</f>
        <v>0</v>
      </c>
      <c r="BM91" s="100" t="n">
        <f aca="false">BM89*Hipótesis!$D$95/12</f>
        <v>0</v>
      </c>
      <c r="BN91" s="100" t="n">
        <f aca="false">BN89*Hipótesis!$D$95/12</f>
        <v>0</v>
      </c>
      <c r="BO91" s="100" t="n">
        <f aca="false">BO89*Hipótesis!$D$95/12</f>
        <v>0</v>
      </c>
      <c r="BP91" s="100" t="n">
        <f aca="false">BP89*Hipótesis!$D$95/12</f>
        <v>0</v>
      </c>
      <c r="BQ91" s="100" t="n">
        <f aca="false">BQ89*Hipótesis!$D$95/12</f>
        <v>0</v>
      </c>
      <c r="BR91" s="100" t="n">
        <f aca="false">BR89*Hipótesis!$D$95/12</f>
        <v>0</v>
      </c>
      <c r="BS91" s="100" t="n">
        <f aca="false">BS89*Hipótesis!$D$95/12</f>
        <v>0</v>
      </c>
      <c r="BT91" s="100" t="n">
        <f aca="false">BT89*Hipótesis!$D$95/12</f>
        <v>0</v>
      </c>
      <c r="BU91" s="100" t="n">
        <f aca="false">BU89*Hipótesis!$D$95/12</f>
        <v>0</v>
      </c>
      <c r="BV91" s="100" t="n">
        <f aca="false">BV89*Hipótesis!$D$95/12</f>
        <v>0</v>
      </c>
      <c r="BW91" s="100" t="n">
        <f aca="false">BW89*Hipótesis!$D$95/12</f>
        <v>0</v>
      </c>
      <c r="BX91" s="100" t="n">
        <f aca="false">BX89*Hipótesis!$D$95/12</f>
        <v>0</v>
      </c>
      <c r="BY91" s="100" t="n">
        <f aca="false">BY89*Hipótesis!$D$95/12</f>
        <v>0</v>
      </c>
      <c r="BZ91" s="100" t="n">
        <f aca="false">BZ89*Hipótesis!$D$95/12</f>
        <v>0</v>
      </c>
      <c r="CA91" s="100" t="n">
        <f aca="false">CA89*Hipótesis!$D$95/12</f>
        <v>0</v>
      </c>
      <c r="CB91" s="100" t="n">
        <f aca="false">CB89*Hipótesis!$D$95/12</f>
        <v>0</v>
      </c>
      <c r="CC91" s="100" t="n">
        <f aca="false">CC89*Hipótesis!$D$95/12</f>
        <v>0</v>
      </c>
      <c r="CD91" s="100" t="n">
        <f aca="false">CD89*Hipótesis!$D$95/12</f>
        <v>0</v>
      </c>
      <c r="CE91" s="100" t="n">
        <f aca="false">CE89*Hipótesis!$D$95/12</f>
        <v>0</v>
      </c>
      <c r="CF91" s="100" t="n">
        <f aca="false">CF89*Hipótesis!$D$95/12</f>
        <v>0</v>
      </c>
      <c r="CG91" s="100" t="n">
        <f aca="false">CG89*Hipótesis!$D$95/12</f>
        <v>0</v>
      </c>
      <c r="CH91" s="100" t="n">
        <f aca="false">CH89*Hipótesis!$D$95/12</f>
        <v>0</v>
      </c>
    </row>
    <row r="92" customFormat="false" ht="13.5" hidden="false" customHeight="true" outlineLevel="0" collapsed="false">
      <c r="A92" s="6" t="s">
        <v>565</v>
      </c>
      <c r="C92" s="100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00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00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00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00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00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00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00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00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00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00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00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00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00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00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00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00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00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00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00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00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00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00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00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00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00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00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00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00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00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00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00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00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00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00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00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00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00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00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00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00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00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00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00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00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00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00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00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00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00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00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00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00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00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00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00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00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00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00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00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00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00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00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00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00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00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00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00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00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00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00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00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00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00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00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00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00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00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00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00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00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00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00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00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6" t="s">
        <v>566</v>
      </c>
      <c r="C93" s="100" t="n">
        <f aca="false">IF(Hipótesis!$D$94&lt;=2,C92,MIN(C92,MAX(0,Hipótesis!$D$101*Hipótesis!$D$93-0)))</f>
        <v>0</v>
      </c>
      <c r="D93" s="100" t="n">
        <f aca="false">IF(Hipótesis!$D$94&lt;=2,D92,MIN(D92,MAX(0,Hipótesis!$D$101*Hipótesis!$D$93-C94)))</f>
        <v>0</v>
      </c>
      <c r="E93" s="100" t="n">
        <f aca="false">IF(Hipótesis!$D$94&lt;=2,E92,MIN(E92,MAX(0,Hipótesis!$D$101*Hipótesis!$D$93-D94)))</f>
        <v>0</v>
      </c>
      <c r="F93" s="100" t="n">
        <f aca="false">IF(Hipótesis!$D$94&lt;=2,F92,MIN(F92,MAX(0,Hipótesis!$D$101*Hipótesis!$D$93-E94)))</f>
        <v>0</v>
      </c>
      <c r="G93" s="100" t="n">
        <f aca="false">IF(Hipótesis!$D$94&lt;=2,G92,MIN(G92,MAX(0,Hipótesis!$D$101*Hipótesis!$D$93-F94)))</f>
        <v>0</v>
      </c>
      <c r="H93" s="100" t="n">
        <f aca="false">IF(Hipótesis!$D$94&lt;=2,H92,MIN(H92,MAX(0,Hipótesis!$D$101*Hipótesis!$D$93-G94)))</f>
        <v>0</v>
      </c>
      <c r="I93" s="100" t="n">
        <f aca="false">IF(Hipótesis!$D$94&lt;=2,I92,MIN(I92,MAX(0,Hipótesis!$D$101*Hipótesis!$D$93-H94)))</f>
        <v>0</v>
      </c>
      <c r="J93" s="100" t="n">
        <f aca="false">IF(Hipótesis!$D$94&lt;=2,J92,MIN(J92,MAX(0,Hipótesis!$D$101*Hipótesis!$D$93-I94)))</f>
        <v>0</v>
      </c>
      <c r="K93" s="100" t="n">
        <f aca="false">IF(Hipótesis!$D$94&lt;=2,K92,MIN(K92,MAX(0,Hipótesis!$D$101*Hipótesis!$D$93-J94)))</f>
        <v>0</v>
      </c>
      <c r="L93" s="100" t="n">
        <f aca="false">IF(Hipótesis!$D$94&lt;=2,L92,MIN(L92,MAX(0,Hipótesis!$D$101*Hipótesis!$D$93-K94)))</f>
        <v>0</v>
      </c>
      <c r="M93" s="100" t="n">
        <f aca="false">IF(Hipótesis!$D$94&lt;=2,M92,MIN(M92,MAX(0,Hipótesis!$D$101*Hipótesis!$D$93-L94)))</f>
        <v>0</v>
      </c>
      <c r="N93" s="100" t="n">
        <f aca="false">IF(Hipótesis!$D$94&lt;=2,N92,MIN(N92,MAX(0,Hipótesis!$D$101*Hipótesis!$D$93-M94)))</f>
        <v>0</v>
      </c>
      <c r="O93" s="100" t="n">
        <f aca="false">IF(Hipótesis!$D$94&lt;=2,O92,MIN(O92,MAX(0,Hipótesis!$D$101*Hipótesis!$D$93-N94)))</f>
        <v>0</v>
      </c>
      <c r="P93" s="100" t="n">
        <f aca="false">IF(Hipótesis!$D$94&lt;=2,P92,MIN(P92,MAX(0,Hipótesis!$D$101*Hipótesis!$D$93-O94)))</f>
        <v>0</v>
      </c>
      <c r="Q93" s="100" t="n">
        <f aca="false">IF(Hipótesis!$D$94&lt;=2,Q92,MIN(Q92,MAX(0,Hipótesis!$D$101*Hipótesis!$D$93-P94)))</f>
        <v>0</v>
      </c>
      <c r="R93" s="100" t="n">
        <f aca="false">IF(Hipótesis!$D$94&lt;=2,R92,MIN(R92,MAX(0,Hipótesis!$D$101*Hipótesis!$D$93-Q94)))</f>
        <v>0</v>
      </c>
      <c r="S93" s="100" t="n">
        <f aca="false">IF(Hipótesis!$D$94&lt;=2,S92,MIN(S92,MAX(0,Hipótesis!$D$101*Hipótesis!$D$93-R94)))</f>
        <v>0</v>
      </c>
      <c r="T93" s="100" t="n">
        <f aca="false">IF(Hipótesis!$D$94&lt;=2,T92,MIN(T92,MAX(0,Hipótesis!$D$101*Hipótesis!$D$93-S94)))</f>
        <v>0</v>
      </c>
      <c r="U93" s="100" t="n">
        <f aca="false">IF(Hipótesis!$D$94&lt;=2,U92,MIN(U92,MAX(0,Hipótesis!$D$101*Hipótesis!$D$93-T94)))</f>
        <v>0</v>
      </c>
      <c r="V93" s="100" t="n">
        <f aca="false">IF(Hipótesis!$D$94&lt;=2,V92,MIN(V92,MAX(0,Hipótesis!$D$101*Hipótesis!$D$93-U94)))</f>
        <v>0</v>
      </c>
      <c r="W93" s="100" t="n">
        <f aca="false">IF(Hipótesis!$D$94&lt;=2,W92,MIN(W92,MAX(0,Hipótesis!$D$101*Hipótesis!$D$93-V94)))</f>
        <v>0</v>
      </c>
      <c r="X93" s="100" t="n">
        <f aca="false">IF(Hipótesis!$D$94&lt;=2,X92,MIN(X92,MAX(0,Hipótesis!$D$101*Hipótesis!$D$93-W94)))</f>
        <v>0</v>
      </c>
      <c r="Y93" s="100" t="n">
        <f aca="false">IF(Hipótesis!$D$94&lt;=2,Y92,MIN(Y92,MAX(0,Hipótesis!$D$101*Hipótesis!$D$93-X94)))</f>
        <v>0</v>
      </c>
      <c r="Z93" s="100" t="n">
        <f aca="false">IF(Hipótesis!$D$94&lt;=2,Z92,MIN(Z92,MAX(0,Hipótesis!$D$101*Hipótesis!$D$93-Y94)))</f>
        <v>0</v>
      </c>
      <c r="AA93" s="100" t="n">
        <f aca="false">IF(Hipótesis!$D$94&lt;=2,AA92,MIN(AA92,MAX(0,Hipótesis!$D$101*Hipótesis!$D$93-Z94)))</f>
        <v>0</v>
      </c>
      <c r="AB93" s="100" t="n">
        <f aca="false">IF(Hipótesis!$D$94&lt;=2,AB92,MIN(AB92,MAX(0,Hipótesis!$D$101*Hipótesis!$D$93-AA94)))</f>
        <v>0</v>
      </c>
      <c r="AC93" s="100" t="n">
        <f aca="false">IF(Hipótesis!$D$94&lt;=2,AC92,MIN(AC92,MAX(0,Hipótesis!$D$101*Hipótesis!$D$93-AB94)))</f>
        <v>0</v>
      </c>
      <c r="AD93" s="100" t="n">
        <f aca="false">IF(Hipótesis!$D$94&lt;=2,AD92,MIN(AD92,MAX(0,Hipótesis!$D$101*Hipótesis!$D$93-AC94)))</f>
        <v>0</v>
      </c>
      <c r="AE93" s="100" t="n">
        <f aca="false">IF(Hipótesis!$D$94&lt;=2,AE92,MIN(AE92,MAX(0,Hipótesis!$D$101*Hipótesis!$D$93-AD94)))</f>
        <v>0</v>
      </c>
      <c r="AF93" s="100" t="n">
        <f aca="false">IF(Hipótesis!$D$94&lt;=2,AF92,MIN(AF92,MAX(0,Hipótesis!$D$101*Hipótesis!$D$93-AE94)))</f>
        <v>0</v>
      </c>
      <c r="AG93" s="100" t="n">
        <f aca="false">IF(Hipótesis!$D$94&lt;=2,AG92,MIN(AG92,MAX(0,Hipótesis!$D$101*Hipótesis!$D$93-AF94)))</f>
        <v>0</v>
      </c>
      <c r="AH93" s="100" t="n">
        <f aca="false">IF(Hipótesis!$D$94&lt;=2,AH92,MIN(AH92,MAX(0,Hipótesis!$D$101*Hipótesis!$D$93-AG94)))</f>
        <v>0</v>
      </c>
      <c r="AI93" s="100" t="n">
        <f aca="false">IF(Hipótesis!$D$94&lt;=2,AI92,MIN(AI92,MAX(0,Hipótesis!$D$101*Hipótesis!$D$93-AH94)))</f>
        <v>0</v>
      </c>
      <c r="AJ93" s="100" t="n">
        <f aca="false">IF(Hipótesis!$D$94&lt;=2,AJ92,MIN(AJ92,MAX(0,Hipótesis!$D$101*Hipótesis!$D$93-AI94)))</f>
        <v>0</v>
      </c>
      <c r="AK93" s="100" t="n">
        <f aca="false">IF(Hipótesis!$D$94&lt;=2,AK92,MIN(AK92,MAX(0,Hipótesis!$D$101*Hipótesis!$D$93-AJ94)))</f>
        <v>0</v>
      </c>
      <c r="AL93" s="100" t="n">
        <f aca="false">IF(Hipótesis!$D$94&lt;=2,AL92,MIN(AL92,MAX(0,Hipótesis!$D$101*Hipótesis!$D$93-AK94)))</f>
        <v>0</v>
      </c>
      <c r="AM93" s="100" t="n">
        <f aca="false">IF(Hipótesis!$D$94&lt;=2,AM92,MIN(AM92,MAX(0,Hipótesis!$D$101*Hipótesis!$D$93-AL94)))</f>
        <v>0</v>
      </c>
      <c r="AN93" s="100" t="n">
        <f aca="false">IF(Hipótesis!$D$94&lt;=2,AN92,MIN(AN92,MAX(0,Hipótesis!$D$101*Hipótesis!$D$93-AM94)))</f>
        <v>0</v>
      </c>
      <c r="AO93" s="100" t="n">
        <f aca="false">IF(Hipótesis!$D$94&lt;=2,AO92,MIN(AO92,MAX(0,Hipótesis!$D$101*Hipótesis!$D$93-AN94)))</f>
        <v>0</v>
      </c>
      <c r="AP93" s="100" t="n">
        <f aca="false">IF(Hipótesis!$D$94&lt;=2,AP92,MIN(AP92,MAX(0,Hipótesis!$D$101*Hipótesis!$D$93-AO94)))</f>
        <v>0</v>
      </c>
      <c r="AQ93" s="100" t="n">
        <f aca="false">IF(Hipótesis!$D$94&lt;=2,AQ92,MIN(AQ92,MAX(0,Hipótesis!$D$101*Hipótesis!$D$93-AP94)))</f>
        <v>0</v>
      </c>
      <c r="AR93" s="100" t="n">
        <f aca="false">IF(Hipótesis!$D$94&lt;=2,AR92,MIN(AR92,MAX(0,Hipótesis!$D$101*Hipótesis!$D$93-AQ94)))</f>
        <v>0</v>
      </c>
      <c r="AS93" s="100" t="n">
        <f aca="false">IF(Hipótesis!$D$94&lt;=2,AS92,MIN(AS92,MAX(0,Hipótesis!$D$101*Hipótesis!$D$93-AR94)))</f>
        <v>0</v>
      </c>
      <c r="AT93" s="100" t="n">
        <f aca="false">IF(Hipótesis!$D$94&lt;=2,AT92,MIN(AT92,MAX(0,Hipótesis!$D$101*Hipótesis!$D$93-AS94)))</f>
        <v>0</v>
      </c>
      <c r="AU93" s="100" t="n">
        <f aca="false">IF(Hipótesis!$D$94&lt;=2,AU92,MIN(AU92,MAX(0,Hipótesis!$D$101*Hipótesis!$D$93-AT94)))</f>
        <v>0</v>
      </c>
      <c r="AV93" s="100" t="n">
        <f aca="false">IF(Hipótesis!$D$94&lt;=2,AV92,MIN(AV92,MAX(0,Hipótesis!$D$101*Hipótesis!$D$93-AU94)))</f>
        <v>0</v>
      </c>
      <c r="AW93" s="100" t="n">
        <f aca="false">IF(Hipótesis!$D$94&lt;=2,AW92,MIN(AW92,MAX(0,Hipótesis!$D$101*Hipótesis!$D$93-AV94)))</f>
        <v>0</v>
      </c>
      <c r="AX93" s="100" t="n">
        <f aca="false">IF(Hipótesis!$D$94&lt;=2,AX92,MIN(AX92,MAX(0,Hipótesis!$D$101*Hipótesis!$D$93-AW94)))</f>
        <v>0</v>
      </c>
      <c r="AY93" s="100" t="n">
        <f aca="false">IF(Hipótesis!$D$94&lt;=2,AY92,MIN(AY92,MAX(0,Hipótesis!$D$101*Hipótesis!$D$93-AX94)))</f>
        <v>0</v>
      </c>
      <c r="AZ93" s="100" t="n">
        <f aca="false">IF(Hipótesis!$D$94&lt;=2,AZ92,MIN(AZ92,MAX(0,Hipótesis!$D$101*Hipótesis!$D$93-AY94)))</f>
        <v>0</v>
      </c>
      <c r="BA93" s="100" t="n">
        <f aca="false">IF(Hipótesis!$D$94&lt;=2,BA92,MIN(BA92,MAX(0,Hipótesis!$D$101*Hipótesis!$D$93-AZ94)))</f>
        <v>0</v>
      </c>
      <c r="BB93" s="100" t="n">
        <f aca="false">IF(Hipótesis!$D$94&lt;=2,BB92,MIN(BB92,MAX(0,Hipótesis!$D$101*Hipótesis!$D$93-BA94)))</f>
        <v>0</v>
      </c>
      <c r="BC93" s="100" t="n">
        <f aca="false">IF(Hipótesis!$D$94&lt;=2,BC92,MIN(BC92,MAX(0,Hipótesis!$D$101*Hipótesis!$D$93-BB94)))</f>
        <v>0</v>
      </c>
      <c r="BD93" s="100" t="n">
        <f aca="false">IF(Hipótesis!$D$94&lt;=2,BD92,MIN(BD92,MAX(0,Hipótesis!$D$101*Hipótesis!$D$93-BC94)))</f>
        <v>0</v>
      </c>
      <c r="BE93" s="100" t="n">
        <f aca="false">IF(Hipótesis!$D$94&lt;=2,BE92,MIN(BE92,MAX(0,Hipótesis!$D$101*Hipótesis!$D$93-BD94)))</f>
        <v>0</v>
      </c>
      <c r="BF93" s="100" t="n">
        <f aca="false">IF(Hipótesis!$D$94&lt;=2,BF92,MIN(BF92,MAX(0,Hipótesis!$D$101*Hipótesis!$D$93-BE94)))</f>
        <v>0</v>
      </c>
      <c r="BG93" s="100" t="n">
        <f aca="false">IF(Hipótesis!$D$94&lt;=2,BG92,MIN(BG92,MAX(0,Hipótesis!$D$101*Hipótesis!$D$93-BF94)))</f>
        <v>0</v>
      </c>
      <c r="BH93" s="100" t="n">
        <f aca="false">IF(Hipótesis!$D$94&lt;=2,BH92,MIN(BH92,MAX(0,Hipótesis!$D$101*Hipótesis!$D$93-BG94)))</f>
        <v>0</v>
      </c>
      <c r="BI93" s="100" t="n">
        <f aca="false">IF(Hipótesis!$D$94&lt;=2,BI92,MIN(BI92,MAX(0,Hipótesis!$D$101*Hipótesis!$D$93-BH94)))</f>
        <v>0</v>
      </c>
      <c r="BJ93" s="100" t="n">
        <f aca="false">IF(Hipótesis!$D$94&lt;=2,BJ92,MIN(BJ92,MAX(0,Hipótesis!$D$101*Hipótesis!$D$93-BI94)))</f>
        <v>0</v>
      </c>
      <c r="BK93" s="100" t="n">
        <f aca="false">IF(Hipótesis!$D$94&lt;=2,BK92,MIN(BK92,MAX(0,Hipótesis!$D$101*Hipótesis!$D$93-BJ94)))</f>
        <v>0</v>
      </c>
      <c r="BL93" s="100" t="n">
        <f aca="false">IF(Hipótesis!$D$94&lt;=2,BL92,MIN(BL92,MAX(0,Hipótesis!$D$101*Hipótesis!$D$93-BK94)))</f>
        <v>0</v>
      </c>
      <c r="BM93" s="100" t="n">
        <f aca="false">IF(Hipótesis!$D$94&lt;=2,BM92,MIN(BM92,MAX(0,Hipótesis!$D$101*Hipótesis!$D$93-BL94)))</f>
        <v>0</v>
      </c>
      <c r="BN93" s="100" t="n">
        <f aca="false">IF(Hipótesis!$D$94&lt;=2,BN92,MIN(BN92,MAX(0,Hipótesis!$D$101*Hipótesis!$D$93-BM94)))</f>
        <v>0</v>
      </c>
      <c r="BO93" s="100" t="n">
        <f aca="false">IF(Hipótesis!$D$94&lt;=2,BO92,MIN(BO92,MAX(0,Hipótesis!$D$101*Hipótesis!$D$93-BN94)))</f>
        <v>0</v>
      </c>
      <c r="BP93" s="100" t="n">
        <f aca="false">IF(Hipótesis!$D$94&lt;=2,BP92,MIN(BP92,MAX(0,Hipótesis!$D$101*Hipótesis!$D$93-BO94)))</f>
        <v>0</v>
      </c>
      <c r="BQ93" s="100" t="n">
        <f aca="false">IF(Hipótesis!$D$94&lt;=2,BQ92,MIN(BQ92,MAX(0,Hipótesis!$D$101*Hipótesis!$D$93-BP94)))</f>
        <v>0</v>
      </c>
      <c r="BR93" s="100" t="n">
        <f aca="false">IF(Hipótesis!$D$94&lt;=2,BR92,MIN(BR92,MAX(0,Hipótesis!$D$101*Hipótesis!$D$93-BQ94)))</f>
        <v>0</v>
      </c>
      <c r="BS93" s="100" t="n">
        <f aca="false">IF(Hipótesis!$D$94&lt;=2,BS92,MIN(BS92,MAX(0,Hipótesis!$D$101*Hipótesis!$D$93-BR94)))</f>
        <v>0</v>
      </c>
      <c r="BT93" s="100" t="n">
        <f aca="false">IF(Hipótesis!$D$94&lt;=2,BT92,MIN(BT92,MAX(0,Hipótesis!$D$101*Hipótesis!$D$93-BS94)))</f>
        <v>0</v>
      </c>
      <c r="BU93" s="100" t="n">
        <f aca="false">IF(Hipótesis!$D$94&lt;=2,BU92,MIN(BU92,MAX(0,Hipótesis!$D$101*Hipótesis!$D$93-BT94)))</f>
        <v>0</v>
      </c>
      <c r="BV93" s="100" t="n">
        <f aca="false">IF(Hipótesis!$D$94&lt;=2,BV92,MIN(BV92,MAX(0,Hipótesis!$D$101*Hipótesis!$D$93-BU94)))</f>
        <v>0</v>
      </c>
      <c r="BW93" s="100" t="n">
        <f aca="false">IF(Hipótesis!$D$94&lt;=2,BW92,MIN(BW92,MAX(0,Hipótesis!$D$101*Hipótesis!$D$93-BV94)))</f>
        <v>0</v>
      </c>
      <c r="BX93" s="100" t="n">
        <f aca="false">IF(Hipótesis!$D$94&lt;=2,BX92,MIN(BX92,MAX(0,Hipótesis!$D$101*Hipótesis!$D$93-BW94)))</f>
        <v>0</v>
      </c>
      <c r="BY93" s="100" t="n">
        <f aca="false">IF(Hipótesis!$D$94&lt;=2,BY92,MIN(BY92,MAX(0,Hipótesis!$D$101*Hipótesis!$D$93-BX94)))</f>
        <v>0</v>
      </c>
      <c r="BZ93" s="100" t="n">
        <f aca="false">IF(Hipótesis!$D$94&lt;=2,BZ92,MIN(BZ92,MAX(0,Hipótesis!$D$101*Hipótesis!$D$93-BY94)))</f>
        <v>0</v>
      </c>
      <c r="CA93" s="100" t="n">
        <f aca="false">IF(Hipótesis!$D$94&lt;=2,CA92,MIN(CA92,MAX(0,Hipótesis!$D$101*Hipótesis!$D$93-BZ94)))</f>
        <v>0</v>
      </c>
      <c r="CB93" s="100" t="n">
        <f aca="false">IF(Hipótesis!$D$94&lt;=2,CB92,MIN(CB92,MAX(0,Hipótesis!$D$101*Hipótesis!$D$93-CA94)))</f>
        <v>0</v>
      </c>
      <c r="CC93" s="100" t="n">
        <f aca="false">IF(Hipótesis!$D$94&lt;=2,CC92,MIN(CC92,MAX(0,Hipótesis!$D$101*Hipótesis!$D$93-CB94)))</f>
        <v>0</v>
      </c>
      <c r="CD93" s="100" t="n">
        <f aca="false">IF(Hipótesis!$D$94&lt;=2,CD92,MIN(CD92,MAX(0,Hipótesis!$D$101*Hipótesis!$D$93-CC94)))</f>
        <v>0</v>
      </c>
      <c r="CE93" s="100" t="n">
        <f aca="false">IF(Hipótesis!$D$94&lt;=2,CE92,MIN(CE92,MAX(0,Hipótesis!$D$101*Hipótesis!$D$93-CD94)))</f>
        <v>0</v>
      </c>
      <c r="CF93" s="100" t="n">
        <f aca="false">IF(Hipótesis!$D$94&lt;=2,CF92,MIN(CF92,MAX(0,Hipótesis!$D$101*Hipótesis!$D$93-CE94)))</f>
        <v>0</v>
      </c>
      <c r="CG93" s="100" t="n">
        <f aca="false">IF(Hipótesis!$D$94&lt;=2,CG92,MIN(CG92,MAX(0,Hipótesis!$D$101*Hipótesis!$D$93-CF94)))</f>
        <v>0</v>
      </c>
      <c r="CH93" s="100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6" t="s">
        <v>567</v>
      </c>
      <c r="C94" s="100" t="n">
        <f aca="false">C121</f>
        <v>0</v>
      </c>
      <c r="D94" s="100" t="n">
        <f aca="false">C94+D121</f>
        <v>0</v>
      </c>
      <c r="E94" s="100" t="n">
        <f aca="false">D94+E121</f>
        <v>0</v>
      </c>
      <c r="F94" s="100" t="n">
        <f aca="false">E94+F121</f>
        <v>0</v>
      </c>
      <c r="G94" s="100" t="n">
        <f aca="false">F94+G121</f>
        <v>0</v>
      </c>
      <c r="H94" s="100" t="n">
        <f aca="false">G94+H121</f>
        <v>0</v>
      </c>
      <c r="I94" s="100" t="n">
        <f aca="false">H94+I121</f>
        <v>0</v>
      </c>
      <c r="J94" s="100" t="n">
        <f aca="false">I94+J121</f>
        <v>0</v>
      </c>
      <c r="K94" s="100" t="n">
        <f aca="false">J94+K121</f>
        <v>0</v>
      </c>
      <c r="L94" s="100" t="n">
        <f aca="false">K94+L121</f>
        <v>0</v>
      </c>
      <c r="M94" s="100" t="n">
        <f aca="false">L94+M121</f>
        <v>0</v>
      </c>
      <c r="N94" s="100" t="n">
        <f aca="false">M94+N121</f>
        <v>0</v>
      </c>
      <c r="O94" s="100" t="n">
        <f aca="false">N94+O121</f>
        <v>0</v>
      </c>
      <c r="P94" s="100" t="n">
        <f aca="false">O94+P121</f>
        <v>0</v>
      </c>
      <c r="Q94" s="100" t="n">
        <f aca="false">P94+Q121</f>
        <v>0</v>
      </c>
      <c r="R94" s="100" t="n">
        <f aca="false">Q94+R121</f>
        <v>0</v>
      </c>
      <c r="S94" s="100" t="n">
        <f aca="false">R94+S121</f>
        <v>0</v>
      </c>
      <c r="T94" s="100" t="n">
        <f aca="false">S94+T121</f>
        <v>0</v>
      </c>
      <c r="U94" s="100" t="n">
        <f aca="false">T94+U121</f>
        <v>0</v>
      </c>
      <c r="V94" s="100" t="n">
        <f aca="false">U94+V121</f>
        <v>0</v>
      </c>
      <c r="W94" s="100" t="n">
        <f aca="false">V94+W121</f>
        <v>0</v>
      </c>
      <c r="X94" s="100" t="n">
        <f aca="false">W94+X121</f>
        <v>0</v>
      </c>
      <c r="Y94" s="100" t="n">
        <f aca="false">X94+Y121</f>
        <v>0</v>
      </c>
      <c r="Z94" s="100" t="n">
        <f aca="false">Y94+Z121</f>
        <v>0</v>
      </c>
      <c r="AA94" s="100" t="n">
        <f aca="false">Z94+AA121</f>
        <v>0</v>
      </c>
      <c r="AB94" s="100" t="n">
        <f aca="false">AA94+AB121</f>
        <v>0</v>
      </c>
      <c r="AC94" s="100" t="n">
        <f aca="false">AB94+AC121</f>
        <v>0</v>
      </c>
      <c r="AD94" s="100" t="n">
        <f aca="false">AC94+AD121</f>
        <v>0</v>
      </c>
      <c r="AE94" s="100" t="n">
        <f aca="false">AD94+AE121</f>
        <v>0</v>
      </c>
      <c r="AF94" s="100" t="n">
        <f aca="false">AE94+AF121</f>
        <v>0</v>
      </c>
      <c r="AG94" s="100" t="n">
        <f aca="false">AF94+AG121</f>
        <v>0</v>
      </c>
      <c r="AH94" s="100" t="n">
        <f aca="false">AG94+AH121</f>
        <v>0</v>
      </c>
      <c r="AI94" s="100" t="n">
        <f aca="false">AH94+AI121</f>
        <v>0</v>
      </c>
      <c r="AJ94" s="100" t="n">
        <f aca="false">AI94+AJ121</f>
        <v>0</v>
      </c>
      <c r="AK94" s="100" t="n">
        <f aca="false">AJ94+AK121</f>
        <v>0</v>
      </c>
      <c r="AL94" s="100" t="n">
        <f aca="false">AK94+AL121</f>
        <v>0</v>
      </c>
      <c r="AM94" s="100" t="n">
        <f aca="false">AL94+AM121</f>
        <v>0</v>
      </c>
      <c r="AN94" s="100" t="n">
        <f aca="false">AM94+AN121</f>
        <v>0</v>
      </c>
      <c r="AO94" s="100" t="n">
        <f aca="false">AN94+AO121</f>
        <v>0</v>
      </c>
      <c r="AP94" s="100" t="n">
        <f aca="false">AO94+AP121</f>
        <v>0</v>
      </c>
      <c r="AQ94" s="100" t="n">
        <f aca="false">AP94+AQ121</f>
        <v>0</v>
      </c>
      <c r="AR94" s="100" t="n">
        <f aca="false">AQ94+AR121</f>
        <v>0</v>
      </c>
      <c r="AS94" s="100" t="n">
        <f aca="false">AR94+AS121</f>
        <v>0</v>
      </c>
      <c r="AT94" s="100" t="n">
        <f aca="false">AS94+AT121</f>
        <v>0</v>
      </c>
      <c r="AU94" s="100" t="n">
        <f aca="false">AT94+AU121</f>
        <v>0</v>
      </c>
      <c r="AV94" s="100" t="n">
        <f aca="false">AU94+AV121</f>
        <v>0</v>
      </c>
      <c r="AW94" s="100" t="n">
        <f aca="false">AV94+AW121</f>
        <v>0</v>
      </c>
      <c r="AX94" s="100" t="n">
        <f aca="false">AW94+AX121</f>
        <v>332927.320084782</v>
      </c>
      <c r="AY94" s="100" t="n">
        <f aca="false">AX94+AY121</f>
        <v>332927.320084782</v>
      </c>
      <c r="AZ94" s="100" t="n">
        <f aca="false">AY94+AZ121</f>
        <v>332927.320084782</v>
      </c>
      <c r="BA94" s="100" t="n">
        <f aca="false">AZ94+BA121</f>
        <v>332927.320084782</v>
      </c>
      <c r="BB94" s="100" t="n">
        <f aca="false">BA94+BB121</f>
        <v>332927.320084782</v>
      </c>
      <c r="BC94" s="100" t="n">
        <f aca="false">BB94+BC121</f>
        <v>332927.320084782</v>
      </c>
      <c r="BD94" s="100" t="n">
        <f aca="false">BC94+BD121</f>
        <v>332927.320084782</v>
      </c>
      <c r="BE94" s="100" t="n">
        <f aca="false">BD94+BE121</f>
        <v>332927.320084782</v>
      </c>
      <c r="BF94" s="100" t="n">
        <f aca="false">BE94+BF121</f>
        <v>332927.320084782</v>
      </c>
      <c r="BG94" s="100" t="n">
        <f aca="false">BF94+BG121</f>
        <v>332927.320084782</v>
      </c>
      <c r="BH94" s="100" t="n">
        <f aca="false">BG94+BH121</f>
        <v>332927.320084782</v>
      </c>
      <c r="BI94" s="100" t="n">
        <f aca="false">BH94+BI121</f>
        <v>332927.320084782</v>
      </c>
      <c r="BJ94" s="100" t="n">
        <f aca="false">BI94+BJ121</f>
        <v>332927.320084782</v>
      </c>
      <c r="BK94" s="100" t="n">
        <f aca="false">BJ94+BK121</f>
        <v>332927.320084782</v>
      </c>
      <c r="BL94" s="100" t="n">
        <f aca="false">BK94+BL121</f>
        <v>332927.320084782</v>
      </c>
      <c r="BM94" s="100" t="n">
        <f aca="false">BL94+BM121</f>
        <v>332927.320084782</v>
      </c>
      <c r="BN94" s="100" t="n">
        <f aca="false">BM94+BN121</f>
        <v>332927.320084782</v>
      </c>
      <c r="BO94" s="100" t="n">
        <f aca="false">BN94+BO121</f>
        <v>332927.320084782</v>
      </c>
      <c r="BP94" s="100" t="n">
        <f aca="false">BO94+BP121</f>
        <v>332927.320084782</v>
      </c>
      <c r="BQ94" s="100" t="n">
        <f aca="false">BP94+BQ121</f>
        <v>332927.320084782</v>
      </c>
      <c r="BR94" s="100" t="n">
        <f aca="false">BQ94+BR121</f>
        <v>332927.320084782</v>
      </c>
      <c r="BS94" s="100" t="n">
        <f aca="false">BR94+BS121</f>
        <v>332927.320084782</v>
      </c>
      <c r="BT94" s="100" t="n">
        <f aca="false">BS94+BT121</f>
        <v>332927.320084782</v>
      </c>
      <c r="BU94" s="100" t="n">
        <f aca="false">BT94+BU121</f>
        <v>332927.320084782</v>
      </c>
      <c r="BV94" s="100" t="n">
        <f aca="false">BU94+BV121</f>
        <v>332927.320084782</v>
      </c>
      <c r="BW94" s="100" t="n">
        <f aca="false">BV94+BW121</f>
        <v>332927.320084782</v>
      </c>
      <c r="BX94" s="100" t="n">
        <f aca="false">BW94+BX121</f>
        <v>332927.320084782</v>
      </c>
      <c r="BY94" s="100" t="n">
        <f aca="false">BX94+BY121</f>
        <v>332927.320084782</v>
      </c>
      <c r="BZ94" s="100" t="n">
        <f aca="false">BY94+BZ121</f>
        <v>332927.320084782</v>
      </c>
      <c r="CA94" s="100" t="n">
        <f aca="false">BZ94+CA121</f>
        <v>332927.320084782</v>
      </c>
      <c r="CB94" s="100" t="n">
        <f aca="false">CA94+CB121</f>
        <v>332927.320084782</v>
      </c>
      <c r="CC94" s="100" t="n">
        <f aca="false">CB94+CC121</f>
        <v>332927.320084782</v>
      </c>
      <c r="CD94" s="100" t="n">
        <f aca="false">CC94+CD121</f>
        <v>332927.320084782</v>
      </c>
      <c r="CE94" s="100" t="n">
        <f aca="false">CD94+CE121</f>
        <v>332927.320084782</v>
      </c>
      <c r="CF94" s="100" t="n">
        <f aca="false">CE94+CF121</f>
        <v>332927.320084782</v>
      </c>
      <c r="CG94" s="100" t="n">
        <f aca="false">CF94+CG121</f>
        <v>332927.320084782</v>
      </c>
      <c r="CH94" s="100" t="n">
        <f aca="false">CG94+CH121</f>
        <v>332927.320084782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6" t="s">
        <v>568</v>
      </c>
      <c r="C96" s="100" t="n">
        <f aca="false">Hipótesis!$D$105</f>
        <v>100000</v>
      </c>
      <c r="D96" s="100" t="n">
        <f aca="false">C96-C97</f>
        <v>100000</v>
      </c>
      <c r="E96" s="100" t="n">
        <f aca="false">D96-D97</f>
        <v>100000</v>
      </c>
      <c r="F96" s="100" t="n">
        <f aca="false">E96-E97</f>
        <v>100000</v>
      </c>
      <c r="G96" s="100" t="n">
        <f aca="false">F96-F97</f>
        <v>100000</v>
      </c>
      <c r="H96" s="100" t="n">
        <f aca="false">G96-G97</f>
        <v>100000</v>
      </c>
      <c r="I96" s="100" t="n">
        <f aca="false">H96-H97</f>
        <v>100000</v>
      </c>
      <c r="J96" s="100" t="n">
        <f aca="false">I96-I97</f>
        <v>100000</v>
      </c>
      <c r="K96" s="100" t="n">
        <f aca="false">J96-J97</f>
        <v>100000</v>
      </c>
      <c r="L96" s="100" t="n">
        <f aca="false">K96-K97</f>
        <v>100000</v>
      </c>
      <c r="M96" s="100" t="n">
        <f aca="false">L96-L97</f>
        <v>100000</v>
      </c>
      <c r="N96" s="100" t="n">
        <f aca="false">M96-M97</f>
        <v>100000</v>
      </c>
      <c r="O96" s="100" t="n">
        <f aca="false">N96-N97</f>
        <v>100000</v>
      </c>
      <c r="P96" s="100" t="n">
        <f aca="false">O96-O97</f>
        <v>100000</v>
      </c>
      <c r="Q96" s="100" t="n">
        <f aca="false">P96-P97</f>
        <v>100000</v>
      </c>
      <c r="R96" s="100" t="n">
        <f aca="false">Q96-Q97</f>
        <v>100000</v>
      </c>
      <c r="S96" s="100" t="n">
        <f aca="false">R96-R97</f>
        <v>100000</v>
      </c>
      <c r="T96" s="100" t="n">
        <f aca="false">S96-S97</f>
        <v>100000</v>
      </c>
      <c r="U96" s="100" t="n">
        <f aca="false">T96-T97</f>
        <v>100000</v>
      </c>
      <c r="V96" s="100" t="n">
        <f aca="false">U96-U97</f>
        <v>100000</v>
      </c>
      <c r="W96" s="100" t="n">
        <f aca="false">V96-V97</f>
        <v>100000</v>
      </c>
      <c r="X96" s="100" t="n">
        <f aca="false">W96-W97</f>
        <v>100000</v>
      </c>
      <c r="Y96" s="100" t="n">
        <f aca="false">X96-X97</f>
        <v>100000</v>
      </c>
      <c r="Z96" s="100" t="n">
        <f aca="false">Y96-Y97</f>
        <v>100000</v>
      </c>
      <c r="AA96" s="100" t="n">
        <f aca="false">Z96-Z97</f>
        <v>100000</v>
      </c>
      <c r="AB96" s="100" t="n">
        <f aca="false">AA96-AA97</f>
        <v>98333.3333333333</v>
      </c>
      <c r="AC96" s="100" t="n">
        <f aca="false">AB96-AB97</f>
        <v>96666.6666666667</v>
      </c>
      <c r="AD96" s="100" t="n">
        <f aca="false">AC96-AC97</f>
        <v>95000</v>
      </c>
      <c r="AE96" s="100" t="n">
        <f aca="false">AD96-AD97</f>
        <v>93333.3333333333</v>
      </c>
      <c r="AF96" s="100" t="n">
        <f aca="false">AE96-AE97</f>
        <v>91666.6666666666</v>
      </c>
      <c r="AG96" s="100" t="n">
        <f aca="false">AF96-AF97</f>
        <v>90000</v>
      </c>
      <c r="AH96" s="100" t="n">
        <f aca="false">AG96-AG97</f>
        <v>88333.3333333333</v>
      </c>
      <c r="AI96" s="100" t="n">
        <f aca="false">AH96-AH97</f>
        <v>86666.6666666666</v>
      </c>
      <c r="AJ96" s="100" t="n">
        <f aca="false">AI96-AI97</f>
        <v>85000</v>
      </c>
      <c r="AK96" s="100" t="n">
        <f aca="false">AJ96-AJ97</f>
        <v>83333.3333333333</v>
      </c>
      <c r="AL96" s="100" t="n">
        <f aca="false">AK96-AK97</f>
        <v>81666.6666666666</v>
      </c>
      <c r="AM96" s="100" t="n">
        <f aca="false">AL96-AL97</f>
        <v>79999.9999999999</v>
      </c>
      <c r="AN96" s="100" t="n">
        <f aca="false">AM96-AM97</f>
        <v>78333.3333333333</v>
      </c>
      <c r="AO96" s="100" t="n">
        <f aca="false">AN96-AN97</f>
        <v>76666.6666666666</v>
      </c>
      <c r="AP96" s="100" t="n">
        <f aca="false">AO96-AO97</f>
        <v>74999.9999999999</v>
      </c>
      <c r="AQ96" s="100" t="n">
        <f aca="false">AP96-AP97</f>
        <v>73333.3333333333</v>
      </c>
      <c r="AR96" s="100" t="n">
        <f aca="false">AQ96-AQ97</f>
        <v>71666.6666666666</v>
      </c>
      <c r="AS96" s="100" t="n">
        <f aca="false">AR96-AR97</f>
        <v>69999.9999999999</v>
      </c>
      <c r="AT96" s="100" t="n">
        <f aca="false">AS96-AS97</f>
        <v>68333.3333333332</v>
      </c>
      <c r="AU96" s="100" t="n">
        <f aca="false">AT96-AT97</f>
        <v>66666.6666666666</v>
      </c>
      <c r="AV96" s="100" t="n">
        <f aca="false">AU96-AU97</f>
        <v>64999.9999999999</v>
      </c>
      <c r="AW96" s="100" t="n">
        <f aca="false">AV96-AV97</f>
        <v>63333.3333333332</v>
      </c>
      <c r="AX96" s="100" t="n">
        <f aca="false">AW96-AW97</f>
        <v>61666.6666666666</v>
      </c>
      <c r="AY96" s="100" t="n">
        <f aca="false">AX96-AX97</f>
        <v>59999.9999999999</v>
      </c>
      <c r="AZ96" s="100" t="n">
        <f aca="false">AY96-AY97</f>
        <v>58333.3333333333</v>
      </c>
      <c r="BA96" s="100" t="n">
        <f aca="false">AZ96-AZ97</f>
        <v>56666.6666666666</v>
      </c>
      <c r="BB96" s="100" t="n">
        <f aca="false">BA96-BA97</f>
        <v>54999.9999999999</v>
      </c>
      <c r="BC96" s="100" t="n">
        <f aca="false">BB96-BB97</f>
        <v>53333.3333333333</v>
      </c>
      <c r="BD96" s="100" t="n">
        <f aca="false">BC96-BC97</f>
        <v>51666.6666666666</v>
      </c>
      <c r="BE96" s="100" t="n">
        <f aca="false">BD96-BD97</f>
        <v>49999.9999999999</v>
      </c>
      <c r="BF96" s="100" t="n">
        <f aca="false">BE96-BE97</f>
        <v>48333.3333333333</v>
      </c>
      <c r="BG96" s="100" t="n">
        <f aca="false">BF96-BF97</f>
        <v>46666.6666666666</v>
      </c>
      <c r="BH96" s="100" t="n">
        <f aca="false">BG96-BG97</f>
        <v>44999.9999999999</v>
      </c>
      <c r="BI96" s="100" t="n">
        <f aca="false">BH96-BH97</f>
        <v>43333.3333333333</v>
      </c>
      <c r="BJ96" s="100" t="n">
        <f aca="false">BI96-BI97</f>
        <v>41666.6666666666</v>
      </c>
      <c r="BK96" s="100" t="n">
        <f aca="false">BJ96-BJ97</f>
        <v>39999.9999999999</v>
      </c>
      <c r="BL96" s="100" t="n">
        <f aca="false">BK96-BK97</f>
        <v>38333.3333333333</v>
      </c>
      <c r="BM96" s="100" t="n">
        <f aca="false">BL96-BL97</f>
        <v>36666.6666666666</v>
      </c>
      <c r="BN96" s="100" t="n">
        <f aca="false">BM96-BM97</f>
        <v>35000</v>
      </c>
      <c r="BO96" s="100" t="n">
        <f aca="false">BN96-BN97</f>
        <v>33333.3333333333</v>
      </c>
      <c r="BP96" s="100" t="n">
        <f aca="false">BO96-BO97</f>
        <v>31666.6666666666</v>
      </c>
      <c r="BQ96" s="100" t="n">
        <f aca="false">BP96-BP97</f>
        <v>30000</v>
      </c>
      <c r="BR96" s="100" t="n">
        <f aca="false">BQ96-BQ97</f>
        <v>28333.3333333333</v>
      </c>
      <c r="BS96" s="100" t="n">
        <f aca="false">BR96-BR97</f>
        <v>26666.6666666666</v>
      </c>
      <c r="BT96" s="100" t="n">
        <f aca="false">BS96-BS97</f>
        <v>24999.9999999999</v>
      </c>
      <c r="BU96" s="100" t="n">
        <f aca="false">BT96-BT97</f>
        <v>23333.3333333333</v>
      </c>
      <c r="BV96" s="100" t="n">
        <f aca="false">BU96-BU97</f>
        <v>21666.6666666666</v>
      </c>
      <c r="BW96" s="100" t="n">
        <f aca="false">BV96-BV97</f>
        <v>19999.9999999999</v>
      </c>
      <c r="BX96" s="100" t="n">
        <f aca="false">BW96-BW97</f>
        <v>18333.3333333333</v>
      </c>
      <c r="BY96" s="100" t="n">
        <f aca="false">BX96-BX97</f>
        <v>16666.6666666666</v>
      </c>
      <c r="BZ96" s="100" t="n">
        <f aca="false">BY96-BY97</f>
        <v>14999.9999999999</v>
      </c>
      <c r="CA96" s="100" t="n">
        <f aca="false">BZ96-BZ97</f>
        <v>13333.3333333333</v>
      </c>
      <c r="CB96" s="100" t="n">
        <f aca="false">CA96-CA97</f>
        <v>11666.6666666666</v>
      </c>
      <c r="CC96" s="100" t="n">
        <f aca="false">CB96-CB97</f>
        <v>9999.99999999994</v>
      </c>
      <c r="CD96" s="100" t="n">
        <f aca="false">CC96-CC97</f>
        <v>8333.33333333328</v>
      </c>
      <c r="CE96" s="100" t="n">
        <f aca="false">CD96-CD97</f>
        <v>6666.66666666661</v>
      </c>
      <c r="CF96" s="100" t="n">
        <f aca="false">CE96-CE97</f>
        <v>4999.99999999994</v>
      </c>
      <c r="CG96" s="100" t="n">
        <f aca="false">CF96-CF97</f>
        <v>3333.33333333328</v>
      </c>
      <c r="CH96" s="100" t="n">
        <f aca="false">CG96-CG97</f>
        <v>1666.66666666661</v>
      </c>
    </row>
    <row r="97" customFormat="false" ht="13.5" hidden="false" customHeight="true" outlineLevel="0" collapsed="false">
      <c r="A97" s="6" t="s">
        <v>569</v>
      </c>
      <c r="C97" s="100" t="n">
        <f aca="false">IF(1&lt;=Hipótesis!$D$109,0,IF(C96&gt;0,MIN(C96,Hipótesis!$D$105/MAX(Hipótesis!$D$108-Hipótesis!$D$109,1)),0))</f>
        <v>0</v>
      </c>
      <c r="D97" s="100" t="n">
        <f aca="false">IF(2&lt;=Hipótesis!$D$109,0,IF(D96&gt;0,MIN(D96,Hipótesis!$D$105/MAX(Hipótesis!$D$108-Hipótesis!$D$109,1)),0))</f>
        <v>0</v>
      </c>
      <c r="E97" s="100" t="n">
        <f aca="false">IF(3&lt;=Hipótesis!$D$109,0,IF(E96&gt;0,MIN(E96,Hipótesis!$D$105/MAX(Hipótesis!$D$108-Hipótesis!$D$109,1)),0))</f>
        <v>0</v>
      </c>
      <c r="F97" s="100" t="n">
        <f aca="false">IF(4&lt;=Hipótesis!$D$109,0,IF(F96&gt;0,MIN(F96,Hipótesis!$D$105/MAX(Hipótesis!$D$108-Hipótesis!$D$109,1)),0))</f>
        <v>0</v>
      </c>
      <c r="G97" s="100" t="n">
        <f aca="false">IF(5&lt;=Hipótesis!$D$109,0,IF(G96&gt;0,MIN(G96,Hipótesis!$D$105/MAX(Hipótesis!$D$108-Hipótesis!$D$109,1)),0))</f>
        <v>0</v>
      </c>
      <c r="H97" s="100" t="n">
        <f aca="false">IF(6&lt;=Hipótesis!$D$109,0,IF(H96&gt;0,MIN(H96,Hipótesis!$D$105/MAX(Hipótesis!$D$108-Hipótesis!$D$109,1)),0))</f>
        <v>0</v>
      </c>
      <c r="I97" s="100" t="n">
        <f aca="false">IF(7&lt;=Hipótesis!$D$109,0,IF(I96&gt;0,MIN(I96,Hipótesis!$D$105/MAX(Hipótesis!$D$108-Hipótesis!$D$109,1)),0))</f>
        <v>0</v>
      </c>
      <c r="J97" s="100" t="n">
        <f aca="false">IF(8&lt;=Hipótesis!$D$109,0,IF(J96&gt;0,MIN(J96,Hipótesis!$D$105/MAX(Hipótesis!$D$108-Hipótesis!$D$109,1)),0))</f>
        <v>0</v>
      </c>
      <c r="K97" s="100" t="n">
        <f aca="false">IF(9&lt;=Hipótesis!$D$109,0,IF(K96&gt;0,MIN(K96,Hipótesis!$D$105/MAX(Hipótesis!$D$108-Hipótesis!$D$109,1)),0))</f>
        <v>0</v>
      </c>
      <c r="L97" s="100" t="n">
        <f aca="false">IF(10&lt;=Hipótesis!$D$109,0,IF(L96&gt;0,MIN(L96,Hipótesis!$D$105/MAX(Hipótesis!$D$108-Hipótesis!$D$109,1)),0))</f>
        <v>0</v>
      </c>
      <c r="M97" s="100" t="n">
        <f aca="false">IF(11&lt;=Hipótesis!$D$109,0,IF(M96&gt;0,MIN(M96,Hipótesis!$D$105/MAX(Hipótesis!$D$108-Hipótesis!$D$109,1)),0))</f>
        <v>0</v>
      </c>
      <c r="N97" s="100" t="n">
        <f aca="false">IF(12&lt;=Hipótesis!$D$109,0,IF(N96&gt;0,MIN(N96,Hipótesis!$D$105/MAX(Hipótesis!$D$108-Hipótesis!$D$109,1)),0))</f>
        <v>0</v>
      </c>
      <c r="O97" s="100" t="n">
        <f aca="false">IF(13&lt;=Hipótesis!$D$109,0,IF(O96&gt;0,MIN(O96,Hipótesis!$D$105/MAX(Hipótesis!$D$108-Hipótesis!$D$109,1)),0))</f>
        <v>0</v>
      </c>
      <c r="P97" s="100" t="n">
        <f aca="false">IF(14&lt;=Hipótesis!$D$109,0,IF(P96&gt;0,MIN(P96,Hipótesis!$D$105/MAX(Hipótesis!$D$108-Hipótesis!$D$109,1)),0))</f>
        <v>0</v>
      </c>
      <c r="Q97" s="100" t="n">
        <f aca="false">IF(15&lt;=Hipótesis!$D$109,0,IF(Q96&gt;0,MIN(Q96,Hipótesis!$D$105/MAX(Hipótesis!$D$108-Hipótesis!$D$109,1)),0))</f>
        <v>0</v>
      </c>
      <c r="R97" s="100" t="n">
        <f aca="false">IF(16&lt;=Hipótesis!$D$109,0,IF(R96&gt;0,MIN(R96,Hipótesis!$D$105/MAX(Hipótesis!$D$108-Hipótesis!$D$109,1)),0))</f>
        <v>0</v>
      </c>
      <c r="S97" s="100" t="n">
        <f aca="false">IF(17&lt;=Hipótesis!$D$109,0,IF(S96&gt;0,MIN(S96,Hipótesis!$D$105/MAX(Hipótesis!$D$108-Hipótesis!$D$109,1)),0))</f>
        <v>0</v>
      </c>
      <c r="T97" s="100" t="n">
        <f aca="false">IF(18&lt;=Hipótesis!$D$109,0,IF(T96&gt;0,MIN(T96,Hipótesis!$D$105/MAX(Hipótesis!$D$108-Hipótesis!$D$109,1)),0))</f>
        <v>0</v>
      </c>
      <c r="U97" s="100" t="n">
        <f aca="false">IF(19&lt;=Hipótesis!$D$109,0,IF(U96&gt;0,MIN(U96,Hipótesis!$D$105/MAX(Hipótesis!$D$108-Hipótesis!$D$109,1)),0))</f>
        <v>0</v>
      </c>
      <c r="V97" s="100" t="n">
        <f aca="false">IF(20&lt;=Hipótesis!$D$109,0,IF(V96&gt;0,MIN(V96,Hipótesis!$D$105/MAX(Hipótesis!$D$108-Hipótesis!$D$109,1)),0))</f>
        <v>0</v>
      </c>
      <c r="W97" s="100" t="n">
        <f aca="false">IF(21&lt;=Hipótesis!$D$109,0,IF(W96&gt;0,MIN(W96,Hipótesis!$D$105/MAX(Hipótesis!$D$108-Hipótesis!$D$109,1)),0))</f>
        <v>0</v>
      </c>
      <c r="X97" s="100" t="n">
        <f aca="false">IF(22&lt;=Hipótesis!$D$109,0,IF(X96&gt;0,MIN(X96,Hipótesis!$D$105/MAX(Hipótesis!$D$108-Hipótesis!$D$109,1)),0))</f>
        <v>0</v>
      </c>
      <c r="Y97" s="100" t="n">
        <f aca="false">IF(23&lt;=Hipótesis!$D$109,0,IF(Y96&gt;0,MIN(Y96,Hipótesis!$D$105/MAX(Hipótesis!$D$108-Hipótesis!$D$109,1)),0))</f>
        <v>0</v>
      </c>
      <c r="Z97" s="100" t="n">
        <f aca="false">IF(24&lt;=Hipótesis!$D$109,0,IF(Z96&gt;0,MIN(Z96,Hipótesis!$D$105/MAX(Hipótesis!$D$108-Hipótesis!$D$109,1)),0))</f>
        <v>0</v>
      </c>
      <c r="AA97" s="100" t="n">
        <f aca="false">IF(25&lt;=Hipótesis!$D$109,0,IF(AA96&gt;0,MIN(AA96,Hipótesis!$D$105/MAX(Hipótesis!$D$108-Hipótesis!$D$109,1)),0))</f>
        <v>1666.66666666667</v>
      </c>
      <c r="AB97" s="100" t="n">
        <f aca="false">IF(26&lt;=Hipótesis!$D$109,0,IF(AB96&gt;0,MIN(AB96,Hipótesis!$D$105/MAX(Hipótesis!$D$108-Hipótesis!$D$109,1)),0))</f>
        <v>1666.66666666667</v>
      </c>
      <c r="AC97" s="100" t="n">
        <f aca="false">IF(27&lt;=Hipótesis!$D$109,0,IF(AC96&gt;0,MIN(AC96,Hipótesis!$D$105/MAX(Hipótesis!$D$108-Hipótesis!$D$109,1)),0))</f>
        <v>1666.66666666667</v>
      </c>
      <c r="AD97" s="100" t="n">
        <f aca="false">IF(28&lt;=Hipótesis!$D$109,0,IF(AD96&gt;0,MIN(AD96,Hipótesis!$D$105/MAX(Hipótesis!$D$108-Hipótesis!$D$109,1)),0))</f>
        <v>1666.66666666667</v>
      </c>
      <c r="AE97" s="100" t="n">
        <f aca="false">IF(29&lt;=Hipótesis!$D$109,0,IF(AE96&gt;0,MIN(AE96,Hipótesis!$D$105/MAX(Hipótesis!$D$108-Hipótesis!$D$109,1)),0))</f>
        <v>1666.66666666667</v>
      </c>
      <c r="AF97" s="100" t="n">
        <f aca="false">IF(30&lt;=Hipótesis!$D$109,0,IF(AF96&gt;0,MIN(AF96,Hipótesis!$D$105/MAX(Hipótesis!$D$108-Hipótesis!$D$109,1)),0))</f>
        <v>1666.66666666667</v>
      </c>
      <c r="AG97" s="100" t="n">
        <f aca="false">IF(31&lt;=Hipótesis!$D$109,0,IF(AG96&gt;0,MIN(AG96,Hipótesis!$D$105/MAX(Hipótesis!$D$108-Hipótesis!$D$109,1)),0))</f>
        <v>1666.66666666667</v>
      </c>
      <c r="AH97" s="100" t="n">
        <f aca="false">IF(32&lt;=Hipótesis!$D$109,0,IF(AH96&gt;0,MIN(AH96,Hipótesis!$D$105/MAX(Hipótesis!$D$108-Hipótesis!$D$109,1)),0))</f>
        <v>1666.66666666667</v>
      </c>
      <c r="AI97" s="100" t="n">
        <f aca="false">IF(33&lt;=Hipótesis!$D$109,0,IF(AI96&gt;0,MIN(AI96,Hipótesis!$D$105/MAX(Hipótesis!$D$108-Hipótesis!$D$109,1)),0))</f>
        <v>1666.66666666667</v>
      </c>
      <c r="AJ97" s="100" t="n">
        <f aca="false">IF(34&lt;=Hipótesis!$D$109,0,IF(AJ96&gt;0,MIN(AJ96,Hipótesis!$D$105/MAX(Hipótesis!$D$108-Hipótesis!$D$109,1)),0))</f>
        <v>1666.66666666667</v>
      </c>
      <c r="AK97" s="100" t="n">
        <f aca="false">IF(35&lt;=Hipótesis!$D$109,0,IF(AK96&gt;0,MIN(AK96,Hipótesis!$D$105/MAX(Hipótesis!$D$108-Hipótesis!$D$109,1)),0))</f>
        <v>1666.66666666667</v>
      </c>
      <c r="AL97" s="100" t="n">
        <f aca="false">IF(36&lt;=Hipótesis!$D$109,0,IF(AL96&gt;0,MIN(AL96,Hipótesis!$D$105/MAX(Hipótesis!$D$108-Hipótesis!$D$109,1)),0))</f>
        <v>1666.66666666667</v>
      </c>
      <c r="AM97" s="100" t="n">
        <f aca="false">IF(37&lt;=Hipótesis!$D$109,0,IF(AM96&gt;0,MIN(AM96,Hipótesis!$D$105/MAX(Hipótesis!$D$108-Hipótesis!$D$109,1)),0))</f>
        <v>1666.66666666667</v>
      </c>
      <c r="AN97" s="100" t="n">
        <f aca="false">IF(38&lt;=Hipótesis!$D$109,0,IF(AN96&gt;0,MIN(AN96,Hipótesis!$D$105/MAX(Hipótesis!$D$108-Hipótesis!$D$109,1)),0))</f>
        <v>1666.66666666667</v>
      </c>
      <c r="AO97" s="100" t="n">
        <f aca="false">IF(39&lt;=Hipótesis!$D$109,0,IF(AO96&gt;0,MIN(AO96,Hipótesis!$D$105/MAX(Hipótesis!$D$108-Hipótesis!$D$109,1)),0))</f>
        <v>1666.66666666667</v>
      </c>
      <c r="AP97" s="100" t="n">
        <f aca="false">IF(40&lt;=Hipótesis!$D$109,0,IF(AP96&gt;0,MIN(AP96,Hipótesis!$D$105/MAX(Hipótesis!$D$108-Hipótesis!$D$109,1)),0))</f>
        <v>1666.66666666667</v>
      </c>
      <c r="AQ97" s="100" t="n">
        <f aca="false">IF(41&lt;=Hipótesis!$D$109,0,IF(AQ96&gt;0,MIN(AQ96,Hipótesis!$D$105/MAX(Hipótesis!$D$108-Hipótesis!$D$109,1)),0))</f>
        <v>1666.66666666667</v>
      </c>
      <c r="AR97" s="100" t="n">
        <f aca="false">IF(42&lt;=Hipótesis!$D$109,0,IF(AR96&gt;0,MIN(AR96,Hipótesis!$D$105/MAX(Hipótesis!$D$108-Hipótesis!$D$109,1)),0))</f>
        <v>1666.66666666667</v>
      </c>
      <c r="AS97" s="100" t="n">
        <f aca="false">IF(43&lt;=Hipótesis!$D$109,0,IF(AS96&gt;0,MIN(AS96,Hipótesis!$D$105/MAX(Hipótesis!$D$108-Hipótesis!$D$109,1)),0))</f>
        <v>1666.66666666667</v>
      </c>
      <c r="AT97" s="100" t="n">
        <f aca="false">IF(44&lt;=Hipótesis!$D$109,0,IF(AT96&gt;0,MIN(AT96,Hipótesis!$D$105/MAX(Hipótesis!$D$108-Hipótesis!$D$109,1)),0))</f>
        <v>1666.66666666667</v>
      </c>
      <c r="AU97" s="100" t="n">
        <f aca="false">IF(45&lt;=Hipótesis!$D$109,0,IF(AU96&gt;0,MIN(AU96,Hipótesis!$D$105/MAX(Hipótesis!$D$108-Hipótesis!$D$109,1)),0))</f>
        <v>1666.66666666667</v>
      </c>
      <c r="AV97" s="100" t="n">
        <f aca="false">IF(46&lt;=Hipótesis!$D$109,0,IF(AV96&gt;0,MIN(AV96,Hipótesis!$D$105/MAX(Hipótesis!$D$108-Hipótesis!$D$109,1)),0))</f>
        <v>1666.66666666667</v>
      </c>
      <c r="AW97" s="100" t="n">
        <f aca="false">IF(47&lt;=Hipótesis!$D$109,0,IF(AW96&gt;0,MIN(AW96,Hipótesis!$D$105/MAX(Hipótesis!$D$108-Hipótesis!$D$109,1)),0))</f>
        <v>1666.66666666667</v>
      </c>
      <c r="AX97" s="100" t="n">
        <f aca="false">IF(48&lt;=Hipótesis!$D$109,0,IF(AX96&gt;0,MIN(AX96,Hipótesis!$D$105/MAX(Hipótesis!$D$108-Hipótesis!$D$109,1)),0))</f>
        <v>1666.66666666667</v>
      </c>
      <c r="AY97" s="100" t="n">
        <f aca="false">IF(49&lt;=Hipótesis!$D$109,0,IF(AY96&gt;0,MIN(AY96,Hipótesis!$D$105/MAX(Hipótesis!$D$108-Hipótesis!$D$109,1)),0))</f>
        <v>1666.66666666667</v>
      </c>
      <c r="AZ97" s="100" t="n">
        <f aca="false">IF(50&lt;=Hipótesis!$D$109,0,IF(AZ96&gt;0,MIN(AZ96,Hipótesis!$D$105/MAX(Hipótesis!$D$108-Hipótesis!$D$109,1)),0))</f>
        <v>1666.66666666667</v>
      </c>
      <c r="BA97" s="100" t="n">
        <f aca="false">IF(51&lt;=Hipótesis!$D$109,0,IF(BA96&gt;0,MIN(BA96,Hipótesis!$D$105/MAX(Hipótesis!$D$108-Hipótesis!$D$109,1)),0))</f>
        <v>1666.66666666667</v>
      </c>
      <c r="BB97" s="100" t="n">
        <f aca="false">IF(52&lt;=Hipótesis!$D$109,0,IF(BB96&gt;0,MIN(BB96,Hipótesis!$D$105/MAX(Hipótesis!$D$108-Hipótesis!$D$109,1)),0))</f>
        <v>1666.66666666667</v>
      </c>
      <c r="BC97" s="100" t="n">
        <f aca="false">IF(53&lt;=Hipótesis!$D$109,0,IF(BC96&gt;0,MIN(BC96,Hipótesis!$D$105/MAX(Hipótesis!$D$108-Hipótesis!$D$109,1)),0))</f>
        <v>1666.66666666667</v>
      </c>
      <c r="BD97" s="100" t="n">
        <f aca="false">IF(54&lt;=Hipótesis!$D$109,0,IF(BD96&gt;0,MIN(BD96,Hipótesis!$D$105/MAX(Hipótesis!$D$108-Hipótesis!$D$109,1)),0))</f>
        <v>1666.66666666667</v>
      </c>
      <c r="BE97" s="100" t="n">
        <f aca="false">IF(55&lt;=Hipótesis!$D$109,0,IF(BE96&gt;0,MIN(BE96,Hipótesis!$D$105/MAX(Hipótesis!$D$108-Hipótesis!$D$109,1)),0))</f>
        <v>1666.66666666667</v>
      </c>
      <c r="BF97" s="100" t="n">
        <f aca="false">IF(56&lt;=Hipótesis!$D$109,0,IF(BF96&gt;0,MIN(BF96,Hipótesis!$D$105/MAX(Hipótesis!$D$108-Hipótesis!$D$109,1)),0))</f>
        <v>1666.66666666667</v>
      </c>
      <c r="BG97" s="100" t="n">
        <f aca="false">IF(57&lt;=Hipótesis!$D$109,0,IF(BG96&gt;0,MIN(BG96,Hipótesis!$D$105/MAX(Hipótesis!$D$108-Hipótesis!$D$109,1)),0))</f>
        <v>1666.66666666667</v>
      </c>
      <c r="BH97" s="100" t="n">
        <f aca="false">IF(58&lt;=Hipótesis!$D$109,0,IF(BH96&gt;0,MIN(BH96,Hipótesis!$D$105/MAX(Hipótesis!$D$108-Hipótesis!$D$109,1)),0))</f>
        <v>1666.66666666667</v>
      </c>
      <c r="BI97" s="100" t="n">
        <f aca="false">IF(59&lt;=Hipótesis!$D$109,0,IF(BI96&gt;0,MIN(BI96,Hipótesis!$D$105/MAX(Hipótesis!$D$108-Hipótesis!$D$109,1)),0))</f>
        <v>1666.66666666667</v>
      </c>
      <c r="BJ97" s="100" t="n">
        <f aca="false">IF(60&lt;=Hipótesis!$D$109,0,IF(BJ96&gt;0,MIN(BJ96,Hipótesis!$D$105/MAX(Hipótesis!$D$108-Hipótesis!$D$109,1)),0))</f>
        <v>1666.66666666667</v>
      </c>
      <c r="BK97" s="100" t="n">
        <f aca="false">IF(61&lt;=Hipótesis!$D$109,0,IF(BK96&gt;0,MIN(BK96,Hipótesis!$D$105/MAX(Hipótesis!$D$108-Hipótesis!$D$109,1)),0))</f>
        <v>1666.66666666667</v>
      </c>
      <c r="BL97" s="100" t="n">
        <f aca="false">IF(62&lt;=Hipótesis!$D$109,0,IF(BL96&gt;0,MIN(BL96,Hipótesis!$D$105/MAX(Hipótesis!$D$108-Hipótesis!$D$109,1)),0))</f>
        <v>1666.66666666667</v>
      </c>
      <c r="BM97" s="100" t="n">
        <f aca="false">IF(63&lt;=Hipótesis!$D$109,0,IF(BM96&gt;0,MIN(BM96,Hipótesis!$D$105/MAX(Hipótesis!$D$108-Hipótesis!$D$109,1)),0))</f>
        <v>1666.66666666667</v>
      </c>
      <c r="BN97" s="100" t="n">
        <f aca="false">IF(64&lt;=Hipótesis!$D$109,0,IF(BN96&gt;0,MIN(BN96,Hipótesis!$D$105/MAX(Hipótesis!$D$108-Hipótesis!$D$109,1)),0))</f>
        <v>1666.66666666667</v>
      </c>
      <c r="BO97" s="100" t="n">
        <f aca="false">IF(65&lt;=Hipótesis!$D$109,0,IF(BO96&gt;0,MIN(BO96,Hipótesis!$D$105/MAX(Hipótesis!$D$108-Hipótesis!$D$109,1)),0))</f>
        <v>1666.66666666667</v>
      </c>
      <c r="BP97" s="100" t="n">
        <f aca="false">IF(66&lt;=Hipótesis!$D$109,0,IF(BP96&gt;0,MIN(BP96,Hipótesis!$D$105/MAX(Hipótesis!$D$108-Hipótesis!$D$109,1)),0))</f>
        <v>1666.66666666667</v>
      </c>
      <c r="BQ97" s="100" t="n">
        <f aca="false">IF(67&lt;=Hipótesis!$D$109,0,IF(BQ96&gt;0,MIN(BQ96,Hipótesis!$D$105/MAX(Hipótesis!$D$108-Hipótesis!$D$109,1)),0))</f>
        <v>1666.66666666667</v>
      </c>
      <c r="BR97" s="100" t="n">
        <f aca="false">IF(68&lt;=Hipótesis!$D$109,0,IF(BR96&gt;0,MIN(BR96,Hipótesis!$D$105/MAX(Hipótesis!$D$108-Hipótesis!$D$109,1)),0))</f>
        <v>1666.66666666667</v>
      </c>
      <c r="BS97" s="100" t="n">
        <f aca="false">IF(69&lt;=Hipótesis!$D$109,0,IF(BS96&gt;0,MIN(BS96,Hipótesis!$D$105/MAX(Hipótesis!$D$108-Hipótesis!$D$109,1)),0))</f>
        <v>1666.66666666667</v>
      </c>
      <c r="BT97" s="100" t="n">
        <f aca="false">IF(70&lt;=Hipótesis!$D$109,0,IF(BT96&gt;0,MIN(BT96,Hipótesis!$D$105/MAX(Hipótesis!$D$108-Hipótesis!$D$109,1)),0))</f>
        <v>1666.66666666667</v>
      </c>
      <c r="BU97" s="100" t="n">
        <f aca="false">IF(71&lt;=Hipótesis!$D$109,0,IF(BU96&gt;0,MIN(BU96,Hipótesis!$D$105/MAX(Hipótesis!$D$108-Hipótesis!$D$109,1)),0))</f>
        <v>1666.66666666667</v>
      </c>
      <c r="BV97" s="100" t="n">
        <f aca="false">IF(72&lt;=Hipótesis!$D$109,0,IF(BV96&gt;0,MIN(BV96,Hipótesis!$D$105/MAX(Hipótesis!$D$108-Hipótesis!$D$109,1)),0))</f>
        <v>1666.66666666667</v>
      </c>
      <c r="BW97" s="100" t="n">
        <f aca="false">IF(73&lt;=Hipótesis!$D$109,0,IF(BW96&gt;0,MIN(BW96,Hipótesis!$D$105/MAX(Hipótesis!$D$108-Hipótesis!$D$109,1)),0))</f>
        <v>1666.66666666667</v>
      </c>
      <c r="BX97" s="100" t="n">
        <f aca="false">IF(74&lt;=Hipótesis!$D$109,0,IF(BX96&gt;0,MIN(BX96,Hipótesis!$D$105/MAX(Hipótesis!$D$108-Hipótesis!$D$109,1)),0))</f>
        <v>1666.66666666667</v>
      </c>
      <c r="BY97" s="100" t="n">
        <f aca="false">IF(75&lt;=Hipótesis!$D$109,0,IF(BY96&gt;0,MIN(BY96,Hipótesis!$D$105/MAX(Hipótesis!$D$108-Hipótesis!$D$109,1)),0))</f>
        <v>1666.66666666667</v>
      </c>
      <c r="BZ97" s="100" t="n">
        <f aca="false">IF(76&lt;=Hipótesis!$D$109,0,IF(BZ96&gt;0,MIN(BZ96,Hipótesis!$D$105/MAX(Hipótesis!$D$108-Hipótesis!$D$109,1)),0))</f>
        <v>1666.66666666667</v>
      </c>
      <c r="CA97" s="100" t="n">
        <f aca="false">IF(77&lt;=Hipótesis!$D$109,0,IF(CA96&gt;0,MIN(CA96,Hipótesis!$D$105/MAX(Hipótesis!$D$108-Hipótesis!$D$109,1)),0))</f>
        <v>1666.66666666667</v>
      </c>
      <c r="CB97" s="100" t="n">
        <f aca="false">IF(78&lt;=Hipótesis!$D$109,0,IF(CB96&gt;0,MIN(CB96,Hipótesis!$D$105/MAX(Hipótesis!$D$108-Hipótesis!$D$109,1)),0))</f>
        <v>1666.66666666667</v>
      </c>
      <c r="CC97" s="100" t="n">
        <f aca="false">IF(79&lt;=Hipótesis!$D$109,0,IF(CC96&gt;0,MIN(CC96,Hipótesis!$D$105/MAX(Hipótesis!$D$108-Hipótesis!$D$109,1)),0))</f>
        <v>1666.66666666667</v>
      </c>
      <c r="CD97" s="100" t="n">
        <f aca="false">IF(80&lt;=Hipótesis!$D$109,0,IF(CD96&gt;0,MIN(CD96,Hipótesis!$D$105/MAX(Hipótesis!$D$108-Hipótesis!$D$109,1)),0))</f>
        <v>1666.66666666667</v>
      </c>
      <c r="CE97" s="100" t="n">
        <f aca="false">IF(81&lt;=Hipótesis!$D$109,0,IF(CE96&gt;0,MIN(CE96,Hipótesis!$D$105/MAX(Hipótesis!$D$108-Hipótesis!$D$109,1)),0))</f>
        <v>1666.66666666667</v>
      </c>
      <c r="CF97" s="100" t="n">
        <f aca="false">IF(82&lt;=Hipótesis!$D$109,0,IF(CF96&gt;0,MIN(CF96,Hipótesis!$D$105/MAX(Hipótesis!$D$108-Hipótesis!$D$109,1)),0))</f>
        <v>1666.66666666667</v>
      </c>
      <c r="CG97" s="100" t="n">
        <f aca="false">IF(83&lt;=Hipótesis!$D$109,0,IF(CG96&gt;0,MIN(CG96,Hipótesis!$D$105/MAX(Hipótesis!$D$108-Hipótesis!$D$109,1)),0))</f>
        <v>1666.66666666667</v>
      </c>
      <c r="CH97" s="100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6" t="s">
        <v>570</v>
      </c>
      <c r="C98" s="100" t="n">
        <f aca="false">C96*Hipótesis!$D$106/12+IF(C96&gt;0,Hipótesis!$D$107*MAX(0,C56),0)</f>
        <v>333.333333333333</v>
      </c>
      <c r="D98" s="100" t="n">
        <f aca="false">D96*Hipótesis!$D$106/12+IF(D96&gt;0,Hipótesis!$D$107*MAX(0,D56),0)</f>
        <v>333.333333333333</v>
      </c>
      <c r="E98" s="100" t="n">
        <f aca="false">E96*Hipótesis!$D$106/12+IF(E96&gt;0,Hipótesis!$D$107*MAX(0,E56),0)</f>
        <v>333.333333333333</v>
      </c>
      <c r="F98" s="100" t="n">
        <f aca="false">F96*Hipótesis!$D$106/12+IF(F96&gt;0,Hipótesis!$D$107*MAX(0,F56),0)</f>
        <v>333.333333333333</v>
      </c>
      <c r="G98" s="100" t="n">
        <f aca="false">G96*Hipótesis!$D$106/12+IF(G96&gt;0,Hipótesis!$D$107*MAX(0,G56),0)</f>
        <v>333.333333333333</v>
      </c>
      <c r="H98" s="100" t="n">
        <f aca="false">H96*Hipótesis!$D$106/12+IF(H96&gt;0,Hipótesis!$D$107*MAX(0,H56),0)</f>
        <v>333.333333333333</v>
      </c>
      <c r="I98" s="100" t="n">
        <f aca="false">I96*Hipótesis!$D$106/12+IF(I96&gt;0,Hipótesis!$D$107*MAX(0,I56),0)</f>
        <v>333.333333333333</v>
      </c>
      <c r="J98" s="100" t="n">
        <f aca="false">J96*Hipótesis!$D$106/12+IF(J96&gt;0,Hipótesis!$D$107*MAX(0,J56),0)</f>
        <v>333.333333333333</v>
      </c>
      <c r="K98" s="100" t="n">
        <f aca="false">K96*Hipótesis!$D$106/12+IF(K96&gt;0,Hipótesis!$D$107*MAX(0,K56),0)</f>
        <v>363.280667725478</v>
      </c>
      <c r="L98" s="100" t="n">
        <f aca="false">L96*Hipótesis!$D$106/12+IF(L96&gt;0,Hipótesis!$D$107*MAX(0,L56),0)</f>
        <v>424.816837759668</v>
      </c>
      <c r="M98" s="100" t="n">
        <f aca="false">M96*Hipótesis!$D$106/12+IF(M96&gt;0,Hipótesis!$D$107*MAX(0,M56),0)</f>
        <v>465.222604535034</v>
      </c>
      <c r="N98" s="100" t="n">
        <f aca="false">N96*Hipótesis!$D$106/12+IF(N96&gt;0,Hipótesis!$D$107*MAX(0,N56),0)</f>
        <v>521.437045402029</v>
      </c>
      <c r="O98" s="100" t="n">
        <f aca="false">O96*Hipótesis!$D$106/12+IF(O96&gt;0,Hipótesis!$D$107*MAX(0,O56),0)</f>
        <v>473.107486269023</v>
      </c>
      <c r="P98" s="100" t="n">
        <f aca="false">P96*Hipótesis!$D$106/12+IF(P96&gt;0,Hipótesis!$D$107*MAX(0,P56),0)</f>
        <v>477.017810834674</v>
      </c>
      <c r="Q98" s="100" t="n">
        <f aca="false">Q96*Hipótesis!$D$106/12+IF(Q96&gt;0,Hipótesis!$D$107*MAX(0,Q56),0)</f>
        <v>527.154535400326</v>
      </c>
      <c r="R98" s="100" t="n">
        <f aca="false">R96*Hipótesis!$D$106/12+IF(R96&gt;0,Hipótesis!$D$107*MAX(0,R56),0)</f>
        <v>577.291259965977</v>
      </c>
      <c r="S98" s="100" t="n">
        <f aca="false">S96*Hipótesis!$D$106/12+IF(S96&gt;0,Hipótesis!$D$107*MAX(0,S56),0)</f>
        <v>627.427984531628</v>
      </c>
      <c r="T98" s="100" t="n">
        <f aca="false">T96*Hipótesis!$D$106/12+IF(T96&gt;0,Hipótesis!$D$107*MAX(0,T56),0)</f>
        <v>677.56470909728</v>
      </c>
      <c r="U98" s="100" t="n">
        <f aca="false">U96*Hipótesis!$D$106/12+IF(U96&gt;0,Hipótesis!$D$107*MAX(0,U56),0)</f>
        <v>681.475033662931</v>
      </c>
      <c r="V98" s="100" t="n">
        <f aca="false">V96*Hipótesis!$D$106/12+IF(V96&gt;0,Hipótesis!$D$107*MAX(0,V56),0)</f>
        <v>677.227758228582</v>
      </c>
      <c r="W98" s="100" t="n">
        <f aca="false">W96*Hipótesis!$D$106/12+IF(W96&gt;0,Hipótesis!$D$107*MAX(0,W56),0)</f>
        <v>727.364482794234</v>
      </c>
      <c r="X98" s="100" t="n">
        <f aca="false">X96*Hipótesis!$D$106/12+IF(X96&gt;0,Hipótesis!$D$107*MAX(0,X56),0)</f>
        <v>761.692533268258</v>
      </c>
      <c r="Y98" s="100" t="n">
        <f aca="false">Y96*Hipótesis!$D$106/12+IF(Y96&gt;0,Hipótesis!$D$107*MAX(0,Y56),0)</f>
        <v>796.020583742282</v>
      </c>
      <c r="Z98" s="100" t="n">
        <f aca="false">Z96*Hipótesis!$D$106/12+IF(Z96&gt;0,Hipótesis!$D$107*MAX(0,Z56),0)</f>
        <v>824.588924579655</v>
      </c>
      <c r="AA98" s="100" t="n">
        <f aca="false">AA96*Hipótesis!$D$106/12+IF(AA96&gt;0,Hipótesis!$D$107*MAX(0,AA56),0)</f>
        <v>807.520641417028</v>
      </c>
      <c r="AB98" s="100" t="n">
        <f aca="false">AB96*Hipótesis!$D$106/12+IF(AB96&gt;0,Hipótesis!$D$107*MAX(0,AB56),0)</f>
        <v>782.920234698846</v>
      </c>
      <c r="AC98" s="100" t="n">
        <f aca="false">AC96*Hipótesis!$D$106/12+IF(AC96&gt;0,Hipótesis!$D$107*MAX(0,AC56),0)</f>
        <v>805.933019980663</v>
      </c>
      <c r="AD98" s="100" t="n">
        <f aca="false">AD96*Hipótesis!$D$106/12+IF(AD96&gt;0,Hipótesis!$D$107*MAX(0,AD56),0)</f>
        <v>828.945805262481</v>
      </c>
      <c r="AE98" s="100" t="n">
        <f aca="false">AE96*Hipótesis!$D$106/12+IF(AE96&gt;0,Hipótesis!$D$107*MAX(0,AE56),0)</f>
        <v>851.958590544298</v>
      </c>
      <c r="AF98" s="100" t="n">
        <f aca="false">AF96*Hipótesis!$D$106/12+IF(AF96&gt;0,Hipótesis!$D$107*MAX(0,AF56),0)</f>
        <v>874.971375826116</v>
      </c>
      <c r="AG98" s="100" t="n">
        <f aca="false">AG96*Hipótesis!$D$106/12+IF(AG96&gt;0,Hipótesis!$D$107*MAX(0,AG56),0)</f>
        <v>897.984161107933</v>
      </c>
      <c r="AH98" s="100" t="n">
        <f aca="false">AH96*Hipótesis!$D$106/12+IF(AH96&gt;0,Hipótesis!$D$107*MAX(0,AH56),0)</f>
        <v>920.99694638975</v>
      </c>
      <c r="AI98" s="100" t="n">
        <f aca="false">AI96*Hipótesis!$D$106/12+IF(AI96&gt;0,Hipótesis!$D$107*MAX(0,AI56),0)</f>
        <v>944.009731671568</v>
      </c>
      <c r="AJ98" s="100" t="n">
        <f aca="false">AJ96*Hipótesis!$D$106/12+IF(AJ96&gt;0,Hipótesis!$D$107*MAX(0,AJ56),0)</f>
        <v>967.022516953385</v>
      </c>
      <c r="AK98" s="100" t="n">
        <f aca="false">AK96*Hipótesis!$D$106/12+IF(AK96&gt;0,Hipótesis!$D$107*MAX(0,AK56),0)</f>
        <v>990.035302235203</v>
      </c>
      <c r="AL98" s="100" t="n">
        <f aca="false">AL96*Hipótesis!$D$106/12+IF(AL96&gt;0,Hipótesis!$D$107*MAX(0,AL56),0)</f>
        <v>965.43489551702</v>
      </c>
      <c r="AM98" s="100" t="n">
        <f aca="false">AM96*Hipótesis!$D$106/12+IF(AM96&gt;0,Hipótesis!$D$107*MAX(0,AM56),0)</f>
        <v>939.773166558838</v>
      </c>
      <c r="AN98" s="100" t="n">
        <f aca="false">AN96*Hipótesis!$D$106/12+IF(AN96&gt;0,Hipótesis!$D$107*MAX(0,AN56),0)</f>
        <v>962.785951840655</v>
      </c>
      <c r="AO98" s="100" t="n">
        <f aca="false">AO96*Hipótesis!$D$106/12+IF(AO96&gt;0,Hipótesis!$D$107*MAX(0,AO56),0)</f>
        <v>985.798737122473</v>
      </c>
      <c r="AP98" s="100" t="n">
        <f aca="false">AP96*Hipótesis!$D$106/12+IF(AP96&gt;0,Hipótesis!$D$107*MAX(0,AP56),0)</f>
        <v>1008.81152240429</v>
      </c>
      <c r="AQ98" s="100" t="n">
        <f aca="false">AQ96*Hipótesis!$D$106/12+IF(AQ96&gt;0,Hipótesis!$D$107*MAX(0,AQ56),0)</f>
        <v>1031.82430768611</v>
      </c>
      <c r="AR98" s="100" t="n">
        <f aca="false">AR96*Hipótesis!$D$106/12+IF(AR96&gt;0,Hipótesis!$D$107*MAX(0,AR56),0)</f>
        <v>1054.83709296793</v>
      </c>
      <c r="AS98" s="100" t="n">
        <f aca="false">AS96*Hipótesis!$D$106/12+IF(AS96&gt;0,Hipótesis!$D$107*MAX(0,AS56),0)</f>
        <v>1049.28153741237</v>
      </c>
      <c r="AT98" s="100" t="n">
        <f aca="false">AT96*Hipótesis!$D$106/12+IF(AT96&gt;0,Hipótesis!$D$107*MAX(0,AT56),0)</f>
        <v>1043.72598185681</v>
      </c>
      <c r="AU98" s="100" t="n">
        <f aca="false">AU96*Hipótesis!$D$106/12+IF(AU96&gt;0,Hipótesis!$D$107*MAX(0,AU56),0)</f>
        <v>1038.17042630126</v>
      </c>
      <c r="AV98" s="100" t="n">
        <f aca="false">AV96*Hipótesis!$D$106/12+IF(AV96&gt;0,Hipótesis!$D$107*MAX(0,AV56),0)</f>
        <v>1032.6148707457</v>
      </c>
      <c r="AW98" s="100" t="n">
        <f aca="false">AW96*Hipótesis!$D$106/12+IF(AW96&gt;0,Hipótesis!$D$107*MAX(0,AW56),0)</f>
        <v>1027.05931519015</v>
      </c>
      <c r="AX98" s="100" t="n">
        <f aca="false">AX96*Hipótesis!$D$106/12+IF(AX96&gt;0,Hipótesis!$D$107*MAX(0,AX56),0)</f>
        <v>1021.50375963459</v>
      </c>
      <c r="AY98" s="100" t="n">
        <f aca="false">AY96*Hipótesis!$D$106/12+IF(AY96&gt;0,Hipótesis!$D$107*MAX(0,AY56),0)</f>
        <v>967.001454411836</v>
      </c>
      <c r="AZ98" s="100" t="n">
        <f aca="false">AZ96*Hipótesis!$D$106/12+IF(AZ96&gt;0,Hipótesis!$D$107*MAX(0,AZ56),0)</f>
        <v>961.445898856281</v>
      </c>
      <c r="BA98" s="100" t="n">
        <f aca="false">BA96*Hipótesis!$D$106/12+IF(BA96&gt;0,Hipótesis!$D$107*MAX(0,BA56),0)</f>
        <v>955.890343300725</v>
      </c>
      <c r="BB98" s="100" t="n">
        <f aca="false">BB96*Hipótesis!$D$106/12+IF(BB96&gt;0,Hipótesis!$D$107*MAX(0,BB56),0)</f>
        <v>950.33478774517</v>
      </c>
      <c r="BC98" s="100" t="n">
        <f aca="false">BC96*Hipótesis!$D$106/12+IF(BC96&gt;0,Hipótesis!$D$107*MAX(0,BC56),0)</f>
        <v>944.779232189614</v>
      </c>
      <c r="BD98" s="100" t="n">
        <f aca="false">BD96*Hipótesis!$D$106/12+IF(BD96&gt;0,Hipótesis!$D$107*MAX(0,BD56),0)</f>
        <v>939.223676634058</v>
      </c>
      <c r="BE98" s="100" t="n">
        <f aca="false">BE96*Hipótesis!$D$106/12+IF(BE96&gt;0,Hipótesis!$D$107*MAX(0,BE56),0)</f>
        <v>933.668121078503</v>
      </c>
      <c r="BF98" s="100" t="n">
        <f aca="false">BF96*Hipótesis!$D$106/12+IF(BF96&gt;0,Hipótesis!$D$107*MAX(0,BF56),0)</f>
        <v>928.112565522947</v>
      </c>
      <c r="BG98" s="100" t="n">
        <f aca="false">BG96*Hipótesis!$D$106/12+IF(BG96&gt;0,Hipótesis!$D$107*MAX(0,BG56),0)</f>
        <v>922.557009967392</v>
      </c>
      <c r="BH98" s="100" t="n">
        <f aca="false">BH96*Hipótesis!$D$106/12+IF(BH96&gt;0,Hipótesis!$D$107*MAX(0,BH56),0)</f>
        <v>917.001454411836</v>
      </c>
      <c r="BI98" s="100" t="n">
        <f aca="false">BI96*Hipótesis!$D$106/12+IF(BI96&gt;0,Hipótesis!$D$107*MAX(0,BI56),0)</f>
        <v>911.445898856281</v>
      </c>
      <c r="BJ98" s="100" t="n">
        <f aca="false">BJ96*Hipótesis!$D$106/12+IF(BJ96&gt;0,Hipótesis!$D$107*MAX(0,BJ56),0)</f>
        <v>905.890343300725</v>
      </c>
      <c r="BK98" s="100" t="n">
        <f aca="false">BK96*Hipótesis!$D$106/12+IF(BK96&gt;0,Hipótesis!$D$107*MAX(0,BK56),0)</f>
        <v>851.107635587954</v>
      </c>
      <c r="BL98" s="100" t="n">
        <f aca="false">BL96*Hipótesis!$D$106/12+IF(BL96&gt;0,Hipótesis!$D$107*MAX(0,BL56),0)</f>
        <v>845.552080032398</v>
      </c>
      <c r="BM98" s="100" t="n">
        <f aca="false">BM96*Hipótesis!$D$106/12+IF(BM96&gt;0,Hipótesis!$D$107*MAX(0,BM56),0)</f>
        <v>839.996524476843</v>
      </c>
      <c r="BN98" s="100" t="n">
        <f aca="false">BN96*Hipótesis!$D$106/12+IF(BN96&gt;0,Hipótesis!$D$107*MAX(0,BN56),0)</f>
        <v>834.440968921287</v>
      </c>
      <c r="BO98" s="100" t="n">
        <f aca="false">BO96*Hipótesis!$D$106/12+IF(BO96&gt;0,Hipótesis!$D$107*MAX(0,BO56),0)</f>
        <v>828.885413365731</v>
      </c>
      <c r="BP98" s="100" t="n">
        <f aca="false">BP96*Hipótesis!$D$106/12+IF(BP96&gt;0,Hipótesis!$D$107*MAX(0,BP56),0)</f>
        <v>823.329857810176</v>
      </c>
      <c r="BQ98" s="100" t="n">
        <f aca="false">BQ96*Hipótesis!$D$106/12+IF(BQ96&gt;0,Hipótesis!$D$107*MAX(0,BQ56),0)</f>
        <v>817.77430225462</v>
      </c>
      <c r="BR98" s="100" t="n">
        <f aca="false">BR96*Hipótesis!$D$106/12+IF(BR96&gt;0,Hipótesis!$D$107*MAX(0,BR56),0)</f>
        <v>812.218746699065</v>
      </c>
      <c r="BS98" s="100" t="n">
        <f aca="false">BS96*Hipótesis!$D$106/12+IF(BS96&gt;0,Hipótesis!$D$107*MAX(0,BS56),0)</f>
        <v>806.663191143509</v>
      </c>
      <c r="BT98" s="100" t="n">
        <f aca="false">BT96*Hipótesis!$D$106/12+IF(BT96&gt;0,Hipótesis!$D$107*MAX(0,BT56),0)</f>
        <v>801.107635587954</v>
      </c>
      <c r="BU98" s="100" t="n">
        <f aca="false">BU96*Hipótesis!$D$106/12+IF(BU96&gt;0,Hipótesis!$D$107*MAX(0,BU56),0)</f>
        <v>795.552080032398</v>
      </c>
      <c r="BV98" s="100" t="n">
        <f aca="false">BV96*Hipótesis!$D$106/12+IF(BV96&gt;0,Hipótesis!$D$107*MAX(0,BV56),0)</f>
        <v>789.996524476843</v>
      </c>
      <c r="BW98" s="100" t="n">
        <f aca="false">BW96*Hipótesis!$D$106/12+IF(BW96&gt;0,Hipótesis!$D$107*MAX(0,BW56),0)</f>
        <v>734.925002199355</v>
      </c>
      <c r="BX98" s="100" t="n">
        <f aca="false">BX96*Hipótesis!$D$106/12+IF(BX96&gt;0,Hipótesis!$D$107*MAX(0,BX56),0)</f>
        <v>729.369446643799</v>
      </c>
      <c r="BY98" s="100" t="n">
        <f aca="false">BY96*Hipótesis!$D$106/12+IF(BY96&gt;0,Hipótesis!$D$107*MAX(0,BY56),0)</f>
        <v>723.813891088243</v>
      </c>
      <c r="BZ98" s="100" t="n">
        <f aca="false">BZ96*Hipótesis!$D$106/12+IF(BZ96&gt;0,Hipótesis!$D$107*MAX(0,BZ56),0)</f>
        <v>718.258335532688</v>
      </c>
      <c r="CA98" s="100" t="n">
        <f aca="false">CA96*Hipótesis!$D$106/12+IF(CA96&gt;0,Hipótesis!$D$107*MAX(0,CA56),0)</f>
        <v>712.702779977132</v>
      </c>
      <c r="CB98" s="100" t="n">
        <f aca="false">CB96*Hipótesis!$D$106/12+IF(CB96&gt;0,Hipótesis!$D$107*MAX(0,CB56),0)</f>
        <v>707.147224421577</v>
      </c>
      <c r="CC98" s="100" t="n">
        <f aca="false">CC96*Hipótesis!$D$106/12+IF(CC96&gt;0,Hipótesis!$D$107*MAX(0,CC56),0)</f>
        <v>701.591668866021</v>
      </c>
      <c r="CD98" s="100" t="n">
        <f aca="false">CD96*Hipótesis!$D$106/12+IF(CD96&gt;0,Hipótesis!$D$107*MAX(0,CD56),0)</f>
        <v>696.036113310466</v>
      </c>
      <c r="CE98" s="100" t="n">
        <f aca="false">CE96*Hipótesis!$D$106/12+IF(CE96&gt;0,Hipótesis!$D$107*MAX(0,CE56),0)</f>
        <v>690.48055775491</v>
      </c>
      <c r="CF98" s="100" t="n">
        <f aca="false">CF96*Hipótesis!$D$106/12+IF(CF96&gt;0,Hipótesis!$D$107*MAX(0,CF56),0)</f>
        <v>684.925002199355</v>
      </c>
      <c r="CG98" s="100" t="n">
        <f aca="false">CG96*Hipótesis!$D$106/12+IF(CG96&gt;0,Hipótesis!$D$107*MAX(0,CG56),0)</f>
        <v>679.369446643799</v>
      </c>
      <c r="CH98" s="100" t="n">
        <f aca="false">CH96*Hipótesis!$D$106/12+IF(CH96&gt;0,Hipótesis!$D$107*MAX(0,CH56),0)</f>
        <v>673.813891088243</v>
      </c>
    </row>
    <row r="99" customFormat="false" ht="13.5" hidden="false" customHeight="true" outlineLevel="0" collapsed="false">
      <c r="A99" s="6" t="s">
        <v>571</v>
      </c>
      <c r="C99" s="100" t="n">
        <f aca="false">C97+C98</f>
        <v>333.333333333333</v>
      </c>
      <c r="D99" s="100" t="n">
        <f aca="false">D97+D98</f>
        <v>333.333333333333</v>
      </c>
      <c r="E99" s="100" t="n">
        <f aca="false">E97+E98</f>
        <v>333.333333333333</v>
      </c>
      <c r="F99" s="100" t="n">
        <f aca="false">F97+F98</f>
        <v>333.333333333333</v>
      </c>
      <c r="G99" s="100" t="n">
        <f aca="false">G97+G98</f>
        <v>333.333333333333</v>
      </c>
      <c r="H99" s="100" t="n">
        <f aca="false">H97+H98</f>
        <v>333.333333333333</v>
      </c>
      <c r="I99" s="100" t="n">
        <f aca="false">I97+I98</f>
        <v>333.333333333333</v>
      </c>
      <c r="J99" s="100" t="n">
        <f aca="false">J97+J98</f>
        <v>333.333333333333</v>
      </c>
      <c r="K99" s="100" t="n">
        <f aca="false">K97+K98</f>
        <v>363.280667725478</v>
      </c>
      <c r="L99" s="100" t="n">
        <f aca="false">L97+L98</f>
        <v>424.816837759668</v>
      </c>
      <c r="M99" s="100" t="n">
        <f aca="false">M97+M98</f>
        <v>465.222604535034</v>
      </c>
      <c r="N99" s="100" t="n">
        <f aca="false">N97+N98</f>
        <v>521.437045402029</v>
      </c>
      <c r="O99" s="100" t="n">
        <f aca="false">O97+O98</f>
        <v>473.107486269023</v>
      </c>
      <c r="P99" s="100" t="n">
        <f aca="false">P97+P98</f>
        <v>477.017810834674</v>
      </c>
      <c r="Q99" s="100" t="n">
        <f aca="false">Q97+Q98</f>
        <v>527.154535400326</v>
      </c>
      <c r="R99" s="100" t="n">
        <f aca="false">R97+R98</f>
        <v>577.291259965977</v>
      </c>
      <c r="S99" s="100" t="n">
        <f aca="false">S97+S98</f>
        <v>627.427984531628</v>
      </c>
      <c r="T99" s="100" t="n">
        <f aca="false">T97+T98</f>
        <v>677.56470909728</v>
      </c>
      <c r="U99" s="100" t="n">
        <f aca="false">U97+U98</f>
        <v>681.475033662931</v>
      </c>
      <c r="V99" s="100" t="n">
        <f aca="false">V97+V98</f>
        <v>677.227758228582</v>
      </c>
      <c r="W99" s="100" t="n">
        <f aca="false">W97+W98</f>
        <v>727.364482794234</v>
      </c>
      <c r="X99" s="100" t="n">
        <f aca="false">X97+X98</f>
        <v>761.692533268258</v>
      </c>
      <c r="Y99" s="100" t="n">
        <f aca="false">Y97+Y98</f>
        <v>796.020583742282</v>
      </c>
      <c r="Z99" s="100" t="n">
        <f aca="false">Z97+Z98</f>
        <v>824.588924579655</v>
      </c>
      <c r="AA99" s="100" t="n">
        <f aca="false">AA97+AA98</f>
        <v>2474.1873080837</v>
      </c>
      <c r="AB99" s="100" t="n">
        <f aca="false">AB97+AB98</f>
        <v>2449.58690136551</v>
      </c>
      <c r="AC99" s="100" t="n">
        <f aca="false">AC97+AC98</f>
        <v>2472.59968664733</v>
      </c>
      <c r="AD99" s="100" t="n">
        <f aca="false">AD97+AD98</f>
        <v>2495.61247192915</v>
      </c>
      <c r="AE99" s="100" t="n">
        <f aca="false">AE97+AE98</f>
        <v>2518.62525721096</v>
      </c>
      <c r="AF99" s="100" t="n">
        <f aca="false">AF97+AF98</f>
        <v>2541.63804249278</v>
      </c>
      <c r="AG99" s="100" t="n">
        <f aca="false">AG97+AG98</f>
        <v>2564.6508277746</v>
      </c>
      <c r="AH99" s="100" t="n">
        <f aca="false">AH97+AH98</f>
        <v>2587.66361305642</v>
      </c>
      <c r="AI99" s="100" t="n">
        <f aca="false">AI97+AI98</f>
        <v>2610.67639833824</v>
      </c>
      <c r="AJ99" s="100" t="n">
        <f aca="false">AJ97+AJ98</f>
        <v>2633.68918362005</v>
      </c>
      <c r="AK99" s="100" t="n">
        <f aca="false">AK97+AK98</f>
        <v>2656.70196890187</v>
      </c>
      <c r="AL99" s="100" t="n">
        <f aca="false">AL97+AL98</f>
        <v>2632.10156218369</v>
      </c>
      <c r="AM99" s="100" t="n">
        <f aca="false">AM97+AM98</f>
        <v>2606.4398332255</v>
      </c>
      <c r="AN99" s="100" t="n">
        <f aca="false">AN97+AN98</f>
        <v>2629.45261850732</v>
      </c>
      <c r="AO99" s="100" t="n">
        <f aca="false">AO97+AO98</f>
        <v>2652.46540378914</v>
      </c>
      <c r="AP99" s="100" t="n">
        <f aca="false">AP97+AP98</f>
        <v>2675.47818907096</v>
      </c>
      <c r="AQ99" s="100" t="n">
        <f aca="false">AQ97+AQ98</f>
        <v>2698.49097435277</v>
      </c>
      <c r="AR99" s="100" t="n">
        <f aca="false">AR97+AR98</f>
        <v>2721.50375963459</v>
      </c>
      <c r="AS99" s="100" t="n">
        <f aca="false">AS97+AS98</f>
        <v>2715.94820407904</v>
      </c>
      <c r="AT99" s="100" t="n">
        <f aca="false">AT97+AT98</f>
        <v>2710.39264852348</v>
      </c>
      <c r="AU99" s="100" t="n">
        <f aca="false">AU97+AU98</f>
        <v>2704.83709296793</v>
      </c>
      <c r="AV99" s="100" t="n">
        <f aca="false">AV97+AV98</f>
        <v>2699.28153741237</v>
      </c>
      <c r="AW99" s="100" t="n">
        <f aca="false">AW97+AW98</f>
        <v>2693.72598185681</v>
      </c>
      <c r="AX99" s="100" t="n">
        <f aca="false">AX97+AX98</f>
        <v>2688.17042630126</v>
      </c>
      <c r="AY99" s="100" t="n">
        <f aca="false">AY97+AY98</f>
        <v>2633.6681210785</v>
      </c>
      <c r="AZ99" s="100" t="n">
        <f aca="false">AZ97+AZ98</f>
        <v>2628.11256552295</v>
      </c>
      <c r="BA99" s="100" t="n">
        <f aca="false">BA97+BA98</f>
        <v>2622.55700996739</v>
      </c>
      <c r="BB99" s="100" t="n">
        <f aca="false">BB97+BB98</f>
        <v>2617.00145441184</v>
      </c>
      <c r="BC99" s="100" t="n">
        <f aca="false">BC97+BC98</f>
        <v>2611.44589885628</v>
      </c>
      <c r="BD99" s="100" t="n">
        <f aca="false">BD97+BD98</f>
        <v>2605.89034330073</v>
      </c>
      <c r="BE99" s="100" t="n">
        <f aca="false">BE97+BE98</f>
        <v>2600.33478774517</v>
      </c>
      <c r="BF99" s="100" t="n">
        <f aca="false">BF97+BF98</f>
        <v>2594.77923218961</v>
      </c>
      <c r="BG99" s="100" t="n">
        <f aca="false">BG97+BG98</f>
        <v>2589.22367663406</v>
      </c>
      <c r="BH99" s="100" t="n">
        <f aca="false">BH97+BH98</f>
        <v>2583.6681210785</v>
      </c>
      <c r="BI99" s="100" t="n">
        <f aca="false">BI97+BI98</f>
        <v>2578.11256552295</v>
      </c>
      <c r="BJ99" s="100" t="n">
        <f aca="false">BJ97+BJ98</f>
        <v>2572.55700996739</v>
      </c>
      <c r="BK99" s="100" t="n">
        <f aca="false">BK97+BK98</f>
        <v>2517.77430225462</v>
      </c>
      <c r="BL99" s="100" t="n">
        <f aca="false">BL97+BL98</f>
        <v>2512.21874669907</v>
      </c>
      <c r="BM99" s="100" t="n">
        <f aca="false">BM97+BM98</f>
        <v>2506.66319114351</v>
      </c>
      <c r="BN99" s="100" t="n">
        <f aca="false">BN97+BN98</f>
        <v>2501.10763558795</v>
      </c>
      <c r="BO99" s="100" t="n">
        <f aca="false">BO97+BO98</f>
        <v>2495.5520800324</v>
      </c>
      <c r="BP99" s="100" t="n">
        <f aca="false">BP97+BP98</f>
        <v>2489.99652447684</v>
      </c>
      <c r="BQ99" s="100" t="n">
        <f aca="false">BQ97+BQ98</f>
        <v>2484.44096892129</v>
      </c>
      <c r="BR99" s="100" t="n">
        <f aca="false">BR97+BR98</f>
        <v>2478.88541336573</v>
      </c>
      <c r="BS99" s="100" t="n">
        <f aca="false">BS97+BS98</f>
        <v>2473.32985781018</v>
      </c>
      <c r="BT99" s="100" t="n">
        <f aca="false">BT97+BT98</f>
        <v>2467.77430225462</v>
      </c>
      <c r="BU99" s="100" t="n">
        <f aca="false">BU97+BU98</f>
        <v>2462.21874669907</v>
      </c>
      <c r="BV99" s="100" t="n">
        <f aca="false">BV97+BV98</f>
        <v>2456.66319114351</v>
      </c>
      <c r="BW99" s="100" t="n">
        <f aca="false">BW97+BW98</f>
        <v>2401.59166886602</v>
      </c>
      <c r="BX99" s="100" t="n">
        <f aca="false">BX97+BX98</f>
        <v>2396.03611331047</v>
      </c>
      <c r="BY99" s="100" t="n">
        <f aca="false">BY97+BY98</f>
        <v>2390.48055775491</v>
      </c>
      <c r="BZ99" s="100" t="n">
        <f aca="false">BZ97+BZ98</f>
        <v>2384.92500219935</v>
      </c>
      <c r="CA99" s="100" t="n">
        <f aca="false">CA97+CA98</f>
        <v>2379.3694466438</v>
      </c>
      <c r="CB99" s="100" t="n">
        <f aca="false">CB97+CB98</f>
        <v>2373.81389108824</v>
      </c>
      <c r="CC99" s="100" t="n">
        <f aca="false">CC97+CC98</f>
        <v>2368.25833553269</v>
      </c>
      <c r="CD99" s="100" t="n">
        <f aca="false">CD97+CD98</f>
        <v>2362.70277997713</v>
      </c>
      <c r="CE99" s="100" t="n">
        <f aca="false">CE97+CE98</f>
        <v>2357.14722442158</v>
      </c>
      <c r="CF99" s="100" t="n">
        <f aca="false">CF97+CF98</f>
        <v>2351.59166886602</v>
      </c>
      <c r="CG99" s="100" t="n">
        <f aca="false">CG97+CG98</f>
        <v>2346.03611331047</v>
      </c>
      <c r="CH99" s="100" t="n">
        <f aca="false">CH97+CH98</f>
        <v>2340.48055775485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6" t="s">
        <v>572</v>
      </c>
      <c r="C101" s="100" t="n">
        <f aca="false">Hipótesis!$D$113*(1-Hipótesis!$D$117)</f>
        <v>0</v>
      </c>
      <c r="D101" s="100" t="n">
        <f aca="false">C101-C102</f>
        <v>0</v>
      </c>
      <c r="E101" s="100" t="n">
        <f aca="false">D101-D102</f>
        <v>0</v>
      </c>
      <c r="F101" s="100" t="n">
        <f aca="false">E101-E102</f>
        <v>0</v>
      </c>
      <c r="G101" s="100" t="n">
        <f aca="false">F101-F102</f>
        <v>0</v>
      </c>
      <c r="H101" s="100" t="n">
        <f aca="false">G101-G102</f>
        <v>0</v>
      </c>
      <c r="I101" s="100" t="n">
        <f aca="false">H101-H102</f>
        <v>0</v>
      </c>
      <c r="J101" s="100" t="n">
        <f aca="false">I101-I102</f>
        <v>0</v>
      </c>
      <c r="K101" s="100" t="n">
        <f aca="false">J101-J102</f>
        <v>0</v>
      </c>
      <c r="L101" s="100" t="n">
        <f aca="false">K101-K102</f>
        <v>0</v>
      </c>
      <c r="M101" s="100" t="n">
        <f aca="false">L101-L102</f>
        <v>0</v>
      </c>
      <c r="N101" s="100" t="n">
        <f aca="false">M101-M102</f>
        <v>0</v>
      </c>
      <c r="O101" s="100" t="n">
        <f aca="false">N101-N102</f>
        <v>0</v>
      </c>
      <c r="P101" s="100" t="n">
        <f aca="false">O101-O102</f>
        <v>0</v>
      </c>
      <c r="Q101" s="100" t="n">
        <f aca="false">P101-P102</f>
        <v>0</v>
      </c>
      <c r="R101" s="100" t="n">
        <f aca="false">Q101-Q102</f>
        <v>0</v>
      </c>
      <c r="S101" s="100" t="n">
        <f aca="false">R101-R102</f>
        <v>0</v>
      </c>
      <c r="T101" s="100" t="n">
        <f aca="false">S101-S102</f>
        <v>0</v>
      </c>
      <c r="U101" s="100" t="n">
        <f aca="false">T101-T102</f>
        <v>0</v>
      </c>
      <c r="V101" s="100" t="n">
        <f aca="false">U101-U102</f>
        <v>0</v>
      </c>
      <c r="W101" s="100" t="n">
        <f aca="false">V101-V102</f>
        <v>0</v>
      </c>
      <c r="X101" s="100" t="n">
        <f aca="false">W101-W102</f>
        <v>0</v>
      </c>
      <c r="Y101" s="100" t="n">
        <f aca="false">X101-X102</f>
        <v>0</v>
      </c>
      <c r="Z101" s="100" t="n">
        <f aca="false">Y101-Y102</f>
        <v>0</v>
      </c>
      <c r="AA101" s="100" t="n">
        <f aca="false">Z101-Z102</f>
        <v>0</v>
      </c>
      <c r="AB101" s="100" t="n">
        <f aca="false">AA101-AA102</f>
        <v>0</v>
      </c>
      <c r="AC101" s="100" t="n">
        <f aca="false">AB101-AB102</f>
        <v>0</v>
      </c>
      <c r="AD101" s="100" t="n">
        <f aca="false">AC101-AC102</f>
        <v>0</v>
      </c>
      <c r="AE101" s="100" t="n">
        <f aca="false">AD101-AD102</f>
        <v>0</v>
      </c>
      <c r="AF101" s="100" t="n">
        <f aca="false">AE101-AE102</f>
        <v>0</v>
      </c>
      <c r="AG101" s="100" t="n">
        <f aca="false">AF101-AF102</f>
        <v>0</v>
      </c>
      <c r="AH101" s="100" t="n">
        <f aca="false">AG101-AG102</f>
        <v>0</v>
      </c>
      <c r="AI101" s="100" t="n">
        <f aca="false">AH101-AH102</f>
        <v>0</v>
      </c>
      <c r="AJ101" s="100" t="n">
        <f aca="false">AI101-AI102</f>
        <v>0</v>
      </c>
      <c r="AK101" s="100" t="n">
        <f aca="false">AJ101-AJ102</f>
        <v>0</v>
      </c>
      <c r="AL101" s="100" t="n">
        <f aca="false">AK101-AK102</f>
        <v>0</v>
      </c>
      <c r="AM101" s="100" t="n">
        <f aca="false">AL101-AL102</f>
        <v>0</v>
      </c>
      <c r="AN101" s="100" t="n">
        <f aca="false">AM101-AM102</f>
        <v>0</v>
      </c>
      <c r="AO101" s="100" t="n">
        <f aca="false">AN101-AN102</f>
        <v>0</v>
      </c>
      <c r="AP101" s="100" t="n">
        <f aca="false">AO101-AO102</f>
        <v>0</v>
      </c>
      <c r="AQ101" s="100" t="n">
        <f aca="false">AP101-AP102</f>
        <v>0</v>
      </c>
      <c r="AR101" s="100" t="n">
        <f aca="false">AQ101-AQ102</f>
        <v>0</v>
      </c>
      <c r="AS101" s="100" t="n">
        <f aca="false">AR101-AR102</f>
        <v>0</v>
      </c>
      <c r="AT101" s="100" t="n">
        <f aca="false">AS101-AS102</f>
        <v>0</v>
      </c>
      <c r="AU101" s="100" t="n">
        <f aca="false">AT101-AT102</f>
        <v>0</v>
      </c>
      <c r="AV101" s="100" t="n">
        <f aca="false">AU101-AU102</f>
        <v>0</v>
      </c>
      <c r="AW101" s="100" t="n">
        <f aca="false">AV101-AV102</f>
        <v>0</v>
      </c>
      <c r="AX101" s="100" t="n">
        <f aca="false">AW101-AW102</f>
        <v>0</v>
      </c>
      <c r="AY101" s="100" t="n">
        <f aca="false">AX101-AX102</f>
        <v>0</v>
      </c>
      <c r="AZ101" s="100" t="n">
        <f aca="false">AY101-AY102</f>
        <v>0</v>
      </c>
      <c r="BA101" s="100" t="n">
        <f aca="false">AZ101-AZ102</f>
        <v>0</v>
      </c>
      <c r="BB101" s="100" t="n">
        <f aca="false">BA101-BA102</f>
        <v>0</v>
      </c>
      <c r="BC101" s="100" t="n">
        <f aca="false">BB101-BB102</f>
        <v>0</v>
      </c>
      <c r="BD101" s="100" t="n">
        <f aca="false">BC101-BC102</f>
        <v>0</v>
      </c>
      <c r="BE101" s="100" t="n">
        <f aca="false">BD101-BD102</f>
        <v>0</v>
      </c>
      <c r="BF101" s="100" t="n">
        <f aca="false">BE101-BE102</f>
        <v>0</v>
      </c>
      <c r="BG101" s="100" t="n">
        <f aca="false">BF101-BF102</f>
        <v>0</v>
      </c>
      <c r="BH101" s="100" t="n">
        <f aca="false">BG101-BG102</f>
        <v>0</v>
      </c>
      <c r="BI101" s="100" t="n">
        <f aca="false">BH101-BH102</f>
        <v>0</v>
      </c>
      <c r="BJ101" s="100" t="n">
        <f aca="false">BI101-BI102</f>
        <v>0</v>
      </c>
      <c r="BK101" s="100" t="n">
        <f aca="false">BJ101-BJ102</f>
        <v>0</v>
      </c>
      <c r="BL101" s="100" t="n">
        <f aca="false">BK101-BK102</f>
        <v>0</v>
      </c>
      <c r="BM101" s="100" t="n">
        <f aca="false">BL101-BL102</f>
        <v>0</v>
      </c>
      <c r="BN101" s="100" t="n">
        <f aca="false">BM101-BM102</f>
        <v>0</v>
      </c>
      <c r="BO101" s="100" t="n">
        <f aca="false">BN101-BN102</f>
        <v>0</v>
      </c>
      <c r="BP101" s="100" t="n">
        <f aca="false">BO101-BO102</f>
        <v>0</v>
      </c>
      <c r="BQ101" s="100" t="n">
        <f aca="false">BP101-BP102</f>
        <v>0</v>
      </c>
      <c r="BR101" s="100" t="n">
        <f aca="false">BQ101-BQ102</f>
        <v>0</v>
      </c>
      <c r="BS101" s="100" t="n">
        <f aca="false">BR101-BR102</f>
        <v>0</v>
      </c>
      <c r="BT101" s="100" t="n">
        <f aca="false">BS101-BS102</f>
        <v>0</v>
      </c>
      <c r="BU101" s="100" t="n">
        <f aca="false">BT101-BT102</f>
        <v>0</v>
      </c>
      <c r="BV101" s="100" t="n">
        <f aca="false">BU101-BU102</f>
        <v>0</v>
      </c>
      <c r="BW101" s="100" t="n">
        <f aca="false">BV101-BV102</f>
        <v>0</v>
      </c>
      <c r="BX101" s="100" t="n">
        <f aca="false">BW101-BW102</f>
        <v>0</v>
      </c>
      <c r="BY101" s="100" t="n">
        <f aca="false">BX101-BX102</f>
        <v>0</v>
      </c>
      <c r="BZ101" s="100" t="n">
        <f aca="false">BY101-BY102</f>
        <v>0</v>
      </c>
      <c r="CA101" s="100" t="n">
        <f aca="false">BZ101-BZ102</f>
        <v>0</v>
      </c>
      <c r="CB101" s="100" t="n">
        <f aca="false">CA101-CA102</f>
        <v>0</v>
      </c>
      <c r="CC101" s="100" t="n">
        <f aca="false">CB101-CB102</f>
        <v>0</v>
      </c>
      <c r="CD101" s="100" t="n">
        <f aca="false">CC101-CC102</f>
        <v>0</v>
      </c>
      <c r="CE101" s="100" t="n">
        <f aca="false">CD101-CD102</f>
        <v>0</v>
      </c>
      <c r="CF101" s="100" t="n">
        <f aca="false">CE101-CE102</f>
        <v>0</v>
      </c>
      <c r="CG101" s="100" t="n">
        <f aca="false">CF101-CF102</f>
        <v>0</v>
      </c>
      <c r="CH101" s="100" t="n">
        <f aca="false">CG101-CG102</f>
        <v>0</v>
      </c>
    </row>
    <row r="102" customFormat="false" ht="13.5" hidden="false" customHeight="true" outlineLevel="0" collapsed="false">
      <c r="A102" s="6" t="s">
        <v>573</v>
      </c>
      <c r="C102" s="100" t="n">
        <f aca="false">IF(1&lt;=Hipótesis!$D$116,0,IF(C101&gt;0,MIN(C101,Hipótesis!$D$113*(1-Hipótesis!$D$117)/MAX(Hipótesis!$D$115-Hipótesis!$D$116,1)),0))</f>
        <v>0</v>
      </c>
      <c r="D102" s="100" t="n">
        <f aca="false">IF(2&lt;=Hipótesis!$D$116,0,IF(D101&gt;0,MIN(D101,Hipótesis!$D$113*(1-Hipótesis!$D$117)/MAX(Hipótesis!$D$115-Hipótesis!$D$116,1)),0))</f>
        <v>0</v>
      </c>
      <c r="E102" s="100" t="n">
        <f aca="false">IF(3&lt;=Hipótesis!$D$116,0,IF(E101&gt;0,MIN(E101,Hipótesis!$D$113*(1-Hipótesis!$D$117)/MAX(Hipótesis!$D$115-Hipótesis!$D$116,1)),0))</f>
        <v>0</v>
      </c>
      <c r="F102" s="100" t="n">
        <f aca="false">IF(4&lt;=Hipótesis!$D$116,0,IF(F101&gt;0,MIN(F101,Hipótesis!$D$113*(1-Hipótesis!$D$117)/MAX(Hipótesis!$D$115-Hipótesis!$D$116,1)),0))</f>
        <v>0</v>
      </c>
      <c r="G102" s="100" t="n">
        <f aca="false">IF(5&lt;=Hipótesis!$D$116,0,IF(G101&gt;0,MIN(G101,Hipótesis!$D$113*(1-Hipótesis!$D$117)/MAX(Hipótesis!$D$115-Hipótesis!$D$116,1)),0))</f>
        <v>0</v>
      </c>
      <c r="H102" s="100" t="n">
        <f aca="false">IF(6&lt;=Hipótesis!$D$116,0,IF(H101&gt;0,MIN(H101,Hipótesis!$D$113*(1-Hipótesis!$D$117)/MAX(Hipótesis!$D$115-Hipótesis!$D$116,1)),0))</f>
        <v>0</v>
      </c>
      <c r="I102" s="100" t="n">
        <f aca="false">IF(7&lt;=Hipótesis!$D$116,0,IF(I101&gt;0,MIN(I101,Hipótesis!$D$113*(1-Hipótesis!$D$117)/MAX(Hipótesis!$D$115-Hipótesis!$D$116,1)),0))</f>
        <v>0</v>
      </c>
      <c r="J102" s="100" t="n">
        <f aca="false">IF(8&lt;=Hipótesis!$D$116,0,IF(J101&gt;0,MIN(J101,Hipótesis!$D$113*(1-Hipótesis!$D$117)/MAX(Hipótesis!$D$115-Hipótesis!$D$116,1)),0))</f>
        <v>0</v>
      </c>
      <c r="K102" s="100" t="n">
        <f aca="false">IF(9&lt;=Hipótesis!$D$116,0,IF(K101&gt;0,MIN(K101,Hipótesis!$D$113*(1-Hipótesis!$D$117)/MAX(Hipótesis!$D$115-Hipótesis!$D$116,1)),0))</f>
        <v>0</v>
      </c>
      <c r="L102" s="100" t="n">
        <f aca="false">IF(10&lt;=Hipótesis!$D$116,0,IF(L101&gt;0,MIN(L101,Hipótesis!$D$113*(1-Hipótesis!$D$117)/MAX(Hipótesis!$D$115-Hipótesis!$D$116,1)),0))</f>
        <v>0</v>
      </c>
      <c r="M102" s="100" t="n">
        <f aca="false">IF(11&lt;=Hipótesis!$D$116,0,IF(M101&gt;0,MIN(M101,Hipótesis!$D$113*(1-Hipótesis!$D$117)/MAX(Hipótesis!$D$115-Hipótesis!$D$116,1)),0))</f>
        <v>0</v>
      </c>
      <c r="N102" s="100" t="n">
        <f aca="false">IF(12&lt;=Hipótesis!$D$116,0,IF(N101&gt;0,MIN(N101,Hipótesis!$D$113*(1-Hipótesis!$D$117)/MAX(Hipótesis!$D$115-Hipótesis!$D$116,1)),0))</f>
        <v>0</v>
      </c>
      <c r="O102" s="100" t="n">
        <f aca="false">IF(13&lt;=Hipótesis!$D$116,0,IF(O101&gt;0,MIN(O101,Hipótesis!$D$113*(1-Hipótesis!$D$117)/MAX(Hipótesis!$D$115-Hipótesis!$D$116,1)),0))</f>
        <v>0</v>
      </c>
      <c r="P102" s="100" t="n">
        <f aca="false">IF(14&lt;=Hipótesis!$D$116,0,IF(P101&gt;0,MIN(P101,Hipótesis!$D$113*(1-Hipótesis!$D$117)/MAX(Hipótesis!$D$115-Hipótesis!$D$116,1)),0))</f>
        <v>0</v>
      </c>
      <c r="Q102" s="100" t="n">
        <f aca="false">IF(15&lt;=Hipótesis!$D$116,0,IF(Q101&gt;0,MIN(Q101,Hipótesis!$D$113*(1-Hipótesis!$D$117)/MAX(Hipótesis!$D$115-Hipótesis!$D$116,1)),0))</f>
        <v>0</v>
      </c>
      <c r="R102" s="100" t="n">
        <f aca="false">IF(16&lt;=Hipótesis!$D$116,0,IF(R101&gt;0,MIN(R101,Hipótesis!$D$113*(1-Hipótesis!$D$117)/MAX(Hipótesis!$D$115-Hipótesis!$D$116,1)),0))</f>
        <v>0</v>
      </c>
      <c r="S102" s="100" t="n">
        <f aca="false">IF(17&lt;=Hipótesis!$D$116,0,IF(S101&gt;0,MIN(S101,Hipótesis!$D$113*(1-Hipótesis!$D$117)/MAX(Hipótesis!$D$115-Hipótesis!$D$116,1)),0))</f>
        <v>0</v>
      </c>
      <c r="T102" s="100" t="n">
        <f aca="false">IF(18&lt;=Hipótesis!$D$116,0,IF(T101&gt;0,MIN(T101,Hipótesis!$D$113*(1-Hipótesis!$D$117)/MAX(Hipótesis!$D$115-Hipótesis!$D$116,1)),0))</f>
        <v>0</v>
      </c>
      <c r="U102" s="100" t="n">
        <f aca="false">IF(19&lt;=Hipótesis!$D$116,0,IF(U101&gt;0,MIN(U101,Hipótesis!$D$113*(1-Hipótesis!$D$117)/MAX(Hipótesis!$D$115-Hipótesis!$D$116,1)),0))</f>
        <v>0</v>
      </c>
      <c r="V102" s="100" t="n">
        <f aca="false">IF(20&lt;=Hipótesis!$D$116,0,IF(V101&gt;0,MIN(V101,Hipótesis!$D$113*(1-Hipótesis!$D$117)/MAX(Hipótesis!$D$115-Hipótesis!$D$116,1)),0))</f>
        <v>0</v>
      </c>
      <c r="W102" s="100" t="n">
        <f aca="false">IF(21&lt;=Hipótesis!$D$116,0,IF(W101&gt;0,MIN(W101,Hipótesis!$D$113*(1-Hipótesis!$D$117)/MAX(Hipótesis!$D$115-Hipótesis!$D$116,1)),0))</f>
        <v>0</v>
      </c>
      <c r="X102" s="100" t="n">
        <f aca="false">IF(22&lt;=Hipótesis!$D$116,0,IF(X101&gt;0,MIN(X101,Hipótesis!$D$113*(1-Hipótesis!$D$117)/MAX(Hipótesis!$D$115-Hipótesis!$D$116,1)),0))</f>
        <v>0</v>
      </c>
      <c r="Y102" s="100" t="n">
        <f aca="false">IF(23&lt;=Hipótesis!$D$116,0,IF(Y101&gt;0,MIN(Y101,Hipótesis!$D$113*(1-Hipótesis!$D$117)/MAX(Hipótesis!$D$115-Hipótesis!$D$116,1)),0))</f>
        <v>0</v>
      </c>
      <c r="Z102" s="100" t="n">
        <f aca="false">IF(24&lt;=Hipótesis!$D$116,0,IF(Z101&gt;0,MIN(Z101,Hipótesis!$D$113*(1-Hipótesis!$D$117)/MAX(Hipótesis!$D$115-Hipótesis!$D$116,1)),0))</f>
        <v>0</v>
      </c>
      <c r="AA102" s="100" t="n">
        <f aca="false">IF(25&lt;=Hipótesis!$D$116,0,IF(AA101&gt;0,MIN(AA101,Hipótesis!$D$113*(1-Hipótesis!$D$117)/MAX(Hipótesis!$D$115-Hipótesis!$D$116,1)),0))</f>
        <v>0</v>
      </c>
      <c r="AB102" s="100" t="n">
        <f aca="false">IF(26&lt;=Hipótesis!$D$116,0,IF(AB101&gt;0,MIN(AB101,Hipótesis!$D$113*(1-Hipótesis!$D$117)/MAX(Hipótesis!$D$115-Hipótesis!$D$116,1)),0))</f>
        <v>0</v>
      </c>
      <c r="AC102" s="100" t="n">
        <f aca="false">IF(27&lt;=Hipótesis!$D$116,0,IF(AC101&gt;0,MIN(AC101,Hipótesis!$D$113*(1-Hipótesis!$D$117)/MAX(Hipótesis!$D$115-Hipótesis!$D$116,1)),0))</f>
        <v>0</v>
      </c>
      <c r="AD102" s="100" t="n">
        <f aca="false">IF(28&lt;=Hipótesis!$D$116,0,IF(AD101&gt;0,MIN(AD101,Hipótesis!$D$113*(1-Hipótesis!$D$117)/MAX(Hipótesis!$D$115-Hipótesis!$D$116,1)),0))</f>
        <v>0</v>
      </c>
      <c r="AE102" s="100" t="n">
        <f aca="false">IF(29&lt;=Hipótesis!$D$116,0,IF(AE101&gt;0,MIN(AE101,Hipótesis!$D$113*(1-Hipótesis!$D$117)/MAX(Hipótesis!$D$115-Hipótesis!$D$116,1)),0))</f>
        <v>0</v>
      </c>
      <c r="AF102" s="100" t="n">
        <f aca="false">IF(30&lt;=Hipótesis!$D$116,0,IF(AF101&gt;0,MIN(AF101,Hipótesis!$D$113*(1-Hipótesis!$D$117)/MAX(Hipótesis!$D$115-Hipótesis!$D$116,1)),0))</f>
        <v>0</v>
      </c>
      <c r="AG102" s="100" t="n">
        <f aca="false">IF(31&lt;=Hipótesis!$D$116,0,IF(AG101&gt;0,MIN(AG101,Hipótesis!$D$113*(1-Hipótesis!$D$117)/MAX(Hipótesis!$D$115-Hipótesis!$D$116,1)),0))</f>
        <v>0</v>
      </c>
      <c r="AH102" s="100" t="n">
        <f aca="false">IF(32&lt;=Hipótesis!$D$116,0,IF(AH101&gt;0,MIN(AH101,Hipótesis!$D$113*(1-Hipótesis!$D$117)/MAX(Hipótesis!$D$115-Hipótesis!$D$116,1)),0))</f>
        <v>0</v>
      </c>
      <c r="AI102" s="100" t="n">
        <f aca="false">IF(33&lt;=Hipótesis!$D$116,0,IF(AI101&gt;0,MIN(AI101,Hipótesis!$D$113*(1-Hipótesis!$D$117)/MAX(Hipótesis!$D$115-Hipótesis!$D$116,1)),0))</f>
        <v>0</v>
      </c>
      <c r="AJ102" s="100" t="n">
        <f aca="false">IF(34&lt;=Hipótesis!$D$116,0,IF(AJ101&gt;0,MIN(AJ101,Hipótesis!$D$113*(1-Hipótesis!$D$117)/MAX(Hipótesis!$D$115-Hipótesis!$D$116,1)),0))</f>
        <v>0</v>
      </c>
      <c r="AK102" s="100" t="n">
        <f aca="false">IF(35&lt;=Hipótesis!$D$116,0,IF(AK101&gt;0,MIN(AK101,Hipótesis!$D$113*(1-Hipótesis!$D$117)/MAX(Hipótesis!$D$115-Hipótesis!$D$116,1)),0))</f>
        <v>0</v>
      </c>
      <c r="AL102" s="100" t="n">
        <f aca="false">IF(36&lt;=Hipótesis!$D$116,0,IF(AL101&gt;0,MIN(AL101,Hipótesis!$D$113*(1-Hipótesis!$D$117)/MAX(Hipótesis!$D$115-Hipótesis!$D$116,1)),0))</f>
        <v>0</v>
      </c>
      <c r="AM102" s="100" t="n">
        <f aca="false">IF(37&lt;=Hipótesis!$D$116,0,IF(AM101&gt;0,MIN(AM101,Hipótesis!$D$113*(1-Hipótesis!$D$117)/MAX(Hipótesis!$D$115-Hipótesis!$D$116,1)),0))</f>
        <v>0</v>
      </c>
      <c r="AN102" s="100" t="n">
        <f aca="false">IF(38&lt;=Hipótesis!$D$116,0,IF(AN101&gt;0,MIN(AN101,Hipótesis!$D$113*(1-Hipótesis!$D$117)/MAX(Hipótesis!$D$115-Hipótesis!$D$116,1)),0))</f>
        <v>0</v>
      </c>
      <c r="AO102" s="100" t="n">
        <f aca="false">IF(39&lt;=Hipótesis!$D$116,0,IF(AO101&gt;0,MIN(AO101,Hipótesis!$D$113*(1-Hipótesis!$D$117)/MAX(Hipótesis!$D$115-Hipótesis!$D$116,1)),0))</f>
        <v>0</v>
      </c>
      <c r="AP102" s="100" t="n">
        <f aca="false">IF(40&lt;=Hipótesis!$D$116,0,IF(AP101&gt;0,MIN(AP101,Hipótesis!$D$113*(1-Hipótesis!$D$117)/MAX(Hipótesis!$D$115-Hipótesis!$D$116,1)),0))</f>
        <v>0</v>
      </c>
      <c r="AQ102" s="100" t="n">
        <f aca="false">IF(41&lt;=Hipótesis!$D$116,0,IF(AQ101&gt;0,MIN(AQ101,Hipótesis!$D$113*(1-Hipótesis!$D$117)/MAX(Hipótesis!$D$115-Hipótesis!$D$116,1)),0))</f>
        <v>0</v>
      </c>
      <c r="AR102" s="100" t="n">
        <f aca="false">IF(42&lt;=Hipótesis!$D$116,0,IF(AR101&gt;0,MIN(AR101,Hipótesis!$D$113*(1-Hipótesis!$D$117)/MAX(Hipótesis!$D$115-Hipótesis!$D$116,1)),0))</f>
        <v>0</v>
      </c>
      <c r="AS102" s="100" t="n">
        <f aca="false">IF(43&lt;=Hipótesis!$D$116,0,IF(AS101&gt;0,MIN(AS101,Hipótesis!$D$113*(1-Hipótesis!$D$117)/MAX(Hipótesis!$D$115-Hipótesis!$D$116,1)),0))</f>
        <v>0</v>
      </c>
      <c r="AT102" s="100" t="n">
        <f aca="false">IF(44&lt;=Hipótesis!$D$116,0,IF(AT101&gt;0,MIN(AT101,Hipótesis!$D$113*(1-Hipótesis!$D$117)/MAX(Hipótesis!$D$115-Hipótesis!$D$116,1)),0))</f>
        <v>0</v>
      </c>
      <c r="AU102" s="100" t="n">
        <f aca="false">IF(45&lt;=Hipótesis!$D$116,0,IF(AU101&gt;0,MIN(AU101,Hipótesis!$D$113*(1-Hipótesis!$D$117)/MAX(Hipótesis!$D$115-Hipótesis!$D$116,1)),0))</f>
        <v>0</v>
      </c>
      <c r="AV102" s="100" t="n">
        <f aca="false">IF(46&lt;=Hipótesis!$D$116,0,IF(AV101&gt;0,MIN(AV101,Hipótesis!$D$113*(1-Hipótesis!$D$117)/MAX(Hipótesis!$D$115-Hipótesis!$D$116,1)),0))</f>
        <v>0</v>
      </c>
      <c r="AW102" s="100" t="n">
        <f aca="false">IF(47&lt;=Hipótesis!$D$116,0,IF(AW101&gt;0,MIN(AW101,Hipótesis!$D$113*(1-Hipótesis!$D$117)/MAX(Hipótesis!$D$115-Hipótesis!$D$116,1)),0))</f>
        <v>0</v>
      </c>
      <c r="AX102" s="100" t="n">
        <f aca="false">IF(48&lt;=Hipótesis!$D$116,0,IF(AX101&gt;0,MIN(AX101,Hipótesis!$D$113*(1-Hipótesis!$D$117)/MAX(Hipótesis!$D$115-Hipótesis!$D$116,1)),0))</f>
        <v>0</v>
      </c>
      <c r="AY102" s="100" t="n">
        <f aca="false">IF(49&lt;=Hipótesis!$D$116,0,IF(AY101&gt;0,MIN(AY101,Hipótesis!$D$113*(1-Hipótesis!$D$117)/MAX(Hipótesis!$D$115-Hipótesis!$D$116,1)),0))</f>
        <v>0</v>
      </c>
      <c r="AZ102" s="100" t="n">
        <f aca="false">IF(50&lt;=Hipótesis!$D$116,0,IF(AZ101&gt;0,MIN(AZ101,Hipótesis!$D$113*(1-Hipótesis!$D$117)/MAX(Hipótesis!$D$115-Hipótesis!$D$116,1)),0))</f>
        <v>0</v>
      </c>
      <c r="BA102" s="100" t="n">
        <f aca="false">IF(51&lt;=Hipótesis!$D$116,0,IF(BA101&gt;0,MIN(BA101,Hipótesis!$D$113*(1-Hipótesis!$D$117)/MAX(Hipótesis!$D$115-Hipótesis!$D$116,1)),0))</f>
        <v>0</v>
      </c>
      <c r="BB102" s="100" t="n">
        <f aca="false">IF(52&lt;=Hipótesis!$D$116,0,IF(BB101&gt;0,MIN(BB101,Hipótesis!$D$113*(1-Hipótesis!$D$117)/MAX(Hipótesis!$D$115-Hipótesis!$D$116,1)),0))</f>
        <v>0</v>
      </c>
      <c r="BC102" s="100" t="n">
        <f aca="false">IF(53&lt;=Hipótesis!$D$116,0,IF(BC101&gt;0,MIN(BC101,Hipótesis!$D$113*(1-Hipótesis!$D$117)/MAX(Hipótesis!$D$115-Hipótesis!$D$116,1)),0))</f>
        <v>0</v>
      </c>
      <c r="BD102" s="100" t="n">
        <f aca="false">IF(54&lt;=Hipótesis!$D$116,0,IF(BD101&gt;0,MIN(BD101,Hipótesis!$D$113*(1-Hipótesis!$D$117)/MAX(Hipótesis!$D$115-Hipótesis!$D$116,1)),0))</f>
        <v>0</v>
      </c>
      <c r="BE102" s="100" t="n">
        <f aca="false">IF(55&lt;=Hipótesis!$D$116,0,IF(BE101&gt;0,MIN(BE101,Hipótesis!$D$113*(1-Hipótesis!$D$117)/MAX(Hipótesis!$D$115-Hipótesis!$D$116,1)),0))</f>
        <v>0</v>
      </c>
      <c r="BF102" s="100" t="n">
        <f aca="false">IF(56&lt;=Hipótesis!$D$116,0,IF(BF101&gt;0,MIN(BF101,Hipótesis!$D$113*(1-Hipótesis!$D$117)/MAX(Hipótesis!$D$115-Hipótesis!$D$116,1)),0))</f>
        <v>0</v>
      </c>
      <c r="BG102" s="100" t="n">
        <f aca="false">IF(57&lt;=Hipótesis!$D$116,0,IF(BG101&gt;0,MIN(BG101,Hipótesis!$D$113*(1-Hipótesis!$D$117)/MAX(Hipótesis!$D$115-Hipótesis!$D$116,1)),0))</f>
        <v>0</v>
      </c>
      <c r="BH102" s="100" t="n">
        <f aca="false">IF(58&lt;=Hipótesis!$D$116,0,IF(BH101&gt;0,MIN(BH101,Hipótesis!$D$113*(1-Hipótesis!$D$117)/MAX(Hipótesis!$D$115-Hipótesis!$D$116,1)),0))</f>
        <v>0</v>
      </c>
      <c r="BI102" s="100" t="n">
        <f aca="false">IF(59&lt;=Hipótesis!$D$116,0,IF(BI101&gt;0,MIN(BI101,Hipótesis!$D$113*(1-Hipótesis!$D$117)/MAX(Hipótesis!$D$115-Hipótesis!$D$116,1)),0))</f>
        <v>0</v>
      </c>
      <c r="BJ102" s="100" t="n">
        <f aca="false">IF(60&lt;=Hipótesis!$D$116,0,IF(BJ101&gt;0,MIN(BJ101,Hipótesis!$D$113*(1-Hipótesis!$D$117)/MAX(Hipótesis!$D$115-Hipótesis!$D$116,1)),0))</f>
        <v>0</v>
      </c>
      <c r="BK102" s="100" t="n">
        <f aca="false">IF(61&lt;=Hipótesis!$D$116,0,IF(BK101&gt;0,MIN(BK101,Hipótesis!$D$113*(1-Hipótesis!$D$117)/MAX(Hipótesis!$D$115-Hipótesis!$D$116,1)),0))</f>
        <v>0</v>
      </c>
      <c r="BL102" s="100" t="n">
        <f aca="false">IF(62&lt;=Hipótesis!$D$116,0,IF(BL101&gt;0,MIN(BL101,Hipótesis!$D$113*(1-Hipótesis!$D$117)/MAX(Hipótesis!$D$115-Hipótesis!$D$116,1)),0))</f>
        <v>0</v>
      </c>
      <c r="BM102" s="100" t="n">
        <f aca="false">IF(63&lt;=Hipótesis!$D$116,0,IF(BM101&gt;0,MIN(BM101,Hipótesis!$D$113*(1-Hipótesis!$D$117)/MAX(Hipótesis!$D$115-Hipótesis!$D$116,1)),0))</f>
        <v>0</v>
      </c>
      <c r="BN102" s="100" t="n">
        <f aca="false">IF(64&lt;=Hipótesis!$D$116,0,IF(BN101&gt;0,MIN(BN101,Hipótesis!$D$113*(1-Hipótesis!$D$117)/MAX(Hipótesis!$D$115-Hipótesis!$D$116,1)),0))</f>
        <v>0</v>
      </c>
      <c r="BO102" s="100" t="n">
        <f aca="false">IF(65&lt;=Hipótesis!$D$116,0,IF(BO101&gt;0,MIN(BO101,Hipótesis!$D$113*(1-Hipótesis!$D$117)/MAX(Hipótesis!$D$115-Hipótesis!$D$116,1)),0))</f>
        <v>0</v>
      </c>
      <c r="BP102" s="100" t="n">
        <f aca="false">IF(66&lt;=Hipótesis!$D$116,0,IF(BP101&gt;0,MIN(BP101,Hipótesis!$D$113*(1-Hipótesis!$D$117)/MAX(Hipótesis!$D$115-Hipótesis!$D$116,1)),0))</f>
        <v>0</v>
      </c>
      <c r="BQ102" s="100" t="n">
        <f aca="false">IF(67&lt;=Hipótesis!$D$116,0,IF(BQ101&gt;0,MIN(BQ101,Hipótesis!$D$113*(1-Hipótesis!$D$117)/MAX(Hipótesis!$D$115-Hipótesis!$D$116,1)),0))</f>
        <v>0</v>
      </c>
      <c r="BR102" s="100" t="n">
        <f aca="false">IF(68&lt;=Hipótesis!$D$116,0,IF(BR101&gt;0,MIN(BR101,Hipótesis!$D$113*(1-Hipótesis!$D$117)/MAX(Hipótesis!$D$115-Hipótesis!$D$116,1)),0))</f>
        <v>0</v>
      </c>
      <c r="BS102" s="100" t="n">
        <f aca="false">IF(69&lt;=Hipótesis!$D$116,0,IF(BS101&gt;0,MIN(BS101,Hipótesis!$D$113*(1-Hipótesis!$D$117)/MAX(Hipótesis!$D$115-Hipótesis!$D$116,1)),0))</f>
        <v>0</v>
      </c>
      <c r="BT102" s="100" t="n">
        <f aca="false">IF(70&lt;=Hipótesis!$D$116,0,IF(BT101&gt;0,MIN(BT101,Hipótesis!$D$113*(1-Hipótesis!$D$117)/MAX(Hipótesis!$D$115-Hipótesis!$D$116,1)),0))</f>
        <v>0</v>
      </c>
      <c r="BU102" s="100" t="n">
        <f aca="false">IF(71&lt;=Hipótesis!$D$116,0,IF(BU101&gt;0,MIN(BU101,Hipótesis!$D$113*(1-Hipótesis!$D$117)/MAX(Hipótesis!$D$115-Hipótesis!$D$116,1)),0))</f>
        <v>0</v>
      </c>
      <c r="BV102" s="100" t="n">
        <f aca="false">IF(72&lt;=Hipótesis!$D$116,0,IF(BV101&gt;0,MIN(BV101,Hipótesis!$D$113*(1-Hipótesis!$D$117)/MAX(Hipótesis!$D$115-Hipótesis!$D$116,1)),0))</f>
        <v>0</v>
      </c>
      <c r="BW102" s="100" t="n">
        <f aca="false">IF(73&lt;=Hipótesis!$D$116,0,IF(BW101&gt;0,MIN(BW101,Hipótesis!$D$113*(1-Hipótesis!$D$117)/MAX(Hipótesis!$D$115-Hipótesis!$D$116,1)),0))</f>
        <v>0</v>
      </c>
      <c r="BX102" s="100" t="n">
        <f aca="false">IF(74&lt;=Hipótesis!$D$116,0,IF(BX101&gt;0,MIN(BX101,Hipótesis!$D$113*(1-Hipótesis!$D$117)/MAX(Hipótesis!$D$115-Hipótesis!$D$116,1)),0))</f>
        <v>0</v>
      </c>
      <c r="BY102" s="100" t="n">
        <f aca="false">IF(75&lt;=Hipótesis!$D$116,0,IF(BY101&gt;0,MIN(BY101,Hipótesis!$D$113*(1-Hipótesis!$D$117)/MAX(Hipótesis!$D$115-Hipótesis!$D$116,1)),0))</f>
        <v>0</v>
      </c>
      <c r="BZ102" s="100" t="n">
        <f aca="false">IF(76&lt;=Hipótesis!$D$116,0,IF(BZ101&gt;0,MIN(BZ101,Hipótesis!$D$113*(1-Hipótesis!$D$117)/MAX(Hipótesis!$D$115-Hipótesis!$D$116,1)),0))</f>
        <v>0</v>
      </c>
      <c r="CA102" s="100" t="n">
        <f aca="false">IF(77&lt;=Hipótesis!$D$116,0,IF(CA101&gt;0,MIN(CA101,Hipótesis!$D$113*(1-Hipótesis!$D$117)/MAX(Hipótesis!$D$115-Hipótesis!$D$116,1)),0))</f>
        <v>0</v>
      </c>
      <c r="CB102" s="100" t="n">
        <f aca="false">IF(78&lt;=Hipótesis!$D$116,0,IF(CB101&gt;0,MIN(CB101,Hipótesis!$D$113*(1-Hipótesis!$D$117)/MAX(Hipótesis!$D$115-Hipótesis!$D$116,1)),0))</f>
        <v>0</v>
      </c>
      <c r="CC102" s="100" t="n">
        <f aca="false">IF(79&lt;=Hipótesis!$D$116,0,IF(CC101&gt;0,MIN(CC101,Hipótesis!$D$113*(1-Hipótesis!$D$117)/MAX(Hipótesis!$D$115-Hipótesis!$D$116,1)),0))</f>
        <v>0</v>
      </c>
      <c r="CD102" s="100" t="n">
        <f aca="false">IF(80&lt;=Hipótesis!$D$116,0,IF(CD101&gt;0,MIN(CD101,Hipótesis!$D$113*(1-Hipótesis!$D$117)/MAX(Hipótesis!$D$115-Hipótesis!$D$116,1)),0))</f>
        <v>0</v>
      </c>
      <c r="CE102" s="100" t="n">
        <f aca="false">IF(81&lt;=Hipótesis!$D$116,0,IF(CE101&gt;0,MIN(CE101,Hipótesis!$D$113*(1-Hipótesis!$D$117)/MAX(Hipótesis!$D$115-Hipótesis!$D$116,1)),0))</f>
        <v>0</v>
      </c>
      <c r="CF102" s="100" t="n">
        <f aca="false">IF(82&lt;=Hipótesis!$D$116,0,IF(CF101&gt;0,MIN(CF101,Hipótesis!$D$113*(1-Hipótesis!$D$117)/MAX(Hipótesis!$D$115-Hipótesis!$D$116,1)),0))</f>
        <v>0</v>
      </c>
      <c r="CG102" s="100" t="n">
        <f aca="false">IF(83&lt;=Hipótesis!$D$116,0,IF(CG101&gt;0,MIN(CG101,Hipótesis!$D$113*(1-Hipótesis!$D$117)/MAX(Hipótesis!$D$115-Hipótesis!$D$116,1)),0))</f>
        <v>0</v>
      </c>
      <c r="CH102" s="100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6" t="s">
        <v>574</v>
      </c>
      <c r="C103" s="100" t="n">
        <f aca="false">C101*Hipótesis!$D$114/12</f>
        <v>0</v>
      </c>
      <c r="D103" s="100" t="n">
        <f aca="false">D101*Hipótesis!$D$114/12</f>
        <v>0</v>
      </c>
      <c r="E103" s="100" t="n">
        <f aca="false">E101*Hipótesis!$D$114/12</f>
        <v>0</v>
      </c>
      <c r="F103" s="100" t="n">
        <f aca="false">F101*Hipótesis!$D$114/12</f>
        <v>0</v>
      </c>
      <c r="G103" s="100" t="n">
        <f aca="false">G101*Hipótesis!$D$114/12</f>
        <v>0</v>
      </c>
      <c r="H103" s="100" t="n">
        <f aca="false">H101*Hipótesis!$D$114/12</f>
        <v>0</v>
      </c>
      <c r="I103" s="100" t="n">
        <f aca="false">I101*Hipótesis!$D$114/12</f>
        <v>0</v>
      </c>
      <c r="J103" s="100" t="n">
        <f aca="false">J101*Hipótesis!$D$114/12</f>
        <v>0</v>
      </c>
      <c r="K103" s="100" t="n">
        <f aca="false">K101*Hipótesis!$D$114/12</f>
        <v>0</v>
      </c>
      <c r="L103" s="100" t="n">
        <f aca="false">L101*Hipótesis!$D$114/12</f>
        <v>0</v>
      </c>
      <c r="M103" s="100" t="n">
        <f aca="false">M101*Hipótesis!$D$114/12</f>
        <v>0</v>
      </c>
      <c r="N103" s="100" t="n">
        <f aca="false">N101*Hipótesis!$D$114/12</f>
        <v>0</v>
      </c>
      <c r="O103" s="100" t="n">
        <f aca="false">O101*Hipótesis!$D$114/12</f>
        <v>0</v>
      </c>
      <c r="P103" s="100" t="n">
        <f aca="false">P101*Hipótesis!$D$114/12</f>
        <v>0</v>
      </c>
      <c r="Q103" s="100" t="n">
        <f aca="false">Q101*Hipótesis!$D$114/12</f>
        <v>0</v>
      </c>
      <c r="R103" s="100" t="n">
        <f aca="false">R101*Hipótesis!$D$114/12</f>
        <v>0</v>
      </c>
      <c r="S103" s="100" t="n">
        <f aca="false">S101*Hipótesis!$D$114/12</f>
        <v>0</v>
      </c>
      <c r="T103" s="100" t="n">
        <f aca="false">T101*Hipótesis!$D$114/12</f>
        <v>0</v>
      </c>
      <c r="U103" s="100" t="n">
        <f aca="false">U101*Hipótesis!$D$114/12</f>
        <v>0</v>
      </c>
      <c r="V103" s="100" t="n">
        <f aca="false">V101*Hipótesis!$D$114/12</f>
        <v>0</v>
      </c>
      <c r="W103" s="100" t="n">
        <f aca="false">W101*Hipótesis!$D$114/12</f>
        <v>0</v>
      </c>
      <c r="X103" s="100" t="n">
        <f aca="false">X101*Hipótesis!$D$114/12</f>
        <v>0</v>
      </c>
      <c r="Y103" s="100" t="n">
        <f aca="false">Y101*Hipótesis!$D$114/12</f>
        <v>0</v>
      </c>
      <c r="Z103" s="100" t="n">
        <f aca="false">Z101*Hipótesis!$D$114/12</f>
        <v>0</v>
      </c>
      <c r="AA103" s="100" t="n">
        <f aca="false">AA101*Hipótesis!$D$114/12</f>
        <v>0</v>
      </c>
      <c r="AB103" s="100" t="n">
        <f aca="false">AB101*Hipótesis!$D$114/12</f>
        <v>0</v>
      </c>
      <c r="AC103" s="100" t="n">
        <f aca="false">AC101*Hipótesis!$D$114/12</f>
        <v>0</v>
      </c>
      <c r="AD103" s="100" t="n">
        <f aca="false">AD101*Hipótesis!$D$114/12</f>
        <v>0</v>
      </c>
      <c r="AE103" s="100" t="n">
        <f aca="false">AE101*Hipótesis!$D$114/12</f>
        <v>0</v>
      </c>
      <c r="AF103" s="100" t="n">
        <f aca="false">AF101*Hipótesis!$D$114/12</f>
        <v>0</v>
      </c>
      <c r="AG103" s="100" t="n">
        <f aca="false">AG101*Hipótesis!$D$114/12</f>
        <v>0</v>
      </c>
      <c r="AH103" s="100" t="n">
        <f aca="false">AH101*Hipótesis!$D$114/12</f>
        <v>0</v>
      </c>
      <c r="AI103" s="100" t="n">
        <f aca="false">AI101*Hipótesis!$D$114/12</f>
        <v>0</v>
      </c>
      <c r="AJ103" s="100" t="n">
        <f aca="false">AJ101*Hipótesis!$D$114/12</f>
        <v>0</v>
      </c>
      <c r="AK103" s="100" t="n">
        <f aca="false">AK101*Hipótesis!$D$114/12</f>
        <v>0</v>
      </c>
      <c r="AL103" s="100" t="n">
        <f aca="false">AL101*Hipótesis!$D$114/12</f>
        <v>0</v>
      </c>
      <c r="AM103" s="100" t="n">
        <f aca="false">AM101*Hipótesis!$D$114/12</f>
        <v>0</v>
      </c>
      <c r="AN103" s="100" t="n">
        <f aca="false">AN101*Hipótesis!$D$114/12</f>
        <v>0</v>
      </c>
      <c r="AO103" s="100" t="n">
        <f aca="false">AO101*Hipótesis!$D$114/12</f>
        <v>0</v>
      </c>
      <c r="AP103" s="100" t="n">
        <f aca="false">AP101*Hipótesis!$D$114/12</f>
        <v>0</v>
      </c>
      <c r="AQ103" s="100" t="n">
        <f aca="false">AQ101*Hipótesis!$D$114/12</f>
        <v>0</v>
      </c>
      <c r="AR103" s="100" t="n">
        <f aca="false">AR101*Hipótesis!$D$114/12</f>
        <v>0</v>
      </c>
      <c r="AS103" s="100" t="n">
        <f aca="false">AS101*Hipótesis!$D$114/12</f>
        <v>0</v>
      </c>
      <c r="AT103" s="100" t="n">
        <f aca="false">AT101*Hipótesis!$D$114/12</f>
        <v>0</v>
      </c>
      <c r="AU103" s="100" t="n">
        <f aca="false">AU101*Hipótesis!$D$114/12</f>
        <v>0</v>
      </c>
      <c r="AV103" s="100" t="n">
        <f aca="false">AV101*Hipótesis!$D$114/12</f>
        <v>0</v>
      </c>
      <c r="AW103" s="100" t="n">
        <f aca="false">AW101*Hipótesis!$D$114/12</f>
        <v>0</v>
      </c>
      <c r="AX103" s="100" t="n">
        <f aca="false">AX101*Hipótesis!$D$114/12</f>
        <v>0</v>
      </c>
      <c r="AY103" s="100" t="n">
        <f aca="false">AY101*Hipótesis!$D$114/12</f>
        <v>0</v>
      </c>
      <c r="AZ103" s="100" t="n">
        <f aca="false">AZ101*Hipótesis!$D$114/12</f>
        <v>0</v>
      </c>
      <c r="BA103" s="100" t="n">
        <f aca="false">BA101*Hipótesis!$D$114/12</f>
        <v>0</v>
      </c>
      <c r="BB103" s="100" t="n">
        <f aca="false">BB101*Hipótesis!$D$114/12</f>
        <v>0</v>
      </c>
      <c r="BC103" s="100" t="n">
        <f aca="false">BC101*Hipótesis!$D$114/12</f>
        <v>0</v>
      </c>
      <c r="BD103" s="100" t="n">
        <f aca="false">BD101*Hipótesis!$D$114/12</f>
        <v>0</v>
      </c>
      <c r="BE103" s="100" t="n">
        <f aca="false">BE101*Hipótesis!$D$114/12</f>
        <v>0</v>
      </c>
      <c r="BF103" s="100" t="n">
        <f aca="false">BF101*Hipótesis!$D$114/12</f>
        <v>0</v>
      </c>
      <c r="BG103" s="100" t="n">
        <f aca="false">BG101*Hipótesis!$D$114/12</f>
        <v>0</v>
      </c>
      <c r="BH103" s="100" t="n">
        <f aca="false">BH101*Hipótesis!$D$114/12</f>
        <v>0</v>
      </c>
      <c r="BI103" s="100" t="n">
        <f aca="false">BI101*Hipótesis!$D$114/12</f>
        <v>0</v>
      </c>
      <c r="BJ103" s="100" t="n">
        <f aca="false">BJ101*Hipótesis!$D$114/12</f>
        <v>0</v>
      </c>
      <c r="BK103" s="100" t="n">
        <f aca="false">BK101*Hipótesis!$D$114/12</f>
        <v>0</v>
      </c>
      <c r="BL103" s="100" t="n">
        <f aca="false">BL101*Hipótesis!$D$114/12</f>
        <v>0</v>
      </c>
      <c r="BM103" s="100" t="n">
        <f aca="false">BM101*Hipótesis!$D$114/12</f>
        <v>0</v>
      </c>
      <c r="BN103" s="100" t="n">
        <f aca="false">BN101*Hipótesis!$D$114/12</f>
        <v>0</v>
      </c>
      <c r="BO103" s="100" t="n">
        <f aca="false">BO101*Hipótesis!$D$114/12</f>
        <v>0</v>
      </c>
      <c r="BP103" s="100" t="n">
        <f aca="false">BP101*Hipótesis!$D$114/12</f>
        <v>0</v>
      </c>
      <c r="BQ103" s="100" t="n">
        <f aca="false">BQ101*Hipótesis!$D$114/12</f>
        <v>0</v>
      </c>
      <c r="BR103" s="100" t="n">
        <f aca="false">BR101*Hipótesis!$D$114/12</f>
        <v>0</v>
      </c>
      <c r="BS103" s="100" t="n">
        <f aca="false">BS101*Hipótesis!$D$114/12</f>
        <v>0</v>
      </c>
      <c r="BT103" s="100" t="n">
        <f aca="false">BT101*Hipótesis!$D$114/12</f>
        <v>0</v>
      </c>
      <c r="BU103" s="100" t="n">
        <f aca="false">BU101*Hipótesis!$D$114/12</f>
        <v>0</v>
      </c>
      <c r="BV103" s="100" t="n">
        <f aca="false">BV101*Hipótesis!$D$114/12</f>
        <v>0</v>
      </c>
      <c r="BW103" s="100" t="n">
        <f aca="false">BW101*Hipótesis!$D$114/12</f>
        <v>0</v>
      </c>
      <c r="BX103" s="100" t="n">
        <f aca="false">BX101*Hipótesis!$D$114/12</f>
        <v>0</v>
      </c>
      <c r="BY103" s="100" t="n">
        <f aca="false">BY101*Hipótesis!$D$114/12</f>
        <v>0</v>
      </c>
      <c r="BZ103" s="100" t="n">
        <f aca="false">BZ101*Hipótesis!$D$114/12</f>
        <v>0</v>
      </c>
      <c r="CA103" s="100" t="n">
        <f aca="false">CA101*Hipótesis!$D$114/12</f>
        <v>0</v>
      </c>
      <c r="CB103" s="100" t="n">
        <f aca="false">CB101*Hipótesis!$D$114/12</f>
        <v>0</v>
      </c>
      <c r="CC103" s="100" t="n">
        <f aca="false">CC101*Hipótesis!$D$114/12</f>
        <v>0</v>
      </c>
      <c r="CD103" s="100" t="n">
        <f aca="false">CD101*Hipótesis!$D$114/12</f>
        <v>0</v>
      </c>
      <c r="CE103" s="100" t="n">
        <f aca="false">CE101*Hipótesis!$D$114/12</f>
        <v>0</v>
      </c>
      <c r="CF103" s="100" t="n">
        <f aca="false">CF101*Hipótesis!$D$114/12</f>
        <v>0</v>
      </c>
      <c r="CG103" s="100" t="n">
        <f aca="false">CG101*Hipótesis!$D$114/12</f>
        <v>0</v>
      </c>
      <c r="CH103" s="100" t="n">
        <f aca="false">CH101*Hipótesis!$D$114/12</f>
        <v>0</v>
      </c>
    </row>
    <row r="104" customFormat="false" ht="13.5" hidden="false" customHeight="true" outlineLevel="0" collapsed="false">
      <c r="A104" s="6" t="s">
        <v>575</v>
      </c>
      <c r="C104" s="100" t="n">
        <f aca="false">C102+C103</f>
        <v>0</v>
      </c>
      <c r="D104" s="100" t="n">
        <f aca="false">D102+D103</f>
        <v>0</v>
      </c>
      <c r="E104" s="100" t="n">
        <f aca="false">E102+E103</f>
        <v>0</v>
      </c>
      <c r="F104" s="100" t="n">
        <f aca="false">F102+F103</f>
        <v>0</v>
      </c>
      <c r="G104" s="100" t="n">
        <f aca="false">G102+G103</f>
        <v>0</v>
      </c>
      <c r="H104" s="100" t="n">
        <f aca="false">H102+H103</f>
        <v>0</v>
      </c>
      <c r="I104" s="100" t="n">
        <f aca="false">I102+I103</f>
        <v>0</v>
      </c>
      <c r="J104" s="100" t="n">
        <f aca="false">J102+J103</f>
        <v>0</v>
      </c>
      <c r="K104" s="100" t="n">
        <f aca="false">K102+K103</f>
        <v>0</v>
      </c>
      <c r="L104" s="100" t="n">
        <f aca="false">L102+L103</f>
        <v>0</v>
      </c>
      <c r="M104" s="100" t="n">
        <f aca="false">M102+M103</f>
        <v>0</v>
      </c>
      <c r="N104" s="100" t="n">
        <f aca="false">N102+N103</f>
        <v>0</v>
      </c>
      <c r="O104" s="100" t="n">
        <f aca="false">O102+O103</f>
        <v>0</v>
      </c>
      <c r="P104" s="100" t="n">
        <f aca="false">P102+P103</f>
        <v>0</v>
      </c>
      <c r="Q104" s="100" t="n">
        <f aca="false">Q102+Q103</f>
        <v>0</v>
      </c>
      <c r="R104" s="100" t="n">
        <f aca="false">R102+R103</f>
        <v>0</v>
      </c>
      <c r="S104" s="100" t="n">
        <f aca="false">S102+S103</f>
        <v>0</v>
      </c>
      <c r="T104" s="100" t="n">
        <f aca="false">T102+T103</f>
        <v>0</v>
      </c>
      <c r="U104" s="100" t="n">
        <f aca="false">U102+U103</f>
        <v>0</v>
      </c>
      <c r="V104" s="100" t="n">
        <f aca="false">V102+V103</f>
        <v>0</v>
      </c>
      <c r="W104" s="100" t="n">
        <f aca="false">W102+W103</f>
        <v>0</v>
      </c>
      <c r="X104" s="100" t="n">
        <f aca="false">X102+X103</f>
        <v>0</v>
      </c>
      <c r="Y104" s="100" t="n">
        <f aca="false">Y102+Y103</f>
        <v>0</v>
      </c>
      <c r="Z104" s="100" t="n">
        <f aca="false">Z102+Z103</f>
        <v>0</v>
      </c>
      <c r="AA104" s="100" t="n">
        <f aca="false">AA102+AA103</f>
        <v>0</v>
      </c>
      <c r="AB104" s="100" t="n">
        <f aca="false">AB102+AB103</f>
        <v>0</v>
      </c>
      <c r="AC104" s="100" t="n">
        <f aca="false">AC102+AC103</f>
        <v>0</v>
      </c>
      <c r="AD104" s="100" t="n">
        <f aca="false">AD102+AD103</f>
        <v>0</v>
      </c>
      <c r="AE104" s="100" t="n">
        <f aca="false">AE102+AE103</f>
        <v>0</v>
      </c>
      <c r="AF104" s="100" t="n">
        <f aca="false">AF102+AF103</f>
        <v>0</v>
      </c>
      <c r="AG104" s="100" t="n">
        <f aca="false">AG102+AG103</f>
        <v>0</v>
      </c>
      <c r="AH104" s="100" t="n">
        <f aca="false">AH102+AH103</f>
        <v>0</v>
      </c>
      <c r="AI104" s="100" t="n">
        <f aca="false">AI102+AI103</f>
        <v>0</v>
      </c>
      <c r="AJ104" s="100" t="n">
        <f aca="false">AJ102+AJ103</f>
        <v>0</v>
      </c>
      <c r="AK104" s="100" t="n">
        <f aca="false">AK102+AK103</f>
        <v>0</v>
      </c>
      <c r="AL104" s="100" t="n">
        <f aca="false">AL102+AL103</f>
        <v>0</v>
      </c>
      <c r="AM104" s="100" t="n">
        <f aca="false">AM102+AM103</f>
        <v>0</v>
      </c>
      <c r="AN104" s="100" t="n">
        <f aca="false">AN102+AN103</f>
        <v>0</v>
      </c>
      <c r="AO104" s="100" t="n">
        <f aca="false">AO102+AO103</f>
        <v>0</v>
      </c>
      <c r="AP104" s="100" t="n">
        <f aca="false">AP102+AP103</f>
        <v>0</v>
      </c>
      <c r="AQ104" s="100" t="n">
        <f aca="false">AQ102+AQ103</f>
        <v>0</v>
      </c>
      <c r="AR104" s="100" t="n">
        <f aca="false">AR102+AR103</f>
        <v>0</v>
      </c>
      <c r="AS104" s="100" t="n">
        <f aca="false">AS102+AS103</f>
        <v>0</v>
      </c>
      <c r="AT104" s="100" t="n">
        <f aca="false">AT102+AT103</f>
        <v>0</v>
      </c>
      <c r="AU104" s="100" t="n">
        <f aca="false">AU102+AU103</f>
        <v>0</v>
      </c>
      <c r="AV104" s="100" t="n">
        <f aca="false">AV102+AV103</f>
        <v>0</v>
      </c>
      <c r="AW104" s="100" t="n">
        <f aca="false">AW102+AW103</f>
        <v>0</v>
      </c>
      <c r="AX104" s="100" t="n">
        <f aca="false">AX102+AX103</f>
        <v>0</v>
      </c>
      <c r="AY104" s="100" t="n">
        <f aca="false">AY102+AY103</f>
        <v>0</v>
      </c>
      <c r="AZ104" s="100" t="n">
        <f aca="false">AZ102+AZ103</f>
        <v>0</v>
      </c>
      <c r="BA104" s="100" t="n">
        <f aca="false">BA102+BA103</f>
        <v>0</v>
      </c>
      <c r="BB104" s="100" t="n">
        <f aca="false">BB102+BB103</f>
        <v>0</v>
      </c>
      <c r="BC104" s="100" t="n">
        <f aca="false">BC102+BC103</f>
        <v>0</v>
      </c>
      <c r="BD104" s="100" t="n">
        <f aca="false">BD102+BD103</f>
        <v>0</v>
      </c>
      <c r="BE104" s="100" t="n">
        <f aca="false">BE102+BE103</f>
        <v>0</v>
      </c>
      <c r="BF104" s="100" t="n">
        <f aca="false">BF102+BF103</f>
        <v>0</v>
      </c>
      <c r="BG104" s="100" t="n">
        <f aca="false">BG102+BG103</f>
        <v>0</v>
      </c>
      <c r="BH104" s="100" t="n">
        <f aca="false">BH102+BH103</f>
        <v>0</v>
      </c>
      <c r="BI104" s="100" t="n">
        <f aca="false">BI102+BI103</f>
        <v>0</v>
      </c>
      <c r="BJ104" s="100" t="n">
        <f aca="false">BJ102+BJ103</f>
        <v>0</v>
      </c>
      <c r="BK104" s="100" t="n">
        <f aca="false">BK102+BK103</f>
        <v>0</v>
      </c>
      <c r="BL104" s="100" t="n">
        <f aca="false">BL102+BL103</f>
        <v>0</v>
      </c>
      <c r="BM104" s="100" t="n">
        <f aca="false">BM102+BM103</f>
        <v>0</v>
      </c>
      <c r="BN104" s="100" t="n">
        <f aca="false">BN102+BN103</f>
        <v>0</v>
      </c>
      <c r="BO104" s="100" t="n">
        <f aca="false">BO102+BO103</f>
        <v>0</v>
      </c>
      <c r="BP104" s="100" t="n">
        <f aca="false">BP102+BP103</f>
        <v>0</v>
      </c>
      <c r="BQ104" s="100" t="n">
        <f aca="false">BQ102+BQ103</f>
        <v>0</v>
      </c>
      <c r="BR104" s="100" t="n">
        <f aca="false">BR102+BR103</f>
        <v>0</v>
      </c>
      <c r="BS104" s="100" t="n">
        <f aca="false">BS102+BS103</f>
        <v>0</v>
      </c>
      <c r="BT104" s="100" t="n">
        <f aca="false">BT102+BT103</f>
        <v>0</v>
      </c>
      <c r="BU104" s="100" t="n">
        <f aca="false">BU102+BU103</f>
        <v>0</v>
      </c>
      <c r="BV104" s="100" t="n">
        <f aca="false">BV102+BV103</f>
        <v>0</v>
      </c>
      <c r="BW104" s="100" t="n">
        <f aca="false">BW102+BW103</f>
        <v>0</v>
      </c>
      <c r="BX104" s="100" t="n">
        <f aca="false">BX102+BX103</f>
        <v>0</v>
      </c>
      <c r="BY104" s="100" t="n">
        <f aca="false">BY102+BY103</f>
        <v>0</v>
      </c>
      <c r="BZ104" s="100" t="n">
        <f aca="false">BZ102+BZ103</f>
        <v>0</v>
      </c>
      <c r="CA104" s="100" t="n">
        <f aca="false">CA102+CA103</f>
        <v>0</v>
      </c>
      <c r="CB104" s="100" t="n">
        <f aca="false">CB102+CB103</f>
        <v>0</v>
      </c>
      <c r="CC104" s="100" t="n">
        <f aca="false">CC102+CC103</f>
        <v>0</v>
      </c>
      <c r="CD104" s="100" t="n">
        <f aca="false">CD102+CD103</f>
        <v>0</v>
      </c>
      <c r="CE104" s="100" t="n">
        <f aca="false">CE102+CE103</f>
        <v>0</v>
      </c>
      <c r="CF104" s="100" t="n">
        <f aca="false">CF102+CF103</f>
        <v>0</v>
      </c>
      <c r="CG104" s="100" t="n">
        <f aca="false">CG102+CG103</f>
        <v>0</v>
      </c>
      <c r="CH104" s="100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46" t="s">
        <v>576</v>
      </c>
      <c r="C106" s="63" t="n">
        <f aca="false">C93+C99+C104</f>
        <v>333.333333333333</v>
      </c>
      <c r="D106" s="63" t="n">
        <f aca="false">D93+D99+D104</f>
        <v>333.333333333333</v>
      </c>
      <c r="E106" s="63" t="n">
        <f aca="false">E93+E99+E104</f>
        <v>333.333333333333</v>
      </c>
      <c r="F106" s="63" t="n">
        <f aca="false">F93+F99+F104</f>
        <v>333.333333333333</v>
      </c>
      <c r="G106" s="63" t="n">
        <f aca="false">G93+G99+G104</f>
        <v>333.333333333333</v>
      </c>
      <c r="H106" s="63" t="n">
        <f aca="false">H93+H99+H104</f>
        <v>333.333333333333</v>
      </c>
      <c r="I106" s="63" t="n">
        <f aca="false">I93+I99+I104</f>
        <v>333.333333333333</v>
      </c>
      <c r="J106" s="63" t="n">
        <f aca="false">J93+J99+J104</f>
        <v>333.333333333333</v>
      </c>
      <c r="K106" s="63" t="n">
        <f aca="false">K93+K99+K104</f>
        <v>363.280667725478</v>
      </c>
      <c r="L106" s="63" t="n">
        <f aca="false">L93+L99+L104</f>
        <v>424.816837759668</v>
      </c>
      <c r="M106" s="63" t="n">
        <f aca="false">M93+M99+M104</f>
        <v>465.222604535034</v>
      </c>
      <c r="N106" s="63" t="n">
        <f aca="false">N93+N99+N104</f>
        <v>521.437045402029</v>
      </c>
      <c r="O106" s="63" t="n">
        <f aca="false">O93+O99+O104</f>
        <v>473.107486269023</v>
      </c>
      <c r="P106" s="63" t="n">
        <f aca="false">P93+P99+P104</f>
        <v>477.017810834674</v>
      </c>
      <c r="Q106" s="63" t="n">
        <f aca="false">Q93+Q99+Q104</f>
        <v>527.154535400326</v>
      </c>
      <c r="R106" s="63" t="n">
        <f aca="false">R93+R99+R104</f>
        <v>577.291259965977</v>
      </c>
      <c r="S106" s="63" t="n">
        <f aca="false">S93+S99+S104</f>
        <v>627.427984531628</v>
      </c>
      <c r="T106" s="63" t="n">
        <f aca="false">T93+T99+T104</f>
        <v>677.56470909728</v>
      </c>
      <c r="U106" s="63" t="n">
        <f aca="false">U93+U99+U104</f>
        <v>681.475033662931</v>
      </c>
      <c r="V106" s="63" t="n">
        <f aca="false">V93+V99+V104</f>
        <v>677.227758228582</v>
      </c>
      <c r="W106" s="63" t="n">
        <f aca="false">W93+W99+W104</f>
        <v>727.364482794234</v>
      </c>
      <c r="X106" s="63" t="n">
        <f aca="false">X93+X99+X104</f>
        <v>761.692533268258</v>
      </c>
      <c r="Y106" s="63" t="n">
        <f aca="false">Y93+Y99+Y104</f>
        <v>796.020583742282</v>
      </c>
      <c r="Z106" s="63" t="n">
        <f aca="false">Z93+Z99+Z104</f>
        <v>824.588924579655</v>
      </c>
      <c r="AA106" s="63" t="n">
        <f aca="false">AA93+AA99+AA104</f>
        <v>2474.1873080837</v>
      </c>
      <c r="AB106" s="63" t="n">
        <f aca="false">AB93+AB99+AB104</f>
        <v>2449.58690136551</v>
      </c>
      <c r="AC106" s="63" t="n">
        <f aca="false">AC93+AC99+AC104</f>
        <v>2472.59968664733</v>
      </c>
      <c r="AD106" s="63" t="n">
        <f aca="false">AD93+AD99+AD104</f>
        <v>2495.61247192915</v>
      </c>
      <c r="AE106" s="63" t="n">
        <f aca="false">AE93+AE99+AE104</f>
        <v>2518.62525721096</v>
      </c>
      <c r="AF106" s="63" t="n">
        <f aca="false">AF93+AF99+AF104</f>
        <v>2541.63804249278</v>
      </c>
      <c r="AG106" s="63" t="n">
        <f aca="false">AG93+AG99+AG104</f>
        <v>2564.6508277746</v>
      </c>
      <c r="AH106" s="63" t="n">
        <f aca="false">AH93+AH99+AH104</f>
        <v>2587.66361305642</v>
      </c>
      <c r="AI106" s="63" t="n">
        <f aca="false">AI93+AI99+AI104</f>
        <v>2610.67639833824</v>
      </c>
      <c r="AJ106" s="63" t="n">
        <f aca="false">AJ93+AJ99+AJ104</f>
        <v>2633.68918362005</v>
      </c>
      <c r="AK106" s="63" t="n">
        <f aca="false">AK93+AK99+AK104</f>
        <v>2656.70196890187</v>
      </c>
      <c r="AL106" s="63" t="n">
        <f aca="false">AL93+AL99+AL104</f>
        <v>2632.10156218369</v>
      </c>
      <c r="AM106" s="63" t="n">
        <f aca="false">AM93+AM99+AM104</f>
        <v>2606.4398332255</v>
      </c>
      <c r="AN106" s="63" t="n">
        <f aca="false">AN93+AN99+AN104</f>
        <v>2629.45261850732</v>
      </c>
      <c r="AO106" s="63" t="n">
        <f aca="false">AO93+AO99+AO104</f>
        <v>2652.46540378914</v>
      </c>
      <c r="AP106" s="63" t="n">
        <f aca="false">AP93+AP99+AP104</f>
        <v>2675.47818907096</v>
      </c>
      <c r="AQ106" s="63" t="n">
        <f aca="false">AQ93+AQ99+AQ104</f>
        <v>2698.49097435277</v>
      </c>
      <c r="AR106" s="63" t="n">
        <f aca="false">AR93+AR99+AR104</f>
        <v>2721.50375963459</v>
      </c>
      <c r="AS106" s="63" t="n">
        <f aca="false">AS93+AS99+AS104</f>
        <v>2715.94820407904</v>
      </c>
      <c r="AT106" s="63" t="n">
        <f aca="false">AT93+AT99+AT104</f>
        <v>2710.39264852348</v>
      </c>
      <c r="AU106" s="63" t="n">
        <f aca="false">AU93+AU99+AU104</f>
        <v>2704.83709296793</v>
      </c>
      <c r="AV106" s="63" t="n">
        <f aca="false">AV93+AV99+AV104</f>
        <v>2699.28153741237</v>
      </c>
      <c r="AW106" s="63" t="n">
        <f aca="false">AW93+AW99+AW104</f>
        <v>2693.72598185681</v>
      </c>
      <c r="AX106" s="63" t="n">
        <f aca="false">AX93+AX99+AX104</f>
        <v>2688.17042630126</v>
      </c>
      <c r="AY106" s="63" t="n">
        <f aca="false">AY93+AY99+AY104</f>
        <v>2633.6681210785</v>
      </c>
      <c r="AZ106" s="63" t="n">
        <f aca="false">AZ93+AZ99+AZ104</f>
        <v>2628.11256552295</v>
      </c>
      <c r="BA106" s="63" t="n">
        <f aca="false">BA93+BA99+BA104</f>
        <v>2622.55700996739</v>
      </c>
      <c r="BB106" s="63" t="n">
        <f aca="false">BB93+BB99+BB104</f>
        <v>2617.00145441184</v>
      </c>
      <c r="BC106" s="63" t="n">
        <f aca="false">BC93+BC99+BC104</f>
        <v>2611.44589885628</v>
      </c>
      <c r="BD106" s="63" t="n">
        <f aca="false">BD93+BD99+BD104</f>
        <v>2605.89034330073</v>
      </c>
      <c r="BE106" s="63" t="n">
        <f aca="false">BE93+BE99+BE104</f>
        <v>2600.33478774517</v>
      </c>
      <c r="BF106" s="63" t="n">
        <f aca="false">BF93+BF99+BF104</f>
        <v>2594.77923218961</v>
      </c>
      <c r="BG106" s="63" t="n">
        <f aca="false">BG93+BG99+BG104</f>
        <v>2589.22367663406</v>
      </c>
      <c r="BH106" s="63" t="n">
        <f aca="false">BH93+BH99+BH104</f>
        <v>2583.6681210785</v>
      </c>
      <c r="BI106" s="63" t="n">
        <f aca="false">BI93+BI99+BI104</f>
        <v>2578.11256552295</v>
      </c>
      <c r="BJ106" s="63" t="n">
        <f aca="false">BJ93+BJ99+BJ104</f>
        <v>2572.55700996739</v>
      </c>
      <c r="BK106" s="63" t="n">
        <f aca="false">BK93+BK99+BK104</f>
        <v>2517.77430225462</v>
      </c>
      <c r="BL106" s="63" t="n">
        <f aca="false">BL93+BL99+BL104</f>
        <v>2512.21874669907</v>
      </c>
      <c r="BM106" s="63" t="n">
        <f aca="false">BM93+BM99+BM104</f>
        <v>2506.66319114351</v>
      </c>
      <c r="BN106" s="63" t="n">
        <f aca="false">BN93+BN99+BN104</f>
        <v>2501.10763558795</v>
      </c>
      <c r="BO106" s="63" t="n">
        <f aca="false">BO93+BO99+BO104</f>
        <v>2495.5520800324</v>
      </c>
      <c r="BP106" s="63" t="n">
        <f aca="false">BP93+BP99+BP104</f>
        <v>2489.99652447684</v>
      </c>
      <c r="BQ106" s="63" t="n">
        <f aca="false">BQ93+BQ99+BQ104</f>
        <v>2484.44096892129</v>
      </c>
      <c r="BR106" s="63" t="n">
        <f aca="false">BR93+BR99+BR104</f>
        <v>2478.88541336573</v>
      </c>
      <c r="BS106" s="63" t="n">
        <f aca="false">BS93+BS99+BS104</f>
        <v>2473.32985781018</v>
      </c>
      <c r="BT106" s="63" t="n">
        <f aca="false">BT93+BT99+BT104</f>
        <v>2467.77430225462</v>
      </c>
      <c r="BU106" s="63" t="n">
        <f aca="false">BU93+BU99+BU104</f>
        <v>2462.21874669907</v>
      </c>
      <c r="BV106" s="63" t="n">
        <f aca="false">BV93+BV99+BV104</f>
        <v>2456.66319114351</v>
      </c>
      <c r="BW106" s="63" t="n">
        <f aca="false">BW93+BW99+BW104</f>
        <v>2401.59166886602</v>
      </c>
      <c r="BX106" s="63" t="n">
        <f aca="false">BX93+BX99+BX104</f>
        <v>2396.03611331047</v>
      </c>
      <c r="BY106" s="63" t="n">
        <f aca="false">BY93+BY99+BY104</f>
        <v>2390.48055775491</v>
      </c>
      <c r="BZ106" s="63" t="n">
        <f aca="false">BZ93+BZ99+BZ104</f>
        <v>2384.92500219935</v>
      </c>
      <c r="CA106" s="63" t="n">
        <f aca="false">CA93+CA99+CA104</f>
        <v>2379.3694466438</v>
      </c>
      <c r="CB106" s="63" t="n">
        <f aca="false">CB93+CB99+CB104</f>
        <v>2373.81389108824</v>
      </c>
      <c r="CC106" s="63" t="n">
        <f aca="false">CC93+CC99+CC104</f>
        <v>2368.25833553269</v>
      </c>
      <c r="CD106" s="63" t="n">
        <f aca="false">CD93+CD99+CD104</f>
        <v>2362.70277997713</v>
      </c>
      <c r="CE106" s="63" t="n">
        <f aca="false">CE93+CE99+CE104</f>
        <v>2357.14722442158</v>
      </c>
      <c r="CF106" s="63" t="n">
        <f aca="false">CF93+CF99+CF104</f>
        <v>2351.59166886602</v>
      </c>
      <c r="CG106" s="63" t="n">
        <f aca="false">CG93+CG99+CG104</f>
        <v>2346.03611331047</v>
      </c>
      <c r="CH106" s="63" t="n">
        <f aca="false">CH93+CH99+CH104</f>
        <v>2340.48055775485</v>
      </c>
    </row>
    <row r="107" customFormat="false" ht="13.5" hidden="false" customHeight="true" outlineLevel="0" collapsed="false">
      <c r="A107" s="6" t="s">
        <v>577</v>
      </c>
      <c r="C107" s="100" t="n">
        <f aca="false">C106</f>
        <v>333.333333333333</v>
      </c>
      <c r="D107" s="100" t="n">
        <f aca="false">C107+D106</f>
        <v>666.666666666667</v>
      </c>
      <c r="E107" s="100" t="n">
        <f aca="false">D107+E106</f>
        <v>1000</v>
      </c>
      <c r="F107" s="100" t="n">
        <f aca="false">E107+F106</f>
        <v>1333.33333333333</v>
      </c>
      <c r="G107" s="100" t="n">
        <f aca="false">F107+G106</f>
        <v>1666.66666666667</v>
      </c>
      <c r="H107" s="100" t="n">
        <f aca="false">G107+H106</f>
        <v>2000</v>
      </c>
      <c r="I107" s="100" t="n">
        <f aca="false">H107+I106</f>
        <v>2333.33333333333</v>
      </c>
      <c r="J107" s="100" t="n">
        <f aca="false">I107+J106</f>
        <v>2666.66666666667</v>
      </c>
      <c r="K107" s="100" t="n">
        <f aca="false">J107+K106</f>
        <v>3029.94733439214</v>
      </c>
      <c r="L107" s="100" t="n">
        <f aca="false">K107+L106</f>
        <v>3454.76417215181</v>
      </c>
      <c r="M107" s="100" t="n">
        <f aca="false">L107+M106</f>
        <v>3919.98677668685</v>
      </c>
      <c r="N107" s="100" t="n">
        <f aca="false">M107+N106</f>
        <v>4441.42382208888</v>
      </c>
      <c r="O107" s="100" t="n">
        <f aca="false">N107+O106</f>
        <v>4914.5313083579</v>
      </c>
      <c r="P107" s="100" t="n">
        <f aca="false">O107+P106</f>
        <v>5391.54911919257</v>
      </c>
      <c r="Q107" s="100" t="n">
        <f aca="false">P107+Q106</f>
        <v>5918.7036545929</v>
      </c>
      <c r="R107" s="100" t="n">
        <f aca="false">Q107+R106</f>
        <v>6495.99491455887</v>
      </c>
      <c r="S107" s="100" t="n">
        <f aca="false">R107+S106</f>
        <v>7123.4228990905</v>
      </c>
      <c r="T107" s="100" t="n">
        <f aca="false">S107+T106</f>
        <v>7800.98760818778</v>
      </c>
      <c r="U107" s="100" t="n">
        <f aca="false">T107+U106</f>
        <v>8482.46264185071</v>
      </c>
      <c r="V107" s="100" t="n">
        <f aca="false">U107+V106</f>
        <v>9159.6904000793</v>
      </c>
      <c r="W107" s="100" t="n">
        <f aca="false">V107+W106</f>
        <v>9887.05488287353</v>
      </c>
      <c r="X107" s="100" t="n">
        <f aca="false">W107+X106</f>
        <v>10648.7474161418</v>
      </c>
      <c r="Y107" s="100" t="n">
        <f aca="false">X107+Y106</f>
        <v>11444.7679998841</v>
      </c>
      <c r="Z107" s="100" t="n">
        <f aca="false">Y107+Z106</f>
        <v>12269.3569244637</v>
      </c>
      <c r="AA107" s="100" t="n">
        <f aca="false">Z107+AA106</f>
        <v>14743.5442325474</v>
      </c>
      <c r="AB107" s="100" t="n">
        <f aca="false">AA107+AB106</f>
        <v>17193.1311339129</v>
      </c>
      <c r="AC107" s="100" t="n">
        <f aca="false">AB107+AC106</f>
        <v>19665.7308205603</v>
      </c>
      <c r="AD107" s="100" t="n">
        <f aca="false">AC107+AD106</f>
        <v>22161.3432924894</v>
      </c>
      <c r="AE107" s="100" t="n">
        <f aca="false">AD107+AE106</f>
        <v>24679.9685497004</v>
      </c>
      <c r="AF107" s="100" t="n">
        <f aca="false">AE107+AF106</f>
        <v>27221.6065921932</v>
      </c>
      <c r="AG107" s="100" t="n">
        <f aca="false">AF107+AG106</f>
        <v>29786.2574199678</v>
      </c>
      <c r="AH107" s="100" t="n">
        <f aca="false">AG107+AH106</f>
        <v>32373.9210330242</v>
      </c>
      <c r="AI107" s="100" t="n">
        <f aca="false">AH107+AI106</f>
        <v>34984.5974313624</v>
      </c>
      <c r="AJ107" s="100" t="n">
        <f aca="false">AI107+AJ106</f>
        <v>37618.2866149825</v>
      </c>
      <c r="AK107" s="100" t="n">
        <f aca="false">AJ107+AK106</f>
        <v>40274.9885838843</v>
      </c>
      <c r="AL107" s="100" t="n">
        <f aca="false">AK107+AL106</f>
        <v>42907.090146068</v>
      </c>
      <c r="AM107" s="100" t="n">
        <f aca="false">AL107+AM106</f>
        <v>45513.5299792935</v>
      </c>
      <c r="AN107" s="100" t="n">
        <f aca="false">AM107+AN106</f>
        <v>48142.9825978008</v>
      </c>
      <c r="AO107" s="100" t="n">
        <f aca="false">AN107+AO106</f>
        <v>50795.44800159</v>
      </c>
      <c r="AP107" s="100" t="n">
        <f aca="false">AO107+AP106</f>
        <v>53470.9261906609</v>
      </c>
      <c r="AQ107" s="100" t="n">
        <f aca="false">AP107+AQ106</f>
        <v>56169.4171650137</v>
      </c>
      <c r="AR107" s="100" t="n">
        <f aca="false">AQ107+AR106</f>
        <v>58890.9209246483</v>
      </c>
      <c r="AS107" s="100" t="n">
        <f aca="false">AR107+AS106</f>
        <v>61606.8691287274</v>
      </c>
      <c r="AT107" s="100" t="n">
        <f aca="false">AS107+AT106</f>
        <v>64317.2617772508</v>
      </c>
      <c r="AU107" s="100" t="n">
        <f aca="false">AT107+AU106</f>
        <v>67022.0988702188</v>
      </c>
      <c r="AV107" s="100" t="n">
        <f aca="false">AU107+AV106</f>
        <v>69721.3804076311</v>
      </c>
      <c r="AW107" s="100" t="n">
        <f aca="false">AV107+AW106</f>
        <v>72415.1063894879</v>
      </c>
      <c r="AX107" s="100" t="n">
        <f aca="false">AW107+AX106</f>
        <v>75103.2768157892</v>
      </c>
      <c r="AY107" s="100" t="n">
        <f aca="false">AX107+AY106</f>
        <v>77736.9449368677</v>
      </c>
      <c r="AZ107" s="100" t="n">
        <f aca="false">AY107+AZ106</f>
        <v>80365.0575023906</v>
      </c>
      <c r="BA107" s="100" t="n">
        <f aca="false">AZ107+BA106</f>
        <v>82987.614512358</v>
      </c>
      <c r="BB107" s="100" t="n">
        <f aca="false">BA107+BB106</f>
        <v>85604.6159667699</v>
      </c>
      <c r="BC107" s="100" t="n">
        <f aca="false">BB107+BC106</f>
        <v>88216.0618656262</v>
      </c>
      <c r="BD107" s="100" t="n">
        <f aca="false">BC107+BD106</f>
        <v>90821.9522089269</v>
      </c>
      <c r="BE107" s="100" t="n">
        <f aca="false">BD107+BE106</f>
        <v>93422.2869966721</v>
      </c>
      <c r="BF107" s="100" t="n">
        <f aca="false">BE107+BF106</f>
        <v>96017.0662288617</v>
      </c>
      <c r="BG107" s="100" t="n">
        <f aca="false">BF107+BG106</f>
        <v>98606.2899054957</v>
      </c>
      <c r="BH107" s="100" t="n">
        <f aca="false">BG107+BH106</f>
        <v>101189.958026574</v>
      </c>
      <c r="BI107" s="100" t="n">
        <f aca="false">BH107+BI106</f>
        <v>103768.070592097</v>
      </c>
      <c r="BJ107" s="100" t="n">
        <f aca="false">BI107+BJ106</f>
        <v>106340.627602065</v>
      </c>
      <c r="BK107" s="100" t="n">
        <f aca="false">BJ107+BK106</f>
        <v>108858.401904319</v>
      </c>
      <c r="BL107" s="100" t="n">
        <f aca="false">BK107+BL106</f>
        <v>111370.620651018</v>
      </c>
      <c r="BM107" s="100" t="n">
        <f aca="false">BL107+BM106</f>
        <v>113877.283842162</v>
      </c>
      <c r="BN107" s="100" t="n">
        <f aca="false">BM107+BN106</f>
        <v>116378.39147775</v>
      </c>
      <c r="BO107" s="100" t="n">
        <f aca="false">BN107+BO106</f>
        <v>118873.943557782</v>
      </c>
      <c r="BP107" s="100" t="n">
        <f aca="false">BO107+BP106</f>
        <v>121363.940082259</v>
      </c>
      <c r="BQ107" s="100" t="n">
        <f aca="false">BP107+BQ106</f>
        <v>123848.38105118</v>
      </c>
      <c r="BR107" s="100" t="n">
        <f aca="false">BQ107+BR106</f>
        <v>126327.266464546</v>
      </c>
      <c r="BS107" s="100" t="n">
        <f aca="false">BR107+BS106</f>
        <v>128800.596322356</v>
      </c>
      <c r="BT107" s="100" t="n">
        <f aca="false">BS107+BT106</f>
        <v>131268.370624611</v>
      </c>
      <c r="BU107" s="100" t="n">
        <f aca="false">BT107+BU106</f>
        <v>133730.58937131</v>
      </c>
      <c r="BV107" s="100" t="n">
        <f aca="false">BU107+BV106</f>
        <v>136187.252562453</v>
      </c>
      <c r="BW107" s="100" t="n">
        <f aca="false">BV107+BW106</f>
        <v>138588.844231319</v>
      </c>
      <c r="BX107" s="100" t="n">
        <f aca="false">BW107+BX106</f>
        <v>140984.88034463</v>
      </c>
      <c r="BY107" s="100" t="n">
        <f aca="false">BX107+BY106</f>
        <v>143375.360902385</v>
      </c>
      <c r="BZ107" s="100" t="n">
        <f aca="false">BY107+BZ106</f>
        <v>145760.285904584</v>
      </c>
      <c r="CA107" s="100" t="n">
        <f aca="false">BZ107+CA106</f>
        <v>148139.655351228</v>
      </c>
      <c r="CB107" s="100" t="n">
        <f aca="false">CA107+CB106</f>
        <v>150513.469242316</v>
      </c>
      <c r="CC107" s="100" t="n">
        <f aca="false">CB107+CC106</f>
        <v>152881.727577849</v>
      </c>
      <c r="CD107" s="100" t="n">
        <f aca="false">CC107+CD106</f>
        <v>155244.430357826</v>
      </c>
      <c r="CE107" s="100" t="n">
        <f aca="false">CD107+CE106</f>
        <v>157601.577582248</v>
      </c>
      <c r="CF107" s="100" t="n">
        <f aca="false">CE107+CF106</f>
        <v>159953.169251114</v>
      </c>
      <c r="CG107" s="100" t="n">
        <f aca="false">CF107+CG106</f>
        <v>162299.205364424</v>
      </c>
      <c r="CH107" s="100" t="n">
        <f aca="false">CG107+CH106</f>
        <v>164639.685922179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9" t="s">
        <v>578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</row>
    <row r="110" customFormat="false" ht="13.5" hidden="false" customHeight="true" outlineLevel="0" collapsed="false">
      <c r="A110" s="6" t="s">
        <v>579</v>
      </c>
      <c r="C110" s="100" t="n">
        <f aca="false">C63</f>
        <v>-16198.9527028963</v>
      </c>
      <c r="D110" s="100" t="n">
        <f aca="false">C113+D63</f>
        <v>-31368.6320109377</v>
      </c>
      <c r="E110" s="100" t="n">
        <f aca="false">D113+E63</f>
        <v>-44457.2910025895</v>
      </c>
      <c r="F110" s="100" t="n">
        <f aca="false">E113+F63</f>
        <v>-56425.9531654315</v>
      </c>
      <c r="G110" s="100" t="n">
        <f aca="false">F113+G63</f>
        <v>-67342.8684067386</v>
      </c>
      <c r="H110" s="100" t="n">
        <f aca="false">G113+H63</f>
        <v>-76619.072317111</v>
      </c>
      <c r="I110" s="100" t="n">
        <f aca="false">H113+I63</f>
        <v>-82832.742777549</v>
      </c>
      <c r="J110" s="100" t="n">
        <f aca="false">I113+J63</f>
        <v>-85983.8797880524</v>
      </c>
      <c r="K110" s="100" t="n">
        <f aca="false">J113+K63</f>
        <v>-86102.4306830135</v>
      </c>
      <c r="L110" s="100" t="n">
        <f aca="false">K113+L63</f>
        <v>-83667.9327571302</v>
      </c>
      <c r="M110" s="100" t="n">
        <f aca="false">L113+M63</f>
        <v>-79561.3186969362</v>
      </c>
      <c r="N110" s="100" t="n">
        <f aca="false">M113+N63</f>
        <v>-73116.0924063827</v>
      </c>
      <c r="O110" s="100" t="n">
        <f aca="false">N113+O63</f>
        <v>-68685.67577896</v>
      </c>
      <c r="P110" s="100" t="n">
        <f aca="false">O113+P63</f>
        <v>-64102.6270541914</v>
      </c>
      <c r="Q110" s="100" t="n">
        <f aca="false">P113+Q63</f>
        <v>-57441.6166720768</v>
      </c>
      <c r="R110" s="100" t="n">
        <f aca="false">Q113+R63</f>
        <v>-48702.6446326162</v>
      </c>
      <c r="S110" s="100" t="n">
        <f aca="false">R113+S63</f>
        <v>-37885.7109358097</v>
      </c>
      <c r="T110" s="100" t="n">
        <f aca="false">S113+T63</f>
        <v>-24990.8155816573</v>
      </c>
      <c r="U110" s="100" t="n">
        <f aca="false">T113+U63</f>
        <v>-11943.2881301589</v>
      </c>
      <c r="V110" s="100" t="n">
        <f aca="false">U113+V63</f>
        <v>917.107378685476</v>
      </c>
      <c r="W110" s="100" t="n">
        <f aca="false">V113+W63</f>
        <v>15855.4645448758</v>
      </c>
      <c r="X110" s="100" t="n">
        <f aca="false">W113+X63</f>
        <v>32216.7214393707</v>
      </c>
      <c r="Y110" s="100" t="n">
        <f aca="false">X113+Y63</f>
        <v>50000.8780621704</v>
      </c>
      <c r="Z110" s="100" t="n">
        <f aca="false">Y113+Z63</f>
        <v>68969.3003964082</v>
      </c>
      <c r="AA110" s="100" t="n">
        <f aca="false">Z113+AA63</f>
        <v>87221.2230524842</v>
      </c>
      <c r="AB110" s="100" t="n">
        <f aca="false">AA113+AB63</f>
        <v>104679.044195421</v>
      </c>
      <c r="AC110" s="100" t="n">
        <f aca="false">AB113+AC63</f>
        <v>123325.853272017</v>
      </c>
      <c r="AD110" s="100" t="n">
        <f aca="false">AC113+AD63</f>
        <v>143161.650282274</v>
      </c>
      <c r="AE110" s="100" t="n">
        <f aca="false">AD113+AE63</f>
        <v>164186.435226192</v>
      </c>
      <c r="AF110" s="100" t="n">
        <f aca="false">AE113+AF63</f>
        <v>186400.20810377</v>
      </c>
      <c r="AG110" s="100" t="n">
        <f aca="false">AF113+AG63</f>
        <v>209802.968915008</v>
      </c>
      <c r="AH110" s="100" t="n">
        <f aca="false">AG113+AH63</f>
        <v>234394.717659907</v>
      </c>
      <c r="AI110" s="100" t="n">
        <f aca="false">AH113+AI63</f>
        <v>260175.454338466</v>
      </c>
      <c r="AJ110" s="100" t="n">
        <f aca="false">AI113+AJ63</f>
        <v>287145.178950685</v>
      </c>
      <c r="AK110" s="100" t="n">
        <f aca="false">AJ113+AK63</f>
        <v>315303.891496565</v>
      </c>
      <c r="AL110" s="100" t="n">
        <f aca="false">AK113+AL63</f>
        <v>342668.502529305</v>
      </c>
      <c r="AM110" s="100" t="n">
        <f aca="false">AL113+AM63</f>
        <v>366074.066160162</v>
      </c>
      <c r="AN110" s="100" t="n">
        <f aca="false">AM113+AN63</f>
        <v>390528.736791307</v>
      </c>
      <c r="AO110" s="100" t="n">
        <f aca="false">AN113+AO63</f>
        <v>416032.514422741</v>
      </c>
      <c r="AP110" s="100" t="n">
        <f aca="false">AO113+AP63</f>
        <v>442585.399054464</v>
      </c>
      <c r="AQ110" s="100" t="n">
        <f aca="false">AP113+AQ63</f>
        <v>470187.390686475</v>
      </c>
      <c r="AR110" s="100" t="n">
        <f aca="false">AQ113+AR63</f>
        <v>498838.489318775</v>
      </c>
      <c r="AS110" s="100" t="n">
        <f aca="false">AR113+AS63</f>
        <v>527493.754617742</v>
      </c>
      <c r="AT110" s="100" t="n">
        <f aca="false">AS113+AT63</f>
        <v>556153.186583375</v>
      </c>
      <c r="AU110" s="100" t="n">
        <f aca="false">AT113+AU63</f>
        <v>584816.785215674</v>
      </c>
      <c r="AV110" s="100" t="n">
        <f aca="false">AU113+AV63</f>
        <v>613484.550514641</v>
      </c>
      <c r="AW110" s="100" t="n">
        <f aca="false">AV113+AW63</f>
        <v>642156.482480274</v>
      </c>
      <c r="AX110" s="100" t="n">
        <f aca="false">AW113+AX63</f>
        <v>670832.581112574</v>
      </c>
      <c r="AY110" s="100" t="n">
        <f aca="false">AX113+AY63</f>
        <v>697714.053361271</v>
      </c>
      <c r="AZ110" s="100" t="n">
        <f aca="false">AY113+AZ63</f>
        <v>724599.692276634</v>
      </c>
      <c r="BA110" s="100" t="n">
        <f aca="false">AZ113+BA63</f>
        <v>751489.497858665</v>
      </c>
      <c r="BB110" s="100" t="n">
        <f aca="false">BA113+BB63</f>
        <v>778383.470107361</v>
      </c>
      <c r="BC110" s="100" t="n">
        <f aca="false">BB113+BC63</f>
        <v>805281.609022725</v>
      </c>
      <c r="BD110" s="100" t="n">
        <f aca="false">BC113+BD63</f>
        <v>832183.914604755</v>
      </c>
      <c r="BE110" s="100" t="n">
        <f aca="false">BD113+BE63</f>
        <v>859090.386853452</v>
      </c>
      <c r="BF110" s="100" t="n">
        <f aca="false">BE113+BF63</f>
        <v>886001.025768815</v>
      </c>
      <c r="BG110" s="100" t="n">
        <f aca="false">BF113+BG63</f>
        <v>912915.831350846</v>
      </c>
      <c r="BH110" s="100" t="n">
        <f aca="false">BG113+BH63</f>
        <v>939834.803599542</v>
      </c>
      <c r="BI110" s="100" t="n">
        <f aca="false">BH113+BI63</f>
        <v>966757.942514906</v>
      </c>
      <c r="BJ110" s="100" t="n">
        <f aca="false">BI113+BJ63</f>
        <v>993685.248096936</v>
      </c>
      <c r="BK110" s="100" t="n">
        <f aca="false">BJ113+BK63</f>
        <v>1018807.62250386</v>
      </c>
      <c r="BL110" s="100" t="n">
        <f aca="false">BK113+BL63</f>
        <v>1043934.16357744</v>
      </c>
      <c r="BM110" s="100" t="n">
        <f aca="false">BL113+BM63</f>
        <v>1069064.87131769</v>
      </c>
      <c r="BN110" s="100" t="n">
        <f aca="false">BM113+BN63</f>
        <v>1094199.74572461</v>
      </c>
      <c r="BO110" s="100" t="n">
        <f aca="false">BN113+BO63</f>
        <v>1119338.7867982</v>
      </c>
      <c r="BP110" s="100" t="n">
        <f aca="false">BO113+BP63</f>
        <v>1144481.99453845</v>
      </c>
      <c r="BQ110" s="100" t="n">
        <f aca="false">BP113+BQ63</f>
        <v>1169629.36894537</v>
      </c>
      <c r="BR110" s="100" t="n">
        <f aca="false">BQ113+BR63</f>
        <v>1194780.91001896</v>
      </c>
      <c r="BS110" s="100" t="n">
        <f aca="false">BR113+BS63</f>
        <v>1219936.61775921</v>
      </c>
      <c r="BT110" s="100" t="n">
        <f aca="false">BS113+BT63</f>
        <v>1245096.49216613</v>
      </c>
      <c r="BU110" s="100" t="n">
        <f aca="false">BT113+BU63</f>
        <v>1270260.53323971</v>
      </c>
      <c r="BV110" s="100" t="n">
        <f aca="false">BU113+BV63</f>
        <v>1295428.74097997</v>
      </c>
      <c r="BW110" s="100" t="n">
        <f aca="false">BV113+BW63</f>
        <v>1318781.40360985</v>
      </c>
      <c r="BX110" s="100" t="n">
        <f aca="false">BW113+BX63</f>
        <v>1342138.23290641</v>
      </c>
      <c r="BY110" s="100" t="n">
        <f aca="false">BX113+BY63</f>
        <v>1365499.22886963</v>
      </c>
      <c r="BZ110" s="100" t="n">
        <f aca="false">BY113+BZ63</f>
        <v>1388864.39149952</v>
      </c>
      <c r="CA110" s="100" t="n">
        <f aca="false">BZ113+CA63</f>
        <v>1412233.72079607</v>
      </c>
      <c r="CB110" s="100" t="n">
        <f aca="false">CA113+CB63</f>
        <v>1435607.2167593</v>
      </c>
      <c r="CC110" s="100" t="n">
        <f aca="false">CB113+CC63</f>
        <v>1458984.87938918</v>
      </c>
      <c r="CD110" s="100" t="n">
        <f aca="false">CC113+CD63</f>
        <v>1482366.70868574</v>
      </c>
      <c r="CE110" s="100" t="n">
        <f aca="false">CD113+CE63</f>
        <v>1505752.70464896</v>
      </c>
      <c r="CF110" s="100" t="n">
        <f aca="false">CE113+CF63</f>
        <v>1529142.86727885</v>
      </c>
      <c r="CG110" s="100" t="n">
        <f aca="false">CF113+CG63</f>
        <v>1552537.1965754</v>
      </c>
      <c r="CH110" s="100" t="n">
        <f aca="false">CG113+CH63</f>
        <v>1575935.69253862</v>
      </c>
    </row>
    <row r="111" customFormat="false" ht="13.5" hidden="false" customHeight="true" outlineLevel="0" collapsed="false">
      <c r="A111" s="6" t="s">
        <v>580</v>
      </c>
      <c r="C111" s="100" t="n">
        <f aca="false">MIN(0.2*Hipótesis!$D$81,MAX(0,C110)*0.1)</f>
        <v>0</v>
      </c>
      <c r="D111" s="100" t="n">
        <f aca="false">MIN(0.2*Hipótesis!$D$81,MAX(0,D110)*0.1)</f>
        <v>0</v>
      </c>
      <c r="E111" s="100" t="n">
        <f aca="false">MIN(0.2*Hipótesis!$D$81,MAX(0,E110)*0.1)</f>
        <v>0</v>
      </c>
      <c r="F111" s="100" t="n">
        <f aca="false">MIN(0.2*Hipótesis!$D$81,MAX(0,F110)*0.1)</f>
        <v>0</v>
      </c>
      <c r="G111" s="100" t="n">
        <f aca="false">MIN(0.2*Hipótesis!$D$81,MAX(0,G110)*0.1)</f>
        <v>0</v>
      </c>
      <c r="H111" s="100" t="n">
        <f aca="false">MIN(0.2*Hipótesis!$D$81,MAX(0,H110)*0.1)</f>
        <v>0</v>
      </c>
      <c r="I111" s="100" t="n">
        <f aca="false">MIN(0.2*Hipótesis!$D$81,MAX(0,I110)*0.1)</f>
        <v>0</v>
      </c>
      <c r="J111" s="100" t="n">
        <f aca="false">MIN(0.2*Hipótesis!$D$81,MAX(0,J110)*0.1)</f>
        <v>0</v>
      </c>
      <c r="K111" s="100" t="n">
        <f aca="false">MIN(0.2*Hipótesis!$D$81,MAX(0,K110)*0.1)</f>
        <v>0</v>
      </c>
      <c r="L111" s="100" t="n">
        <f aca="false">MIN(0.2*Hipótesis!$D$81,MAX(0,L110)*0.1)</f>
        <v>0</v>
      </c>
      <c r="M111" s="100" t="n">
        <f aca="false">MIN(0.2*Hipótesis!$D$81,MAX(0,M110)*0.1)</f>
        <v>0</v>
      </c>
      <c r="N111" s="100" t="n">
        <f aca="false">MIN(0.2*Hipótesis!$D$81,MAX(0,N110)*0.1)</f>
        <v>0</v>
      </c>
      <c r="O111" s="100" t="n">
        <f aca="false">MIN(0.2*Hipótesis!$D$81,MAX(0,O110)*0.1)</f>
        <v>0</v>
      </c>
      <c r="P111" s="100" t="n">
        <f aca="false">MIN(0.2*Hipótesis!$D$81,MAX(0,P110)*0.1)</f>
        <v>0</v>
      </c>
      <c r="Q111" s="100" t="n">
        <f aca="false">MIN(0.2*Hipótesis!$D$81,MAX(0,Q110)*0.1)</f>
        <v>0</v>
      </c>
      <c r="R111" s="100" t="n">
        <f aca="false">MIN(0.2*Hipótesis!$D$81,MAX(0,R110)*0.1)</f>
        <v>0</v>
      </c>
      <c r="S111" s="100" t="n">
        <f aca="false">MIN(0.2*Hipótesis!$D$81,MAX(0,S110)*0.1)</f>
        <v>0</v>
      </c>
      <c r="T111" s="100" t="n">
        <f aca="false">MIN(0.2*Hipótesis!$D$81,MAX(0,T110)*0.1)</f>
        <v>0</v>
      </c>
      <c r="U111" s="100" t="n">
        <f aca="false">MIN(0.2*Hipótesis!$D$81,MAX(0,U110)*0.1)</f>
        <v>0</v>
      </c>
      <c r="V111" s="100" t="n">
        <f aca="false">MIN(0.2*Hipótesis!$D$81,MAX(0,V110)*0.1)</f>
        <v>91.7107378685476</v>
      </c>
      <c r="W111" s="100" t="n">
        <f aca="false">MIN(0.2*Hipótesis!$D$81,MAX(0,W110)*0.1)</f>
        <v>1585.54645448758</v>
      </c>
      <c r="X111" s="100" t="n">
        <f aca="false">MIN(0.2*Hipótesis!$D$81,MAX(0,X110)*0.1)</f>
        <v>3221.67214393708</v>
      </c>
      <c r="Y111" s="100" t="n">
        <f aca="false">MIN(0.2*Hipótesis!$D$81,MAX(0,Y110)*0.1)</f>
        <v>5000.08780621704</v>
      </c>
      <c r="Z111" s="100" t="n">
        <f aca="false">MIN(0.2*Hipótesis!$D$81,MAX(0,Z110)*0.1)</f>
        <v>6896.93003964082</v>
      </c>
      <c r="AA111" s="100" t="n">
        <f aca="false">MIN(0.2*Hipótesis!$D$81,MAX(0,AA110)*0.1)</f>
        <v>8722.12230524842</v>
      </c>
      <c r="AB111" s="100" t="n">
        <f aca="false">MIN(0.2*Hipótesis!$D$81,MAX(0,AB110)*0.1)</f>
        <v>10467.9044195421</v>
      </c>
      <c r="AC111" s="100" t="n">
        <f aca="false">MIN(0.2*Hipótesis!$D$81,MAX(0,AC110)*0.1)</f>
        <v>12332.5853272017</v>
      </c>
      <c r="AD111" s="100" t="n">
        <f aca="false">MIN(0.2*Hipótesis!$D$81,MAX(0,AD110)*0.1)</f>
        <v>14316.1650282274</v>
      </c>
      <c r="AE111" s="100" t="n">
        <f aca="false">MIN(0.2*Hipótesis!$D$81,MAX(0,AE110)*0.1)</f>
        <v>16418.6435226192</v>
      </c>
      <c r="AF111" s="100" t="n">
        <f aca="false">MIN(0.2*Hipótesis!$D$81,MAX(0,AF110)*0.1)</f>
        <v>18640.020810377</v>
      </c>
      <c r="AG111" s="100" t="n">
        <f aca="false">MIN(0.2*Hipótesis!$D$81,MAX(0,AG110)*0.1)</f>
        <v>20006</v>
      </c>
      <c r="AH111" s="100" t="n">
        <f aca="false">MIN(0.2*Hipótesis!$D$81,MAX(0,AH110)*0.1)</f>
        <v>20006</v>
      </c>
      <c r="AI111" s="100" t="n">
        <f aca="false">MIN(0.2*Hipótesis!$D$81,MAX(0,AI110)*0.1)</f>
        <v>20006</v>
      </c>
      <c r="AJ111" s="100" t="n">
        <f aca="false">MIN(0.2*Hipótesis!$D$81,MAX(0,AJ110)*0.1)</f>
        <v>20006</v>
      </c>
      <c r="AK111" s="100" t="n">
        <f aca="false">MIN(0.2*Hipótesis!$D$81,MAX(0,AK110)*0.1)</f>
        <v>20006</v>
      </c>
      <c r="AL111" s="100" t="n">
        <f aca="false">MIN(0.2*Hipótesis!$D$81,MAX(0,AL110)*0.1)</f>
        <v>20006</v>
      </c>
      <c r="AM111" s="100" t="n">
        <f aca="false">MIN(0.2*Hipótesis!$D$81,MAX(0,AM110)*0.1)</f>
        <v>20006</v>
      </c>
      <c r="AN111" s="100" t="n">
        <f aca="false">MIN(0.2*Hipótesis!$D$81,MAX(0,AN110)*0.1)</f>
        <v>20006</v>
      </c>
      <c r="AO111" s="100" t="n">
        <f aca="false">MIN(0.2*Hipótesis!$D$81,MAX(0,AO110)*0.1)</f>
        <v>20006</v>
      </c>
      <c r="AP111" s="100" t="n">
        <f aca="false">MIN(0.2*Hipótesis!$D$81,MAX(0,AP110)*0.1)</f>
        <v>20006</v>
      </c>
      <c r="AQ111" s="100" t="n">
        <f aca="false">MIN(0.2*Hipótesis!$D$81,MAX(0,AQ110)*0.1)</f>
        <v>20006</v>
      </c>
      <c r="AR111" s="100" t="n">
        <f aca="false">MIN(0.2*Hipótesis!$D$81,MAX(0,AR110)*0.1)</f>
        <v>20006</v>
      </c>
      <c r="AS111" s="100" t="n">
        <f aca="false">MIN(0.2*Hipótesis!$D$81,MAX(0,AS110)*0.1)</f>
        <v>20006</v>
      </c>
      <c r="AT111" s="100" t="n">
        <f aca="false">MIN(0.2*Hipótesis!$D$81,MAX(0,AT110)*0.1)</f>
        <v>20006</v>
      </c>
      <c r="AU111" s="100" t="n">
        <f aca="false">MIN(0.2*Hipótesis!$D$81,MAX(0,AU110)*0.1)</f>
        <v>20006</v>
      </c>
      <c r="AV111" s="100" t="n">
        <f aca="false">MIN(0.2*Hipótesis!$D$81,MAX(0,AV110)*0.1)</f>
        <v>20006</v>
      </c>
      <c r="AW111" s="100" t="n">
        <f aca="false">MIN(0.2*Hipótesis!$D$81,MAX(0,AW110)*0.1)</f>
        <v>20006</v>
      </c>
      <c r="AX111" s="100" t="n">
        <f aca="false">MIN(0.2*Hipótesis!$D$81,MAX(0,AX110)*0.1)</f>
        <v>20006</v>
      </c>
      <c r="AY111" s="100" t="n">
        <f aca="false">MIN(0.2*Hipótesis!$D$81,MAX(0,AY110)*0.1)</f>
        <v>20006</v>
      </c>
      <c r="AZ111" s="100" t="n">
        <f aca="false">MIN(0.2*Hipótesis!$D$81,MAX(0,AZ110)*0.1)</f>
        <v>20006</v>
      </c>
      <c r="BA111" s="100" t="n">
        <f aca="false">MIN(0.2*Hipótesis!$D$81,MAX(0,BA110)*0.1)</f>
        <v>20006</v>
      </c>
      <c r="BB111" s="100" t="n">
        <f aca="false">MIN(0.2*Hipótesis!$D$81,MAX(0,BB110)*0.1)</f>
        <v>20006</v>
      </c>
      <c r="BC111" s="100" t="n">
        <f aca="false">MIN(0.2*Hipótesis!$D$81,MAX(0,BC110)*0.1)</f>
        <v>20006</v>
      </c>
      <c r="BD111" s="100" t="n">
        <f aca="false">MIN(0.2*Hipótesis!$D$81,MAX(0,BD110)*0.1)</f>
        <v>20006</v>
      </c>
      <c r="BE111" s="100" t="n">
        <f aca="false">MIN(0.2*Hipótesis!$D$81,MAX(0,BE110)*0.1)</f>
        <v>20006</v>
      </c>
      <c r="BF111" s="100" t="n">
        <f aca="false">MIN(0.2*Hipótesis!$D$81,MAX(0,BF110)*0.1)</f>
        <v>20006</v>
      </c>
      <c r="BG111" s="100" t="n">
        <f aca="false">MIN(0.2*Hipótesis!$D$81,MAX(0,BG110)*0.1)</f>
        <v>20006</v>
      </c>
      <c r="BH111" s="100" t="n">
        <f aca="false">MIN(0.2*Hipótesis!$D$81,MAX(0,BH110)*0.1)</f>
        <v>20006</v>
      </c>
      <c r="BI111" s="100" t="n">
        <f aca="false">MIN(0.2*Hipótesis!$D$81,MAX(0,BI110)*0.1)</f>
        <v>20006</v>
      </c>
      <c r="BJ111" s="100" t="n">
        <f aca="false">MIN(0.2*Hipótesis!$D$81,MAX(0,BJ110)*0.1)</f>
        <v>20006</v>
      </c>
      <c r="BK111" s="100" t="n">
        <f aca="false">MIN(0.2*Hipótesis!$D$81,MAX(0,BK110)*0.1)</f>
        <v>20006</v>
      </c>
      <c r="BL111" s="100" t="n">
        <f aca="false">MIN(0.2*Hipótesis!$D$81,MAX(0,BL110)*0.1)</f>
        <v>20006</v>
      </c>
      <c r="BM111" s="100" t="n">
        <f aca="false">MIN(0.2*Hipótesis!$D$81,MAX(0,BM110)*0.1)</f>
        <v>20006</v>
      </c>
      <c r="BN111" s="100" t="n">
        <f aca="false">MIN(0.2*Hipótesis!$D$81,MAX(0,BN110)*0.1)</f>
        <v>20006</v>
      </c>
      <c r="BO111" s="100" t="n">
        <f aca="false">MIN(0.2*Hipótesis!$D$81,MAX(0,BO110)*0.1)</f>
        <v>20006</v>
      </c>
      <c r="BP111" s="100" t="n">
        <f aca="false">MIN(0.2*Hipótesis!$D$81,MAX(0,BP110)*0.1)</f>
        <v>20006</v>
      </c>
      <c r="BQ111" s="100" t="n">
        <f aca="false">MIN(0.2*Hipótesis!$D$81,MAX(0,BQ110)*0.1)</f>
        <v>20006</v>
      </c>
      <c r="BR111" s="100" t="n">
        <f aca="false">MIN(0.2*Hipótesis!$D$81,MAX(0,BR110)*0.1)</f>
        <v>20006</v>
      </c>
      <c r="BS111" s="100" t="n">
        <f aca="false">MIN(0.2*Hipótesis!$D$81,MAX(0,BS110)*0.1)</f>
        <v>20006</v>
      </c>
      <c r="BT111" s="100" t="n">
        <f aca="false">MIN(0.2*Hipótesis!$D$81,MAX(0,BT110)*0.1)</f>
        <v>20006</v>
      </c>
      <c r="BU111" s="100" t="n">
        <f aca="false">MIN(0.2*Hipótesis!$D$81,MAX(0,BU110)*0.1)</f>
        <v>20006</v>
      </c>
      <c r="BV111" s="100" t="n">
        <f aca="false">MIN(0.2*Hipótesis!$D$81,MAX(0,BV110)*0.1)</f>
        <v>20006</v>
      </c>
      <c r="BW111" s="100" t="n">
        <f aca="false">MIN(0.2*Hipótesis!$D$81,MAX(0,BW110)*0.1)</f>
        <v>20006</v>
      </c>
      <c r="BX111" s="100" t="n">
        <f aca="false">MIN(0.2*Hipótesis!$D$81,MAX(0,BX110)*0.1)</f>
        <v>20006</v>
      </c>
      <c r="BY111" s="100" t="n">
        <f aca="false">MIN(0.2*Hipótesis!$D$81,MAX(0,BY110)*0.1)</f>
        <v>20006</v>
      </c>
      <c r="BZ111" s="100" t="n">
        <f aca="false">MIN(0.2*Hipótesis!$D$81,MAX(0,BZ110)*0.1)</f>
        <v>20006</v>
      </c>
      <c r="CA111" s="100" t="n">
        <f aca="false">MIN(0.2*Hipótesis!$D$81,MAX(0,CA110)*0.1)</f>
        <v>20006</v>
      </c>
      <c r="CB111" s="100" t="n">
        <f aca="false">MIN(0.2*Hipótesis!$D$81,MAX(0,CB110)*0.1)</f>
        <v>20006</v>
      </c>
      <c r="CC111" s="100" t="n">
        <f aca="false">MIN(0.2*Hipótesis!$D$81,MAX(0,CC110)*0.1)</f>
        <v>20006</v>
      </c>
      <c r="CD111" s="100" t="n">
        <f aca="false">MIN(0.2*Hipótesis!$D$81,MAX(0,CD110)*0.1)</f>
        <v>20006</v>
      </c>
      <c r="CE111" s="100" t="n">
        <f aca="false">MIN(0.2*Hipótesis!$D$81,MAX(0,CE110)*0.1)</f>
        <v>20006</v>
      </c>
      <c r="CF111" s="100" t="n">
        <f aca="false">MIN(0.2*Hipótesis!$D$81,MAX(0,CF110)*0.1)</f>
        <v>20006</v>
      </c>
      <c r="CG111" s="100" t="n">
        <f aca="false">MIN(0.2*Hipótesis!$D$81,MAX(0,CG110)*0.1)</f>
        <v>20006</v>
      </c>
      <c r="CH111" s="100" t="n">
        <f aca="false">MIN(0.2*Hipótesis!$D$81,MAX(0,CH110)*0.1)</f>
        <v>20006</v>
      </c>
    </row>
    <row r="112" customFormat="false" ht="13.5" hidden="false" customHeight="true" outlineLevel="0" collapsed="false">
      <c r="A112" s="22" t="s">
        <v>581</v>
      </c>
      <c r="C112" s="100" t="n">
        <f aca="false">MAX(0,C110-C111)</f>
        <v>0</v>
      </c>
      <c r="D112" s="100" t="n">
        <f aca="false">MAX(0,D110-D111)</f>
        <v>0</v>
      </c>
      <c r="E112" s="100" t="n">
        <f aca="false">MAX(0,E110-E111)</f>
        <v>0</v>
      </c>
      <c r="F112" s="100" t="n">
        <f aca="false">MAX(0,F110-F111)</f>
        <v>0</v>
      </c>
      <c r="G112" s="100" t="n">
        <f aca="false">MAX(0,G110-G111)</f>
        <v>0</v>
      </c>
      <c r="H112" s="100" t="n">
        <f aca="false">MAX(0,H110-H111)</f>
        <v>0</v>
      </c>
      <c r="I112" s="100" t="n">
        <f aca="false">MAX(0,I110-I111)</f>
        <v>0</v>
      </c>
      <c r="J112" s="100" t="n">
        <f aca="false">MAX(0,J110-J111)</f>
        <v>0</v>
      </c>
      <c r="K112" s="100" t="n">
        <f aca="false">MAX(0,K110-K111)</f>
        <v>0</v>
      </c>
      <c r="L112" s="100" t="n">
        <f aca="false">MAX(0,L110-L111)</f>
        <v>0</v>
      </c>
      <c r="M112" s="100" t="n">
        <f aca="false">MAX(0,M110-M111)</f>
        <v>0</v>
      </c>
      <c r="N112" s="100" t="n">
        <f aca="false">MAX(0,N110-N111)</f>
        <v>0</v>
      </c>
      <c r="O112" s="100" t="n">
        <f aca="false">MAX(0,O110-O111)</f>
        <v>0</v>
      </c>
      <c r="P112" s="100" t="n">
        <f aca="false">MAX(0,P110-P111)</f>
        <v>0</v>
      </c>
      <c r="Q112" s="100" t="n">
        <f aca="false">MAX(0,Q110-Q111)</f>
        <v>0</v>
      </c>
      <c r="R112" s="100" t="n">
        <f aca="false">MAX(0,R110-R111)</f>
        <v>0</v>
      </c>
      <c r="S112" s="100" t="n">
        <f aca="false">MAX(0,S110-S111)</f>
        <v>0</v>
      </c>
      <c r="T112" s="100" t="n">
        <f aca="false">MAX(0,T110-T111)</f>
        <v>0</v>
      </c>
      <c r="U112" s="100" t="n">
        <f aca="false">MAX(0,U110-U111)</f>
        <v>0</v>
      </c>
      <c r="V112" s="100" t="n">
        <f aca="false">MAX(0,V110-V111)</f>
        <v>825.396640816928</v>
      </c>
      <c r="W112" s="100" t="n">
        <f aca="false">MAX(0,W110-W111)</f>
        <v>14269.9180903882</v>
      </c>
      <c r="X112" s="100" t="n">
        <f aca="false">MAX(0,X110-X111)</f>
        <v>28995.0492954337</v>
      </c>
      <c r="Y112" s="100" t="n">
        <f aca="false">MAX(0,Y110-Y111)</f>
        <v>45000.7902559534</v>
      </c>
      <c r="Z112" s="100" t="n">
        <f aca="false">MAX(0,Z110-Z111)</f>
        <v>62072.3703567674</v>
      </c>
      <c r="AA112" s="100" t="n">
        <f aca="false">MAX(0,AA110-AA111)</f>
        <v>78499.1007472358</v>
      </c>
      <c r="AB112" s="100" t="n">
        <f aca="false">MAX(0,AB110-AB111)</f>
        <v>94211.1397758785</v>
      </c>
      <c r="AC112" s="100" t="n">
        <f aca="false">MAX(0,AC110-AC111)</f>
        <v>110993.267944816</v>
      </c>
      <c r="AD112" s="100" t="n">
        <f aca="false">MAX(0,AD110-AD111)</f>
        <v>128845.485254047</v>
      </c>
      <c r="AE112" s="100" t="n">
        <f aca="false">MAX(0,AE110-AE111)</f>
        <v>147767.791703573</v>
      </c>
      <c r="AF112" s="100" t="n">
        <f aca="false">MAX(0,AF110-AF111)</f>
        <v>167760.187293393</v>
      </c>
      <c r="AG112" s="100" t="n">
        <f aca="false">MAX(0,AG110-AG111)</f>
        <v>189796.968915008</v>
      </c>
      <c r="AH112" s="100" t="n">
        <f aca="false">MAX(0,AH110-AH111)</f>
        <v>214388.717659907</v>
      </c>
      <c r="AI112" s="100" t="n">
        <f aca="false">MAX(0,AI110-AI111)</f>
        <v>240169.454338466</v>
      </c>
      <c r="AJ112" s="100" t="n">
        <f aca="false">MAX(0,AJ110-AJ111)</f>
        <v>267139.178950685</v>
      </c>
      <c r="AK112" s="100" t="n">
        <f aca="false">MAX(0,AK110-AK111)</f>
        <v>295297.891496565</v>
      </c>
      <c r="AL112" s="100" t="n">
        <f aca="false">MAX(0,AL110-AL111)</f>
        <v>322662.502529305</v>
      </c>
      <c r="AM112" s="100" t="n">
        <f aca="false">MAX(0,AM110-AM111)</f>
        <v>346068.066160162</v>
      </c>
      <c r="AN112" s="100" t="n">
        <f aca="false">MAX(0,AN110-AN111)</f>
        <v>370522.736791307</v>
      </c>
      <c r="AO112" s="100" t="n">
        <f aca="false">MAX(0,AO110-AO111)</f>
        <v>396026.514422741</v>
      </c>
      <c r="AP112" s="100" t="n">
        <f aca="false">MAX(0,AP110-AP111)</f>
        <v>422579.399054464</v>
      </c>
      <c r="AQ112" s="100" t="n">
        <f aca="false">MAX(0,AQ110-AQ111)</f>
        <v>450181.390686475</v>
      </c>
      <c r="AR112" s="100" t="n">
        <f aca="false">MAX(0,AR110-AR111)</f>
        <v>478832.489318775</v>
      </c>
      <c r="AS112" s="100" t="n">
        <f aca="false">MAX(0,AS110-AS111)</f>
        <v>507487.754617742</v>
      </c>
      <c r="AT112" s="100" t="n">
        <f aca="false">MAX(0,AT110-AT111)</f>
        <v>536147.186583375</v>
      </c>
      <c r="AU112" s="100" t="n">
        <f aca="false">MAX(0,AU110-AU111)</f>
        <v>564810.785215674</v>
      </c>
      <c r="AV112" s="100" t="n">
        <f aca="false">MAX(0,AV110-AV111)</f>
        <v>593478.550514641</v>
      </c>
      <c r="AW112" s="100" t="n">
        <f aca="false">MAX(0,AW110-AW111)</f>
        <v>622150.482480274</v>
      </c>
      <c r="AX112" s="100" t="n">
        <f aca="false">MAX(0,AX110-AX111)</f>
        <v>650826.581112574</v>
      </c>
      <c r="AY112" s="100" t="n">
        <f aca="false">MAX(0,AY110-AY111)</f>
        <v>677708.053361271</v>
      </c>
      <c r="AZ112" s="100" t="n">
        <f aca="false">MAX(0,AZ110-AZ111)</f>
        <v>704593.692276634</v>
      </c>
      <c r="BA112" s="100" t="n">
        <f aca="false">MAX(0,BA110-BA111)</f>
        <v>731483.497858665</v>
      </c>
      <c r="BB112" s="100" t="n">
        <f aca="false">MAX(0,BB110-BB111)</f>
        <v>758377.470107361</v>
      </c>
      <c r="BC112" s="100" t="n">
        <f aca="false">MAX(0,BC110-BC111)</f>
        <v>785275.609022725</v>
      </c>
      <c r="BD112" s="100" t="n">
        <f aca="false">MAX(0,BD110-BD111)</f>
        <v>812177.914604755</v>
      </c>
      <c r="BE112" s="100" t="n">
        <f aca="false">MAX(0,BE110-BE111)</f>
        <v>839084.386853452</v>
      </c>
      <c r="BF112" s="100" t="n">
        <f aca="false">MAX(0,BF110-BF111)</f>
        <v>865995.025768815</v>
      </c>
      <c r="BG112" s="100" t="n">
        <f aca="false">MAX(0,BG110-BG111)</f>
        <v>892909.831350846</v>
      </c>
      <c r="BH112" s="100" t="n">
        <f aca="false">MAX(0,BH110-BH111)</f>
        <v>919828.803599542</v>
      </c>
      <c r="BI112" s="100" t="n">
        <f aca="false">MAX(0,BI110-BI111)</f>
        <v>946751.942514906</v>
      </c>
      <c r="BJ112" s="100" t="n">
        <f aca="false">MAX(0,BJ110-BJ111)</f>
        <v>973679.248096936</v>
      </c>
      <c r="BK112" s="100" t="n">
        <f aca="false">MAX(0,BK110-BK111)</f>
        <v>998801.622503855</v>
      </c>
      <c r="BL112" s="100" t="n">
        <f aca="false">MAX(0,BL110-BL111)</f>
        <v>1023928.16357744</v>
      </c>
      <c r="BM112" s="100" t="n">
        <f aca="false">MAX(0,BM110-BM111)</f>
        <v>1049058.87131769</v>
      </c>
      <c r="BN112" s="100" t="n">
        <f aca="false">MAX(0,BN110-BN111)</f>
        <v>1074193.74572461</v>
      </c>
      <c r="BO112" s="100" t="n">
        <f aca="false">MAX(0,BO110-BO111)</f>
        <v>1099332.7867982</v>
      </c>
      <c r="BP112" s="100" t="n">
        <f aca="false">MAX(0,BP110-BP111)</f>
        <v>1124475.99453845</v>
      </c>
      <c r="BQ112" s="100" t="n">
        <f aca="false">MAX(0,BQ110-BQ111)</f>
        <v>1149623.36894537</v>
      </c>
      <c r="BR112" s="100" t="n">
        <f aca="false">MAX(0,BR110-BR111)</f>
        <v>1174774.91001896</v>
      </c>
      <c r="BS112" s="100" t="n">
        <f aca="false">MAX(0,BS110-BS111)</f>
        <v>1199930.61775921</v>
      </c>
      <c r="BT112" s="100" t="n">
        <f aca="false">MAX(0,BT110-BT111)</f>
        <v>1225090.49216613</v>
      </c>
      <c r="BU112" s="100" t="n">
        <f aca="false">MAX(0,BU110-BU111)</f>
        <v>1250254.53323971</v>
      </c>
      <c r="BV112" s="100" t="n">
        <f aca="false">MAX(0,BV110-BV111)</f>
        <v>1275422.74097997</v>
      </c>
      <c r="BW112" s="100" t="n">
        <f aca="false">MAX(0,BW110-BW111)</f>
        <v>1298775.40360985</v>
      </c>
      <c r="BX112" s="100" t="n">
        <f aca="false">MAX(0,BX110-BX111)</f>
        <v>1322132.23290641</v>
      </c>
      <c r="BY112" s="100" t="n">
        <f aca="false">MAX(0,BY110-BY111)</f>
        <v>1345493.22886963</v>
      </c>
      <c r="BZ112" s="100" t="n">
        <f aca="false">MAX(0,BZ110-BZ111)</f>
        <v>1368858.39149952</v>
      </c>
      <c r="CA112" s="100" t="n">
        <f aca="false">MAX(0,CA110-CA111)</f>
        <v>1392227.72079607</v>
      </c>
      <c r="CB112" s="100" t="n">
        <f aca="false">MAX(0,CB110-CB111)</f>
        <v>1415601.2167593</v>
      </c>
      <c r="CC112" s="100" t="n">
        <f aca="false">MAX(0,CC110-CC111)</f>
        <v>1438978.87938918</v>
      </c>
      <c r="CD112" s="100" t="n">
        <f aca="false">MAX(0,CD110-CD111)</f>
        <v>1462360.70868574</v>
      </c>
      <c r="CE112" s="100" t="n">
        <f aca="false">MAX(0,CE110-CE111)</f>
        <v>1485746.70464896</v>
      </c>
      <c r="CF112" s="100" t="n">
        <f aca="false">MAX(0,CF110-CF111)</f>
        <v>1509136.86727885</v>
      </c>
      <c r="CG112" s="100" t="n">
        <f aca="false">MAX(0,CG110-CG111)</f>
        <v>1532531.1965754</v>
      </c>
      <c r="CH112" s="100" t="n">
        <f aca="false">MAX(0,CH110-CH111)</f>
        <v>1555929.69253862</v>
      </c>
    </row>
    <row r="113" customFormat="false" ht="13.5" hidden="false" customHeight="true" outlineLevel="0" collapsed="false">
      <c r="A113" s="6" t="s">
        <v>582</v>
      </c>
      <c r="C113" s="100" t="n">
        <f aca="false">C110+C84</f>
        <v>-16198.9527028963</v>
      </c>
      <c r="D113" s="100" t="n">
        <f aca="false">D110+D84</f>
        <v>-31368.6320109377</v>
      </c>
      <c r="E113" s="100" t="n">
        <f aca="false">E110+E84</f>
        <v>-44457.2910025895</v>
      </c>
      <c r="F113" s="100" t="n">
        <f aca="false">F110+F84</f>
        <v>-56425.9531654315</v>
      </c>
      <c r="G113" s="100" t="n">
        <f aca="false">G110+G84</f>
        <v>-67342.8684067386</v>
      </c>
      <c r="H113" s="100" t="n">
        <f aca="false">H110+H84</f>
        <v>-76619.072317111</v>
      </c>
      <c r="I113" s="100" t="n">
        <f aca="false">I110+I84</f>
        <v>-82832.742777549</v>
      </c>
      <c r="J113" s="100" t="n">
        <f aca="false">J110+J84</f>
        <v>-85983.8797880524</v>
      </c>
      <c r="K113" s="100" t="n">
        <f aca="false">K110+K84</f>
        <v>-86102.4306830135</v>
      </c>
      <c r="L113" s="100" t="n">
        <f aca="false">L110+L84</f>
        <v>-83667.9327571302</v>
      </c>
      <c r="M113" s="100" t="n">
        <f aca="false">M110+M84</f>
        <v>-79561.3186969362</v>
      </c>
      <c r="N113" s="100" t="n">
        <f aca="false">N110+N84</f>
        <v>-73116.0924063827</v>
      </c>
      <c r="O113" s="100" t="n">
        <f aca="false">O110+O84</f>
        <v>-68685.67577896</v>
      </c>
      <c r="P113" s="100" t="n">
        <f aca="false">P110+P84</f>
        <v>-64102.6270541914</v>
      </c>
      <c r="Q113" s="100" t="n">
        <f aca="false">Q110+Q84</f>
        <v>-57441.6166720768</v>
      </c>
      <c r="R113" s="100" t="n">
        <f aca="false">R110+R84</f>
        <v>-48702.6446326162</v>
      </c>
      <c r="S113" s="100" t="n">
        <f aca="false">S110+S84</f>
        <v>-37885.7109358097</v>
      </c>
      <c r="T113" s="100" t="n">
        <f aca="false">T110+T84</f>
        <v>-24990.8155816573</v>
      </c>
      <c r="U113" s="100" t="n">
        <f aca="false">U110+U84</f>
        <v>-11943.2881301589</v>
      </c>
      <c r="V113" s="100" t="n">
        <f aca="false">V110+V84</f>
        <v>917.107378685476</v>
      </c>
      <c r="W113" s="100" t="n">
        <f aca="false">W110+W84</f>
        <v>15855.4645448758</v>
      </c>
      <c r="X113" s="100" t="n">
        <f aca="false">X110+X84</f>
        <v>32216.7214393707</v>
      </c>
      <c r="Y113" s="100" t="n">
        <f aca="false">Y110+Y84</f>
        <v>50000.8780621704</v>
      </c>
      <c r="Z113" s="100" t="n">
        <f aca="false">Z110+Z84</f>
        <v>68969.3003964082</v>
      </c>
      <c r="AA113" s="100" t="n">
        <f aca="false">AA110+AA84</f>
        <v>87221.2230524842</v>
      </c>
      <c r="AB113" s="100" t="n">
        <f aca="false">AB110+AB84</f>
        <v>104679.044195421</v>
      </c>
      <c r="AC113" s="100" t="n">
        <f aca="false">AC110+AC84</f>
        <v>123325.853272017</v>
      </c>
      <c r="AD113" s="100" t="n">
        <f aca="false">AD110+AD84</f>
        <v>143161.650282274</v>
      </c>
      <c r="AE113" s="100" t="n">
        <f aca="false">AE110+AE84</f>
        <v>164186.435226192</v>
      </c>
      <c r="AF113" s="100" t="n">
        <f aca="false">AF110+AF84</f>
        <v>186400.20810377</v>
      </c>
      <c r="AG113" s="100" t="n">
        <f aca="false">AG110+AG84</f>
        <v>209802.968915008</v>
      </c>
      <c r="AH113" s="100" t="n">
        <f aca="false">AH110+AH84</f>
        <v>234394.717659907</v>
      </c>
      <c r="AI113" s="100" t="n">
        <f aca="false">AI110+AI84</f>
        <v>260175.454338466</v>
      </c>
      <c r="AJ113" s="100" t="n">
        <f aca="false">AJ110+AJ84</f>
        <v>287145.178950685</v>
      </c>
      <c r="AK113" s="100" t="n">
        <f aca="false">AK110+AK84</f>
        <v>315303.891496565</v>
      </c>
      <c r="AL113" s="100" t="n">
        <f aca="false">AL110+AL84</f>
        <v>342668.502529305</v>
      </c>
      <c r="AM113" s="100" t="n">
        <f aca="false">AM110+AM84</f>
        <v>366074.066160162</v>
      </c>
      <c r="AN113" s="100" t="n">
        <f aca="false">AN110+AN84</f>
        <v>390528.736791307</v>
      </c>
      <c r="AO113" s="100" t="n">
        <f aca="false">AO110+AO84</f>
        <v>416032.514422741</v>
      </c>
      <c r="AP113" s="100" t="n">
        <f aca="false">AP110+AP84</f>
        <v>442585.399054464</v>
      </c>
      <c r="AQ113" s="100" t="n">
        <f aca="false">AQ110+AQ84</f>
        <v>470187.390686475</v>
      </c>
      <c r="AR113" s="100" t="n">
        <f aca="false">AR110+AR84</f>
        <v>498838.489318775</v>
      </c>
      <c r="AS113" s="100" t="n">
        <f aca="false">AS110+AS84</f>
        <v>527493.754617742</v>
      </c>
      <c r="AT113" s="100" t="n">
        <f aca="false">AT110+AT84</f>
        <v>556153.186583375</v>
      </c>
      <c r="AU113" s="100" t="n">
        <f aca="false">AU110+AU84</f>
        <v>584816.785215674</v>
      </c>
      <c r="AV113" s="100" t="n">
        <f aca="false">AV110+AV84</f>
        <v>613484.550514641</v>
      </c>
      <c r="AW113" s="100" t="n">
        <f aca="false">AW110+AW84</f>
        <v>642156.482480274</v>
      </c>
      <c r="AX113" s="100" t="n">
        <f aca="false">AX110+AX84</f>
        <v>670832.581112574</v>
      </c>
      <c r="AY113" s="100" t="n">
        <f aca="false">AY110+AY84</f>
        <v>697714.053361271</v>
      </c>
      <c r="AZ113" s="100" t="n">
        <f aca="false">AZ110+AZ84</f>
        <v>724599.692276634</v>
      </c>
      <c r="BA113" s="100" t="n">
        <f aca="false">BA110+BA84</f>
        <v>751489.497858665</v>
      </c>
      <c r="BB113" s="100" t="n">
        <f aca="false">BB110+BB84</f>
        <v>778383.470107361</v>
      </c>
      <c r="BC113" s="100" t="n">
        <f aca="false">BC110+BC84</f>
        <v>805281.609022725</v>
      </c>
      <c r="BD113" s="100" t="n">
        <f aca="false">BD110+BD84</f>
        <v>832183.914604755</v>
      </c>
      <c r="BE113" s="100" t="n">
        <f aca="false">BE110+BE84</f>
        <v>859090.386853452</v>
      </c>
      <c r="BF113" s="100" t="n">
        <f aca="false">BF110+BF84</f>
        <v>886001.025768815</v>
      </c>
      <c r="BG113" s="100" t="n">
        <f aca="false">BG110+BG84</f>
        <v>912915.831350846</v>
      </c>
      <c r="BH113" s="100" t="n">
        <f aca="false">BH110+BH84</f>
        <v>939834.803599542</v>
      </c>
      <c r="BI113" s="100" t="n">
        <f aca="false">BI110+BI84</f>
        <v>966757.942514906</v>
      </c>
      <c r="BJ113" s="100" t="n">
        <f aca="false">BJ110+BJ84</f>
        <v>993685.248096936</v>
      </c>
      <c r="BK113" s="100" t="n">
        <f aca="false">BK110+BK84</f>
        <v>1018807.62250386</v>
      </c>
      <c r="BL113" s="100" t="n">
        <f aca="false">BL110+BL84</f>
        <v>1043934.16357744</v>
      </c>
      <c r="BM113" s="100" t="n">
        <f aca="false">BM110+BM84</f>
        <v>1069064.87131769</v>
      </c>
      <c r="BN113" s="100" t="n">
        <f aca="false">BN110+BN84</f>
        <v>1094199.74572461</v>
      </c>
      <c r="BO113" s="100" t="n">
        <f aca="false">BO110+BO84</f>
        <v>1119338.7867982</v>
      </c>
      <c r="BP113" s="100" t="n">
        <f aca="false">BP110+BP84</f>
        <v>1144481.99453845</v>
      </c>
      <c r="BQ113" s="100" t="n">
        <f aca="false">BQ110+BQ84</f>
        <v>1169629.36894537</v>
      </c>
      <c r="BR113" s="100" t="n">
        <f aca="false">BR110+BR84</f>
        <v>1194780.91001896</v>
      </c>
      <c r="BS113" s="100" t="n">
        <f aca="false">BS110+BS84</f>
        <v>1219936.61775921</v>
      </c>
      <c r="BT113" s="100" t="n">
        <f aca="false">BT110+BT84</f>
        <v>1245096.49216613</v>
      </c>
      <c r="BU113" s="100" t="n">
        <f aca="false">BU110+BU84</f>
        <v>1270260.53323971</v>
      </c>
      <c r="BV113" s="100" t="n">
        <f aca="false">BV110+BV84</f>
        <v>1295428.74097997</v>
      </c>
      <c r="BW113" s="100" t="n">
        <f aca="false">BW110+BW84</f>
        <v>1318781.40360985</v>
      </c>
      <c r="BX113" s="100" t="n">
        <f aca="false">BX110+BX84</f>
        <v>1342138.23290641</v>
      </c>
      <c r="BY113" s="100" t="n">
        <f aca="false">BY110+BY84</f>
        <v>1365499.22886963</v>
      </c>
      <c r="BZ113" s="100" t="n">
        <f aca="false">BZ110+BZ84</f>
        <v>1388864.39149952</v>
      </c>
      <c r="CA113" s="100" t="n">
        <f aca="false">CA110+CA84</f>
        <v>1412233.72079607</v>
      </c>
      <c r="CB113" s="100" t="n">
        <f aca="false">CB110+CB84</f>
        <v>1435607.2167593</v>
      </c>
      <c r="CC113" s="100" t="n">
        <f aca="false">CC110+CC84</f>
        <v>1458984.87938918</v>
      </c>
      <c r="CD113" s="100" t="n">
        <f aca="false">CD110+CD84</f>
        <v>1482366.70868574</v>
      </c>
      <c r="CE113" s="100" t="n">
        <f aca="false">CE110+CE84</f>
        <v>1505752.70464896</v>
      </c>
      <c r="CF113" s="100" t="n">
        <f aca="false">CF110+CF84</f>
        <v>1529142.86727885</v>
      </c>
      <c r="CG113" s="100" t="n">
        <f aca="false">CG110+CG84</f>
        <v>1552537.1965754</v>
      </c>
      <c r="CH113" s="100" t="n">
        <f aca="false">CH110+CH84</f>
        <v>1575935.69253862</v>
      </c>
    </row>
    <row r="114" customFormat="false" ht="13.5" hidden="false" customHeight="true" outlineLevel="0" collapsed="false">
      <c r="A114" s="6" t="s">
        <v>583</v>
      </c>
      <c r="C114" s="100" t="n">
        <f aca="false">-C84</f>
        <v>0</v>
      </c>
      <c r="D114" s="100" t="n">
        <f aca="false">C114-D84</f>
        <v>0</v>
      </c>
      <c r="E114" s="100" t="n">
        <f aca="false">D114-E84</f>
        <v>0</v>
      </c>
      <c r="F114" s="100" t="n">
        <f aca="false">E114-F84</f>
        <v>0</v>
      </c>
      <c r="G114" s="100" t="n">
        <f aca="false">F114-G84</f>
        <v>0</v>
      </c>
      <c r="H114" s="100" t="n">
        <f aca="false">G114-H84</f>
        <v>0</v>
      </c>
      <c r="I114" s="100" t="n">
        <f aca="false">H114-I84</f>
        <v>0</v>
      </c>
      <c r="J114" s="100" t="n">
        <f aca="false">I114-J84</f>
        <v>0</v>
      </c>
      <c r="K114" s="100" t="n">
        <f aca="false">J114-K84</f>
        <v>0</v>
      </c>
      <c r="L114" s="100" t="n">
        <f aca="false">K114-L84</f>
        <v>0</v>
      </c>
      <c r="M114" s="100" t="n">
        <f aca="false">L114-M84</f>
        <v>0</v>
      </c>
      <c r="N114" s="100" t="n">
        <f aca="false">M114-N84</f>
        <v>0</v>
      </c>
      <c r="O114" s="100" t="n">
        <f aca="false">N114-O84</f>
        <v>0</v>
      </c>
      <c r="P114" s="100" t="n">
        <f aca="false">O114-P84</f>
        <v>0</v>
      </c>
      <c r="Q114" s="100" t="n">
        <f aca="false">P114-Q84</f>
        <v>0</v>
      </c>
      <c r="R114" s="100" t="n">
        <f aca="false">Q114-R84</f>
        <v>0</v>
      </c>
      <c r="S114" s="100" t="n">
        <f aca="false">R114-S84</f>
        <v>0</v>
      </c>
      <c r="T114" s="100" t="n">
        <f aca="false">S114-T84</f>
        <v>0</v>
      </c>
      <c r="U114" s="100" t="n">
        <f aca="false">T114-U84</f>
        <v>0</v>
      </c>
      <c r="V114" s="100" t="n">
        <f aca="false">U114-V84</f>
        <v>0</v>
      </c>
      <c r="W114" s="100" t="n">
        <f aca="false">V114-W84</f>
        <v>0</v>
      </c>
      <c r="X114" s="100" t="n">
        <f aca="false">W114-X84</f>
        <v>0</v>
      </c>
      <c r="Y114" s="100" t="n">
        <f aca="false">X114-Y84</f>
        <v>0</v>
      </c>
      <c r="Z114" s="100" t="n">
        <f aca="false">Y114-Z84</f>
        <v>0</v>
      </c>
      <c r="AA114" s="100" t="n">
        <f aca="false">Z114-AA84</f>
        <v>0</v>
      </c>
      <c r="AB114" s="100" t="n">
        <f aca="false">AA114-AB84</f>
        <v>0</v>
      </c>
      <c r="AC114" s="100" t="n">
        <f aca="false">AB114-AC84</f>
        <v>0</v>
      </c>
      <c r="AD114" s="100" t="n">
        <f aca="false">AC114-AD84</f>
        <v>0</v>
      </c>
      <c r="AE114" s="100" t="n">
        <f aca="false">AD114-AE84</f>
        <v>0</v>
      </c>
      <c r="AF114" s="100" t="n">
        <f aca="false">AE114-AF84</f>
        <v>0</v>
      </c>
      <c r="AG114" s="100" t="n">
        <f aca="false">AF114-AG84</f>
        <v>0</v>
      </c>
      <c r="AH114" s="100" t="n">
        <f aca="false">AG114-AH84</f>
        <v>0</v>
      </c>
      <c r="AI114" s="100" t="n">
        <f aca="false">AH114-AI84</f>
        <v>0</v>
      </c>
      <c r="AJ114" s="100" t="n">
        <f aca="false">AI114-AJ84</f>
        <v>0</v>
      </c>
      <c r="AK114" s="100" t="n">
        <f aca="false">AJ114-AK84</f>
        <v>0</v>
      </c>
      <c r="AL114" s="100" t="n">
        <f aca="false">AK114-AL84</f>
        <v>0</v>
      </c>
      <c r="AM114" s="100" t="n">
        <f aca="false">AL114-AM84</f>
        <v>0</v>
      </c>
      <c r="AN114" s="100" t="n">
        <f aca="false">AM114-AN84</f>
        <v>0</v>
      </c>
      <c r="AO114" s="100" t="n">
        <f aca="false">AN114-AO84</f>
        <v>0</v>
      </c>
      <c r="AP114" s="100" t="n">
        <f aca="false">AO114-AP84</f>
        <v>0</v>
      </c>
      <c r="AQ114" s="100" t="n">
        <f aca="false">AP114-AQ84</f>
        <v>0</v>
      </c>
      <c r="AR114" s="100" t="n">
        <f aca="false">AQ114-AR84</f>
        <v>0</v>
      </c>
      <c r="AS114" s="100" t="n">
        <f aca="false">AR114-AS84</f>
        <v>0</v>
      </c>
      <c r="AT114" s="100" t="n">
        <f aca="false">AS114-AT84</f>
        <v>0</v>
      </c>
      <c r="AU114" s="100" t="n">
        <f aca="false">AT114-AU84</f>
        <v>0</v>
      </c>
      <c r="AV114" s="100" t="n">
        <f aca="false">AU114-AV84</f>
        <v>0</v>
      </c>
      <c r="AW114" s="100" t="n">
        <f aca="false">AV114-AW84</f>
        <v>0</v>
      </c>
      <c r="AX114" s="100" t="n">
        <f aca="false">AW114-AX84</f>
        <v>0</v>
      </c>
      <c r="AY114" s="100" t="n">
        <f aca="false">AX114-AY84</f>
        <v>0</v>
      </c>
      <c r="AZ114" s="100" t="n">
        <f aca="false">AY114-AZ84</f>
        <v>0</v>
      </c>
      <c r="BA114" s="100" t="n">
        <f aca="false">AZ114-BA84</f>
        <v>0</v>
      </c>
      <c r="BB114" s="100" t="n">
        <f aca="false">BA114-BB84</f>
        <v>0</v>
      </c>
      <c r="BC114" s="100" t="n">
        <f aca="false">BB114-BC84</f>
        <v>0</v>
      </c>
      <c r="BD114" s="100" t="n">
        <f aca="false">BC114-BD84</f>
        <v>0</v>
      </c>
      <c r="BE114" s="100" t="n">
        <f aca="false">BD114-BE84</f>
        <v>0</v>
      </c>
      <c r="BF114" s="100" t="n">
        <f aca="false">BE114-BF84</f>
        <v>0</v>
      </c>
      <c r="BG114" s="100" t="n">
        <f aca="false">BF114-BG84</f>
        <v>0</v>
      </c>
      <c r="BH114" s="100" t="n">
        <f aca="false">BG114-BH84</f>
        <v>0</v>
      </c>
      <c r="BI114" s="100" t="n">
        <f aca="false">BH114-BI84</f>
        <v>0</v>
      </c>
      <c r="BJ114" s="100" t="n">
        <f aca="false">BI114-BJ84</f>
        <v>0</v>
      </c>
      <c r="BK114" s="100" t="n">
        <f aca="false">BJ114-BK84</f>
        <v>0</v>
      </c>
      <c r="BL114" s="100" t="n">
        <f aca="false">BK114-BL84</f>
        <v>0</v>
      </c>
      <c r="BM114" s="100" t="n">
        <f aca="false">BL114-BM84</f>
        <v>0</v>
      </c>
      <c r="BN114" s="100" t="n">
        <f aca="false">BM114-BN84</f>
        <v>0</v>
      </c>
      <c r="BO114" s="100" t="n">
        <f aca="false">BN114-BO84</f>
        <v>0</v>
      </c>
      <c r="BP114" s="100" t="n">
        <f aca="false">BO114-BP84</f>
        <v>0</v>
      </c>
      <c r="BQ114" s="100" t="n">
        <f aca="false">BP114-BQ84</f>
        <v>0</v>
      </c>
      <c r="BR114" s="100" t="n">
        <f aca="false">BQ114-BR84</f>
        <v>0</v>
      </c>
      <c r="BS114" s="100" t="n">
        <f aca="false">BR114-BS84</f>
        <v>0</v>
      </c>
      <c r="BT114" s="100" t="n">
        <f aca="false">BS114-BT84</f>
        <v>0</v>
      </c>
      <c r="BU114" s="100" t="n">
        <f aca="false">BT114-BU84</f>
        <v>0</v>
      </c>
      <c r="BV114" s="100" t="n">
        <f aca="false">BU114-BV84</f>
        <v>0</v>
      </c>
      <c r="BW114" s="100" t="n">
        <f aca="false">BV114-BW84</f>
        <v>0</v>
      </c>
      <c r="BX114" s="100" t="n">
        <f aca="false">BW114-BX84</f>
        <v>0</v>
      </c>
      <c r="BY114" s="100" t="n">
        <f aca="false">BX114-BY84</f>
        <v>0</v>
      </c>
      <c r="BZ114" s="100" t="n">
        <f aca="false">BY114-BZ84</f>
        <v>0</v>
      </c>
      <c r="CA114" s="100" t="n">
        <f aca="false">BZ114-CA84</f>
        <v>0</v>
      </c>
      <c r="CB114" s="100" t="n">
        <f aca="false">CA114-CB84</f>
        <v>0</v>
      </c>
      <c r="CC114" s="100" t="n">
        <f aca="false">CB114-CC84</f>
        <v>0</v>
      </c>
      <c r="CD114" s="100" t="n">
        <f aca="false">CC114-CD84</f>
        <v>0</v>
      </c>
      <c r="CE114" s="100" t="n">
        <f aca="false">CD114-CE84</f>
        <v>0</v>
      </c>
      <c r="CF114" s="100" t="n">
        <f aca="false">CE114-CF84</f>
        <v>0</v>
      </c>
      <c r="CG114" s="100" t="n">
        <f aca="false">CF114-CG84</f>
        <v>0</v>
      </c>
      <c r="CH114" s="100" t="n">
        <f aca="false">CG114-CH84</f>
        <v>0</v>
      </c>
    </row>
    <row r="115" customFormat="false" ht="13.5" hidden="false" customHeight="true" outlineLevel="0" collapsed="false">
      <c r="A115" s="6" t="s">
        <v>584</v>
      </c>
      <c r="C115" s="100" t="n">
        <f aca="false">-C83</f>
        <v>0</v>
      </c>
      <c r="D115" s="100" t="n">
        <f aca="false">C115-D83</f>
        <v>0</v>
      </c>
      <c r="E115" s="100" t="n">
        <f aca="false">D115-E83</f>
        <v>0</v>
      </c>
      <c r="F115" s="100" t="n">
        <f aca="false">E115-F83</f>
        <v>0</v>
      </c>
      <c r="G115" s="100" t="n">
        <f aca="false">F115-G83</f>
        <v>0</v>
      </c>
      <c r="H115" s="100" t="n">
        <f aca="false">G115-H83</f>
        <v>0</v>
      </c>
      <c r="I115" s="100" t="n">
        <f aca="false">H115-I83</f>
        <v>0</v>
      </c>
      <c r="J115" s="100" t="n">
        <f aca="false">I115-J83</f>
        <v>0</v>
      </c>
      <c r="K115" s="100" t="n">
        <f aca="false">J115-K83</f>
        <v>0</v>
      </c>
      <c r="L115" s="100" t="n">
        <f aca="false">K115-L83</f>
        <v>0</v>
      </c>
      <c r="M115" s="100" t="n">
        <f aca="false">L115-M83</f>
        <v>0</v>
      </c>
      <c r="N115" s="100" t="n">
        <f aca="false">M115-N83</f>
        <v>0</v>
      </c>
      <c r="O115" s="100" t="n">
        <f aca="false">N115-O83</f>
        <v>0</v>
      </c>
      <c r="P115" s="100" t="n">
        <f aca="false">O115-P83</f>
        <v>0</v>
      </c>
      <c r="Q115" s="100" t="n">
        <f aca="false">P115-Q83</f>
        <v>0</v>
      </c>
      <c r="R115" s="100" t="n">
        <f aca="false">Q115-R83</f>
        <v>0</v>
      </c>
      <c r="S115" s="100" t="n">
        <f aca="false">R115-S83</f>
        <v>0</v>
      </c>
      <c r="T115" s="100" t="n">
        <f aca="false">S115-T83</f>
        <v>0</v>
      </c>
      <c r="U115" s="100" t="n">
        <f aca="false">T115-U83</f>
        <v>0</v>
      </c>
      <c r="V115" s="100" t="n">
        <f aca="false">U115-V83</f>
        <v>0</v>
      </c>
      <c r="W115" s="100" t="n">
        <f aca="false">V115-W83</f>
        <v>0</v>
      </c>
      <c r="X115" s="100" t="n">
        <f aca="false">W115-X83</f>
        <v>0</v>
      </c>
      <c r="Y115" s="100" t="n">
        <f aca="false">X115-Y83</f>
        <v>0</v>
      </c>
      <c r="Z115" s="100" t="n">
        <f aca="false">Y115-Z83</f>
        <v>0</v>
      </c>
      <c r="AA115" s="100" t="n">
        <f aca="false">Z115-AA83</f>
        <v>0</v>
      </c>
      <c r="AB115" s="100" t="n">
        <f aca="false">AA115-AB83</f>
        <v>0</v>
      </c>
      <c r="AC115" s="100" t="n">
        <f aca="false">AB115-AC83</f>
        <v>0</v>
      </c>
      <c r="AD115" s="100" t="n">
        <f aca="false">AC115-AD83</f>
        <v>0</v>
      </c>
      <c r="AE115" s="100" t="n">
        <f aca="false">AD115-AE83</f>
        <v>0</v>
      </c>
      <c r="AF115" s="100" t="n">
        <f aca="false">AE115-AF83</f>
        <v>0</v>
      </c>
      <c r="AG115" s="100" t="n">
        <f aca="false">AF115-AG83</f>
        <v>0</v>
      </c>
      <c r="AH115" s="100" t="n">
        <f aca="false">AG115-AH83</f>
        <v>0</v>
      </c>
      <c r="AI115" s="100" t="n">
        <f aca="false">AH115-AI83</f>
        <v>0</v>
      </c>
      <c r="AJ115" s="100" t="n">
        <f aca="false">AI115-AJ83</f>
        <v>0</v>
      </c>
      <c r="AK115" s="100" t="n">
        <f aca="false">AJ115-AK83</f>
        <v>0</v>
      </c>
      <c r="AL115" s="100" t="n">
        <f aca="false">AK115-AL83</f>
        <v>0</v>
      </c>
      <c r="AM115" s="100" t="n">
        <f aca="false">AL115-AM83</f>
        <v>0</v>
      </c>
      <c r="AN115" s="100" t="n">
        <f aca="false">AM115-AN83</f>
        <v>0</v>
      </c>
      <c r="AO115" s="100" t="n">
        <f aca="false">AN115-AO83</f>
        <v>0</v>
      </c>
      <c r="AP115" s="100" t="n">
        <f aca="false">AO115-AP83</f>
        <v>0</v>
      </c>
      <c r="AQ115" s="100" t="n">
        <f aca="false">AP115-AQ83</f>
        <v>0</v>
      </c>
      <c r="AR115" s="100" t="n">
        <f aca="false">AQ115-AR83</f>
        <v>0</v>
      </c>
      <c r="AS115" s="100" t="n">
        <f aca="false">AR115-AS83</f>
        <v>0</v>
      </c>
      <c r="AT115" s="100" t="n">
        <f aca="false">AS115-AT83</f>
        <v>0</v>
      </c>
      <c r="AU115" s="100" t="n">
        <f aca="false">AT115-AU83</f>
        <v>0</v>
      </c>
      <c r="AV115" s="100" t="n">
        <f aca="false">AU115-AV83</f>
        <v>0</v>
      </c>
      <c r="AW115" s="100" t="n">
        <f aca="false">AV115-AW83</f>
        <v>0</v>
      </c>
      <c r="AX115" s="100" t="n">
        <f aca="false">AW115-AX83</f>
        <v>131265.631433308</v>
      </c>
      <c r="AY115" s="100" t="n">
        <f aca="false">AX115-AY83</f>
        <v>131265.631433308</v>
      </c>
      <c r="AZ115" s="100" t="n">
        <f aca="false">AY115-AZ83</f>
        <v>131265.631433308</v>
      </c>
      <c r="BA115" s="100" t="n">
        <f aca="false">AZ115-BA83</f>
        <v>131265.631433308</v>
      </c>
      <c r="BB115" s="100" t="n">
        <f aca="false">BA115-BB83</f>
        <v>131265.631433308</v>
      </c>
      <c r="BC115" s="100" t="n">
        <f aca="false">BB115-BC83</f>
        <v>131265.631433308</v>
      </c>
      <c r="BD115" s="100" t="n">
        <f aca="false">BC115-BD83</f>
        <v>131265.631433308</v>
      </c>
      <c r="BE115" s="100" t="n">
        <f aca="false">BD115-BE83</f>
        <v>131265.631433308</v>
      </c>
      <c r="BF115" s="100" t="n">
        <f aca="false">BE115-BF83</f>
        <v>131265.631433308</v>
      </c>
      <c r="BG115" s="100" t="n">
        <f aca="false">BF115-BG83</f>
        <v>131265.631433308</v>
      </c>
      <c r="BH115" s="100" t="n">
        <f aca="false">BG115-BH83</f>
        <v>131265.631433308</v>
      </c>
      <c r="BI115" s="100" t="n">
        <f aca="false">BH115-BI83</f>
        <v>131265.631433308</v>
      </c>
      <c r="BJ115" s="100" t="n">
        <f aca="false">BI115-BJ83</f>
        <v>260406.698227053</v>
      </c>
      <c r="BK115" s="100" t="n">
        <f aca="false">BJ115-BK83</f>
        <v>260406.698227053</v>
      </c>
      <c r="BL115" s="100" t="n">
        <f aca="false">BK115-BL83</f>
        <v>260406.698227053</v>
      </c>
      <c r="BM115" s="100" t="n">
        <f aca="false">BL115-BM83</f>
        <v>260406.698227053</v>
      </c>
      <c r="BN115" s="100" t="n">
        <f aca="false">BM115-BN83</f>
        <v>260406.698227053</v>
      </c>
      <c r="BO115" s="100" t="n">
        <f aca="false">BN115-BO83</f>
        <v>260406.698227053</v>
      </c>
      <c r="BP115" s="100" t="n">
        <f aca="false">BO115-BP83</f>
        <v>260406.698227053</v>
      </c>
      <c r="BQ115" s="100" t="n">
        <f aca="false">BP115-BQ83</f>
        <v>260406.698227053</v>
      </c>
      <c r="BR115" s="100" t="n">
        <f aca="false">BQ115-BR83</f>
        <v>260406.698227053</v>
      </c>
      <c r="BS115" s="100" t="n">
        <f aca="false">BR115-BS83</f>
        <v>260406.698227053</v>
      </c>
      <c r="BT115" s="100" t="n">
        <f aca="false">BS115-BT83</f>
        <v>260406.698227053</v>
      </c>
      <c r="BU115" s="100" t="n">
        <f aca="false">BT115-BU83</f>
        <v>260406.698227053</v>
      </c>
      <c r="BV115" s="100" t="n">
        <f aca="false">BU115-BV83</f>
        <v>381104.095380264</v>
      </c>
      <c r="BW115" s="100" t="n">
        <f aca="false">BV115-BW83</f>
        <v>381104.095380264</v>
      </c>
      <c r="BX115" s="100" t="n">
        <f aca="false">BW115-BX83</f>
        <v>381104.095380264</v>
      </c>
      <c r="BY115" s="100" t="n">
        <f aca="false">BX115-BY83</f>
        <v>381104.095380264</v>
      </c>
      <c r="BZ115" s="100" t="n">
        <f aca="false">BY115-BZ83</f>
        <v>381104.095380264</v>
      </c>
      <c r="CA115" s="100" t="n">
        <f aca="false">BZ115-CA83</f>
        <v>381104.095380264</v>
      </c>
      <c r="CB115" s="100" t="n">
        <f aca="false">CA115-CB83</f>
        <v>381104.095380264</v>
      </c>
      <c r="CC115" s="100" t="n">
        <f aca="false">CB115-CC83</f>
        <v>381104.095380264</v>
      </c>
      <c r="CD115" s="100" t="n">
        <f aca="false">CC115-CD83</f>
        <v>381104.095380264</v>
      </c>
      <c r="CE115" s="100" t="n">
        <f aca="false">CD115-CE83</f>
        <v>381104.095380264</v>
      </c>
      <c r="CF115" s="100" t="n">
        <f aca="false">CE115-CF83</f>
        <v>381104.095380264</v>
      </c>
      <c r="CG115" s="100" t="n">
        <f aca="false">CF115-CG83</f>
        <v>381104.095380264</v>
      </c>
      <c r="CH115" s="100" t="n">
        <f aca="false">CG115-CH83</f>
        <v>493306.876003728</v>
      </c>
    </row>
    <row r="116" customFormat="false" ht="13.5" hidden="false" customHeight="true" outlineLevel="0" collapsed="false">
      <c r="A116" s="6" t="s">
        <v>585</v>
      </c>
      <c r="C116" s="100" t="n">
        <f aca="false">Hipótesis!$C$44*(1-Hipótesis!$D$83)</f>
        <v>1540</v>
      </c>
      <c r="D116" s="100" t="n">
        <f aca="false">Hipótesis!$C$44*(1-Hipótesis!$D$83)</f>
        <v>1540</v>
      </c>
      <c r="E116" s="100" t="n">
        <f aca="false">Hipótesis!$C$44*(1-Hipótesis!$D$83)</f>
        <v>1540</v>
      </c>
      <c r="F116" s="100" t="n">
        <f aca="false">Hipótesis!$C$44*(1-Hipótesis!$D$83)</f>
        <v>1540</v>
      </c>
      <c r="G116" s="100" t="n">
        <f aca="false">Hipótesis!$C$44*(1-Hipótesis!$D$83)</f>
        <v>1540</v>
      </c>
      <c r="H116" s="100" t="n">
        <f aca="false">Hipótesis!$C$44*(1-Hipótesis!$D$83)</f>
        <v>1540</v>
      </c>
      <c r="I116" s="100" t="n">
        <f aca="false">Hipótesis!$C$44*(1-Hipótesis!$D$83)</f>
        <v>1540</v>
      </c>
      <c r="J116" s="100" t="n">
        <f aca="false">Hipótesis!$C$44*(1-Hipótesis!$D$83)</f>
        <v>1540</v>
      </c>
      <c r="K116" s="100" t="n">
        <f aca="false">Hipótesis!$C$44*(1-Hipótesis!$D$83)</f>
        <v>1540</v>
      </c>
      <c r="L116" s="100" t="n">
        <f aca="false">Hipótesis!$C$44*(1-Hipótesis!$D$83)</f>
        <v>1540</v>
      </c>
      <c r="M116" s="100" t="n">
        <f aca="false">Hipótesis!$C$44*(1-Hipótesis!$D$83)</f>
        <v>1540</v>
      </c>
      <c r="N116" s="100" t="n">
        <f aca="false">Hipótesis!$C$44*(1-Hipótesis!$D$83)</f>
        <v>1540</v>
      </c>
      <c r="O116" s="100" t="n">
        <f aca="false">Hipótesis!$D$44*(1-Hipótesis!$D$83)</f>
        <v>2450</v>
      </c>
      <c r="P116" s="100" t="n">
        <f aca="false">Hipótesis!$D$44*(1-Hipótesis!$D$83)</f>
        <v>2450</v>
      </c>
      <c r="Q116" s="100" t="n">
        <f aca="false">Hipótesis!$D$44*(1-Hipótesis!$D$83)</f>
        <v>2450</v>
      </c>
      <c r="R116" s="100" t="n">
        <f aca="false">Hipótesis!$D$44*(1-Hipótesis!$D$83)</f>
        <v>2450</v>
      </c>
      <c r="S116" s="100" t="n">
        <f aca="false">Hipótesis!$D$44*(1-Hipótesis!$D$83)</f>
        <v>2450</v>
      </c>
      <c r="T116" s="100" t="n">
        <f aca="false">Hipótesis!$D$44*(1-Hipótesis!$D$83)</f>
        <v>2450</v>
      </c>
      <c r="U116" s="100" t="n">
        <f aca="false">Hipótesis!$D$44*(1-Hipótesis!$D$83)</f>
        <v>2450</v>
      </c>
      <c r="V116" s="100" t="n">
        <f aca="false">Hipótesis!$D$44*(1-Hipótesis!$D$83)</f>
        <v>2450</v>
      </c>
      <c r="W116" s="100" t="n">
        <f aca="false">Hipótesis!$D$44*(1-Hipótesis!$D$83)</f>
        <v>2450</v>
      </c>
      <c r="X116" s="100" t="n">
        <f aca="false">Hipótesis!$D$44*(1-Hipótesis!$D$83)</f>
        <v>2450</v>
      </c>
      <c r="Y116" s="100" t="n">
        <f aca="false">Hipótesis!$D$44*(1-Hipótesis!$D$83)</f>
        <v>2450</v>
      </c>
      <c r="Z116" s="100" t="n">
        <f aca="false">Hipótesis!$D$44*(1-Hipótesis!$D$83)</f>
        <v>2450</v>
      </c>
      <c r="AA116" s="100" t="n">
        <f aca="false">Hipótesis!$E$44*(1-Hipótesis!$D$83)</f>
        <v>2800</v>
      </c>
      <c r="AB116" s="100" t="n">
        <f aca="false">Hipótesis!$E$44*(1-Hipótesis!$D$83)</f>
        <v>2800</v>
      </c>
      <c r="AC116" s="100" t="n">
        <f aca="false">Hipótesis!$E$44*(1-Hipótesis!$D$83)</f>
        <v>2800</v>
      </c>
      <c r="AD116" s="100" t="n">
        <f aca="false">Hipótesis!$E$44*(1-Hipótesis!$D$83)</f>
        <v>2800</v>
      </c>
      <c r="AE116" s="100" t="n">
        <f aca="false">Hipótesis!$E$44*(1-Hipótesis!$D$83)</f>
        <v>2800</v>
      </c>
      <c r="AF116" s="100" t="n">
        <f aca="false">Hipótesis!$E$44*(1-Hipótesis!$D$83)</f>
        <v>2800</v>
      </c>
      <c r="AG116" s="100" t="n">
        <f aca="false">Hipótesis!$E$44*(1-Hipótesis!$D$83)</f>
        <v>2800</v>
      </c>
      <c r="AH116" s="100" t="n">
        <f aca="false">Hipótesis!$E$44*(1-Hipótesis!$D$83)</f>
        <v>2800</v>
      </c>
      <c r="AI116" s="100" t="n">
        <f aca="false">Hipótesis!$E$44*(1-Hipótesis!$D$83)</f>
        <v>2800</v>
      </c>
      <c r="AJ116" s="100" t="n">
        <f aca="false">Hipótesis!$E$44*(1-Hipótesis!$D$83)</f>
        <v>2800</v>
      </c>
      <c r="AK116" s="100" t="n">
        <f aca="false">Hipótesis!$E$44*(1-Hipótesis!$D$83)</f>
        <v>2800</v>
      </c>
      <c r="AL116" s="100" t="n">
        <f aca="false">Hipótesis!$E$44*(1-Hipótesis!$D$83)</f>
        <v>2800</v>
      </c>
      <c r="AM116" s="100" t="n">
        <f aca="false">Hipótesis!$F$44*(1-Hipótesis!$D$83)</f>
        <v>3150</v>
      </c>
      <c r="AN116" s="100" t="n">
        <f aca="false">Hipótesis!$F$44*(1-Hipótesis!$D$83)</f>
        <v>3150</v>
      </c>
      <c r="AO116" s="100" t="n">
        <f aca="false">Hipótesis!$F$44*(1-Hipótesis!$D$83)</f>
        <v>3150</v>
      </c>
      <c r="AP116" s="100" t="n">
        <f aca="false">Hipótesis!$F$44*(1-Hipótesis!$D$83)</f>
        <v>3150</v>
      </c>
      <c r="AQ116" s="100" t="n">
        <f aca="false">Hipótesis!$F$44*(1-Hipótesis!$D$83)</f>
        <v>3150</v>
      </c>
      <c r="AR116" s="100" t="n">
        <f aca="false">Hipótesis!$F$44*(1-Hipótesis!$D$83)</f>
        <v>3150</v>
      </c>
      <c r="AS116" s="100" t="n">
        <f aca="false">Hipótesis!$F$44*(1-Hipótesis!$D$83)</f>
        <v>3150</v>
      </c>
      <c r="AT116" s="100" t="n">
        <f aca="false">Hipótesis!$F$44*(1-Hipótesis!$D$83)</f>
        <v>3150</v>
      </c>
      <c r="AU116" s="100" t="n">
        <f aca="false">Hipótesis!$F$44*(1-Hipótesis!$D$83)</f>
        <v>3150</v>
      </c>
      <c r="AV116" s="100" t="n">
        <f aca="false">Hipótesis!$F$44*(1-Hipótesis!$D$83)</f>
        <v>3150</v>
      </c>
      <c r="AW116" s="100" t="n">
        <f aca="false">Hipótesis!$F$44*(1-Hipótesis!$D$83)</f>
        <v>3150</v>
      </c>
      <c r="AX116" s="100" t="n">
        <f aca="false">Hipótesis!$F$44*(1-Hipótesis!$D$83)</f>
        <v>3150</v>
      </c>
      <c r="AY116" s="100" t="n">
        <f aca="false">Hipótesis!$G$44*(1-Hipótesis!$D$83)</f>
        <v>3500</v>
      </c>
      <c r="AZ116" s="100" t="n">
        <f aca="false">Hipótesis!$G$44*(1-Hipótesis!$D$83)</f>
        <v>3500</v>
      </c>
      <c r="BA116" s="100" t="n">
        <f aca="false">Hipótesis!$G$44*(1-Hipótesis!$D$83)</f>
        <v>3500</v>
      </c>
      <c r="BB116" s="100" t="n">
        <f aca="false">Hipótesis!$G$44*(1-Hipótesis!$D$83)</f>
        <v>3500</v>
      </c>
      <c r="BC116" s="100" t="n">
        <f aca="false">Hipótesis!$G$44*(1-Hipótesis!$D$83)</f>
        <v>3500</v>
      </c>
      <c r="BD116" s="100" t="n">
        <f aca="false">Hipótesis!$G$44*(1-Hipótesis!$D$83)</f>
        <v>3500</v>
      </c>
      <c r="BE116" s="100" t="n">
        <f aca="false">Hipótesis!$G$44*(1-Hipótesis!$D$83)</f>
        <v>3500</v>
      </c>
      <c r="BF116" s="100" t="n">
        <f aca="false">Hipótesis!$G$44*(1-Hipótesis!$D$83)</f>
        <v>3500</v>
      </c>
      <c r="BG116" s="100" t="n">
        <f aca="false">Hipótesis!$G$44*(1-Hipótesis!$D$83)</f>
        <v>3500</v>
      </c>
      <c r="BH116" s="100" t="n">
        <f aca="false">Hipótesis!$G$44*(1-Hipótesis!$D$83)</f>
        <v>3500</v>
      </c>
      <c r="BI116" s="100" t="n">
        <f aca="false">Hipótesis!$G$44*(1-Hipótesis!$D$83)</f>
        <v>3500</v>
      </c>
      <c r="BJ116" s="100" t="n">
        <f aca="false">Hipótesis!$G$44*(1-Hipótesis!$D$83)</f>
        <v>3500</v>
      </c>
      <c r="BK116" s="100" t="n">
        <f aca="false">Hipótesis!$H$44*(1-Hipótesis!$D$83)</f>
        <v>3850</v>
      </c>
      <c r="BL116" s="100" t="n">
        <f aca="false">Hipótesis!$H$44*(1-Hipótesis!$D$83)</f>
        <v>3850</v>
      </c>
      <c r="BM116" s="100" t="n">
        <f aca="false">Hipótesis!$H$44*(1-Hipótesis!$D$83)</f>
        <v>3850</v>
      </c>
      <c r="BN116" s="100" t="n">
        <f aca="false">Hipótesis!$H$44*(1-Hipótesis!$D$83)</f>
        <v>3850</v>
      </c>
      <c r="BO116" s="100" t="n">
        <f aca="false">Hipótesis!$H$44*(1-Hipótesis!$D$83)</f>
        <v>3850</v>
      </c>
      <c r="BP116" s="100" t="n">
        <f aca="false">Hipótesis!$H$44*(1-Hipótesis!$D$83)</f>
        <v>3850</v>
      </c>
      <c r="BQ116" s="100" t="n">
        <f aca="false">Hipótesis!$H$44*(1-Hipótesis!$D$83)</f>
        <v>3850</v>
      </c>
      <c r="BR116" s="100" t="n">
        <f aca="false">Hipótesis!$H$44*(1-Hipótesis!$D$83)</f>
        <v>3850</v>
      </c>
      <c r="BS116" s="100" t="n">
        <f aca="false">Hipótesis!$H$44*(1-Hipótesis!$D$83)</f>
        <v>3850</v>
      </c>
      <c r="BT116" s="100" t="n">
        <f aca="false">Hipótesis!$H$44*(1-Hipótesis!$D$83)</f>
        <v>3850</v>
      </c>
      <c r="BU116" s="100" t="n">
        <f aca="false">Hipótesis!$H$44*(1-Hipótesis!$D$83)</f>
        <v>3850</v>
      </c>
      <c r="BV116" s="100" t="n">
        <f aca="false">Hipótesis!$H$44*(1-Hipótesis!$D$83)</f>
        <v>3850</v>
      </c>
      <c r="BW116" s="100" t="n">
        <f aca="false">Hipótesis!$I$44*(1-Hipótesis!$D$83)</f>
        <v>4200</v>
      </c>
      <c r="BX116" s="100" t="n">
        <f aca="false">Hipótesis!$I$44*(1-Hipótesis!$D$83)</f>
        <v>4200</v>
      </c>
      <c r="BY116" s="100" t="n">
        <f aca="false">Hipótesis!$I$44*(1-Hipótesis!$D$83)</f>
        <v>4200</v>
      </c>
      <c r="BZ116" s="100" t="n">
        <f aca="false">Hipótesis!$I$44*(1-Hipótesis!$D$83)</f>
        <v>4200</v>
      </c>
      <c r="CA116" s="100" t="n">
        <f aca="false">Hipótesis!$I$44*(1-Hipótesis!$D$83)</f>
        <v>4200</v>
      </c>
      <c r="CB116" s="100" t="n">
        <f aca="false">Hipótesis!$I$44*(1-Hipótesis!$D$83)</f>
        <v>4200</v>
      </c>
      <c r="CC116" s="100" t="n">
        <f aca="false">Hipótesis!$I$44*(1-Hipótesis!$D$83)</f>
        <v>4200</v>
      </c>
      <c r="CD116" s="100" t="n">
        <f aca="false">Hipótesis!$I$44*(1-Hipótesis!$D$83)</f>
        <v>4200</v>
      </c>
      <c r="CE116" s="100" t="n">
        <f aca="false">Hipótesis!$I$44*(1-Hipótesis!$D$83)</f>
        <v>4200</v>
      </c>
      <c r="CF116" s="100" t="n">
        <f aca="false">Hipótesis!$I$44*(1-Hipótesis!$D$83)</f>
        <v>4200</v>
      </c>
      <c r="CG116" s="100" t="n">
        <f aca="false">Hipótesis!$I$44*(1-Hipótesis!$D$83)</f>
        <v>4200</v>
      </c>
      <c r="CH116" s="100" t="n">
        <f aca="false">Hipótesis!$I$44*(1-Hipótesis!$D$83)</f>
        <v>4200</v>
      </c>
    </row>
    <row r="117" customFormat="false" ht="13.5" hidden="false" customHeight="true" outlineLevel="0" collapsed="false">
      <c r="A117" s="6" t="s">
        <v>586</v>
      </c>
      <c r="C117" s="100" t="n">
        <f aca="false">-C84*Hipótesis!$D$82*(1-Hipótesis!$D$84)</f>
        <v>0</v>
      </c>
      <c r="D117" s="100" t="n">
        <f aca="false">-D84*Hipótesis!$D$82*(1-Hipótesis!$D$84)</f>
        <v>0</v>
      </c>
      <c r="E117" s="100" t="n">
        <f aca="false">-E84*Hipótesis!$D$82*(1-Hipótesis!$D$84)</f>
        <v>0</v>
      </c>
      <c r="F117" s="100" t="n">
        <f aca="false">-F84*Hipótesis!$D$82*(1-Hipótesis!$D$84)</f>
        <v>0</v>
      </c>
      <c r="G117" s="100" t="n">
        <f aca="false">-G84*Hipótesis!$D$82*(1-Hipótesis!$D$84)</f>
        <v>0</v>
      </c>
      <c r="H117" s="100" t="n">
        <f aca="false">-H84*Hipótesis!$D$82*(1-Hipótesis!$D$84)</f>
        <v>0</v>
      </c>
      <c r="I117" s="100" t="n">
        <f aca="false">-I84*Hipótesis!$D$82*(1-Hipótesis!$D$84)</f>
        <v>0</v>
      </c>
      <c r="J117" s="100" t="n">
        <f aca="false">-J84*Hipótesis!$D$82*(1-Hipótesis!$D$84)</f>
        <v>0</v>
      </c>
      <c r="K117" s="100" t="n">
        <f aca="false">-K84*Hipótesis!$D$82*(1-Hipótesis!$D$84)</f>
        <v>0</v>
      </c>
      <c r="L117" s="100" t="n">
        <f aca="false">-L84*Hipótesis!$D$82*(1-Hipótesis!$D$84)</f>
        <v>0</v>
      </c>
      <c r="M117" s="100" t="n">
        <f aca="false">-M84*Hipótesis!$D$82*(1-Hipótesis!$D$84)</f>
        <v>0</v>
      </c>
      <c r="N117" s="100" t="n">
        <f aca="false">-N84*Hipótesis!$D$82*(1-Hipótesis!$D$84)</f>
        <v>0</v>
      </c>
      <c r="O117" s="100" t="n">
        <f aca="false">-O84*Hipótesis!$D$82*(1-Hipótesis!$D$84)</f>
        <v>0</v>
      </c>
      <c r="P117" s="100" t="n">
        <f aca="false">-P84*Hipótesis!$D$82*(1-Hipótesis!$D$84)</f>
        <v>0</v>
      </c>
      <c r="Q117" s="100" t="n">
        <f aca="false">-Q84*Hipótesis!$D$82*(1-Hipótesis!$D$84)</f>
        <v>0</v>
      </c>
      <c r="R117" s="100" t="n">
        <f aca="false">-R84*Hipótesis!$D$82*(1-Hipótesis!$D$84)</f>
        <v>0</v>
      </c>
      <c r="S117" s="100" t="n">
        <f aca="false">-S84*Hipótesis!$D$82*(1-Hipótesis!$D$84)</f>
        <v>0</v>
      </c>
      <c r="T117" s="100" t="n">
        <f aca="false">-T84*Hipótesis!$D$82*(1-Hipótesis!$D$84)</f>
        <v>0</v>
      </c>
      <c r="U117" s="100" t="n">
        <f aca="false">-U84*Hipótesis!$D$82*(1-Hipótesis!$D$84)</f>
        <v>0</v>
      </c>
      <c r="V117" s="100" t="n">
        <f aca="false">-V84*Hipótesis!$D$82*(1-Hipótesis!$D$84)</f>
        <v>0</v>
      </c>
      <c r="W117" s="100" t="n">
        <f aca="false">-W84*Hipótesis!$D$82*(1-Hipótesis!$D$84)</f>
        <v>0</v>
      </c>
      <c r="X117" s="100" t="n">
        <f aca="false">-X84*Hipótesis!$D$82*(1-Hipótesis!$D$84)</f>
        <v>0</v>
      </c>
      <c r="Y117" s="100" t="n">
        <f aca="false">-Y84*Hipótesis!$D$82*(1-Hipótesis!$D$84)</f>
        <v>0</v>
      </c>
      <c r="Z117" s="100" t="n">
        <f aca="false">-Z84*Hipótesis!$D$82*(1-Hipótesis!$D$84)</f>
        <v>0</v>
      </c>
      <c r="AA117" s="100" t="n">
        <f aca="false">-AA84*Hipótesis!$D$82*(1-Hipótesis!$D$84)</f>
        <v>0</v>
      </c>
      <c r="AB117" s="100" t="n">
        <f aca="false">-AB84*Hipótesis!$D$82*(1-Hipótesis!$D$84)</f>
        <v>0</v>
      </c>
      <c r="AC117" s="100" t="n">
        <f aca="false">-AC84*Hipótesis!$D$82*(1-Hipótesis!$D$84)</f>
        <v>0</v>
      </c>
      <c r="AD117" s="100" t="n">
        <f aca="false">-AD84*Hipótesis!$D$82*(1-Hipótesis!$D$84)</f>
        <v>0</v>
      </c>
      <c r="AE117" s="100" t="n">
        <f aca="false">-AE84*Hipótesis!$D$82*(1-Hipótesis!$D$84)</f>
        <v>0</v>
      </c>
      <c r="AF117" s="100" t="n">
        <f aca="false">-AF84*Hipótesis!$D$82*(1-Hipótesis!$D$84)</f>
        <v>0</v>
      </c>
      <c r="AG117" s="100" t="n">
        <f aca="false">-AG84*Hipótesis!$D$82*(1-Hipótesis!$D$84)</f>
        <v>0</v>
      </c>
      <c r="AH117" s="100" t="n">
        <f aca="false">-AH84*Hipótesis!$D$82*(1-Hipótesis!$D$84)</f>
        <v>0</v>
      </c>
      <c r="AI117" s="100" t="n">
        <f aca="false">-AI84*Hipótesis!$D$82*(1-Hipótesis!$D$84)</f>
        <v>0</v>
      </c>
      <c r="AJ117" s="100" t="n">
        <f aca="false">-AJ84*Hipótesis!$D$82*(1-Hipótesis!$D$84)</f>
        <v>0</v>
      </c>
      <c r="AK117" s="100" t="n">
        <f aca="false">-AK84*Hipótesis!$D$82*(1-Hipótesis!$D$84)</f>
        <v>0</v>
      </c>
      <c r="AL117" s="100" t="n">
        <f aca="false">-AL84*Hipótesis!$D$82*(1-Hipótesis!$D$84)</f>
        <v>0</v>
      </c>
      <c r="AM117" s="100" t="n">
        <f aca="false">-AM84*Hipótesis!$D$82*(1-Hipótesis!$D$84)</f>
        <v>0</v>
      </c>
      <c r="AN117" s="100" t="n">
        <f aca="false">-AN84*Hipótesis!$D$82*(1-Hipótesis!$D$84)</f>
        <v>0</v>
      </c>
      <c r="AO117" s="100" t="n">
        <f aca="false">-AO84*Hipótesis!$D$82*(1-Hipótesis!$D$84)</f>
        <v>0</v>
      </c>
      <c r="AP117" s="100" t="n">
        <f aca="false">-AP84*Hipótesis!$D$82*(1-Hipótesis!$D$84)</f>
        <v>0</v>
      </c>
      <c r="AQ117" s="100" t="n">
        <f aca="false">-AQ84*Hipótesis!$D$82*(1-Hipótesis!$D$84)</f>
        <v>0</v>
      </c>
      <c r="AR117" s="100" t="n">
        <f aca="false">-AR84*Hipótesis!$D$82*(1-Hipótesis!$D$84)</f>
        <v>0</v>
      </c>
      <c r="AS117" s="100" t="n">
        <f aca="false">-AS84*Hipótesis!$D$82*(1-Hipótesis!$D$84)</f>
        <v>0</v>
      </c>
      <c r="AT117" s="100" t="n">
        <f aca="false">-AT84*Hipótesis!$D$82*(1-Hipótesis!$D$84)</f>
        <v>0</v>
      </c>
      <c r="AU117" s="100" t="n">
        <f aca="false">-AU84*Hipótesis!$D$82*(1-Hipótesis!$D$84)</f>
        <v>0</v>
      </c>
      <c r="AV117" s="100" t="n">
        <f aca="false">-AV84*Hipótesis!$D$82*(1-Hipótesis!$D$84)</f>
        <v>0</v>
      </c>
      <c r="AW117" s="100" t="n">
        <f aca="false">-AW84*Hipótesis!$D$82*(1-Hipótesis!$D$84)</f>
        <v>0</v>
      </c>
      <c r="AX117" s="100" t="n">
        <f aca="false">-AX84*Hipótesis!$D$82*(1-Hipótesis!$D$84)</f>
        <v>0</v>
      </c>
      <c r="AY117" s="100" t="n">
        <f aca="false">-AY84*Hipótesis!$D$82*(1-Hipótesis!$D$84)</f>
        <v>0</v>
      </c>
      <c r="AZ117" s="100" t="n">
        <f aca="false">-AZ84*Hipótesis!$D$82*(1-Hipótesis!$D$84)</f>
        <v>0</v>
      </c>
      <c r="BA117" s="100" t="n">
        <f aca="false">-BA84*Hipótesis!$D$82*(1-Hipótesis!$D$84)</f>
        <v>0</v>
      </c>
      <c r="BB117" s="100" t="n">
        <f aca="false">-BB84*Hipótesis!$D$82*(1-Hipótesis!$D$84)</f>
        <v>0</v>
      </c>
      <c r="BC117" s="100" t="n">
        <f aca="false">-BC84*Hipótesis!$D$82*(1-Hipótesis!$D$84)</f>
        <v>0</v>
      </c>
      <c r="BD117" s="100" t="n">
        <f aca="false">-BD84*Hipótesis!$D$82*(1-Hipótesis!$D$84)</f>
        <v>0</v>
      </c>
      <c r="BE117" s="100" t="n">
        <f aca="false">-BE84*Hipótesis!$D$82*(1-Hipótesis!$D$84)</f>
        <v>0</v>
      </c>
      <c r="BF117" s="100" t="n">
        <f aca="false">-BF84*Hipótesis!$D$82*(1-Hipótesis!$D$84)</f>
        <v>0</v>
      </c>
      <c r="BG117" s="100" t="n">
        <f aca="false">-BG84*Hipótesis!$D$82*(1-Hipótesis!$D$84)</f>
        <v>0</v>
      </c>
      <c r="BH117" s="100" t="n">
        <f aca="false">-BH84*Hipótesis!$D$82*(1-Hipótesis!$D$84)</f>
        <v>0</v>
      </c>
      <c r="BI117" s="100" t="n">
        <f aca="false">-BI84*Hipótesis!$D$82*(1-Hipótesis!$D$84)</f>
        <v>0</v>
      </c>
      <c r="BJ117" s="100" t="n">
        <f aca="false">-BJ84*Hipótesis!$D$82*(1-Hipótesis!$D$84)</f>
        <v>0</v>
      </c>
      <c r="BK117" s="100" t="n">
        <f aca="false">-BK84*Hipótesis!$D$82*(1-Hipótesis!$D$84)</f>
        <v>0</v>
      </c>
      <c r="BL117" s="100" t="n">
        <f aca="false">-BL84*Hipótesis!$D$82*(1-Hipótesis!$D$84)</f>
        <v>0</v>
      </c>
      <c r="BM117" s="100" t="n">
        <f aca="false">-BM84*Hipótesis!$D$82*(1-Hipótesis!$D$84)</f>
        <v>0</v>
      </c>
      <c r="BN117" s="100" t="n">
        <f aca="false">-BN84*Hipótesis!$D$82*(1-Hipótesis!$D$84)</f>
        <v>0</v>
      </c>
      <c r="BO117" s="100" t="n">
        <f aca="false">-BO84*Hipótesis!$D$82*(1-Hipótesis!$D$84)</f>
        <v>0</v>
      </c>
      <c r="BP117" s="100" t="n">
        <f aca="false">-BP84*Hipótesis!$D$82*(1-Hipótesis!$D$84)</f>
        <v>0</v>
      </c>
      <c r="BQ117" s="100" t="n">
        <f aca="false">-BQ84*Hipótesis!$D$82*(1-Hipótesis!$D$84)</f>
        <v>0</v>
      </c>
      <c r="BR117" s="100" t="n">
        <f aca="false">-BR84*Hipótesis!$D$82*(1-Hipótesis!$D$84)</f>
        <v>0</v>
      </c>
      <c r="BS117" s="100" t="n">
        <f aca="false">-BS84*Hipótesis!$D$82*(1-Hipótesis!$D$84)</f>
        <v>0</v>
      </c>
      <c r="BT117" s="100" t="n">
        <f aca="false">-BT84*Hipótesis!$D$82*(1-Hipótesis!$D$84)</f>
        <v>0</v>
      </c>
      <c r="BU117" s="100" t="n">
        <f aca="false">-BU84*Hipótesis!$D$82*(1-Hipótesis!$D$84)</f>
        <v>0</v>
      </c>
      <c r="BV117" s="100" t="n">
        <f aca="false">-BV84*Hipótesis!$D$82*(1-Hipótesis!$D$84)</f>
        <v>0</v>
      </c>
      <c r="BW117" s="100" t="n">
        <f aca="false">-BW84*Hipótesis!$D$82*(1-Hipótesis!$D$84)</f>
        <v>0</v>
      </c>
      <c r="BX117" s="100" t="n">
        <f aca="false">-BX84*Hipótesis!$D$82*(1-Hipótesis!$D$84)</f>
        <v>0</v>
      </c>
      <c r="BY117" s="100" t="n">
        <f aca="false">-BY84*Hipótesis!$D$82*(1-Hipótesis!$D$84)</f>
        <v>0</v>
      </c>
      <c r="BZ117" s="100" t="n">
        <f aca="false">-BZ84*Hipótesis!$D$82*(1-Hipótesis!$D$84)</f>
        <v>0</v>
      </c>
      <c r="CA117" s="100" t="n">
        <f aca="false">-CA84*Hipótesis!$D$82*(1-Hipótesis!$D$84)</f>
        <v>0</v>
      </c>
      <c r="CB117" s="100" t="n">
        <f aca="false">-CB84*Hipótesis!$D$82*(1-Hipótesis!$D$84)</f>
        <v>0</v>
      </c>
      <c r="CC117" s="100" t="n">
        <f aca="false">-CC84*Hipótesis!$D$82*(1-Hipótesis!$D$84)</f>
        <v>0</v>
      </c>
      <c r="CD117" s="100" t="n">
        <f aca="false">-CD84*Hipótesis!$D$82*(1-Hipótesis!$D$84)</f>
        <v>0</v>
      </c>
      <c r="CE117" s="100" t="n">
        <f aca="false">-CE84*Hipótesis!$D$82*(1-Hipótesis!$D$84)</f>
        <v>0</v>
      </c>
      <c r="CF117" s="100" t="n">
        <f aca="false">-CF84*Hipótesis!$D$82*(1-Hipótesis!$D$84)</f>
        <v>0</v>
      </c>
      <c r="CG117" s="100" t="n">
        <f aca="false">-CG84*Hipótesis!$D$82*(1-Hipótesis!$D$84)</f>
        <v>0</v>
      </c>
      <c r="CH117" s="100" t="n">
        <f aca="false">-CH84*Hipótesis!$D$82*(1-Hipótesis!$D$84)</f>
        <v>0</v>
      </c>
    </row>
    <row r="118" customFormat="false" ht="13.5" hidden="false" customHeight="true" outlineLevel="0" collapsed="false">
      <c r="A118" s="22" t="s">
        <v>587</v>
      </c>
      <c r="C118" s="100" t="n">
        <f aca="false">C116+C117</f>
        <v>1540</v>
      </c>
      <c r="D118" s="100" t="n">
        <f aca="false">D116+D117</f>
        <v>1540</v>
      </c>
      <c r="E118" s="100" t="n">
        <f aca="false">E116+E117</f>
        <v>1540</v>
      </c>
      <c r="F118" s="100" t="n">
        <f aca="false">F116+F117</f>
        <v>1540</v>
      </c>
      <c r="G118" s="100" t="n">
        <f aca="false">G116+G117</f>
        <v>1540</v>
      </c>
      <c r="H118" s="100" t="n">
        <f aca="false">H116+H117</f>
        <v>1540</v>
      </c>
      <c r="I118" s="100" t="n">
        <f aca="false">I116+I117</f>
        <v>1540</v>
      </c>
      <c r="J118" s="100" t="n">
        <f aca="false">J116+J117</f>
        <v>1540</v>
      </c>
      <c r="K118" s="100" t="n">
        <f aca="false">K116+K117</f>
        <v>1540</v>
      </c>
      <c r="L118" s="100" t="n">
        <f aca="false">L116+L117</f>
        <v>1540</v>
      </c>
      <c r="M118" s="100" t="n">
        <f aca="false">M116+M117</f>
        <v>1540</v>
      </c>
      <c r="N118" s="100" t="n">
        <f aca="false">N116+N117</f>
        <v>1540</v>
      </c>
      <c r="O118" s="100" t="n">
        <f aca="false">O116+O117</f>
        <v>2450</v>
      </c>
      <c r="P118" s="100" t="n">
        <f aca="false">P116+P117</f>
        <v>2450</v>
      </c>
      <c r="Q118" s="100" t="n">
        <f aca="false">Q116+Q117</f>
        <v>2450</v>
      </c>
      <c r="R118" s="100" t="n">
        <f aca="false">R116+R117</f>
        <v>2450</v>
      </c>
      <c r="S118" s="100" t="n">
        <f aca="false">S116+S117</f>
        <v>2450</v>
      </c>
      <c r="T118" s="100" t="n">
        <f aca="false">T116+T117</f>
        <v>2450</v>
      </c>
      <c r="U118" s="100" t="n">
        <f aca="false">U116+U117</f>
        <v>2450</v>
      </c>
      <c r="V118" s="100" t="n">
        <f aca="false">V116+V117</f>
        <v>2450</v>
      </c>
      <c r="W118" s="100" t="n">
        <f aca="false">W116+W117</f>
        <v>2450</v>
      </c>
      <c r="X118" s="100" t="n">
        <f aca="false">X116+X117</f>
        <v>2450</v>
      </c>
      <c r="Y118" s="100" t="n">
        <f aca="false">Y116+Y117</f>
        <v>2450</v>
      </c>
      <c r="Z118" s="100" t="n">
        <f aca="false">Z116+Z117</f>
        <v>2450</v>
      </c>
      <c r="AA118" s="100" t="n">
        <f aca="false">AA116+AA117</f>
        <v>2800</v>
      </c>
      <c r="AB118" s="100" t="n">
        <f aca="false">AB116+AB117</f>
        <v>2800</v>
      </c>
      <c r="AC118" s="100" t="n">
        <f aca="false">AC116+AC117</f>
        <v>2800</v>
      </c>
      <c r="AD118" s="100" t="n">
        <f aca="false">AD116+AD117</f>
        <v>2800</v>
      </c>
      <c r="AE118" s="100" t="n">
        <f aca="false">AE116+AE117</f>
        <v>2800</v>
      </c>
      <c r="AF118" s="100" t="n">
        <f aca="false">AF116+AF117</f>
        <v>2800</v>
      </c>
      <c r="AG118" s="100" t="n">
        <f aca="false">AG116+AG117</f>
        <v>2800</v>
      </c>
      <c r="AH118" s="100" t="n">
        <f aca="false">AH116+AH117</f>
        <v>2800</v>
      </c>
      <c r="AI118" s="100" t="n">
        <f aca="false">AI116+AI117</f>
        <v>2800</v>
      </c>
      <c r="AJ118" s="100" t="n">
        <f aca="false">AJ116+AJ117</f>
        <v>2800</v>
      </c>
      <c r="AK118" s="100" t="n">
        <f aca="false">AK116+AK117</f>
        <v>2800</v>
      </c>
      <c r="AL118" s="100" t="n">
        <f aca="false">AL116+AL117</f>
        <v>2800</v>
      </c>
      <c r="AM118" s="100" t="n">
        <f aca="false">AM116+AM117</f>
        <v>3150</v>
      </c>
      <c r="AN118" s="100" t="n">
        <f aca="false">AN116+AN117</f>
        <v>3150</v>
      </c>
      <c r="AO118" s="100" t="n">
        <f aca="false">AO116+AO117</f>
        <v>3150</v>
      </c>
      <c r="AP118" s="100" t="n">
        <f aca="false">AP116+AP117</f>
        <v>3150</v>
      </c>
      <c r="AQ118" s="100" t="n">
        <f aca="false">AQ116+AQ117</f>
        <v>3150</v>
      </c>
      <c r="AR118" s="100" t="n">
        <f aca="false">AR116+AR117</f>
        <v>3150</v>
      </c>
      <c r="AS118" s="100" t="n">
        <f aca="false">AS116+AS117</f>
        <v>3150</v>
      </c>
      <c r="AT118" s="100" t="n">
        <f aca="false">AT116+AT117</f>
        <v>3150</v>
      </c>
      <c r="AU118" s="100" t="n">
        <f aca="false">AU116+AU117</f>
        <v>3150</v>
      </c>
      <c r="AV118" s="100" t="n">
        <f aca="false">AV116+AV117</f>
        <v>3150</v>
      </c>
      <c r="AW118" s="100" t="n">
        <f aca="false">AW116+AW117</f>
        <v>3150</v>
      </c>
      <c r="AX118" s="100" t="n">
        <f aca="false">AX116+AX117</f>
        <v>3150</v>
      </c>
      <c r="AY118" s="100" t="n">
        <f aca="false">AY116+AY117</f>
        <v>3500</v>
      </c>
      <c r="AZ118" s="100" t="n">
        <f aca="false">AZ116+AZ117</f>
        <v>3500</v>
      </c>
      <c r="BA118" s="100" t="n">
        <f aca="false">BA116+BA117</f>
        <v>3500</v>
      </c>
      <c r="BB118" s="100" t="n">
        <f aca="false">BB116+BB117</f>
        <v>3500</v>
      </c>
      <c r="BC118" s="100" t="n">
        <f aca="false">BC116+BC117</f>
        <v>3500</v>
      </c>
      <c r="BD118" s="100" t="n">
        <f aca="false">BD116+BD117</f>
        <v>3500</v>
      </c>
      <c r="BE118" s="100" t="n">
        <f aca="false">BE116+BE117</f>
        <v>3500</v>
      </c>
      <c r="BF118" s="100" t="n">
        <f aca="false">BF116+BF117</f>
        <v>3500</v>
      </c>
      <c r="BG118" s="100" t="n">
        <f aca="false">BG116+BG117</f>
        <v>3500</v>
      </c>
      <c r="BH118" s="100" t="n">
        <f aca="false">BH116+BH117</f>
        <v>3500</v>
      </c>
      <c r="BI118" s="100" t="n">
        <f aca="false">BI116+BI117</f>
        <v>3500</v>
      </c>
      <c r="BJ118" s="100" t="n">
        <f aca="false">BJ116+BJ117</f>
        <v>3500</v>
      </c>
      <c r="BK118" s="100" t="n">
        <f aca="false">BK116+BK117</f>
        <v>3850</v>
      </c>
      <c r="BL118" s="100" t="n">
        <f aca="false">BL116+BL117</f>
        <v>3850</v>
      </c>
      <c r="BM118" s="100" t="n">
        <f aca="false">BM116+BM117</f>
        <v>3850</v>
      </c>
      <c r="BN118" s="100" t="n">
        <f aca="false">BN116+BN117</f>
        <v>3850</v>
      </c>
      <c r="BO118" s="100" t="n">
        <f aca="false">BO116+BO117</f>
        <v>3850</v>
      </c>
      <c r="BP118" s="100" t="n">
        <f aca="false">BP116+BP117</f>
        <v>3850</v>
      </c>
      <c r="BQ118" s="100" t="n">
        <f aca="false">BQ116+BQ117</f>
        <v>3850</v>
      </c>
      <c r="BR118" s="100" t="n">
        <f aca="false">BR116+BR117</f>
        <v>3850</v>
      </c>
      <c r="BS118" s="100" t="n">
        <f aca="false">BS116+BS117</f>
        <v>3850</v>
      </c>
      <c r="BT118" s="100" t="n">
        <f aca="false">BT116+BT117</f>
        <v>3850</v>
      </c>
      <c r="BU118" s="100" t="n">
        <f aca="false">BU116+BU117</f>
        <v>3850</v>
      </c>
      <c r="BV118" s="100" t="n">
        <f aca="false">BV116+BV117</f>
        <v>3850</v>
      </c>
      <c r="BW118" s="100" t="n">
        <f aca="false">BW116+BW117</f>
        <v>4200</v>
      </c>
      <c r="BX118" s="100" t="n">
        <f aca="false">BX116+BX117</f>
        <v>4200</v>
      </c>
      <c r="BY118" s="100" t="n">
        <f aca="false">BY116+BY117</f>
        <v>4200</v>
      </c>
      <c r="BZ118" s="100" t="n">
        <f aca="false">BZ116+BZ117</f>
        <v>4200</v>
      </c>
      <c r="CA118" s="100" t="n">
        <f aca="false">CA116+CA117</f>
        <v>4200</v>
      </c>
      <c r="CB118" s="100" t="n">
        <f aca="false">CB116+CB117</f>
        <v>4200</v>
      </c>
      <c r="CC118" s="100" t="n">
        <f aca="false">CC116+CC117</f>
        <v>4200</v>
      </c>
      <c r="CD118" s="100" t="n">
        <f aca="false">CD116+CD117</f>
        <v>4200</v>
      </c>
      <c r="CE118" s="100" t="n">
        <f aca="false">CE116+CE117</f>
        <v>4200</v>
      </c>
      <c r="CF118" s="100" t="n">
        <f aca="false">CF116+CF117</f>
        <v>4200</v>
      </c>
      <c r="CG118" s="100" t="n">
        <f aca="false">CG116+CG117</f>
        <v>4200</v>
      </c>
      <c r="CH118" s="100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9" t="s">
        <v>588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</row>
    <row r="121" customFormat="false" ht="12.75" hidden="false" customHeight="true" outlineLevel="0" collapsed="false">
      <c r="A121" s="22" t="s">
        <v>589</v>
      </c>
      <c r="B121" s="111" t="n">
        <f aca="false">-Hipótesis!$D$93</f>
        <v>-100000</v>
      </c>
      <c r="C121" s="111" t="n">
        <f aca="false">C93+IF(Hipótesis!$D$94=5,IF(C$3=Hipótesis!$D$124,$C$158,0),IF(C$3=84,$C$134,0))</f>
        <v>0</v>
      </c>
      <c r="D121" s="111" t="n">
        <f aca="false">D93+IF(Hipótesis!$D$94=5,IF(D$3=Hipótesis!$D$124,$C$158,0),IF(D$3=84,$C$134,0))</f>
        <v>0</v>
      </c>
      <c r="E121" s="111" t="n">
        <f aca="false">E93+IF(Hipótesis!$D$94=5,IF(E$3=Hipótesis!$D$124,$C$158,0),IF(E$3=84,$C$134,0))</f>
        <v>0</v>
      </c>
      <c r="F121" s="111" t="n">
        <f aca="false">F93+IF(Hipótesis!$D$94=5,IF(F$3=Hipótesis!$D$124,$C$158,0),IF(F$3=84,$C$134,0))</f>
        <v>0</v>
      </c>
      <c r="G121" s="111" t="n">
        <f aca="false">G93+IF(Hipótesis!$D$94=5,IF(G$3=Hipótesis!$D$124,$C$158,0),IF(G$3=84,$C$134,0))</f>
        <v>0</v>
      </c>
      <c r="H121" s="111" t="n">
        <f aca="false">H93+IF(Hipótesis!$D$94=5,IF(H$3=Hipótesis!$D$124,$C$158,0),IF(H$3=84,$C$134,0))</f>
        <v>0</v>
      </c>
      <c r="I121" s="111" t="n">
        <f aca="false">I93+IF(Hipótesis!$D$94=5,IF(I$3=Hipótesis!$D$124,$C$158,0),IF(I$3=84,$C$134,0))</f>
        <v>0</v>
      </c>
      <c r="J121" s="111" t="n">
        <f aca="false">J93+IF(Hipótesis!$D$94=5,IF(J$3=Hipótesis!$D$124,$C$158,0),IF(J$3=84,$C$134,0))</f>
        <v>0</v>
      </c>
      <c r="K121" s="111" t="n">
        <f aca="false">K93+IF(Hipótesis!$D$94=5,IF(K$3=Hipótesis!$D$124,$C$158,0),IF(K$3=84,$C$134,0))</f>
        <v>0</v>
      </c>
      <c r="L121" s="111" t="n">
        <f aca="false">L93+IF(Hipótesis!$D$94=5,IF(L$3=Hipótesis!$D$124,$C$158,0),IF(L$3=84,$C$134,0))</f>
        <v>0</v>
      </c>
      <c r="M121" s="111" t="n">
        <f aca="false">M93+IF(Hipótesis!$D$94=5,IF(M$3=Hipótesis!$D$124,$C$158,0),IF(M$3=84,$C$134,0))</f>
        <v>0</v>
      </c>
      <c r="N121" s="111" t="n">
        <f aca="false">N93+IF(Hipótesis!$D$94=5,IF(N$3=Hipótesis!$D$124,$C$158,0),IF(N$3=84,$C$134,0))</f>
        <v>0</v>
      </c>
      <c r="O121" s="111" t="n">
        <f aca="false">O93+IF(Hipótesis!$D$94=5,IF(O$3=Hipótesis!$D$124,$C$158,0),IF(O$3=84,$C$134,0))</f>
        <v>0</v>
      </c>
      <c r="P121" s="111" t="n">
        <f aca="false">P93+IF(Hipótesis!$D$94=5,IF(P$3=Hipótesis!$D$124,$C$158,0),IF(P$3=84,$C$134,0))</f>
        <v>0</v>
      </c>
      <c r="Q121" s="111" t="n">
        <f aca="false">Q93+IF(Hipótesis!$D$94=5,IF(Q$3=Hipótesis!$D$124,$C$158,0),IF(Q$3=84,$C$134,0))</f>
        <v>0</v>
      </c>
      <c r="R121" s="111" t="n">
        <f aca="false">R93+IF(Hipótesis!$D$94=5,IF(R$3=Hipótesis!$D$124,$C$158,0),IF(R$3=84,$C$134,0))</f>
        <v>0</v>
      </c>
      <c r="S121" s="111" t="n">
        <f aca="false">S93+IF(Hipótesis!$D$94=5,IF(S$3=Hipótesis!$D$124,$C$158,0),IF(S$3=84,$C$134,0))</f>
        <v>0</v>
      </c>
      <c r="T121" s="111" t="n">
        <f aca="false">T93+IF(Hipótesis!$D$94=5,IF(T$3=Hipótesis!$D$124,$C$158,0),IF(T$3=84,$C$134,0))</f>
        <v>0</v>
      </c>
      <c r="U121" s="111" t="n">
        <f aca="false">U93+IF(Hipótesis!$D$94=5,IF(U$3=Hipótesis!$D$124,$C$158,0),IF(U$3=84,$C$134,0))</f>
        <v>0</v>
      </c>
      <c r="V121" s="111" t="n">
        <f aca="false">V93+IF(Hipótesis!$D$94=5,IF(V$3=Hipótesis!$D$124,$C$158,0),IF(V$3=84,$C$134,0))</f>
        <v>0</v>
      </c>
      <c r="W121" s="111" t="n">
        <f aca="false">W93+IF(Hipótesis!$D$94=5,IF(W$3=Hipótesis!$D$124,$C$158,0),IF(W$3=84,$C$134,0))</f>
        <v>0</v>
      </c>
      <c r="X121" s="111" t="n">
        <f aca="false">X93+IF(Hipótesis!$D$94=5,IF(X$3=Hipótesis!$D$124,$C$158,0),IF(X$3=84,$C$134,0))</f>
        <v>0</v>
      </c>
      <c r="Y121" s="111" t="n">
        <f aca="false">Y93+IF(Hipótesis!$D$94=5,IF(Y$3=Hipótesis!$D$124,$C$158,0),IF(Y$3=84,$C$134,0))</f>
        <v>0</v>
      </c>
      <c r="Z121" s="111" t="n">
        <f aca="false">Z93+IF(Hipótesis!$D$94=5,IF(Z$3=Hipótesis!$D$124,$C$158,0),IF(Z$3=84,$C$134,0))</f>
        <v>0</v>
      </c>
      <c r="AA121" s="111" t="n">
        <f aca="false">AA93+IF(Hipótesis!$D$94=5,IF(AA$3=Hipótesis!$D$124,$C$158,0),IF(AA$3=84,$C$134,0))</f>
        <v>0</v>
      </c>
      <c r="AB121" s="111" t="n">
        <f aca="false">AB93+IF(Hipótesis!$D$94=5,IF(AB$3=Hipótesis!$D$124,$C$158,0),IF(AB$3=84,$C$134,0))</f>
        <v>0</v>
      </c>
      <c r="AC121" s="111" t="n">
        <f aca="false">AC93+IF(Hipótesis!$D$94=5,IF(AC$3=Hipótesis!$D$124,$C$158,0),IF(AC$3=84,$C$134,0))</f>
        <v>0</v>
      </c>
      <c r="AD121" s="111" t="n">
        <f aca="false">AD93+IF(Hipótesis!$D$94=5,IF(AD$3=Hipótesis!$D$124,$C$158,0),IF(AD$3=84,$C$134,0))</f>
        <v>0</v>
      </c>
      <c r="AE121" s="111" t="n">
        <f aca="false">AE93+IF(Hipótesis!$D$94=5,IF(AE$3=Hipótesis!$D$124,$C$158,0),IF(AE$3=84,$C$134,0))</f>
        <v>0</v>
      </c>
      <c r="AF121" s="111" t="n">
        <f aca="false">AF93+IF(Hipótesis!$D$94=5,IF(AF$3=Hipótesis!$D$124,$C$158,0),IF(AF$3=84,$C$134,0))</f>
        <v>0</v>
      </c>
      <c r="AG121" s="111" t="n">
        <f aca="false">AG93+IF(Hipótesis!$D$94=5,IF(AG$3=Hipótesis!$D$124,$C$158,0),IF(AG$3=84,$C$134,0))</f>
        <v>0</v>
      </c>
      <c r="AH121" s="111" t="n">
        <f aca="false">AH93+IF(Hipótesis!$D$94=5,IF(AH$3=Hipótesis!$D$124,$C$158,0),IF(AH$3=84,$C$134,0))</f>
        <v>0</v>
      </c>
      <c r="AI121" s="111" t="n">
        <f aca="false">AI93+IF(Hipótesis!$D$94=5,IF(AI$3=Hipótesis!$D$124,$C$158,0),IF(AI$3=84,$C$134,0))</f>
        <v>0</v>
      </c>
      <c r="AJ121" s="111" t="n">
        <f aca="false">AJ93+IF(Hipótesis!$D$94=5,IF(AJ$3=Hipótesis!$D$124,$C$158,0),IF(AJ$3=84,$C$134,0))</f>
        <v>0</v>
      </c>
      <c r="AK121" s="111" t="n">
        <f aca="false">AK93+IF(Hipótesis!$D$94=5,IF(AK$3=Hipótesis!$D$124,$C$158,0),IF(AK$3=84,$C$134,0))</f>
        <v>0</v>
      </c>
      <c r="AL121" s="111" t="n">
        <f aca="false">AL93+IF(Hipótesis!$D$94=5,IF(AL$3=Hipótesis!$D$124,$C$158,0),IF(AL$3=84,$C$134,0))</f>
        <v>0</v>
      </c>
      <c r="AM121" s="111" t="n">
        <f aca="false">AM93+IF(Hipótesis!$D$94=5,IF(AM$3=Hipótesis!$D$124,$C$158,0),IF(AM$3=84,$C$134,0))</f>
        <v>0</v>
      </c>
      <c r="AN121" s="111" t="n">
        <f aca="false">AN93+IF(Hipótesis!$D$94=5,IF(AN$3=Hipótesis!$D$124,$C$158,0),IF(AN$3=84,$C$134,0))</f>
        <v>0</v>
      </c>
      <c r="AO121" s="111" t="n">
        <f aca="false">AO93+IF(Hipótesis!$D$94=5,IF(AO$3=Hipótesis!$D$124,$C$158,0),IF(AO$3=84,$C$134,0))</f>
        <v>0</v>
      </c>
      <c r="AP121" s="111" t="n">
        <f aca="false">AP93+IF(Hipótesis!$D$94=5,IF(AP$3=Hipótesis!$D$124,$C$158,0),IF(AP$3=84,$C$134,0))</f>
        <v>0</v>
      </c>
      <c r="AQ121" s="111" t="n">
        <f aca="false">AQ93+IF(Hipótesis!$D$94=5,IF(AQ$3=Hipótesis!$D$124,$C$158,0),IF(AQ$3=84,$C$134,0))</f>
        <v>0</v>
      </c>
      <c r="AR121" s="111" t="n">
        <f aca="false">AR93+IF(Hipótesis!$D$94=5,IF(AR$3=Hipótesis!$D$124,$C$158,0),IF(AR$3=84,$C$134,0))</f>
        <v>0</v>
      </c>
      <c r="AS121" s="111" t="n">
        <f aca="false">AS93+IF(Hipótesis!$D$94=5,IF(AS$3=Hipótesis!$D$124,$C$158,0),IF(AS$3=84,$C$134,0))</f>
        <v>0</v>
      </c>
      <c r="AT121" s="111" t="n">
        <f aca="false">AT93+IF(Hipótesis!$D$94=5,IF(AT$3=Hipótesis!$D$124,$C$158,0),IF(AT$3=84,$C$134,0))</f>
        <v>0</v>
      </c>
      <c r="AU121" s="111" t="n">
        <f aca="false">AU93+IF(Hipótesis!$D$94=5,IF(AU$3=Hipótesis!$D$124,$C$158,0),IF(AU$3=84,$C$134,0))</f>
        <v>0</v>
      </c>
      <c r="AV121" s="111" t="n">
        <f aca="false">AV93+IF(Hipótesis!$D$94=5,IF(AV$3=Hipótesis!$D$124,$C$158,0),IF(AV$3=84,$C$134,0))</f>
        <v>0</v>
      </c>
      <c r="AW121" s="111" t="n">
        <f aca="false">AW93+IF(Hipótesis!$D$94=5,IF(AW$3=Hipótesis!$D$124,$C$158,0),IF(AW$3=84,$C$134,0))</f>
        <v>0</v>
      </c>
      <c r="AX121" s="111" t="n">
        <f aca="false">AX93+IF(Hipótesis!$D$94=5,IF(AX$3=Hipótesis!$D$124,$C$158,0),IF(AX$3=84,$C$134,0))</f>
        <v>332927.320084782</v>
      </c>
      <c r="AY121" s="111" t="n">
        <f aca="false">AY93+IF(Hipótesis!$D$94=5,IF(AY$3=Hipótesis!$D$124,$C$158,0),IF(AY$3=84,$C$134,0))</f>
        <v>0</v>
      </c>
      <c r="AZ121" s="111" t="n">
        <f aca="false">AZ93+IF(Hipótesis!$D$94=5,IF(AZ$3=Hipótesis!$D$124,$C$158,0),IF(AZ$3=84,$C$134,0))</f>
        <v>0</v>
      </c>
      <c r="BA121" s="111" t="n">
        <f aca="false">BA93+IF(Hipótesis!$D$94=5,IF(BA$3=Hipótesis!$D$124,$C$158,0),IF(BA$3=84,$C$134,0))</f>
        <v>0</v>
      </c>
      <c r="BB121" s="111" t="n">
        <f aca="false">BB93+IF(Hipótesis!$D$94=5,IF(BB$3=Hipótesis!$D$124,$C$158,0),IF(BB$3=84,$C$134,0))</f>
        <v>0</v>
      </c>
      <c r="BC121" s="111" t="n">
        <f aca="false">BC93+IF(Hipótesis!$D$94=5,IF(BC$3=Hipótesis!$D$124,$C$158,0),IF(BC$3=84,$C$134,0))</f>
        <v>0</v>
      </c>
      <c r="BD121" s="111" t="n">
        <f aca="false">BD93+IF(Hipótesis!$D$94=5,IF(BD$3=Hipótesis!$D$124,$C$158,0),IF(BD$3=84,$C$134,0))</f>
        <v>0</v>
      </c>
      <c r="BE121" s="111" t="n">
        <f aca="false">BE93+IF(Hipótesis!$D$94=5,IF(BE$3=Hipótesis!$D$124,$C$158,0),IF(BE$3=84,$C$134,0))</f>
        <v>0</v>
      </c>
      <c r="BF121" s="111" t="n">
        <f aca="false">BF93+IF(Hipótesis!$D$94=5,IF(BF$3=Hipótesis!$D$124,$C$158,0),IF(BF$3=84,$C$134,0))</f>
        <v>0</v>
      </c>
      <c r="BG121" s="111" t="n">
        <f aca="false">BG93+IF(Hipótesis!$D$94=5,IF(BG$3=Hipótesis!$D$124,$C$158,0),IF(BG$3=84,$C$134,0))</f>
        <v>0</v>
      </c>
      <c r="BH121" s="111" t="n">
        <f aca="false">BH93+IF(Hipótesis!$D$94=5,IF(BH$3=Hipótesis!$D$124,$C$158,0),IF(BH$3=84,$C$134,0))</f>
        <v>0</v>
      </c>
      <c r="BI121" s="111" t="n">
        <f aca="false">BI93+IF(Hipótesis!$D$94=5,IF(BI$3=Hipótesis!$D$124,$C$158,0),IF(BI$3=84,$C$134,0))</f>
        <v>0</v>
      </c>
      <c r="BJ121" s="111" t="n">
        <f aca="false">BJ93+IF(Hipótesis!$D$94=5,IF(BJ$3=Hipótesis!$D$124,$C$158,0),IF(BJ$3=84,$C$134,0))</f>
        <v>0</v>
      </c>
      <c r="BK121" s="111" t="n">
        <f aca="false">BK93+IF(Hipótesis!$D$94=5,IF(BK$3=Hipótesis!$D$124,$C$158,0),IF(BK$3=84,$C$134,0))</f>
        <v>0</v>
      </c>
      <c r="BL121" s="111" t="n">
        <f aca="false">BL93+IF(Hipótesis!$D$94=5,IF(BL$3=Hipótesis!$D$124,$C$158,0),IF(BL$3=84,$C$134,0))</f>
        <v>0</v>
      </c>
      <c r="BM121" s="111" t="n">
        <f aca="false">BM93+IF(Hipótesis!$D$94=5,IF(BM$3=Hipótesis!$D$124,$C$158,0),IF(BM$3=84,$C$134,0))</f>
        <v>0</v>
      </c>
      <c r="BN121" s="111" t="n">
        <f aca="false">BN93+IF(Hipótesis!$D$94=5,IF(BN$3=Hipótesis!$D$124,$C$158,0),IF(BN$3=84,$C$134,0))</f>
        <v>0</v>
      </c>
      <c r="BO121" s="111" t="n">
        <f aca="false">BO93+IF(Hipótesis!$D$94=5,IF(BO$3=Hipótesis!$D$124,$C$158,0),IF(BO$3=84,$C$134,0))</f>
        <v>0</v>
      </c>
      <c r="BP121" s="111" t="n">
        <f aca="false">BP93+IF(Hipótesis!$D$94=5,IF(BP$3=Hipótesis!$D$124,$C$158,0),IF(BP$3=84,$C$134,0))</f>
        <v>0</v>
      </c>
      <c r="BQ121" s="111" t="n">
        <f aca="false">BQ93+IF(Hipótesis!$D$94=5,IF(BQ$3=Hipótesis!$D$124,$C$158,0),IF(BQ$3=84,$C$134,0))</f>
        <v>0</v>
      </c>
      <c r="BR121" s="111" t="n">
        <f aca="false">BR93+IF(Hipótesis!$D$94=5,IF(BR$3=Hipótesis!$D$124,$C$158,0),IF(BR$3=84,$C$134,0))</f>
        <v>0</v>
      </c>
      <c r="BS121" s="111" t="n">
        <f aca="false">BS93+IF(Hipótesis!$D$94=5,IF(BS$3=Hipótesis!$D$124,$C$158,0),IF(BS$3=84,$C$134,0))</f>
        <v>0</v>
      </c>
      <c r="BT121" s="111" t="n">
        <f aca="false">BT93+IF(Hipótesis!$D$94=5,IF(BT$3=Hipótesis!$D$124,$C$158,0),IF(BT$3=84,$C$134,0))</f>
        <v>0</v>
      </c>
      <c r="BU121" s="111" t="n">
        <f aca="false">BU93+IF(Hipótesis!$D$94=5,IF(BU$3=Hipótesis!$D$124,$C$158,0),IF(BU$3=84,$C$134,0))</f>
        <v>0</v>
      </c>
      <c r="BV121" s="111" t="n">
        <f aca="false">BV93+IF(Hipótesis!$D$94=5,IF(BV$3=Hipótesis!$D$124,$C$158,0),IF(BV$3=84,$C$134,0))</f>
        <v>0</v>
      </c>
      <c r="BW121" s="111" t="n">
        <f aca="false">BW93+IF(Hipótesis!$D$94=5,IF(BW$3=Hipótesis!$D$124,$C$158,0),IF(BW$3=84,$C$134,0))</f>
        <v>0</v>
      </c>
      <c r="BX121" s="111" t="n">
        <f aca="false">BX93+IF(Hipótesis!$D$94=5,IF(BX$3=Hipótesis!$D$124,$C$158,0),IF(BX$3=84,$C$134,0))</f>
        <v>0</v>
      </c>
      <c r="BY121" s="111" t="n">
        <f aca="false">BY93+IF(Hipótesis!$D$94=5,IF(BY$3=Hipótesis!$D$124,$C$158,0),IF(BY$3=84,$C$134,0))</f>
        <v>0</v>
      </c>
      <c r="BZ121" s="111" t="n">
        <f aca="false">BZ93+IF(Hipótesis!$D$94=5,IF(BZ$3=Hipótesis!$D$124,$C$158,0),IF(BZ$3=84,$C$134,0))</f>
        <v>0</v>
      </c>
      <c r="CA121" s="111" t="n">
        <f aca="false">CA93+IF(Hipótesis!$D$94=5,IF(CA$3=Hipótesis!$D$124,$C$158,0),IF(CA$3=84,$C$134,0))</f>
        <v>0</v>
      </c>
      <c r="CB121" s="111" t="n">
        <f aca="false">CB93+IF(Hipótesis!$D$94=5,IF(CB$3=Hipótesis!$D$124,$C$158,0),IF(CB$3=84,$C$134,0))</f>
        <v>0</v>
      </c>
      <c r="CC121" s="111" t="n">
        <f aca="false">CC93+IF(Hipótesis!$D$94=5,IF(CC$3=Hipótesis!$D$124,$C$158,0),IF(CC$3=84,$C$134,0))</f>
        <v>0</v>
      </c>
      <c r="CD121" s="111" t="n">
        <f aca="false">CD93+IF(Hipótesis!$D$94=5,IF(CD$3=Hipótesis!$D$124,$C$158,0),IF(CD$3=84,$C$134,0))</f>
        <v>0</v>
      </c>
      <c r="CE121" s="111" t="n">
        <f aca="false">CE93+IF(Hipótesis!$D$94=5,IF(CE$3=Hipótesis!$D$124,$C$158,0),IF(CE$3=84,$C$134,0))</f>
        <v>0</v>
      </c>
      <c r="CF121" s="111" t="n">
        <f aca="false">CF93+IF(Hipótesis!$D$94=5,IF(CF$3=Hipótesis!$D$124,$C$158,0),IF(CF$3=84,$C$134,0))</f>
        <v>0</v>
      </c>
      <c r="CG121" s="111" t="n">
        <f aca="false">CG93+IF(Hipótesis!$D$94=5,IF(CG$3=Hipótesis!$D$124,$C$158,0),IF(CG$3=84,$C$134,0))</f>
        <v>0</v>
      </c>
      <c r="CH121" s="111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6" t="s">
        <v>590</v>
      </c>
      <c r="B122" s="100" t="n">
        <f aca="false">Hipótesis!$D$122</f>
        <v>200000</v>
      </c>
      <c r="C122" s="100" t="n">
        <f aca="false">-C106-IF(Hipótesis!$D$94=5,IF(C$3=Hipótesis!$D$124,$C$158,0),IF(C$3=84,$C$134,0))</f>
        <v>-333.333333333333</v>
      </c>
      <c r="D122" s="100" t="n">
        <f aca="false">-D106-IF(Hipótesis!$D$94=5,IF(D$3=Hipótesis!$D$124,$C$158,0),IF(D$3=84,$C$134,0))</f>
        <v>-333.333333333333</v>
      </c>
      <c r="E122" s="100" t="n">
        <f aca="false">-E106-IF(Hipótesis!$D$94=5,IF(E$3=Hipótesis!$D$124,$C$158,0),IF(E$3=84,$C$134,0))</f>
        <v>-333.333333333333</v>
      </c>
      <c r="F122" s="100" t="n">
        <f aca="false">-F106-IF(Hipótesis!$D$94=5,IF(F$3=Hipótesis!$D$124,$C$158,0),IF(F$3=84,$C$134,0))</f>
        <v>-333.333333333333</v>
      </c>
      <c r="G122" s="100" t="n">
        <f aca="false">-G106-IF(Hipótesis!$D$94=5,IF(G$3=Hipótesis!$D$124,$C$158,0),IF(G$3=84,$C$134,0))</f>
        <v>-333.333333333333</v>
      </c>
      <c r="H122" s="100" t="n">
        <f aca="false">-H106-IF(Hipótesis!$D$94=5,IF(H$3=Hipótesis!$D$124,$C$158,0),IF(H$3=84,$C$134,0))</f>
        <v>-333.333333333333</v>
      </c>
      <c r="I122" s="100" t="n">
        <f aca="false">-I106-IF(Hipótesis!$D$94=5,IF(I$3=Hipótesis!$D$124,$C$158,0),IF(I$3=84,$C$134,0))</f>
        <v>-333.333333333333</v>
      </c>
      <c r="J122" s="100" t="n">
        <f aca="false">-J106-IF(Hipótesis!$D$94=5,IF(J$3=Hipótesis!$D$124,$C$158,0),IF(J$3=84,$C$134,0))</f>
        <v>-333.333333333333</v>
      </c>
      <c r="K122" s="100" t="n">
        <f aca="false">-K106-IF(Hipótesis!$D$94=5,IF(K$3=Hipótesis!$D$124,$C$158,0),IF(K$3=84,$C$134,0))</f>
        <v>-363.280667725478</v>
      </c>
      <c r="L122" s="100" t="n">
        <f aca="false">-L106-IF(Hipótesis!$D$94=5,IF(L$3=Hipótesis!$D$124,$C$158,0),IF(L$3=84,$C$134,0))</f>
        <v>-424.816837759668</v>
      </c>
      <c r="M122" s="100" t="n">
        <f aca="false">-M106-IF(Hipótesis!$D$94=5,IF(M$3=Hipótesis!$D$124,$C$158,0),IF(M$3=84,$C$134,0))</f>
        <v>-465.222604535034</v>
      </c>
      <c r="N122" s="100" t="n">
        <f aca="false">-N106-IF(Hipótesis!$D$94=5,IF(N$3=Hipótesis!$D$124,$C$158,0),IF(N$3=84,$C$134,0))</f>
        <v>-521.437045402029</v>
      </c>
      <c r="O122" s="100" t="n">
        <f aca="false">-O106-IF(Hipótesis!$D$94=5,IF(O$3=Hipótesis!$D$124,$C$158,0),IF(O$3=84,$C$134,0))</f>
        <v>-473.107486269023</v>
      </c>
      <c r="P122" s="100" t="n">
        <f aca="false">-P106-IF(Hipótesis!$D$94=5,IF(P$3=Hipótesis!$D$124,$C$158,0),IF(P$3=84,$C$134,0))</f>
        <v>-477.017810834674</v>
      </c>
      <c r="Q122" s="100" t="n">
        <f aca="false">-Q106-IF(Hipótesis!$D$94=5,IF(Q$3=Hipótesis!$D$124,$C$158,0),IF(Q$3=84,$C$134,0))</f>
        <v>-527.154535400326</v>
      </c>
      <c r="R122" s="100" t="n">
        <f aca="false">-R106-IF(Hipótesis!$D$94=5,IF(R$3=Hipótesis!$D$124,$C$158,0),IF(R$3=84,$C$134,0))</f>
        <v>-577.291259965977</v>
      </c>
      <c r="S122" s="100" t="n">
        <f aca="false">-S106-IF(Hipótesis!$D$94=5,IF(S$3=Hipótesis!$D$124,$C$158,0),IF(S$3=84,$C$134,0))</f>
        <v>-627.427984531628</v>
      </c>
      <c r="T122" s="100" t="n">
        <f aca="false">-T106-IF(Hipótesis!$D$94=5,IF(T$3=Hipótesis!$D$124,$C$158,0),IF(T$3=84,$C$134,0))</f>
        <v>-677.56470909728</v>
      </c>
      <c r="U122" s="100" t="n">
        <f aca="false">-U106-IF(Hipótesis!$D$94=5,IF(U$3=Hipótesis!$D$124,$C$158,0),IF(U$3=84,$C$134,0))</f>
        <v>-681.475033662931</v>
      </c>
      <c r="V122" s="100" t="n">
        <f aca="false">-V106-IF(Hipótesis!$D$94=5,IF(V$3=Hipótesis!$D$124,$C$158,0),IF(V$3=84,$C$134,0))</f>
        <v>-677.227758228582</v>
      </c>
      <c r="W122" s="100" t="n">
        <f aca="false">-W106-IF(Hipótesis!$D$94=5,IF(W$3=Hipótesis!$D$124,$C$158,0),IF(W$3=84,$C$134,0))</f>
        <v>-727.364482794234</v>
      </c>
      <c r="X122" s="100" t="n">
        <f aca="false">-X106-IF(Hipótesis!$D$94=5,IF(X$3=Hipótesis!$D$124,$C$158,0),IF(X$3=84,$C$134,0))</f>
        <v>-761.692533268258</v>
      </c>
      <c r="Y122" s="100" t="n">
        <f aca="false">-Y106-IF(Hipótesis!$D$94=5,IF(Y$3=Hipótesis!$D$124,$C$158,0),IF(Y$3=84,$C$134,0))</f>
        <v>-796.020583742282</v>
      </c>
      <c r="Z122" s="100" t="n">
        <f aca="false">-Z106-IF(Hipótesis!$D$94=5,IF(Z$3=Hipótesis!$D$124,$C$158,0),IF(Z$3=84,$C$134,0))</f>
        <v>-824.588924579655</v>
      </c>
      <c r="AA122" s="100" t="n">
        <f aca="false">-AA106-IF(Hipótesis!$D$94=5,IF(AA$3=Hipótesis!$D$124,$C$158,0),IF(AA$3=84,$C$134,0))</f>
        <v>-2474.1873080837</v>
      </c>
      <c r="AB122" s="100" t="n">
        <f aca="false">-AB106-IF(Hipótesis!$D$94=5,IF(AB$3=Hipótesis!$D$124,$C$158,0),IF(AB$3=84,$C$134,0))</f>
        <v>-2449.58690136551</v>
      </c>
      <c r="AC122" s="100" t="n">
        <f aca="false">-AC106-IF(Hipótesis!$D$94=5,IF(AC$3=Hipótesis!$D$124,$C$158,0),IF(AC$3=84,$C$134,0))</f>
        <v>-2472.59968664733</v>
      </c>
      <c r="AD122" s="100" t="n">
        <f aca="false">-AD106-IF(Hipótesis!$D$94=5,IF(AD$3=Hipótesis!$D$124,$C$158,0),IF(AD$3=84,$C$134,0))</f>
        <v>-2495.61247192915</v>
      </c>
      <c r="AE122" s="100" t="n">
        <f aca="false">-AE106-IF(Hipótesis!$D$94=5,IF(AE$3=Hipótesis!$D$124,$C$158,0),IF(AE$3=84,$C$134,0))</f>
        <v>-2518.62525721096</v>
      </c>
      <c r="AF122" s="100" t="n">
        <f aca="false">-AF106-IF(Hipótesis!$D$94=5,IF(AF$3=Hipótesis!$D$124,$C$158,0),IF(AF$3=84,$C$134,0))</f>
        <v>-2541.63804249278</v>
      </c>
      <c r="AG122" s="100" t="n">
        <f aca="false">-AG106-IF(Hipótesis!$D$94=5,IF(AG$3=Hipótesis!$D$124,$C$158,0),IF(AG$3=84,$C$134,0))</f>
        <v>-2564.6508277746</v>
      </c>
      <c r="AH122" s="100" t="n">
        <f aca="false">-AH106-IF(Hipótesis!$D$94=5,IF(AH$3=Hipótesis!$D$124,$C$158,0),IF(AH$3=84,$C$134,0))</f>
        <v>-2587.66361305642</v>
      </c>
      <c r="AI122" s="100" t="n">
        <f aca="false">-AI106-IF(Hipótesis!$D$94=5,IF(AI$3=Hipótesis!$D$124,$C$158,0),IF(AI$3=84,$C$134,0))</f>
        <v>-2610.67639833824</v>
      </c>
      <c r="AJ122" s="100" t="n">
        <f aca="false">-AJ106-IF(Hipótesis!$D$94=5,IF(AJ$3=Hipótesis!$D$124,$C$158,0),IF(AJ$3=84,$C$134,0))</f>
        <v>-2633.68918362005</v>
      </c>
      <c r="AK122" s="100" t="n">
        <f aca="false">-AK106-IF(Hipótesis!$D$94=5,IF(AK$3=Hipótesis!$D$124,$C$158,0),IF(AK$3=84,$C$134,0))</f>
        <v>-2656.70196890187</v>
      </c>
      <c r="AL122" s="100" t="n">
        <f aca="false">-AL106-IF(Hipótesis!$D$94=5,IF(AL$3=Hipótesis!$D$124,$C$158,0),IF(AL$3=84,$C$134,0))</f>
        <v>-2632.10156218369</v>
      </c>
      <c r="AM122" s="100" t="n">
        <f aca="false">-AM106-IF(Hipótesis!$D$94=5,IF(AM$3=Hipótesis!$D$124,$C$158,0),IF(AM$3=84,$C$134,0))</f>
        <v>-2606.4398332255</v>
      </c>
      <c r="AN122" s="100" t="n">
        <f aca="false">-AN106-IF(Hipótesis!$D$94=5,IF(AN$3=Hipótesis!$D$124,$C$158,0),IF(AN$3=84,$C$134,0))</f>
        <v>-2629.45261850732</v>
      </c>
      <c r="AO122" s="100" t="n">
        <f aca="false">-AO106-IF(Hipótesis!$D$94=5,IF(AO$3=Hipótesis!$D$124,$C$158,0),IF(AO$3=84,$C$134,0))</f>
        <v>-2652.46540378914</v>
      </c>
      <c r="AP122" s="100" t="n">
        <f aca="false">-AP106-IF(Hipótesis!$D$94=5,IF(AP$3=Hipótesis!$D$124,$C$158,0),IF(AP$3=84,$C$134,0))</f>
        <v>-2675.47818907096</v>
      </c>
      <c r="AQ122" s="100" t="n">
        <f aca="false">-AQ106-IF(Hipótesis!$D$94=5,IF(AQ$3=Hipótesis!$D$124,$C$158,0),IF(AQ$3=84,$C$134,0))</f>
        <v>-2698.49097435277</v>
      </c>
      <c r="AR122" s="100" t="n">
        <f aca="false">-AR106-IF(Hipótesis!$D$94=5,IF(AR$3=Hipótesis!$D$124,$C$158,0),IF(AR$3=84,$C$134,0))</f>
        <v>-2721.50375963459</v>
      </c>
      <c r="AS122" s="100" t="n">
        <f aca="false">-AS106-IF(Hipótesis!$D$94=5,IF(AS$3=Hipótesis!$D$124,$C$158,0),IF(AS$3=84,$C$134,0))</f>
        <v>-2715.94820407904</v>
      </c>
      <c r="AT122" s="100" t="n">
        <f aca="false">-AT106-IF(Hipótesis!$D$94=5,IF(AT$3=Hipótesis!$D$124,$C$158,0),IF(AT$3=84,$C$134,0))</f>
        <v>-2710.39264852348</v>
      </c>
      <c r="AU122" s="100" t="n">
        <f aca="false">-AU106-IF(Hipótesis!$D$94=5,IF(AU$3=Hipótesis!$D$124,$C$158,0),IF(AU$3=84,$C$134,0))</f>
        <v>-2704.83709296793</v>
      </c>
      <c r="AV122" s="100" t="n">
        <f aca="false">-AV106-IF(Hipótesis!$D$94=5,IF(AV$3=Hipótesis!$D$124,$C$158,0),IF(AV$3=84,$C$134,0))</f>
        <v>-2699.28153741237</v>
      </c>
      <c r="AW122" s="100" t="n">
        <f aca="false">-AW106-IF(Hipótesis!$D$94=5,IF(AW$3=Hipótesis!$D$124,$C$158,0),IF(AW$3=84,$C$134,0))</f>
        <v>-2693.72598185681</v>
      </c>
      <c r="AX122" s="100" t="n">
        <f aca="false">-AX106-IF(Hipótesis!$D$94=5,IF(AX$3=Hipótesis!$D$124,$C$158,0),IF(AX$3=84,$C$134,0))</f>
        <v>-335615.490511083</v>
      </c>
      <c r="AY122" s="100" t="n">
        <f aca="false">-AY106-IF(Hipótesis!$D$94=5,IF(AY$3=Hipótesis!$D$124,$C$158,0),IF(AY$3=84,$C$134,0))</f>
        <v>-2633.6681210785</v>
      </c>
      <c r="AZ122" s="100" t="n">
        <f aca="false">-AZ106-IF(Hipótesis!$D$94=5,IF(AZ$3=Hipótesis!$D$124,$C$158,0),IF(AZ$3=84,$C$134,0))</f>
        <v>-2628.11256552295</v>
      </c>
      <c r="BA122" s="100" t="n">
        <f aca="false">-BA106-IF(Hipótesis!$D$94=5,IF(BA$3=Hipótesis!$D$124,$C$158,0),IF(BA$3=84,$C$134,0))</f>
        <v>-2622.55700996739</v>
      </c>
      <c r="BB122" s="100" t="n">
        <f aca="false">-BB106-IF(Hipótesis!$D$94=5,IF(BB$3=Hipótesis!$D$124,$C$158,0),IF(BB$3=84,$C$134,0))</f>
        <v>-2617.00145441184</v>
      </c>
      <c r="BC122" s="100" t="n">
        <f aca="false">-BC106-IF(Hipótesis!$D$94=5,IF(BC$3=Hipótesis!$D$124,$C$158,0),IF(BC$3=84,$C$134,0))</f>
        <v>-2611.44589885628</v>
      </c>
      <c r="BD122" s="100" t="n">
        <f aca="false">-BD106-IF(Hipótesis!$D$94=5,IF(BD$3=Hipótesis!$D$124,$C$158,0),IF(BD$3=84,$C$134,0))</f>
        <v>-2605.89034330073</v>
      </c>
      <c r="BE122" s="100" t="n">
        <f aca="false">-BE106-IF(Hipótesis!$D$94=5,IF(BE$3=Hipótesis!$D$124,$C$158,0),IF(BE$3=84,$C$134,0))</f>
        <v>-2600.33478774517</v>
      </c>
      <c r="BF122" s="100" t="n">
        <f aca="false">-BF106-IF(Hipótesis!$D$94=5,IF(BF$3=Hipótesis!$D$124,$C$158,0),IF(BF$3=84,$C$134,0))</f>
        <v>-2594.77923218961</v>
      </c>
      <c r="BG122" s="100" t="n">
        <f aca="false">-BG106-IF(Hipótesis!$D$94=5,IF(BG$3=Hipótesis!$D$124,$C$158,0),IF(BG$3=84,$C$134,0))</f>
        <v>-2589.22367663406</v>
      </c>
      <c r="BH122" s="100" t="n">
        <f aca="false">-BH106-IF(Hipótesis!$D$94=5,IF(BH$3=Hipótesis!$D$124,$C$158,0),IF(BH$3=84,$C$134,0))</f>
        <v>-2583.6681210785</v>
      </c>
      <c r="BI122" s="100" t="n">
        <f aca="false">-BI106-IF(Hipótesis!$D$94=5,IF(BI$3=Hipótesis!$D$124,$C$158,0),IF(BI$3=84,$C$134,0))</f>
        <v>-2578.11256552295</v>
      </c>
      <c r="BJ122" s="100" t="n">
        <f aca="false">-BJ106-IF(Hipótesis!$D$94=5,IF(BJ$3=Hipótesis!$D$124,$C$158,0),IF(BJ$3=84,$C$134,0))</f>
        <v>-2572.55700996739</v>
      </c>
      <c r="BK122" s="100" t="n">
        <f aca="false">-BK106-IF(Hipótesis!$D$94=5,IF(BK$3=Hipótesis!$D$124,$C$158,0),IF(BK$3=84,$C$134,0))</f>
        <v>-2517.77430225462</v>
      </c>
      <c r="BL122" s="100" t="n">
        <f aca="false">-BL106-IF(Hipótesis!$D$94=5,IF(BL$3=Hipótesis!$D$124,$C$158,0),IF(BL$3=84,$C$134,0))</f>
        <v>-2512.21874669907</v>
      </c>
      <c r="BM122" s="100" t="n">
        <f aca="false">-BM106-IF(Hipótesis!$D$94=5,IF(BM$3=Hipótesis!$D$124,$C$158,0),IF(BM$3=84,$C$134,0))</f>
        <v>-2506.66319114351</v>
      </c>
      <c r="BN122" s="100" t="n">
        <f aca="false">-BN106-IF(Hipótesis!$D$94=5,IF(BN$3=Hipótesis!$D$124,$C$158,0),IF(BN$3=84,$C$134,0))</f>
        <v>-2501.10763558795</v>
      </c>
      <c r="BO122" s="100" t="n">
        <f aca="false">-BO106-IF(Hipótesis!$D$94=5,IF(BO$3=Hipótesis!$D$124,$C$158,0),IF(BO$3=84,$C$134,0))</f>
        <v>-2495.5520800324</v>
      </c>
      <c r="BP122" s="100" t="n">
        <f aca="false">-BP106-IF(Hipótesis!$D$94=5,IF(BP$3=Hipótesis!$D$124,$C$158,0),IF(BP$3=84,$C$134,0))</f>
        <v>-2489.99652447684</v>
      </c>
      <c r="BQ122" s="100" t="n">
        <f aca="false">-BQ106-IF(Hipótesis!$D$94=5,IF(BQ$3=Hipótesis!$D$124,$C$158,0),IF(BQ$3=84,$C$134,0))</f>
        <v>-2484.44096892129</v>
      </c>
      <c r="BR122" s="100" t="n">
        <f aca="false">-BR106-IF(Hipótesis!$D$94=5,IF(BR$3=Hipótesis!$D$124,$C$158,0),IF(BR$3=84,$C$134,0))</f>
        <v>-2478.88541336573</v>
      </c>
      <c r="BS122" s="100" t="n">
        <f aca="false">-BS106-IF(Hipótesis!$D$94=5,IF(BS$3=Hipótesis!$D$124,$C$158,0),IF(BS$3=84,$C$134,0))</f>
        <v>-2473.32985781018</v>
      </c>
      <c r="BT122" s="100" t="n">
        <f aca="false">-BT106-IF(Hipótesis!$D$94=5,IF(BT$3=Hipótesis!$D$124,$C$158,0),IF(BT$3=84,$C$134,0))</f>
        <v>-2467.77430225462</v>
      </c>
      <c r="BU122" s="100" t="n">
        <f aca="false">-BU106-IF(Hipótesis!$D$94=5,IF(BU$3=Hipótesis!$D$124,$C$158,0),IF(BU$3=84,$C$134,0))</f>
        <v>-2462.21874669907</v>
      </c>
      <c r="BV122" s="100" t="n">
        <f aca="false">-BV106-IF(Hipótesis!$D$94=5,IF(BV$3=Hipótesis!$D$124,$C$158,0),IF(BV$3=84,$C$134,0))</f>
        <v>-2456.66319114351</v>
      </c>
      <c r="BW122" s="100" t="n">
        <f aca="false">-BW106-IF(Hipótesis!$D$94=5,IF(BW$3=Hipótesis!$D$124,$C$158,0),IF(BW$3=84,$C$134,0))</f>
        <v>-2401.59166886602</v>
      </c>
      <c r="BX122" s="100" t="n">
        <f aca="false">-BX106-IF(Hipótesis!$D$94=5,IF(BX$3=Hipótesis!$D$124,$C$158,0),IF(BX$3=84,$C$134,0))</f>
        <v>-2396.03611331047</v>
      </c>
      <c r="BY122" s="100" t="n">
        <f aca="false">-BY106-IF(Hipótesis!$D$94=5,IF(BY$3=Hipótesis!$D$124,$C$158,0),IF(BY$3=84,$C$134,0))</f>
        <v>-2390.48055775491</v>
      </c>
      <c r="BZ122" s="100" t="n">
        <f aca="false">-BZ106-IF(Hipótesis!$D$94=5,IF(BZ$3=Hipótesis!$D$124,$C$158,0),IF(BZ$3=84,$C$134,0))</f>
        <v>-2384.92500219935</v>
      </c>
      <c r="CA122" s="100" t="n">
        <f aca="false">-CA106-IF(Hipótesis!$D$94=5,IF(CA$3=Hipótesis!$D$124,$C$158,0),IF(CA$3=84,$C$134,0))</f>
        <v>-2379.3694466438</v>
      </c>
      <c r="CB122" s="100" t="n">
        <f aca="false">-CB106-IF(Hipótesis!$D$94=5,IF(CB$3=Hipótesis!$D$124,$C$158,0),IF(CB$3=84,$C$134,0))</f>
        <v>-2373.81389108824</v>
      </c>
      <c r="CC122" s="100" t="n">
        <f aca="false">-CC106-IF(Hipótesis!$D$94=5,IF(CC$3=Hipótesis!$D$124,$C$158,0),IF(CC$3=84,$C$134,0))</f>
        <v>-2368.25833553269</v>
      </c>
      <c r="CD122" s="100" t="n">
        <f aca="false">-CD106-IF(Hipótesis!$D$94=5,IF(CD$3=Hipótesis!$D$124,$C$158,0),IF(CD$3=84,$C$134,0))</f>
        <v>-2362.70277997713</v>
      </c>
      <c r="CE122" s="100" t="n">
        <f aca="false">-CE106-IF(Hipótesis!$D$94=5,IF(CE$3=Hipótesis!$D$124,$C$158,0),IF(CE$3=84,$C$134,0))</f>
        <v>-2357.14722442158</v>
      </c>
      <c r="CF122" s="100" t="n">
        <f aca="false">-CF106-IF(Hipótesis!$D$94=5,IF(CF$3=Hipótesis!$D$124,$C$158,0),IF(CF$3=84,$C$134,0))</f>
        <v>-2351.59166886602</v>
      </c>
      <c r="CG122" s="100" t="n">
        <f aca="false">-CG106-IF(Hipótesis!$D$94=5,IF(CG$3=Hipótesis!$D$124,$C$158,0),IF(CG$3=84,$C$134,0))</f>
        <v>-2346.03611331047</v>
      </c>
      <c r="CH122" s="100" t="n">
        <f aca="false">-CH106-IF(Hipótesis!$D$94=5,IF(CH$3=Hipótesis!$D$124,$C$158,0),IF(CH$3=84,$C$134,0))</f>
        <v>-2340.48055775485</v>
      </c>
    </row>
    <row r="123" customFormat="false" ht="12.75" hidden="false" customHeight="true" outlineLevel="0" collapsed="false">
      <c r="A123" s="6" t="s">
        <v>591</v>
      </c>
      <c r="B123" s="100" t="n">
        <f aca="false">-Hipótesis!$D$105</f>
        <v>-100000</v>
      </c>
      <c r="C123" s="100" t="n">
        <f aca="false">C99</f>
        <v>333.333333333333</v>
      </c>
      <c r="D123" s="100" t="n">
        <f aca="false">D99</f>
        <v>333.333333333333</v>
      </c>
      <c r="E123" s="100" t="n">
        <f aca="false">E99</f>
        <v>333.333333333333</v>
      </c>
      <c r="F123" s="100" t="n">
        <f aca="false">F99</f>
        <v>333.333333333333</v>
      </c>
      <c r="G123" s="100" t="n">
        <f aca="false">G99</f>
        <v>333.333333333333</v>
      </c>
      <c r="H123" s="100" t="n">
        <f aca="false">H99</f>
        <v>333.333333333333</v>
      </c>
      <c r="I123" s="100" t="n">
        <f aca="false">I99</f>
        <v>333.333333333333</v>
      </c>
      <c r="J123" s="100" t="n">
        <f aca="false">J99</f>
        <v>333.333333333333</v>
      </c>
      <c r="K123" s="100" t="n">
        <f aca="false">K99</f>
        <v>363.280667725478</v>
      </c>
      <c r="L123" s="100" t="n">
        <f aca="false">L99</f>
        <v>424.816837759668</v>
      </c>
      <c r="M123" s="100" t="n">
        <f aca="false">M99</f>
        <v>465.222604535034</v>
      </c>
      <c r="N123" s="100" t="n">
        <f aca="false">N99</f>
        <v>521.437045402029</v>
      </c>
      <c r="O123" s="100" t="n">
        <f aca="false">O99</f>
        <v>473.107486269023</v>
      </c>
      <c r="P123" s="100" t="n">
        <f aca="false">P99</f>
        <v>477.017810834674</v>
      </c>
      <c r="Q123" s="100" t="n">
        <f aca="false">Q99</f>
        <v>527.154535400326</v>
      </c>
      <c r="R123" s="100" t="n">
        <f aca="false">R99</f>
        <v>577.291259965977</v>
      </c>
      <c r="S123" s="100" t="n">
        <f aca="false">S99</f>
        <v>627.427984531628</v>
      </c>
      <c r="T123" s="100" t="n">
        <f aca="false">T99</f>
        <v>677.56470909728</v>
      </c>
      <c r="U123" s="100" t="n">
        <f aca="false">U99</f>
        <v>681.475033662931</v>
      </c>
      <c r="V123" s="100" t="n">
        <f aca="false">V99</f>
        <v>677.227758228582</v>
      </c>
      <c r="W123" s="100" t="n">
        <f aca="false">W99</f>
        <v>727.364482794234</v>
      </c>
      <c r="X123" s="100" t="n">
        <f aca="false">X99</f>
        <v>761.692533268258</v>
      </c>
      <c r="Y123" s="100" t="n">
        <f aca="false">Y99</f>
        <v>796.020583742282</v>
      </c>
      <c r="Z123" s="100" t="n">
        <f aca="false">Z99</f>
        <v>824.588924579655</v>
      </c>
      <c r="AA123" s="100" t="n">
        <f aca="false">AA99</f>
        <v>2474.1873080837</v>
      </c>
      <c r="AB123" s="100" t="n">
        <f aca="false">AB99</f>
        <v>2449.58690136551</v>
      </c>
      <c r="AC123" s="100" t="n">
        <f aca="false">AC99</f>
        <v>2472.59968664733</v>
      </c>
      <c r="AD123" s="100" t="n">
        <f aca="false">AD99</f>
        <v>2495.61247192915</v>
      </c>
      <c r="AE123" s="100" t="n">
        <f aca="false">AE99</f>
        <v>2518.62525721096</v>
      </c>
      <c r="AF123" s="100" t="n">
        <f aca="false">AF99</f>
        <v>2541.63804249278</v>
      </c>
      <c r="AG123" s="100" t="n">
        <f aca="false">AG99</f>
        <v>2564.6508277746</v>
      </c>
      <c r="AH123" s="100" t="n">
        <f aca="false">AH99</f>
        <v>2587.66361305642</v>
      </c>
      <c r="AI123" s="100" t="n">
        <f aca="false">AI99</f>
        <v>2610.67639833824</v>
      </c>
      <c r="AJ123" s="100" t="n">
        <f aca="false">AJ99</f>
        <v>2633.68918362005</v>
      </c>
      <c r="AK123" s="100" t="n">
        <f aca="false">AK99</f>
        <v>2656.70196890187</v>
      </c>
      <c r="AL123" s="100" t="n">
        <f aca="false">AL99</f>
        <v>2632.10156218369</v>
      </c>
      <c r="AM123" s="100" t="n">
        <f aca="false">AM99</f>
        <v>2606.4398332255</v>
      </c>
      <c r="AN123" s="100" t="n">
        <f aca="false">AN99</f>
        <v>2629.45261850732</v>
      </c>
      <c r="AO123" s="100" t="n">
        <f aca="false">AO99</f>
        <v>2652.46540378914</v>
      </c>
      <c r="AP123" s="100" t="n">
        <f aca="false">AP99</f>
        <v>2675.47818907096</v>
      </c>
      <c r="AQ123" s="100" t="n">
        <f aca="false">AQ99</f>
        <v>2698.49097435277</v>
      </c>
      <c r="AR123" s="100" t="n">
        <f aca="false">AR99</f>
        <v>2721.50375963459</v>
      </c>
      <c r="AS123" s="100" t="n">
        <f aca="false">AS99</f>
        <v>2715.94820407904</v>
      </c>
      <c r="AT123" s="100" t="n">
        <f aca="false">AT99</f>
        <v>2710.39264852348</v>
      </c>
      <c r="AU123" s="100" t="n">
        <f aca="false">AU99</f>
        <v>2704.83709296793</v>
      </c>
      <c r="AV123" s="100" t="n">
        <f aca="false">AV99</f>
        <v>2699.28153741237</v>
      </c>
      <c r="AW123" s="100" t="n">
        <f aca="false">AW99</f>
        <v>2693.72598185681</v>
      </c>
      <c r="AX123" s="100" t="n">
        <f aca="false">AX99</f>
        <v>2688.17042630126</v>
      </c>
      <c r="AY123" s="100" t="n">
        <f aca="false">AY99</f>
        <v>2633.6681210785</v>
      </c>
      <c r="AZ123" s="100" t="n">
        <f aca="false">AZ99</f>
        <v>2628.11256552295</v>
      </c>
      <c r="BA123" s="100" t="n">
        <f aca="false">BA99</f>
        <v>2622.55700996739</v>
      </c>
      <c r="BB123" s="100" t="n">
        <f aca="false">BB99</f>
        <v>2617.00145441184</v>
      </c>
      <c r="BC123" s="100" t="n">
        <f aca="false">BC99</f>
        <v>2611.44589885628</v>
      </c>
      <c r="BD123" s="100" t="n">
        <f aca="false">BD99</f>
        <v>2605.89034330073</v>
      </c>
      <c r="BE123" s="100" t="n">
        <f aca="false">BE99</f>
        <v>2600.33478774517</v>
      </c>
      <c r="BF123" s="100" t="n">
        <f aca="false">BF99</f>
        <v>2594.77923218961</v>
      </c>
      <c r="BG123" s="100" t="n">
        <f aca="false">BG99</f>
        <v>2589.22367663406</v>
      </c>
      <c r="BH123" s="100" t="n">
        <f aca="false">BH99</f>
        <v>2583.6681210785</v>
      </c>
      <c r="BI123" s="100" t="n">
        <f aca="false">BI99</f>
        <v>2578.11256552295</v>
      </c>
      <c r="BJ123" s="100" t="n">
        <f aca="false">BJ99</f>
        <v>2572.55700996739</v>
      </c>
      <c r="BK123" s="100" t="n">
        <f aca="false">BK99</f>
        <v>2517.77430225462</v>
      </c>
      <c r="BL123" s="100" t="n">
        <f aca="false">BL99</f>
        <v>2512.21874669907</v>
      </c>
      <c r="BM123" s="100" t="n">
        <f aca="false">BM99</f>
        <v>2506.66319114351</v>
      </c>
      <c r="BN123" s="100" t="n">
        <f aca="false">BN99</f>
        <v>2501.10763558795</v>
      </c>
      <c r="BO123" s="100" t="n">
        <f aca="false">BO99</f>
        <v>2495.5520800324</v>
      </c>
      <c r="BP123" s="100" t="n">
        <f aca="false">BP99</f>
        <v>2489.99652447684</v>
      </c>
      <c r="BQ123" s="100" t="n">
        <f aca="false">BQ99</f>
        <v>2484.44096892129</v>
      </c>
      <c r="BR123" s="100" t="n">
        <f aca="false">BR99</f>
        <v>2478.88541336573</v>
      </c>
      <c r="BS123" s="100" t="n">
        <f aca="false">BS99</f>
        <v>2473.32985781018</v>
      </c>
      <c r="BT123" s="100" t="n">
        <f aca="false">BT99</f>
        <v>2467.77430225462</v>
      </c>
      <c r="BU123" s="100" t="n">
        <f aca="false">BU99</f>
        <v>2462.21874669907</v>
      </c>
      <c r="BV123" s="100" t="n">
        <f aca="false">BV99</f>
        <v>2456.66319114351</v>
      </c>
      <c r="BW123" s="100" t="n">
        <f aca="false">BW99</f>
        <v>2401.59166886602</v>
      </c>
      <c r="BX123" s="100" t="n">
        <f aca="false">BX99</f>
        <v>2396.03611331047</v>
      </c>
      <c r="BY123" s="100" t="n">
        <f aca="false">BY99</f>
        <v>2390.48055775491</v>
      </c>
      <c r="BZ123" s="100" t="n">
        <f aca="false">BZ99</f>
        <v>2384.92500219935</v>
      </c>
      <c r="CA123" s="100" t="n">
        <f aca="false">CA99</f>
        <v>2379.3694466438</v>
      </c>
      <c r="CB123" s="100" t="n">
        <f aca="false">CB99</f>
        <v>2373.81389108824</v>
      </c>
      <c r="CC123" s="100" t="n">
        <f aca="false">CC99</f>
        <v>2368.25833553269</v>
      </c>
      <c r="CD123" s="100" t="n">
        <f aca="false">CD99</f>
        <v>2362.70277997713</v>
      </c>
      <c r="CE123" s="100" t="n">
        <f aca="false">CE99</f>
        <v>2357.14722442158</v>
      </c>
      <c r="CF123" s="100" t="n">
        <f aca="false">CF99</f>
        <v>2351.59166886602</v>
      </c>
      <c r="CG123" s="100" t="n">
        <f aca="false">CG99</f>
        <v>2346.03611331047</v>
      </c>
      <c r="CH123" s="100" t="n">
        <f aca="false">CH99</f>
        <v>2340.48055775485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9" t="s">
        <v>592</v>
      </c>
      <c r="B125" s="9"/>
    </row>
    <row r="126" customFormat="false" ht="13.5" hidden="false" customHeight="true" outlineLevel="0" collapsed="false">
      <c r="A126" s="6" t="s">
        <v>593</v>
      </c>
      <c r="C126" s="14" t="n">
        <f aca="false">Hipótesis!$D$93</f>
        <v>100000</v>
      </c>
    </row>
    <row r="127" customFormat="false" ht="13.5" hidden="false" customHeight="true" outlineLevel="0" collapsed="false">
      <c r="A127" s="6" t="s">
        <v>594</v>
      </c>
      <c r="C127" s="17" t="n">
        <f aca="false">IFERROR(IRR($B$121:$CH$121,0.02),"n.d.")</f>
        <v>0.0253739501406432</v>
      </c>
    </row>
    <row r="128" customFormat="false" ht="13.5" hidden="false" customHeight="true" outlineLevel="0" collapsed="false">
      <c r="A128" s="6" t="s">
        <v>85</v>
      </c>
      <c r="C128" s="17" t="n">
        <f aca="false">IFERROR((1+IRR($B$121:$CH$121,0.02))^12-1,"n.d.")</f>
        <v>0.350788512862475</v>
      </c>
    </row>
    <row r="129" customFormat="false" ht="13.5" hidden="false" customHeight="true" outlineLevel="0" collapsed="false">
      <c r="A129" s="6" t="s">
        <v>595</v>
      </c>
      <c r="C129" s="21" t="n">
        <f aca="false">IFERROR(SUM($C$121:$CH$121)/$C$126,0)</f>
        <v>3.32927320084782</v>
      </c>
    </row>
    <row r="130" customFormat="false" ht="13.5" hidden="false" customHeight="true" outlineLevel="0" collapsed="false">
      <c r="A130" s="6" t="s">
        <v>57</v>
      </c>
      <c r="C130" s="15" t="n">
        <f aca="false">IFERROR(COUNTIF($C$94:$CH$94,"&lt;"&amp;$C$126)+1,"n.d.")</f>
        <v>48</v>
      </c>
    </row>
    <row r="131" customFormat="false" ht="13.5" hidden="false" customHeight="true" outlineLevel="0" collapsed="false">
      <c r="A131" s="6" t="s">
        <v>596</v>
      </c>
      <c r="C131" s="14" t="n">
        <f aca="false">IFERROR($B$121+NPV((1+Hipótesis!$D$121)^(1/12)-1,$C$121:$CH$121),0)</f>
        <v>111581.33070875</v>
      </c>
    </row>
    <row r="132" customFormat="false" ht="13.5" hidden="false" customHeight="true" outlineLevel="0" collapsed="false">
      <c r="A132" s="6" t="s">
        <v>597</v>
      </c>
      <c r="C132" s="100" t="n">
        <f aca="false">SUM($AY$56:$BJ$56)</f>
        <v>460200.872647102</v>
      </c>
    </row>
    <row r="133" customFormat="false" ht="13.5" hidden="false" customHeight="true" outlineLevel="0" collapsed="false">
      <c r="A133" s="6" t="s">
        <v>598</v>
      </c>
      <c r="C133" s="100" t="n">
        <f aca="false">IF(Hipótesis!$D$94=5,$C$157,$C$132*Hipótesis!$D$120)</f>
        <v>3329273.20084782</v>
      </c>
    </row>
    <row r="134" customFormat="false" ht="13.5" hidden="false" customHeight="true" outlineLevel="0" collapsed="false">
      <c r="A134" s="6" t="s">
        <v>599</v>
      </c>
      <c r="C134" s="100" t="n">
        <f aca="false">MAX(0,$C$133)*Hipótesis!$D$119</f>
        <v>332927.320084782</v>
      </c>
    </row>
    <row r="135" customFormat="false" ht="13.5" hidden="false" customHeight="true" outlineLevel="0" collapsed="false">
      <c r="A135" s="6" t="s">
        <v>600</v>
      </c>
      <c r="C135" s="17" t="n">
        <f aca="false">IF(ISNUMBER($C$128),$C$128,"n.d.")</f>
        <v>0.350788512862475</v>
      </c>
    </row>
    <row r="136" customFormat="false" ht="13.5" hidden="false" customHeight="true" outlineLevel="0" collapsed="false">
      <c r="A136" s="6" t="s">
        <v>82</v>
      </c>
      <c r="C136" s="17" t="n">
        <f aca="false">IFERROR((1+IRR($B$123:$CH$123,0.01))^12-1,"n.d.")</f>
        <v>0.129579781753543</v>
      </c>
    </row>
    <row r="137" customFormat="false" ht="13.5" hidden="false" customHeight="true" outlineLevel="0" collapsed="false">
      <c r="A137" s="6" t="s">
        <v>601</v>
      </c>
      <c r="C137" s="17" t="n">
        <f aca="false">IFERROR((1+IRR($B$122:$CH$122,0.01))^12-1,"n.d.")</f>
        <v>0.257138523036562</v>
      </c>
    </row>
    <row r="138" customFormat="false" ht="13.5" hidden="false" customHeight="true" outlineLevel="0" collapsed="false">
      <c r="A138" s="6" t="s">
        <v>88</v>
      </c>
      <c r="C138" s="14" t="n">
        <f aca="false">Hipótesis!$D$122</f>
        <v>200000</v>
      </c>
    </row>
    <row r="139" customFormat="false" ht="13.5" hidden="false" customHeight="true" outlineLevel="0" collapsed="false">
      <c r="A139" s="6" t="s">
        <v>602</v>
      </c>
      <c r="C139" s="14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05" t="s">
        <v>485</v>
      </c>
      <c r="C141" s="106" t="n">
        <v>1</v>
      </c>
      <c r="D141" s="106" t="n">
        <v>2</v>
      </c>
      <c r="E141" s="106" t="n">
        <v>3</v>
      </c>
      <c r="F141" s="106" t="n">
        <v>4</v>
      </c>
      <c r="G141" s="106" t="n">
        <v>5</v>
      </c>
      <c r="H141" s="106" t="n">
        <v>6</v>
      </c>
      <c r="I141" s="106" t="n">
        <v>7</v>
      </c>
    </row>
    <row r="142" customFormat="false" ht="13.5" hidden="false" customHeight="true" outlineLevel="0" collapsed="false">
      <c r="A142" s="6" t="s">
        <v>603</v>
      </c>
      <c r="C142" s="100" t="n">
        <f aca="false">SUM($C$56:$N$56)</f>
        <v>-51620.1827729117</v>
      </c>
      <c r="D142" s="100" t="n">
        <f aca="false">SUM($O$56:$Z$56)</f>
        <v>191396.655118743</v>
      </c>
      <c r="E142" s="100" t="n">
        <f aca="false">SUM($AA$56:$AL$56)</f>
        <v>350219.994413548</v>
      </c>
      <c r="F142" s="100" t="n">
        <f aca="false">SUM($AM$56:$AX$56)</f>
        <v>468142.666819392</v>
      </c>
      <c r="G142" s="100" t="n">
        <f aca="false">SUM($AY$56:$BJ$56)</f>
        <v>460200.872647102</v>
      </c>
      <c r="H142" s="100" t="n">
        <f aca="false">SUM($BK$56:$BV$56)</f>
        <v>430664.581352772</v>
      </c>
      <c r="I142" s="100" t="n">
        <f aca="false">SUM($BW$56:$CH$56)</f>
        <v>400955.001319613</v>
      </c>
    </row>
    <row r="143" customFormat="false" ht="13.5" hidden="false" customHeight="true" outlineLevel="0" collapsed="false">
      <c r="A143" s="6" t="s">
        <v>604</v>
      </c>
      <c r="C143" s="100" t="n">
        <f aca="false">SUM($C$106:$N$106)</f>
        <v>4441.42382208888</v>
      </c>
      <c r="D143" s="100" t="n">
        <f aca="false">SUM($O$106:$Z$106)</f>
        <v>7827.93310237485</v>
      </c>
      <c r="E143" s="100" t="n">
        <f aca="false">SUM($AA$106:$AL$106)</f>
        <v>30637.7332216043</v>
      </c>
      <c r="F143" s="100" t="n">
        <f aca="false">SUM($AM$106:$AX$106)</f>
        <v>32196.1866697212</v>
      </c>
      <c r="G143" s="100" t="n">
        <f aca="false">SUM($AY$106:$BJ$106)</f>
        <v>31237.3507862754</v>
      </c>
      <c r="H143" s="100" t="n">
        <f aca="false">SUM($BK$106:$BV$106)</f>
        <v>29846.6249603888</v>
      </c>
      <c r="I143" s="100" t="n">
        <f aca="false">SUM($BW$106:$CH$106)</f>
        <v>28452.4333597255</v>
      </c>
    </row>
    <row r="144" customFormat="false" ht="13.5" hidden="false" customHeight="true" outlineLevel="0" collapsed="false">
      <c r="A144" s="22" t="s">
        <v>605</v>
      </c>
      <c r="C144" s="112" t="n">
        <f aca="false">IFERROR(C142/C143,0)</f>
        <v>-11.622440199511</v>
      </c>
      <c r="D144" s="112" t="n">
        <f aca="false">IFERROR(D142/D143,0)</f>
        <v>24.4504714866146</v>
      </c>
      <c r="E144" s="112" t="n">
        <f aca="false">IFERROR(E142/E143,0)</f>
        <v>11.4310021528156</v>
      </c>
      <c r="F144" s="112" t="n">
        <f aca="false">IFERROR(F142/F143,0)</f>
        <v>14.5403140943911</v>
      </c>
      <c r="G144" s="112" t="n">
        <f aca="false">IFERROR(G142/G143,0)</f>
        <v>14.7323912259966</v>
      </c>
      <c r="H144" s="112" t="n">
        <f aca="false">IFERROR(H142/H143,0)</f>
        <v>14.4292556335711</v>
      </c>
      <c r="I144" s="112" t="n">
        <f aca="false">IFERROR(I142/I143,0)</f>
        <v>14.092116349077</v>
      </c>
    </row>
    <row r="145" customFormat="false" ht="13.5" hidden="false" customHeight="true" outlineLevel="0" collapsed="false">
      <c r="A145" s="22" t="s">
        <v>606</v>
      </c>
      <c r="C145" s="16" t="n">
        <f aca="false">MIN(D144:I144)</f>
        <v>11.4310021528156</v>
      </c>
    </row>
    <row r="146" customFormat="false" ht="13.5" hidden="false" customHeight="true" outlineLevel="0" collapsed="false">
      <c r="A146" s="22" t="s">
        <v>607</v>
      </c>
      <c r="C146" s="14" t="n">
        <f aca="false">MIN($C$86:$CH$86)</f>
        <v>30000</v>
      </c>
    </row>
    <row r="147" customFormat="false" ht="13.5" hidden="false" customHeight="true" outlineLevel="0" collapsed="false">
      <c r="A147" s="22" t="s">
        <v>608</v>
      </c>
      <c r="C147" s="14" t="n">
        <f aca="false">SUM($C$36:$N$36)</f>
        <v>182508.820627719</v>
      </c>
    </row>
    <row r="148" customFormat="false" ht="13.5" hidden="false" customHeight="true" outlineLevel="0" collapsed="false">
      <c r="A148" s="22" t="s">
        <v>609</v>
      </c>
      <c r="C148" s="100" t="n">
        <f aca="false">-SUM($C$84:$N$84)</f>
        <v>-0</v>
      </c>
      <c r="D148" s="100" t="n">
        <f aca="false">-SUM($O$84:$Z$84)</f>
        <v>-0</v>
      </c>
      <c r="E148" s="100" t="n">
        <f aca="false">-SUM($AA$84:$AL$84)</f>
        <v>-0</v>
      </c>
      <c r="F148" s="100" t="n">
        <f aca="false">-SUM($AM$84:$AX$84)</f>
        <v>-0</v>
      </c>
      <c r="G148" s="100" t="n">
        <f aca="false">-SUM($AY$84:$BJ$84)</f>
        <v>-0</v>
      </c>
      <c r="H148" s="100" t="n">
        <f aca="false">-SUM($BK$84:$BV$84)</f>
        <v>-0</v>
      </c>
      <c r="I148" s="100" t="n">
        <f aca="false">-SUM($BW$84:$CH$84)</f>
        <v>-0</v>
      </c>
    </row>
    <row r="149" customFormat="false" ht="13.5" hidden="false" customHeight="true" outlineLevel="0" collapsed="false">
      <c r="A149" s="22" t="s">
        <v>610</v>
      </c>
      <c r="C149" s="14" t="n">
        <f aca="false">SUM($C$118:$N$118)/12</f>
        <v>1540</v>
      </c>
      <c r="D149" s="14" t="n">
        <f aca="false">SUM($O$118:$Z$118)/12</f>
        <v>2450</v>
      </c>
      <c r="E149" s="14" t="n">
        <f aca="false">SUM($AA$118:$AL$118)/12</f>
        <v>2800</v>
      </c>
      <c r="F149" s="14" t="n">
        <f aca="false">SUM($AM$118:$AX$118)/12</f>
        <v>3150</v>
      </c>
      <c r="G149" s="14" t="n">
        <f aca="false">SUM($AY$118:$BJ$118)/12</f>
        <v>3500</v>
      </c>
      <c r="H149" s="14" t="n">
        <f aca="false">SUM($BK$118:$BV$118)/12</f>
        <v>3850</v>
      </c>
      <c r="I149" s="14" t="n">
        <f aca="false">SUM($BW$118:$CH$118)/12</f>
        <v>4200</v>
      </c>
    </row>
    <row r="150" customFormat="false" ht="13.5" hidden="false" customHeight="true" outlineLevel="0" collapsed="false">
      <c r="A150" s="22" t="s">
        <v>611</v>
      </c>
      <c r="C150" s="14" t="n">
        <f aca="false">MAX($C$81:$CH$81)</f>
        <v>4694.50636618414</v>
      </c>
    </row>
    <row r="152" customFormat="false" ht="15" hidden="false" customHeight="false" outlineLevel="0" collapsed="false">
      <c r="A152" s="94" t="s">
        <v>612</v>
      </c>
    </row>
    <row r="153" customFormat="false" ht="15" hidden="false" customHeight="false" outlineLevel="0" collapsed="false">
      <c r="A153" s="1" t="s">
        <v>613</v>
      </c>
      <c r="C153" s="1" t="n">
        <f aca="false">SUMIFS($C$56:$CH$56,$C$3:$CH$3,"&gt;="&amp;Hipótesis!$D$124-11,$C$3:$CH$3,"&lt;="&amp;Hipótesis!$D$124)</f>
        <v>468142.666819392</v>
      </c>
    </row>
    <row r="154" customFormat="false" ht="15" hidden="false" customHeight="false" outlineLevel="0" collapsed="false">
      <c r="A154" s="1" t="s">
        <v>614</v>
      </c>
      <c r="C154" s="1" t="n">
        <f aca="false">$C$153*Hipótesis!$D$120</f>
        <v>2808856.00091635</v>
      </c>
    </row>
    <row r="155" customFormat="false" ht="15" hidden="false" customHeight="false" outlineLevel="0" collapsed="false">
      <c r="A155" s="1" t="s">
        <v>615</v>
      </c>
      <c r="C155" s="1" t="n">
        <f aca="false">SUMIFS($C$86:$CH$86,$C$3:$CH$3,"="&amp;Hipótesis!$D$124)</f>
        <v>582083.86659813</v>
      </c>
    </row>
    <row r="156" customFormat="false" ht="15" hidden="false" customHeight="false" outlineLevel="0" collapsed="false">
      <c r="A156" s="1" t="s">
        <v>616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false" outlineLevel="0" collapsed="false">
      <c r="A157" s="94" t="s">
        <v>617</v>
      </c>
      <c r="C157" s="1" t="n">
        <f aca="false">MAX(0,$C$154+Hipótesis!$D$125*($C$155-$C$156))</f>
        <v>3329273.20084782</v>
      </c>
    </row>
    <row r="158" customFormat="false" ht="15" hidden="false" customHeight="false" outlineLevel="0" collapsed="false">
      <c r="A158" s="1" t="s">
        <v>618</v>
      </c>
      <c r="C158" s="1" t="n">
        <f aca="false">MIN($C$157,MAX($C$157*Hipótesis!$D$119,Hipótesis!$D$127*Hipótesis!$D$93))</f>
        <v>332927.320084782</v>
      </c>
    </row>
    <row r="159" customFormat="false" ht="15" hidden="false" customHeight="false" outlineLevel="0" collapsed="false">
      <c r="A159" s="1" t="s">
        <v>619</v>
      </c>
      <c r="C159" s="1" t="n">
        <f aca="false">MAX(0,$C$158-$C$157*Hipótesis!$D$119)</f>
        <v>0</v>
      </c>
    </row>
    <row r="160" customFormat="false" ht="15" hidden="false" customHeight="false" outlineLevel="0" collapsed="false">
      <c r="A160" s="94" t="s">
        <v>620</v>
      </c>
    </row>
    <row r="161" customFormat="false" ht="15" hidden="false" customHeight="false" outlineLevel="0" collapsed="false">
      <c r="A161" s="1" t="s">
        <v>621</v>
      </c>
      <c r="C161" s="113" t="n">
        <f aca="false">IF(Hipótesis!$D$94=5,Hipótesis!$D$93,0)</f>
        <v>100000</v>
      </c>
    </row>
    <row r="162" customFormat="false" ht="15" hidden="false" customHeight="false" outlineLevel="0" collapsed="false">
      <c r="A162" s="1" t="s">
        <v>622</v>
      </c>
      <c r="C162" s="1" t="n">
        <f aca="false">SUMIFS($C$63:$CH$63,$C$3:$CH$3,"&lt;="&amp;Hipótesis!$D$126)</f>
        <v>0</v>
      </c>
    </row>
    <row r="163" customFormat="false" ht="15" hidden="false" customHeight="false" outlineLevel="0" collapsed="false">
      <c r="A163" s="94" t="s">
        <v>623</v>
      </c>
      <c r="C163" s="1" t="n">
        <f aca="false">$C$161+$C$162</f>
        <v>100000</v>
      </c>
    </row>
    <row r="164" customFormat="false" ht="15" hidden="false" customHeight="false" outlineLevel="0" collapsed="false">
      <c r="A164" s="1" t="s">
        <v>624</v>
      </c>
      <c r="C164" s="113" t="n">
        <f aca="false">Hipótesis!$D$105</f>
        <v>100000</v>
      </c>
    </row>
    <row r="165" customFormat="false" ht="15" hidden="false" customHeight="false" outlineLevel="0" collapsed="false">
      <c r="A165" s="94" t="s">
        <v>625</v>
      </c>
      <c r="C165" s="1" t="str">
        <f aca="false">IF($C$163&gt;=$C$164,"SI CUMPLE","NO CUMPLE - faltan "&amp;TEXT($C$164-$C$163,"#,##0")&amp;" EUR")</f>
        <v>SI 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681</v>
      </c>
    </row>
    <row r="2" customFormat="false" ht="13.5" hidden="false" customHeight="true" outlineLevel="0" collapsed="false">
      <c r="A2" s="4" t="s">
        <v>679</v>
      </c>
    </row>
    <row r="3" customFormat="false" ht="13.5" hidden="false" customHeight="true" outlineLevel="0" collapsed="false">
      <c r="A3" s="105" t="s">
        <v>484</v>
      </c>
      <c r="C3" s="106" t="n">
        <v>1</v>
      </c>
      <c r="D3" s="106" t="n">
        <v>2</v>
      </c>
      <c r="E3" s="106" t="n">
        <v>3</v>
      </c>
      <c r="F3" s="106" t="n">
        <v>4</v>
      </c>
      <c r="G3" s="106" t="n">
        <v>5</v>
      </c>
      <c r="H3" s="106" t="n">
        <v>6</v>
      </c>
      <c r="I3" s="106" t="n">
        <v>7</v>
      </c>
      <c r="J3" s="106" t="n">
        <v>8</v>
      </c>
      <c r="K3" s="106" t="n">
        <v>9</v>
      </c>
      <c r="L3" s="106" t="n">
        <v>10</v>
      </c>
      <c r="M3" s="106" t="n">
        <v>11</v>
      </c>
      <c r="N3" s="106" t="n">
        <v>12</v>
      </c>
      <c r="O3" s="106" t="n">
        <v>13</v>
      </c>
      <c r="P3" s="106" t="n">
        <v>14</v>
      </c>
      <c r="Q3" s="106" t="n">
        <v>15</v>
      </c>
      <c r="R3" s="106" t="n">
        <v>16</v>
      </c>
      <c r="S3" s="106" t="n">
        <v>17</v>
      </c>
      <c r="T3" s="106" t="n">
        <v>18</v>
      </c>
      <c r="U3" s="106" t="n">
        <v>19</v>
      </c>
      <c r="V3" s="106" t="n">
        <v>20</v>
      </c>
      <c r="W3" s="106" t="n">
        <v>21</v>
      </c>
      <c r="X3" s="106" t="n">
        <v>22</v>
      </c>
      <c r="Y3" s="106" t="n">
        <v>23</v>
      </c>
      <c r="Z3" s="106" t="n">
        <v>24</v>
      </c>
      <c r="AA3" s="106" t="n">
        <v>25</v>
      </c>
      <c r="AB3" s="106" t="n">
        <v>26</v>
      </c>
      <c r="AC3" s="106" t="n">
        <v>27</v>
      </c>
      <c r="AD3" s="106" t="n">
        <v>28</v>
      </c>
      <c r="AE3" s="106" t="n">
        <v>29</v>
      </c>
      <c r="AF3" s="106" t="n">
        <v>30</v>
      </c>
      <c r="AG3" s="106" t="n">
        <v>31</v>
      </c>
      <c r="AH3" s="106" t="n">
        <v>32</v>
      </c>
      <c r="AI3" s="106" t="n">
        <v>33</v>
      </c>
      <c r="AJ3" s="106" t="n">
        <v>34</v>
      </c>
      <c r="AK3" s="106" t="n">
        <v>35</v>
      </c>
      <c r="AL3" s="106" t="n">
        <v>36</v>
      </c>
      <c r="AM3" s="106" t="n">
        <v>37</v>
      </c>
      <c r="AN3" s="106" t="n">
        <v>38</v>
      </c>
      <c r="AO3" s="106" t="n">
        <v>39</v>
      </c>
      <c r="AP3" s="106" t="n">
        <v>40</v>
      </c>
      <c r="AQ3" s="106" t="n">
        <v>41</v>
      </c>
      <c r="AR3" s="106" t="n">
        <v>42</v>
      </c>
      <c r="AS3" s="106" t="n">
        <v>43</v>
      </c>
      <c r="AT3" s="106" t="n">
        <v>44</v>
      </c>
      <c r="AU3" s="106" t="n">
        <v>45</v>
      </c>
      <c r="AV3" s="106" t="n">
        <v>46</v>
      </c>
      <c r="AW3" s="106" t="n">
        <v>47</v>
      </c>
      <c r="AX3" s="106" t="n">
        <v>48</v>
      </c>
      <c r="AY3" s="106" t="n">
        <v>49</v>
      </c>
      <c r="AZ3" s="106" t="n">
        <v>50</v>
      </c>
      <c r="BA3" s="106" t="n">
        <v>51</v>
      </c>
      <c r="BB3" s="106" t="n">
        <v>52</v>
      </c>
      <c r="BC3" s="106" t="n">
        <v>53</v>
      </c>
      <c r="BD3" s="106" t="n">
        <v>54</v>
      </c>
      <c r="BE3" s="106" t="n">
        <v>55</v>
      </c>
      <c r="BF3" s="106" t="n">
        <v>56</v>
      </c>
      <c r="BG3" s="106" t="n">
        <v>57</v>
      </c>
      <c r="BH3" s="106" t="n">
        <v>58</v>
      </c>
      <c r="BI3" s="106" t="n">
        <v>59</v>
      </c>
      <c r="BJ3" s="106" t="n">
        <v>60</v>
      </c>
      <c r="BK3" s="106" t="n">
        <v>61</v>
      </c>
      <c r="BL3" s="106" t="n">
        <v>62</v>
      </c>
      <c r="BM3" s="106" t="n">
        <v>63</v>
      </c>
      <c r="BN3" s="106" t="n">
        <v>64</v>
      </c>
      <c r="BO3" s="106" t="n">
        <v>65</v>
      </c>
      <c r="BP3" s="106" t="n">
        <v>66</v>
      </c>
      <c r="BQ3" s="106" t="n">
        <v>67</v>
      </c>
      <c r="BR3" s="106" t="n">
        <v>68</v>
      </c>
      <c r="BS3" s="106" t="n">
        <v>69</v>
      </c>
      <c r="BT3" s="106" t="n">
        <v>70</v>
      </c>
      <c r="BU3" s="106" t="n">
        <v>71</v>
      </c>
      <c r="BV3" s="106" t="n">
        <v>72</v>
      </c>
      <c r="BW3" s="106" t="n">
        <v>73</v>
      </c>
      <c r="BX3" s="106" t="n">
        <v>74</v>
      </c>
      <c r="BY3" s="106" t="n">
        <v>75</v>
      </c>
      <c r="BZ3" s="106" t="n">
        <v>76</v>
      </c>
      <c r="CA3" s="106" t="n">
        <v>77</v>
      </c>
      <c r="CB3" s="106" t="n">
        <v>78</v>
      </c>
      <c r="CC3" s="106" t="n">
        <v>79</v>
      </c>
      <c r="CD3" s="106" t="n">
        <v>80</v>
      </c>
      <c r="CE3" s="106" t="n">
        <v>81</v>
      </c>
      <c r="CF3" s="106" t="n">
        <v>82</v>
      </c>
      <c r="CG3" s="106" t="n">
        <v>83</v>
      </c>
      <c r="CH3" s="106" t="n">
        <v>84</v>
      </c>
    </row>
    <row r="4" customFormat="false" ht="13.5" hidden="false" customHeight="true" outlineLevel="0" collapsed="false">
      <c r="A4" s="105" t="s">
        <v>485</v>
      </c>
      <c r="C4" s="107" t="n">
        <f aca="false">INT((1-1)/12)+1</f>
        <v>1</v>
      </c>
      <c r="D4" s="107" t="n">
        <f aca="false">INT((2-1)/12)+1</f>
        <v>1</v>
      </c>
      <c r="E4" s="107" t="n">
        <f aca="false">INT((3-1)/12)+1</f>
        <v>1</v>
      </c>
      <c r="F4" s="107" t="n">
        <f aca="false">INT((4-1)/12)+1</f>
        <v>1</v>
      </c>
      <c r="G4" s="107" t="n">
        <f aca="false">INT((5-1)/12)+1</f>
        <v>1</v>
      </c>
      <c r="H4" s="107" t="n">
        <f aca="false">INT((6-1)/12)+1</f>
        <v>1</v>
      </c>
      <c r="I4" s="107" t="n">
        <f aca="false">INT((7-1)/12)+1</f>
        <v>1</v>
      </c>
      <c r="J4" s="107" t="n">
        <f aca="false">INT((8-1)/12)+1</f>
        <v>1</v>
      </c>
      <c r="K4" s="107" t="n">
        <f aca="false">INT((9-1)/12)+1</f>
        <v>1</v>
      </c>
      <c r="L4" s="107" t="n">
        <f aca="false">INT((10-1)/12)+1</f>
        <v>1</v>
      </c>
      <c r="M4" s="107" t="n">
        <f aca="false">INT((11-1)/12)+1</f>
        <v>1</v>
      </c>
      <c r="N4" s="107" t="n">
        <f aca="false">INT((12-1)/12)+1</f>
        <v>1</v>
      </c>
      <c r="O4" s="107" t="n">
        <f aca="false">INT((13-1)/12)+1</f>
        <v>2</v>
      </c>
      <c r="P4" s="107" t="n">
        <f aca="false">INT((14-1)/12)+1</f>
        <v>2</v>
      </c>
      <c r="Q4" s="107" t="n">
        <f aca="false">INT((15-1)/12)+1</f>
        <v>2</v>
      </c>
      <c r="R4" s="107" t="n">
        <f aca="false">INT((16-1)/12)+1</f>
        <v>2</v>
      </c>
      <c r="S4" s="107" t="n">
        <f aca="false">INT((17-1)/12)+1</f>
        <v>2</v>
      </c>
      <c r="T4" s="107" t="n">
        <f aca="false">INT((18-1)/12)+1</f>
        <v>2</v>
      </c>
      <c r="U4" s="107" t="n">
        <f aca="false">INT((19-1)/12)+1</f>
        <v>2</v>
      </c>
      <c r="V4" s="107" t="n">
        <f aca="false">INT((20-1)/12)+1</f>
        <v>2</v>
      </c>
      <c r="W4" s="107" t="n">
        <f aca="false">INT((21-1)/12)+1</f>
        <v>2</v>
      </c>
      <c r="X4" s="107" t="n">
        <f aca="false">INT((22-1)/12)+1</f>
        <v>2</v>
      </c>
      <c r="Y4" s="107" t="n">
        <f aca="false">INT((23-1)/12)+1</f>
        <v>2</v>
      </c>
      <c r="Z4" s="107" t="n">
        <f aca="false">INT((24-1)/12)+1</f>
        <v>2</v>
      </c>
      <c r="AA4" s="107" t="n">
        <f aca="false">INT((25-1)/12)+1</f>
        <v>3</v>
      </c>
      <c r="AB4" s="107" t="n">
        <f aca="false">INT((26-1)/12)+1</f>
        <v>3</v>
      </c>
      <c r="AC4" s="107" t="n">
        <f aca="false">INT((27-1)/12)+1</f>
        <v>3</v>
      </c>
      <c r="AD4" s="107" t="n">
        <f aca="false">INT((28-1)/12)+1</f>
        <v>3</v>
      </c>
      <c r="AE4" s="107" t="n">
        <f aca="false">INT((29-1)/12)+1</f>
        <v>3</v>
      </c>
      <c r="AF4" s="107" t="n">
        <f aca="false">INT((30-1)/12)+1</f>
        <v>3</v>
      </c>
      <c r="AG4" s="107" t="n">
        <f aca="false">INT((31-1)/12)+1</f>
        <v>3</v>
      </c>
      <c r="AH4" s="107" t="n">
        <f aca="false">INT((32-1)/12)+1</f>
        <v>3</v>
      </c>
      <c r="AI4" s="107" t="n">
        <f aca="false">INT((33-1)/12)+1</f>
        <v>3</v>
      </c>
      <c r="AJ4" s="107" t="n">
        <f aca="false">INT((34-1)/12)+1</f>
        <v>3</v>
      </c>
      <c r="AK4" s="107" t="n">
        <f aca="false">INT((35-1)/12)+1</f>
        <v>3</v>
      </c>
      <c r="AL4" s="107" t="n">
        <f aca="false">INT((36-1)/12)+1</f>
        <v>3</v>
      </c>
      <c r="AM4" s="107" t="n">
        <f aca="false">INT((37-1)/12)+1</f>
        <v>4</v>
      </c>
      <c r="AN4" s="107" t="n">
        <f aca="false">INT((38-1)/12)+1</f>
        <v>4</v>
      </c>
      <c r="AO4" s="107" t="n">
        <f aca="false">INT((39-1)/12)+1</f>
        <v>4</v>
      </c>
      <c r="AP4" s="107" t="n">
        <f aca="false">INT((40-1)/12)+1</f>
        <v>4</v>
      </c>
      <c r="AQ4" s="107" t="n">
        <f aca="false">INT((41-1)/12)+1</f>
        <v>4</v>
      </c>
      <c r="AR4" s="107" t="n">
        <f aca="false">INT((42-1)/12)+1</f>
        <v>4</v>
      </c>
      <c r="AS4" s="107" t="n">
        <f aca="false">INT((43-1)/12)+1</f>
        <v>4</v>
      </c>
      <c r="AT4" s="107" t="n">
        <f aca="false">INT((44-1)/12)+1</f>
        <v>4</v>
      </c>
      <c r="AU4" s="107" t="n">
        <f aca="false">INT((45-1)/12)+1</f>
        <v>4</v>
      </c>
      <c r="AV4" s="107" t="n">
        <f aca="false">INT((46-1)/12)+1</f>
        <v>4</v>
      </c>
      <c r="AW4" s="107" t="n">
        <f aca="false">INT((47-1)/12)+1</f>
        <v>4</v>
      </c>
      <c r="AX4" s="107" t="n">
        <f aca="false">INT((48-1)/12)+1</f>
        <v>4</v>
      </c>
      <c r="AY4" s="107" t="n">
        <f aca="false">INT((49-1)/12)+1</f>
        <v>5</v>
      </c>
      <c r="AZ4" s="107" t="n">
        <f aca="false">INT((50-1)/12)+1</f>
        <v>5</v>
      </c>
      <c r="BA4" s="107" t="n">
        <f aca="false">INT((51-1)/12)+1</f>
        <v>5</v>
      </c>
      <c r="BB4" s="107" t="n">
        <f aca="false">INT((52-1)/12)+1</f>
        <v>5</v>
      </c>
      <c r="BC4" s="107" t="n">
        <f aca="false">INT((53-1)/12)+1</f>
        <v>5</v>
      </c>
      <c r="BD4" s="107" t="n">
        <f aca="false">INT((54-1)/12)+1</f>
        <v>5</v>
      </c>
      <c r="BE4" s="107" t="n">
        <f aca="false">INT((55-1)/12)+1</f>
        <v>5</v>
      </c>
      <c r="BF4" s="107" t="n">
        <f aca="false">INT((56-1)/12)+1</f>
        <v>5</v>
      </c>
      <c r="BG4" s="107" t="n">
        <f aca="false">INT((57-1)/12)+1</f>
        <v>5</v>
      </c>
      <c r="BH4" s="107" t="n">
        <f aca="false">INT((58-1)/12)+1</f>
        <v>5</v>
      </c>
      <c r="BI4" s="107" t="n">
        <f aca="false">INT((59-1)/12)+1</f>
        <v>5</v>
      </c>
      <c r="BJ4" s="107" t="n">
        <f aca="false">INT((60-1)/12)+1</f>
        <v>5</v>
      </c>
      <c r="BK4" s="107" t="n">
        <f aca="false">INT((61-1)/12)+1</f>
        <v>6</v>
      </c>
      <c r="BL4" s="107" t="n">
        <f aca="false">INT((62-1)/12)+1</f>
        <v>6</v>
      </c>
      <c r="BM4" s="107" t="n">
        <f aca="false">INT((63-1)/12)+1</f>
        <v>6</v>
      </c>
      <c r="BN4" s="107" t="n">
        <f aca="false">INT((64-1)/12)+1</f>
        <v>6</v>
      </c>
      <c r="BO4" s="107" t="n">
        <f aca="false">INT((65-1)/12)+1</f>
        <v>6</v>
      </c>
      <c r="BP4" s="107" t="n">
        <f aca="false">INT((66-1)/12)+1</f>
        <v>6</v>
      </c>
      <c r="BQ4" s="107" t="n">
        <f aca="false">INT((67-1)/12)+1</f>
        <v>6</v>
      </c>
      <c r="BR4" s="107" t="n">
        <f aca="false">INT((68-1)/12)+1</f>
        <v>6</v>
      </c>
      <c r="BS4" s="107" t="n">
        <f aca="false">INT((69-1)/12)+1</f>
        <v>6</v>
      </c>
      <c r="BT4" s="107" t="n">
        <f aca="false">INT((70-1)/12)+1</f>
        <v>6</v>
      </c>
      <c r="BU4" s="107" t="n">
        <f aca="false">INT((71-1)/12)+1</f>
        <v>6</v>
      </c>
      <c r="BV4" s="107" t="n">
        <f aca="false">INT((72-1)/12)+1</f>
        <v>6</v>
      </c>
      <c r="BW4" s="107" t="n">
        <f aca="false">INT((73-1)/12)+1</f>
        <v>7</v>
      </c>
      <c r="BX4" s="107" t="n">
        <f aca="false">INT((74-1)/12)+1</f>
        <v>7</v>
      </c>
      <c r="BY4" s="107" t="n">
        <f aca="false">INT((75-1)/12)+1</f>
        <v>7</v>
      </c>
      <c r="BZ4" s="107" t="n">
        <f aca="false">INT((76-1)/12)+1</f>
        <v>7</v>
      </c>
      <c r="CA4" s="107" t="n">
        <f aca="false">INT((77-1)/12)+1</f>
        <v>7</v>
      </c>
      <c r="CB4" s="107" t="n">
        <f aca="false">INT((78-1)/12)+1</f>
        <v>7</v>
      </c>
      <c r="CC4" s="107" t="n">
        <f aca="false">INT((79-1)/12)+1</f>
        <v>7</v>
      </c>
      <c r="CD4" s="107" t="n">
        <f aca="false">INT((80-1)/12)+1</f>
        <v>7</v>
      </c>
      <c r="CE4" s="107" t="n">
        <f aca="false">INT((81-1)/12)+1</f>
        <v>7</v>
      </c>
      <c r="CF4" s="107" t="n">
        <f aca="false">INT((82-1)/12)+1</f>
        <v>7</v>
      </c>
      <c r="CG4" s="107" t="n">
        <f aca="false">INT((83-1)/12)+1</f>
        <v>7</v>
      </c>
      <c r="CH4" s="107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9" t="s">
        <v>486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</row>
    <row r="7" customFormat="false" ht="13.5" hidden="false" customHeight="true" outlineLevel="0" collapsed="false">
      <c r="A7" s="6" t="s">
        <v>487</v>
      </c>
      <c r="C7" s="108" t="n">
        <f aca="false">MIN(Hipótesis!$E$26,Hipótesis!$E$27+Hipótesis!$E$28*(1-1))</f>
        <v>1</v>
      </c>
      <c r="D7" s="108" t="n">
        <f aca="false">MIN(Hipótesis!$E$26,Hipótesis!$E$27+Hipótesis!$E$28*(2-1))</f>
        <v>1.5</v>
      </c>
      <c r="E7" s="108" t="n">
        <f aca="false">MIN(Hipótesis!$E$26,Hipótesis!$E$27+Hipótesis!$E$28*(3-1))</f>
        <v>2</v>
      </c>
      <c r="F7" s="108" t="n">
        <f aca="false">MIN(Hipótesis!$E$26,Hipótesis!$E$27+Hipótesis!$E$28*(4-1))</f>
        <v>2.5</v>
      </c>
      <c r="G7" s="108" t="n">
        <f aca="false">MIN(Hipótesis!$E$26,Hipótesis!$E$27+Hipótesis!$E$28*(5-1))</f>
        <v>3</v>
      </c>
      <c r="H7" s="108" t="n">
        <f aca="false">MIN(Hipótesis!$E$26,Hipótesis!$E$27+Hipótesis!$E$28*(6-1))</f>
        <v>3</v>
      </c>
      <c r="I7" s="108" t="n">
        <f aca="false">MIN(Hipótesis!$E$26,Hipótesis!$E$27+Hipótesis!$E$28*(7-1))</f>
        <v>3</v>
      </c>
      <c r="J7" s="108" t="n">
        <f aca="false">MIN(Hipótesis!$E$26,Hipótesis!$E$27+Hipótesis!$E$28*(8-1))</f>
        <v>3</v>
      </c>
      <c r="K7" s="108" t="n">
        <f aca="false">MIN(Hipótesis!$E$26,Hipótesis!$E$27+Hipótesis!$E$28*(9-1))</f>
        <v>3</v>
      </c>
      <c r="L7" s="108" t="n">
        <f aca="false">MIN(Hipótesis!$E$26,Hipótesis!$E$27+Hipótesis!$E$28*(10-1))</f>
        <v>3</v>
      </c>
      <c r="M7" s="108" t="n">
        <f aca="false">MIN(Hipótesis!$E$26,Hipótesis!$E$27+Hipótesis!$E$28*(11-1))</f>
        <v>3</v>
      </c>
      <c r="N7" s="108" t="n">
        <f aca="false">MIN(Hipótesis!$E$26,Hipótesis!$E$27+Hipótesis!$E$28*(12-1))</f>
        <v>3</v>
      </c>
      <c r="O7" s="108" t="n">
        <f aca="false">MIN(Hipótesis!$E$26,Hipótesis!$E$27+Hipótesis!$E$28*(13-1))</f>
        <v>3</v>
      </c>
      <c r="P7" s="108" t="n">
        <f aca="false">MIN(Hipótesis!$E$26,Hipótesis!$E$27+Hipótesis!$E$28*(14-1))</f>
        <v>3</v>
      </c>
      <c r="Q7" s="108" t="n">
        <f aca="false">MIN(Hipótesis!$E$26,Hipótesis!$E$27+Hipótesis!$E$28*(15-1))</f>
        <v>3</v>
      </c>
      <c r="R7" s="108" t="n">
        <f aca="false">MIN(Hipótesis!$E$26,Hipótesis!$E$27+Hipótesis!$E$28*(16-1))</f>
        <v>3</v>
      </c>
      <c r="S7" s="108" t="n">
        <f aca="false">MIN(Hipótesis!$E$26,Hipótesis!$E$27+Hipótesis!$E$28*(17-1))</f>
        <v>3</v>
      </c>
      <c r="T7" s="108" t="n">
        <f aca="false">MIN(Hipótesis!$E$26,Hipótesis!$E$27+Hipótesis!$E$28*(18-1))</f>
        <v>3</v>
      </c>
      <c r="U7" s="108" t="n">
        <f aca="false">MIN(Hipótesis!$E$26,Hipótesis!$E$27+Hipótesis!$E$28*(19-1))</f>
        <v>3</v>
      </c>
      <c r="V7" s="108" t="n">
        <f aca="false">MIN(Hipótesis!$E$26,Hipótesis!$E$27+Hipótesis!$E$28*(20-1))</f>
        <v>3</v>
      </c>
      <c r="W7" s="108" t="n">
        <f aca="false">MIN(Hipótesis!$E$26,Hipótesis!$E$27+Hipótesis!$E$28*(21-1))</f>
        <v>3</v>
      </c>
      <c r="X7" s="108" t="n">
        <f aca="false">MIN(Hipótesis!$E$26,Hipótesis!$E$27+Hipótesis!$E$28*(22-1))</f>
        <v>3</v>
      </c>
      <c r="Y7" s="108" t="n">
        <f aca="false">MIN(Hipótesis!$E$26,Hipótesis!$E$27+Hipótesis!$E$28*(23-1))</f>
        <v>3</v>
      </c>
      <c r="Z7" s="108" t="n">
        <f aca="false">MIN(Hipótesis!$E$26,Hipótesis!$E$27+Hipótesis!$E$28*(24-1))</f>
        <v>3</v>
      </c>
      <c r="AA7" s="108" t="n">
        <f aca="false">MIN(Hipótesis!$E$26,Hipótesis!$E$27+Hipótesis!$E$28*(25-1))</f>
        <v>3</v>
      </c>
      <c r="AB7" s="108" t="n">
        <f aca="false">MIN(Hipótesis!$E$26,Hipótesis!$E$27+Hipótesis!$E$28*(26-1))</f>
        <v>3</v>
      </c>
      <c r="AC7" s="108" t="n">
        <f aca="false">MIN(Hipótesis!$E$26,Hipótesis!$E$27+Hipótesis!$E$28*(27-1))</f>
        <v>3</v>
      </c>
      <c r="AD7" s="108" t="n">
        <f aca="false">MIN(Hipótesis!$E$26,Hipótesis!$E$27+Hipótesis!$E$28*(28-1))</f>
        <v>3</v>
      </c>
      <c r="AE7" s="108" t="n">
        <f aca="false">MIN(Hipótesis!$E$26,Hipótesis!$E$27+Hipótesis!$E$28*(29-1))</f>
        <v>3</v>
      </c>
      <c r="AF7" s="108" t="n">
        <f aca="false">MIN(Hipótesis!$E$26,Hipótesis!$E$27+Hipótesis!$E$28*(30-1))</f>
        <v>3</v>
      </c>
      <c r="AG7" s="108" t="n">
        <f aca="false">MIN(Hipótesis!$E$26,Hipótesis!$E$27+Hipótesis!$E$28*(31-1))</f>
        <v>3</v>
      </c>
      <c r="AH7" s="108" t="n">
        <f aca="false">MIN(Hipótesis!$E$26,Hipótesis!$E$27+Hipótesis!$E$28*(32-1))</f>
        <v>3</v>
      </c>
      <c r="AI7" s="108" t="n">
        <f aca="false">MIN(Hipótesis!$E$26,Hipótesis!$E$27+Hipótesis!$E$28*(33-1))</f>
        <v>3</v>
      </c>
      <c r="AJ7" s="108" t="n">
        <f aca="false">MIN(Hipótesis!$E$26,Hipótesis!$E$27+Hipótesis!$E$28*(34-1))</f>
        <v>3</v>
      </c>
      <c r="AK7" s="108" t="n">
        <f aca="false">MIN(Hipótesis!$E$26,Hipótesis!$E$27+Hipótesis!$E$28*(35-1))</f>
        <v>3</v>
      </c>
      <c r="AL7" s="108" t="n">
        <f aca="false">MIN(Hipótesis!$E$26,Hipótesis!$E$27+Hipótesis!$E$28*(36-1))</f>
        <v>3</v>
      </c>
      <c r="AM7" s="108" t="n">
        <f aca="false">MIN(Hipótesis!$E$26,Hipótesis!$E$27+Hipótesis!$E$28*(37-1))</f>
        <v>3</v>
      </c>
      <c r="AN7" s="108" t="n">
        <f aca="false">MIN(Hipótesis!$E$26,Hipótesis!$E$27+Hipótesis!$E$28*(38-1))</f>
        <v>3</v>
      </c>
      <c r="AO7" s="108" t="n">
        <f aca="false">MIN(Hipótesis!$E$26,Hipótesis!$E$27+Hipótesis!$E$28*(39-1))</f>
        <v>3</v>
      </c>
      <c r="AP7" s="108" t="n">
        <f aca="false">MIN(Hipótesis!$E$26,Hipótesis!$E$27+Hipótesis!$E$28*(40-1))</f>
        <v>3</v>
      </c>
      <c r="AQ7" s="108" t="n">
        <f aca="false">MIN(Hipótesis!$E$26,Hipótesis!$E$27+Hipótesis!$E$28*(41-1))</f>
        <v>3</v>
      </c>
      <c r="AR7" s="108" t="n">
        <f aca="false">MIN(Hipótesis!$E$26,Hipótesis!$E$27+Hipótesis!$E$28*(42-1))</f>
        <v>3</v>
      </c>
      <c r="AS7" s="108" t="n">
        <f aca="false">MIN(Hipótesis!$E$26,Hipótesis!$E$27+Hipótesis!$E$28*(43-1))</f>
        <v>3</v>
      </c>
      <c r="AT7" s="108" t="n">
        <f aca="false">MIN(Hipótesis!$E$26,Hipótesis!$E$27+Hipótesis!$E$28*(44-1))</f>
        <v>3</v>
      </c>
      <c r="AU7" s="108" t="n">
        <f aca="false">MIN(Hipótesis!$E$26,Hipótesis!$E$27+Hipótesis!$E$28*(45-1))</f>
        <v>3</v>
      </c>
      <c r="AV7" s="108" t="n">
        <f aca="false">MIN(Hipótesis!$E$26,Hipótesis!$E$27+Hipótesis!$E$28*(46-1))</f>
        <v>3</v>
      </c>
      <c r="AW7" s="108" t="n">
        <f aca="false">MIN(Hipótesis!$E$26,Hipótesis!$E$27+Hipótesis!$E$28*(47-1))</f>
        <v>3</v>
      </c>
      <c r="AX7" s="108" t="n">
        <f aca="false">MIN(Hipótesis!$E$26,Hipótesis!$E$27+Hipótesis!$E$28*(48-1))</f>
        <v>3</v>
      </c>
      <c r="AY7" s="108" t="n">
        <f aca="false">MIN(Hipótesis!$E$26,Hipótesis!$E$27+Hipótesis!$E$28*(49-1))</f>
        <v>3</v>
      </c>
      <c r="AZ7" s="108" t="n">
        <f aca="false">MIN(Hipótesis!$E$26,Hipótesis!$E$27+Hipótesis!$E$28*(50-1))</f>
        <v>3</v>
      </c>
      <c r="BA7" s="108" t="n">
        <f aca="false">MIN(Hipótesis!$E$26,Hipótesis!$E$27+Hipótesis!$E$28*(51-1))</f>
        <v>3</v>
      </c>
      <c r="BB7" s="108" t="n">
        <f aca="false">MIN(Hipótesis!$E$26,Hipótesis!$E$27+Hipótesis!$E$28*(52-1))</f>
        <v>3</v>
      </c>
      <c r="BC7" s="108" t="n">
        <f aca="false">MIN(Hipótesis!$E$26,Hipótesis!$E$27+Hipótesis!$E$28*(53-1))</f>
        <v>3</v>
      </c>
      <c r="BD7" s="108" t="n">
        <f aca="false">MIN(Hipótesis!$E$26,Hipótesis!$E$27+Hipótesis!$E$28*(54-1))</f>
        <v>3</v>
      </c>
      <c r="BE7" s="108" t="n">
        <f aca="false">MIN(Hipótesis!$E$26,Hipótesis!$E$27+Hipótesis!$E$28*(55-1))</f>
        <v>3</v>
      </c>
      <c r="BF7" s="108" t="n">
        <f aca="false">MIN(Hipótesis!$E$26,Hipótesis!$E$27+Hipótesis!$E$28*(56-1))</f>
        <v>3</v>
      </c>
      <c r="BG7" s="108" t="n">
        <f aca="false">MIN(Hipótesis!$E$26,Hipótesis!$E$27+Hipótesis!$E$28*(57-1))</f>
        <v>3</v>
      </c>
      <c r="BH7" s="108" t="n">
        <f aca="false">MIN(Hipótesis!$E$26,Hipótesis!$E$27+Hipótesis!$E$28*(58-1))</f>
        <v>3</v>
      </c>
      <c r="BI7" s="108" t="n">
        <f aca="false">MIN(Hipótesis!$E$26,Hipótesis!$E$27+Hipótesis!$E$28*(59-1))</f>
        <v>3</v>
      </c>
      <c r="BJ7" s="108" t="n">
        <f aca="false">MIN(Hipótesis!$E$26,Hipótesis!$E$27+Hipótesis!$E$28*(60-1))</f>
        <v>3</v>
      </c>
      <c r="BK7" s="108" t="n">
        <f aca="false">MIN(Hipótesis!$E$26,Hipótesis!$E$27+Hipótesis!$E$28*(61-1))</f>
        <v>3</v>
      </c>
      <c r="BL7" s="108" t="n">
        <f aca="false">MIN(Hipótesis!$E$26,Hipótesis!$E$27+Hipótesis!$E$28*(62-1))</f>
        <v>3</v>
      </c>
      <c r="BM7" s="108" t="n">
        <f aca="false">MIN(Hipótesis!$E$26,Hipótesis!$E$27+Hipótesis!$E$28*(63-1))</f>
        <v>3</v>
      </c>
      <c r="BN7" s="108" t="n">
        <f aca="false">MIN(Hipótesis!$E$26,Hipótesis!$E$27+Hipótesis!$E$28*(64-1))</f>
        <v>3</v>
      </c>
      <c r="BO7" s="108" t="n">
        <f aca="false">MIN(Hipótesis!$E$26,Hipótesis!$E$27+Hipótesis!$E$28*(65-1))</f>
        <v>3</v>
      </c>
      <c r="BP7" s="108" t="n">
        <f aca="false">MIN(Hipótesis!$E$26,Hipótesis!$E$27+Hipótesis!$E$28*(66-1))</f>
        <v>3</v>
      </c>
      <c r="BQ7" s="108" t="n">
        <f aca="false">MIN(Hipótesis!$E$26,Hipótesis!$E$27+Hipótesis!$E$28*(67-1))</f>
        <v>3</v>
      </c>
      <c r="BR7" s="108" t="n">
        <f aca="false">MIN(Hipótesis!$E$26,Hipótesis!$E$27+Hipótesis!$E$28*(68-1))</f>
        <v>3</v>
      </c>
      <c r="BS7" s="108" t="n">
        <f aca="false">MIN(Hipótesis!$E$26,Hipótesis!$E$27+Hipótesis!$E$28*(69-1))</f>
        <v>3</v>
      </c>
      <c r="BT7" s="108" t="n">
        <f aca="false">MIN(Hipótesis!$E$26,Hipótesis!$E$27+Hipótesis!$E$28*(70-1))</f>
        <v>3</v>
      </c>
      <c r="BU7" s="108" t="n">
        <f aca="false">MIN(Hipótesis!$E$26,Hipótesis!$E$27+Hipótesis!$E$28*(71-1))</f>
        <v>3</v>
      </c>
      <c r="BV7" s="108" t="n">
        <f aca="false">MIN(Hipótesis!$E$26,Hipótesis!$E$27+Hipótesis!$E$28*(72-1))</f>
        <v>3</v>
      </c>
      <c r="BW7" s="108" t="n">
        <f aca="false">MIN(Hipótesis!$E$26,Hipótesis!$E$27+Hipótesis!$E$28*(73-1))</f>
        <v>3</v>
      </c>
      <c r="BX7" s="108" t="n">
        <f aca="false">MIN(Hipótesis!$E$26,Hipótesis!$E$27+Hipótesis!$E$28*(74-1))</f>
        <v>3</v>
      </c>
      <c r="BY7" s="108" t="n">
        <f aca="false">MIN(Hipótesis!$E$26,Hipótesis!$E$27+Hipótesis!$E$28*(75-1))</f>
        <v>3</v>
      </c>
      <c r="BZ7" s="108" t="n">
        <f aca="false">MIN(Hipótesis!$E$26,Hipótesis!$E$27+Hipótesis!$E$28*(76-1))</f>
        <v>3</v>
      </c>
      <c r="CA7" s="108" t="n">
        <f aca="false">MIN(Hipótesis!$E$26,Hipótesis!$E$27+Hipótesis!$E$28*(77-1))</f>
        <v>3</v>
      </c>
      <c r="CB7" s="108" t="n">
        <f aca="false">MIN(Hipótesis!$E$26,Hipótesis!$E$27+Hipótesis!$E$28*(78-1))</f>
        <v>3</v>
      </c>
      <c r="CC7" s="108" t="n">
        <f aca="false">MIN(Hipótesis!$E$26,Hipótesis!$E$27+Hipótesis!$E$28*(79-1))</f>
        <v>3</v>
      </c>
      <c r="CD7" s="108" t="n">
        <f aca="false">MIN(Hipótesis!$E$26,Hipótesis!$E$27+Hipótesis!$E$28*(80-1))</f>
        <v>3</v>
      </c>
      <c r="CE7" s="108" t="n">
        <f aca="false">MIN(Hipótesis!$E$26,Hipótesis!$E$27+Hipótesis!$E$28*(81-1))</f>
        <v>3</v>
      </c>
      <c r="CF7" s="108" t="n">
        <f aca="false">MIN(Hipótesis!$E$26,Hipótesis!$E$27+Hipótesis!$E$28*(82-1))</f>
        <v>3</v>
      </c>
      <c r="CG7" s="108" t="n">
        <f aca="false">MIN(Hipótesis!$E$26,Hipótesis!$E$27+Hipótesis!$E$28*(83-1))</f>
        <v>3</v>
      </c>
      <c r="CH7" s="108" t="n">
        <f aca="false">MIN(Hipótesis!$E$26,Hipótesis!$E$27+Hipótesis!$E$28*(84-1))</f>
        <v>3</v>
      </c>
    </row>
    <row r="8" customFormat="false" ht="13.5" hidden="false" customHeight="true" outlineLevel="0" collapsed="false">
      <c r="A8" s="6" t="s">
        <v>488</v>
      </c>
      <c r="C8" s="101" t="n">
        <f aca="false">C7*Hipótesis!$D$13</f>
        <v>960</v>
      </c>
      <c r="D8" s="101" t="n">
        <f aca="false">D7*Hipótesis!$D$13</f>
        <v>1440</v>
      </c>
      <c r="E8" s="101" t="n">
        <f aca="false">E7*Hipótesis!$D$13</f>
        <v>1920</v>
      </c>
      <c r="F8" s="101" t="n">
        <f aca="false">F7*Hipótesis!$D$13</f>
        <v>2400</v>
      </c>
      <c r="G8" s="101" t="n">
        <f aca="false">G7*Hipótesis!$D$13</f>
        <v>2880</v>
      </c>
      <c r="H8" s="101" t="n">
        <f aca="false">H7*Hipótesis!$D$13</f>
        <v>2880</v>
      </c>
      <c r="I8" s="101" t="n">
        <f aca="false">I7*Hipótesis!$D$13</f>
        <v>2880</v>
      </c>
      <c r="J8" s="101" t="n">
        <f aca="false">J7*Hipótesis!$D$13</f>
        <v>2880</v>
      </c>
      <c r="K8" s="101" t="n">
        <f aca="false">K7*Hipótesis!$D$13</f>
        <v>2880</v>
      </c>
      <c r="L8" s="101" t="n">
        <f aca="false">L7*Hipótesis!$D$13</f>
        <v>2880</v>
      </c>
      <c r="M8" s="101" t="n">
        <f aca="false">M7*Hipótesis!$D$13</f>
        <v>2880</v>
      </c>
      <c r="N8" s="101" t="n">
        <f aca="false">N7*Hipótesis!$D$13</f>
        <v>2880</v>
      </c>
      <c r="O8" s="101" t="n">
        <f aca="false">O7*Hipótesis!$D$13</f>
        <v>2880</v>
      </c>
      <c r="P8" s="101" t="n">
        <f aca="false">P7*Hipótesis!$D$13</f>
        <v>2880</v>
      </c>
      <c r="Q8" s="101" t="n">
        <f aca="false">Q7*Hipótesis!$D$13</f>
        <v>2880</v>
      </c>
      <c r="R8" s="101" t="n">
        <f aca="false">R7*Hipótesis!$D$13</f>
        <v>2880</v>
      </c>
      <c r="S8" s="101" t="n">
        <f aca="false">S7*Hipótesis!$D$13</f>
        <v>2880</v>
      </c>
      <c r="T8" s="101" t="n">
        <f aca="false">T7*Hipótesis!$D$13</f>
        <v>2880</v>
      </c>
      <c r="U8" s="101" t="n">
        <f aca="false">U7*Hipótesis!$D$13</f>
        <v>2880</v>
      </c>
      <c r="V8" s="101" t="n">
        <f aca="false">V7*Hipótesis!$D$13</f>
        <v>2880</v>
      </c>
      <c r="W8" s="101" t="n">
        <f aca="false">W7*Hipótesis!$D$13</f>
        <v>2880</v>
      </c>
      <c r="X8" s="101" t="n">
        <f aca="false">X7*Hipótesis!$D$13</f>
        <v>2880</v>
      </c>
      <c r="Y8" s="101" t="n">
        <f aca="false">Y7*Hipótesis!$D$13</f>
        <v>2880</v>
      </c>
      <c r="Z8" s="101" t="n">
        <f aca="false">Z7*Hipótesis!$D$13</f>
        <v>2880</v>
      </c>
      <c r="AA8" s="101" t="n">
        <f aca="false">AA7*Hipótesis!$D$13</f>
        <v>2880</v>
      </c>
      <c r="AB8" s="101" t="n">
        <f aca="false">AB7*Hipótesis!$D$13</f>
        <v>2880</v>
      </c>
      <c r="AC8" s="101" t="n">
        <f aca="false">AC7*Hipótesis!$D$13</f>
        <v>2880</v>
      </c>
      <c r="AD8" s="101" t="n">
        <f aca="false">AD7*Hipótesis!$D$13</f>
        <v>2880</v>
      </c>
      <c r="AE8" s="101" t="n">
        <f aca="false">AE7*Hipótesis!$D$13</f>
        <v>2880</v>
      </c>
      <c r="AF8" s="101" t="n">
        <f aca="false">AF7*Hipótesis!$D$13</f>
        <v>2880</v>
      </c>
      <c r="AG8" s="101" t="n">
        <f aca="false">AG7*Hipótesis!$D$13</f>
        <v>2880</v>
      </c>
      <c r="AH8" s="101" t="n">
        <f aca="false">AH7*Hipótesis!$D$13</f>
        <v>2880</v>
      </c>
      <c r="AI8" s="101" t="n">
        <f aca="false">AI7*Hipótesis!$D$13</f>
        <v>2880</v>
      </c>
      <c r="AJ8" s="101" t="n">
        <f aca="false">AJ7*Hipótesis!$D$13</f>
        <v>2880</v>
      </c>
      <c r="AK8" s="101" t="n">
        <f aca="false">AK7*Hipótesis!$D$13</f>
        <v>2880</v>
      </c>
      <c r="AL8" s="101" t="n">
        <f aca="false">AL7*Hipótesis!$D$13</f>
        <v>2880</v>
      </c>
      <c r="AM8" s="101" t="n">
        <f aca="false">AM7*Hipótesis!$D$13</f>
        <v>2880</v>
      </c>
      <c r="AN8" s="101" t="n">
        <f aca="false">AN7*Hipótesis!$D$13</f>
        <v>2880</v>
      </c>
      <c r="AO8" s="101" t="n">
        <f aca="false">AO7*Hipótesis!$D$13</f>
        <v>2880</v>
      </c>
      <c r="AP8" s="101" t="n">
        <f aca="false">AP7*Hipótesis!$D$13</f>
        <v>2880</v>
      </c>
      <c r="AQ8" s="101" t="n">
        <f aca="false">AQ7*Hipótesis!$D$13</f>
        <v>2880</v>
      </c>
      <c r="AR8" s="101" t="n">
        <f aca="false">AR7*Hipótesis!$D$13</f>
        <v>2880</v>
      </c>
      <c r="AS8" s="101" t="n">
        <f aca="false">AS7*Hipótesis!$D$13</f>
        <v>2880</v>
      </c>
      <c r="AT8" s="101" t="n">
        <f aca="false">AT7*Hipótesis!$D$13</f>
        <v>2880</v>
      </c>
      <c r="AU8" s="101" t="n">
        <f aca="false">AU7*Hipótesis!$D$13</f>
        <v>2880</v>
      </c>
      <c r="AV8" s="101" t="n">
        <f aca="false">AV7*Hipótesis!$D$13</f>
        <v>2880</v>
      </c>
      <c r="AW8" s="101" t="n">
        <f aca="false">AW7*Hipótesis!$D$13</f>
        <v>2880</v>
      </c>
      <c r="AX8" s="101" t="n">
        <f aca="false">AX7*Hipótesis!$D$13</f>
        <v>2880</v>
      </c>
      <c r="AY8" s="101" t="n">
        <f aca="false">AY7*Hipótesis!$D$13</f>
        <v>2880</v>
      </c>
      <c r="AZ8" s="101" t="n">
        <f aca="false">AZ7*Hipótesis!$D$13</f>
        <v>2880</v>
      </c>
      <c r="BA8" s="101" t="n">
        <f aca="false">BA7*Hipótesis!$D$13</f>
        <v>2880</v>
      </c>
      <c r="BB8" s="101" t="n">
        <f aca="false">BB7*Hipótesis!$D$13</f>
        <v>2880</v>
      </c>
      <c r="BC8" s="101" t="n">
        <f aca="false">BC7*Hipótesis!$D$13</f>
        <v>2880</v>
      </c>
      <c r="BD8" s="101" t="n">
        <f aca="false">BD7*Hipótesis!$D$13</f>
        <v>2880</v>
      </c>
      <c r="BE8" s="101" t="n">
        <f aca="false">BE7*Hipótesis!$D$13</f>
        <v>2880</v>
      </c>
      <c r="BF8" s="101" t="n">
        <f aca="false">BF7*Hipótesis!$D$13</f>
        <v>2880</v>
      </c>
      <c r="BG8" s="101" t="n">
        <f aca="false">BG7*Hipótesis!$D$13</f>
        <v>2880</v>
      </c>
      <c r="BH8" s="101" t="n">
        <f aca="false">BH7*Hipótesis!$D$13</f>
        <v>2880</v>
      </c>
      <c r="BI8" s="101" t="n">
        <f aca="false">BI7*Hipótesis!$D$13</f>
        <v>2880</v>
      </c>
      <c r="BJ8" s="101" t="n">
        <f aca="false">BJ7*Hipótesis!$D$13</f>
        <v>2880</v>
      </c>
      <c r="BK8" s="101" t="n">
        <f aca="false">BK7*Hipótesis!$D$13</f>
        <v>2880</v>
      </c>
      <c r="BL8" s="101" t="n">
        <f aca="false">BL7*Hipótesis!$D$13</f>
        <v>2880</v>
      </c>
      <c r="BM8" s="101" t="n">
        <f aca="false">BM7*Hipótesis!$D$13</f>
        <v>2880</v>
      </c>
      <c r="BN8" s="101" t="n">
        <f aca="false">BN7*Hipótesis!$D$13</f>
        <v>2880</v>
      </c>
      <c r="BO8" s="101" t="n">
        <f aca="false">BO7*Hipótesis!$D$13</f>
        <v>2880</v>
      </c>
      <c r="BP8" s="101" t="n">
        <f aca="false">BP7*Hipótesis!$D$13</f>
        <v>2880</v>
      </c>
      <c r="BQ8" s="101" t="n">
        <f aca="false">BQ7*Hipótesis!$D$13</f>
        <v>2880</v>
      </c>
      <c r="BR8" s="101" t="n">
        <f aca="false">BR7*Hipótesis!$D$13</f>
        <v>2880</v>
      </c>
      <c r="BS8" s="101" t="n">
        <f aca="false">BS7*Hipótesis!$D$13</f>
        <v>2880</v>
      </c>
      <c r="BT8" s="101" t="n">
        <f aca="false">BT7*Hipótesis!$D$13</f>
        <v>2880</v>
      </c>
      <c r="BU8" s="101" t="n">
        <f aca="false">BU7*Hipótesis!$D$13</f>
        <v>2880</v>
      </c>
      <c r="BV8" s="101" t="n">
        <f aca="false">BV7*Hipótesis!$D$13</f>
        <v>2880</v>
      </c>
      <c r="BW8" s="101" t="n">
        <f aca="false">BW7*Hipótesis!$D$13</f>
        <v>2880</v>
      </c>
      <c r="BX8" s="101" t="n">
        <f aca="false">BX7*Hipótesis!$D$13</f>
        <v>2880</v>
      </c>
      <c r="BY8" s="101" t="n">
        <f aca="false">BY7*Hipótesis!$D$13</f>
        <v>2880</v>
      </c>
      <c r="BZ8" s="101" t="n">
        <f aca="false">BZ7*Hipótesis!$D$13</f>
        <v>2880</v>
      </c>
      <c r="CA8" s="101" t="n">
        <f aca="false">CA7*Hipótesis!$D$13</f>
        <v>2880</v>
      </c>
      <c r="CB8" s="101" t="n">
        <f aca="false">CB7*Hipótesis!$D$13</f>
        <v>2880</v>
      </c>
      <c r="CC8" s="101" t="n">
        <f aca="false">CC7*Hipótesis!$D$13</f>
        <v>2880</v>
      </c>
      <c r="CD8" s="101" t="n">
        <f aca="false">CD7*Hipótesis!$D$13</f>
        <v>2880</v>
      </c>
      <c r="CE8" s="101" t="n">
        <f aca="false">CE7*Hipótesis!$D$13</f>
        <v>2880</v>
      </c>
      <c r="CF8" s="101" t="n">
        <f aca="false">CF7*Hipótesis!$D$13</f>
        <v>2880</v>
      </c>
      <c r="CG8" s="101" t="n">
        <f aca="false">CG7*Hipótesis!$D$13</f>
        <v>2880</v>
      </c>
      <c r="CH8" s="101" t="n">
        <f aca="false">CH7*Hipótesis!$D$13</f>
        <v>2880</v>
      </c>
    </row>
    <row r="9" customFormat="false" ht="13.5" hidden="false" customHeight="true" outlineLevel="0" collapsed="false">
      <c r="A9" s="6" t="s">
        <v>489</v>
      </c>
      <c r="C9" s="100" t="n">
        <f aca="false">Pipeline!$Q$16*Pipeline!$D$16*MIN(1,MAX(0,(1-Pipeline!$E$16+1)/MAX(Pipeline!$F$16,1)))</f>
        <v>1005.575</v>
      </c>
      <c r="D9" s="100" t="n">
        <f aca="false">Pipeline!$Q$16*Pipeline!$D$16*MIN(1,MAX(0,(2-Pipeline!$E$16+1)/MAX(Pipeline!$F$16,1)))</f>
        <v>2011.15</v>
      </c>
      <c r="E9" s="100" t="n">
        <f aca="false">Pipeline!$Q$16*Pipeline!$D$16*MIN(1,MAX(0,(3-Pipeline!$E$16+1)/MAX(Pipeline!$F$16,1)))</f>
        <v>3016.725</v>
      </c>
      <c r="F9" s="100" t="n">
        <f aca="false">Pipeline!$Q$16*Pipeline!$D$16*MIN(1,MAX(0,(4-Pipeline!$E$16+1)/MAX(Pipeline!$F$16,1)))</f>
        <v>3016.725</v>
      </c>
      <c r="G9" s="100" t="n">
        <f aca="false">Pipeline!$Q$16*Pipeline!$D$16*MIN(1,MAX(0,(5-Pipeline!$E$16+1)/MAX(Pipeline!$F$16,1)))</f>
        <v>3016.725</v>
      </c>
      <c r="H9" s="100" t="n">
        <f aca="false">Pipeline!$Q$16*Pipeline!$D$16*MIN(1,MAX(0,(6-Pipeline!$E$16+1)/MAX(Pipeline!$F$16,1)))</f>
        <v>3016.725</v>
      </c>
      <c r="I9" s="100" t="n">
        <f aca="false">Pipeline!$Q$16*Pipeline!$D$16*MIN(1,MAX(0,(7-Pipeline!$E$16+1)/MAX(Pipeline!$F$16,1)))</f>
        <v>3016.725</v>
      </c>
      <c r="J9" s="100" t="n">
        <f aca="false">Pipeline!$Q$16*Pipeline!$D$16*MIN(1,MAX(0,(8-Pipeline!$E$16+1)/MAX(Pipeline!$F$16,1)))</f>
        <v>3016.725</v>
      </c>
      <c r="K9" s="100" t="n">
        <f aca="false">Pipeline!$Q$16*Pipeline!$D$16*MIN(1,MAX(0,(9-Pipeline!$E$16+1)/MAX(Pipeline!$F$16,1)))</f>
        <v>3016.725</v>
      </c>
      <c r="L9" s="100" t="n">
        <f aca="false">Pipeline!$Q$16*Pipeline!$D$16*MIN(1,MAX(0,(10-Pipeline!$E$16+1)/MAX(Pipeline!$F$16,1)))</f>
        <v>3016.725</v>
      </c>
      <c r="M9" s="100" t="n">
        <f aca="false">Pipeline!$Q$16*Pipeline!$D$16*MIN(1,MAX(0,(11-Pipeline!$E$16+1)/MAX(Pipeline!$F$16,1)))</f>
        <v>3016.725</v>
      </c>
      <c r="N9" s="100" t="n">
        <f aca="false">Pipeline!$Q$16*Pipeline!$D$16*MIN(1,MAX(0,(12-Pipeline!$E$16+1)/MAX(Pipeline!$F$16,1)))</f>
        <v>3016.725</v>
      </c>
      <c r="O9" s="100" t="n">
        <f aca="false">Pipeline!$Q$16*Pipeline!$D$16*MIN(1,MAX(0,(13-Pipeline!$E$16+1)/MAX(Pipeline!$F$16,1)))</f>
        <v>3016.725</v>
      </c>
      <c r="P9" s="100" t="n">
        <f aca="false">Pipeline!$Q$16*Pipeline!$D$16*MIN(1,MAX(0,(14-Pipeline!$E$16+1)/MAX(Pipeline!$F$16,1)))</f>
        <v>3016.725</v>
      </c>
      <c r="Q9" s="100" t="n">
        <f aca="false">Pipeline!$Q$16*Pipeline!$D$16*MIN(1,MAX(0,(15-Pipeline!$E$16+1)/MAX(Pipeline!$F$16,1)))</f>
        <v>3016.725</v>
      </c>
      <c r="R9" s="100" t="n">
        <f aca="false">Pipeline!$Q$16*Pipeline!$D$16*MIN(1,MAX(0,(16-Pipeline!$E$16+1)/MAX(Pipeline!$F$16,1)))</f>
        <v>3016.725</v>
      </c>
      <c r="S9" s="100" t="n">
        <f aca="false">Pipeline!$Q$16*Pipeline!$D$16*MIN(1,MAX(0,(17-Pipeline!$E$16+1)/MAX(Pipeline!$F$16,1)))</f>
        <v>3016.725</v>
      </c>
      <c r="T9" s="100" t="n">
        <f aca="false">Pipeline!$Q$16*Pipeline!$D$16*MIN(1,MAX(0,(18-Pipeline!$E$16+1)/MAX(Pipeline!$F$16,1)))</f>
        <v>3016.725</v>
      </c>
      <c r="U9" s="100" t="n">
        <f aca="false">Pipeline!$Q$16*Pipeline!$D$16*MIN(1,MAX(0,(19-Pipeline!$E$16+1)/MAX(Pipeline!$F$16,1)))</f>
        <v>3016.725</v>
      </c>
      <c r="V9" s="100" t="n">
        <f aca="false">Pipeline!$Q$16*Pipeline!$D$16*MIN(1,MAX(0,(20-Pipeline!$E$16+1)/MAX(Pipeline!$F$16,1)))</f>
        <v>3016.725</v>
      </c>
      <c r="W9" s="100" t="n">
        <f aca="false">Pipeline!$Q$16*Pipeline!$D$16*MIN(1,MAX(0,(21-Pipeline!$E$16+1)/MAX(Pipeline!$F$16,1)))</f>
        <v>3016.725</v>
      </c>
      <c r="X9" s="100" t="n">
        <f aca="false">Pipeline!$Q$16*Pipeline!$D$16*MIN(1,MAX(0,(22-Pipeline!$E$16+1)/MAX(Pipeline!$F$16,1)))</f>
        <v>3016.725</v>
      </c>
      <c r="Y9" s="100" t="n">
        <f aca="false">Pipeline!$Q$16*Pipeline!$D$16*MIN(1,MAX(0,(23-Pipeline!$E$16+1)/MAX(Pipeline!$F$16,1)))</f>
        <v>3016.725</v>
      </c>
      <c r="Z9" s="100" t="n">
        <f aca="false">Pipeline!$Q$16*Pipeline!$D$16*MIN(1,MAX(0,(24-Pipeline!$E$16+1)/MAX(Pipeline!$F$16,1)))</f>
        <v>3016.725</v>
      </c>
      <c r="AA9" s="100" t="n">
        <f aca="false">Pipeline!$Q$16*Pipeline!$D$16*MIN(1,MAX(0,(25-Pipeline!$E$16+1)/MAX(Pipeline!$F$16,1)))</f>
        <v>3016.725</v>
      </c>
      <c r="AB9" s="100" t="n">
        <f aca="false">Pipeline!$Q$16*Pipeline!$D$16*MIN(1,MAX(0,(26-Pipeline!$E$16+1)/MAX(Pipeline!$F$16,1)))</f>
        <v>3016.725</v>
      </c>
      <c r="AC9" s="100" t="n">
        <f aca="false">Pipeline!$Q$16*Pipeline!$D$16*MIN(1,MAX(0,(27-Pipeline!$E$16+1)/MAX(Pipeline!$F$16,1)))</f>
        <v>3016.725</v>
      </c>
      <c r="AD9" s="100" t="n">
        <f aca="false">Pipeline!$Q$16*Pipeline!$D$16*MIN(1,MAX(0,(28-Pipeline!$E$16+1)/MAX(Pipeline!$F$16,1)))</f>
        <v>3016.725</v>
      </c>
      <c r="AE9" s="100" t="n">
        <f aca="false">Pipeline!$Q$16*Pipeline!$D$16*MIN(1,MAX(0,(29-Pipeline!$E$16+1)/MAX(Pipeline!$F$16,1)))</f>
        <v>3016.725</v>
      </c>
      <c r="AF9" s="100" t="n">
        <f aca="false">Pipeline!$Q$16*Pipeline!$D$16*MIN(1,MAX(0,(30-Pipeline!$E$16+1)/MAX(Pipeline!$F$16,1)))</f>
        <v>3016.725</v>
      </c>
      <c r="AG9" s="100" t="n">
        <f aca="false">Pipeline!$Q$16*Pipeline!$D$16*MIN(1,MAX(0,(31-Pipeline!$E$16+1)/MAX(Pipeline!$F$16,1)))</f>
        <v>3016.725</v>
      </c>
      <c r="AH9" s="100" t="n">
        <f aca="false">Pipeline!$Q$16*Pipeline!$D$16*MIN(1,MAX(0,(32-Pipeline!$E$16+1)/MAX(Pipeline!$F$16,1)))</f>
        <v>3016.725</v>
      </c>
      <c r="AI9" s="100" t="n">
        <f aca="false">Pipeline!$Q$16*Pipeline!$D$16*MIN(1,MAX(0,(33-Pipeline!$E$16+1)/MAX(Pipeline!$F$16,1)))</f>
        <v>3016.725</v>
      </c>
      <c r="AJ9" s="100" t="n">
        <f aca="false">Pipeline!$Q$16*Pipeline!$D$16*MIN(1,MAX(0,(34-Pipeline!$E$16+1)/MAX(Pipeline!$F$16,1)))</f>
        <v>3016.725</v>
      </c>
      <c r="AK9" s="100" t="n">
        <f aca="false">Pipeline!$Q$16*Pipeline!$D$16*MIN(1,MAX(0,(35-Pipeline!$E$16+1)/MAX(Pipeline!$F$16,1)))</f>
        <v>3016.725</v>
      </c>
      <c r="AL9" s="100" t="n">
        <f aca="false">Pipeline!$Q$16*Pipeline!$D$16*MIN(1,MAX(0,(36-Pipeline!$E$16+1)/MAX(Pipeline!$F$16,1)))</f>
        <v>3016.725</v>
      </c>
      <c r="AM9" s="100" t="n">
        <f aca="false">Pipeline!$Q$16*Pipeline!$D$16*MIN(1,MAX(0,(37-Pipeline!$E$16+1)/MAX(Pipeline!$F$16,1)))</f>
        <v>3016.725</v>
      </c>
      <c r="AN9" s="100" t="n">
        <f aca="false">Pipeline!$Q$16*Pipeline!$D$16*MIN(1,MAX(0,(38-Pipeline!$E$16+1)/MAX(Pipeline!$F$16,1)))</f>
        <v>3016.725</v>
      </c>
      <c r="AO9" s="100" t="n">
        <f aca="false">Pipeline!$Q$16*Pipeline!$D$16*MIN(1,MAX(0,(39-Pipeline!$E$16+1)/MAX(Pipeline!$F$16,1)))</f>
        <v>3016.725</v>
      </c>
      <c r="AP9" s="100" t="n">
        <f aca="false">Pipeline!$Q$16*Pipeline!$D$16*MIN(1,MAX(0,(40-Pipeline!$E$16+1)/MAX(Pipeline!$F$16,1)))</f>
        <v>3016.725</v>
      </c>
      <c r="AQ9" s="100" t="n">
        <f aca="false">Pipeline!$Q$16*Pipeline!$D$16*MIN(1,MAX(0,(41-Pipeline!$E$16+1)/MAX(Pipeline!$F$16,1)))</f>
        <v>3016.725</v>
      </c>
      <c r="AR9" s="100" t="n">
        <f aca="false">Pipeline!$Q$16*Pipeline!$D$16*MIN(1,MAX(0,(42-Pipeline!$E$16+1)/MAX(Pipeline!$F$16,1)))</f>
        <v>3016.725</v>
      </c>
      <c r="AS9" s="100" t="n">
        <f aca="false">Pipeline!$Q$16*Pipeline!$D$16*MIN(1,MAX(0,(43-Pipeline!$E$16+1)/MAX(Pipeline!$F$16,1)))</f>
        <v>3016.725</v>
      </c>
      <c r="AT9" s="100" t="n">
        <f aca="false">Pipeline!$Q$16*Pipeline!$D$16*MIN(1,MAX(0,(44-Pipeline!$E$16+1)/MAX(Pipeline!$F$16,1)))</f>
        <v>3016.725</v>
      </c>
      <c r="AU9" s="100" t="n">
        <f aca="false">Pipeline!$Q$16*Pipeline!$D$16*MIN(1,MAX(0,(45-Pipeline!$E$16+1)/MAX(Pipeline!$F$16,1)))</f>
        <v>3016.725</v>
      </c>
      <c r="AV9" s="100" t="n">
        <f aca="false">Pipeline!$Q$16*Pipeline!$D$16*MIN(1,MAX(0,(46-Pipeline!$E$16+1)/MAX(Pipeline!$F$16,1)))</f>
        <v>3016.725</v>
      </c>
      <c r="AW9" s="100" t="n">
        <f aca="false">Pipeline!$Q$16*Pipeline!$D$16*MIN(1,MAX(0,(47-Pipeline!$E$16+1)/MAX(Pipeline!$F$16,1)))</f>
        <v>3016.725</v>
      </c>
      <c r="AX9" s="100" t="n">
        <f aca="false">Pipeline!$Q$16*Pipeline!$D$16*MIN(1,MAX(0,(48-Pipeline!$E$16+1)/MAX(Pipeline!$F$16,1)))</f>
        <v>3016.725</v>
      </c>
      <c r="AY9" s="100" t="n">
        <f aca="false">Pipeline!$Q$16*Pipeline!$D$16*MIN(1,MAX(0,(49-Pipeline!$E$16+1)/MAX(Pipeline!$F$16,1)))</f>
        <v>3016.725</v>
      </c>
      <c r="AZ9" s="100" t="n">
        <f aca="false">Pipeline!$Q$16*Pipeline!$D$16*MIN(1,MAX(0,(50-Pipeline!$E$16+1)/MAX(Pipeline!$F$16,1)))</f>
        <v>3016.725</v>
      </c>
      <c r="BA9" s="100" t="n">
        <f aca="false">Pipeline!$Q$16*Pipeline!$D$16*MIN(1,MAX(0,(51-Pipeline!$E$16+1)/MAX(Pipeline!$F$16,1)))</f>
        <v>3016.725</v>
      </c>
      <c r="BB9" s="100" t="n">
        <f aca="false">Pipeline!$Q$16*Pipeline!$D$16*MIN(1,MAX(0,(52-Pipeline!$E$16+1)/MAX(Pipeline!$F$16,1)))</f>
        <v>3016.725</v>
      </c>
      <c r="BC9" s="100" t="n">
        <f aca="false">Pipeline!$Q$16*Pipeline!$D$16*MIN(1,MAX(0,(53-Pipeline!$E$16+1)/MAX(Pipeline!$F$16,1)))</f>
        <v>3016.725</v>
      </c>
      <c r="BD9" s="100" t="n">
        <f aca="false">Pipeline!$Q$16*Pipeline!$D$16*MIN(1,MAX(0,(54-Pipeline!$E$16+1)/MAX(Pipeline!$F$16,1)))</f>
        <v>3016.725</v>
      </c>
      <c r="BE9" s="100" t="n">
        <f aca="false">Pipeline!$Q$16*Pipeline!$D$16*MIN(1,MAX(0,(55-Pipeline!$E$16+1)/MAX(Pipeline!$F$16,1)))</f>
        <v>3016.725</v>
      </c>
      <c r="BF9" s="100" t="n">
        <f aca="false">Pipeline!$Q$16*Pipeline!$D$16*MIN(1,MAX(0,(56-Pipeline!$E$16+1)/MAX(Pipeline!$F$16,1)))</f>
        <v>3016.725</v>
      </c>
      <c r="BG9" s="100" t="n">
        <f aca="false">Pipeline!$Q$16*Pipeline!$D$16*MIN(1,MAX(0,(57-Pipeline!$E$16+1)/MAX(Pipeline!$F$16,1)))</f>
        <v>3016.725</v>
      </c>
      <c r="BH9" s="100" t="n">
        <f aca="false">Pipeline!$Q$16*Pipeline!$D$16*MIN(1,MAX(0,(58-Pipeline!$E$16+1)/MAX(Pipeline!$F$16,1)))</f>
        <v>3016.725</v>
      </c>
      <c r="BI9" s="100" t="n">
        <f aca="false">Pipeline!$Q$16*Pipeline!$D$16*MIN(1,MAX(0,(59-Pipeline!$E$16+1)/MAX(Pipeline!$F$16,1)))</f>
        <v>3016.725</v>
      </c>
      <c r="BJ9" s="100" t="n">
        <f aca="false">Pipeline!$Q$16*Pipeline!$D$16*MIN(1,MAX(0,(60-Pipeline!$E$16+1)/MAX(Pipeline!$F$16,1)))</f>
        <v>3016.725</v>
      </c>
      <c r="BK9" s="100" t="n">
        <f aca="false">Pipeline!$Q$16*Pipeline!$D$16*MIN(1,MAX(0,(61-Pipeline!$E$16+1)/MAX(Pipeline!$F$16,1)))</f>
        <v>3016.725</v>
      </c>
      <c r="BL9" s="100" t="n">
        <f aca="false">Pipeline!$Q$16*Pipeline!$D$16*MIN(1,MAX(0,(62-Pipeline!$E$16+1)/MAX(Pipeline!$F$16,1)))</f>
        <v>3016.725</v>
      </c>
      <c r="BM9" s="100" t="n">
        <f aca="false">Pipeline!$Q$16*Pipeline!$D$16*MIN(1,MAX(0,(63-Pipeline!$E$16+1)/MAX(Pipeline!$F$16,1)))</f>
        <v>3016.725</v>
      </c>
      <c r="BN9" s="100" t="n">
        <f aca="false">Pipeline!$Q$16*Pipeline!$D$16*MIN(1,MAX(0,(64-Pipeline!$E$16+1)/MAX(Pipeline!$F$16,1)))</f>
        <v>3016.725</v>
      </c>
      <c r="BO9" s="100" t="n">
        <f aca="false">Pipeline!$Q$16*Pipeline!$D$16*MIN(1,MAX(0,(65-Pipeline!$E$16+1)/MAX(Pipeline!$F$16,1)))</f>
        <v>3016.725</v>
      </c>
      <c r="BP9" s="100" t="n">
        <f aca="false">Pipeline!$Q$16*Pipeline!$D$16*MIN(1,MAX(0,(66-Pipeline!$E$16+1)/MAX(Pipeline!$F$16,1)))</f>
        <v>3016.725</v>
      </c>
      <c r="BQ9" s="100" t="n">
        <f aca="false">Pipeline!$Q$16*Pipeline!$D$16*MIN(1,MAX(0,(67-Pipeline!$E$16+1)/MAX(Pipeline!$F$16,1)))</f>
        <v>3016.725</v>
      </c>
      <c r="BR9" s="100" t="n">
        <f aca="false">Pipeline!$Q$16*Pipeline!$D$16*MIN(1,MAX(0,(68-Pipeline!$E$16+1)/MAX(Pipeline!$F$16,1)))</f>
        <v>3016.725</v>
      </c>
      <c r="BS9" s="100" t="n">
        <f aca="false">Pipeline!$Q$16*Pipeline!$D$16*MIN(1,MAX(0,(69-Pipeline!$E$16+1)/MAX(Pipeline!$F$16,1)))</f>
        <v>3016.725</v>
      </c>
      <c r="BT9" s="100" t="n">
        <f aca="false">Pipeline!$Q$16*Pipeline!$D$16*MIN(1,MAX(0,(70-Pipeline!$E$16+1)/MAX(Pipeline!$F$16,1)))</f>
        <v>3016.725</v>
      </c>
      <c r="BU9" s="100" t="n">
        <f aca="false">Pipeline!$Q$16*Pipeline!$D$16*MIN(1,MAX(0,(71-Pipeline!$E$16+1)/MAX(Pipeline!$F$16,1)))</f>
        <v>3016.725</v>
      </c>
      <c r="BV9" s="100" t="n">
        <f aca="false">Pipeline!$Q$16*Pipeline!$D$16*MIN(1,MAX(0,(72-Pipeline!$E$16+1)/MAX(Pipeline!$F$16,1)))</f>
        <v>3016.725</v>
      </c>
      <c r="BW9" s="100" t="n">
        <f aca="false">Pipeline!$Q$16*Pipeline!$D$16*MIN(1,MAX(0,(73-Pipeline!$E$16+1)/MAX(Pipeline!$F$16,1)))</f>
        <v>3016.725</v>
      </c>
      <c r="BX9" s="100" t="n">
        <f aca="false">Pipeline!$Q$16*Pipeline!$D$16*MIN(1,MAX(0,(74-Pipeline!$E$16+1)/MAX(Pipeline!$F$16,1)))</f>
        <v>3016.725</v>
      </c>
      <c r="BY9" s="100" t="n">
        <f aca="false">Pipeline!$Q$16*Pipeline!$D$16*MIN(1,MAX(0,(75-Pipeline!$E$16+1)/MAX(Pipeline!$F$16,1)))</f>
        <v>3016.725</v>
      </c>
      <c r="BZ9" s="100" t="n">
        <f aca="false">Pipeline!$Q$16*Pipeline!$D$16*MIN(1,MAX(0,(76-Pipeline!$E$16+1)/MAX(Pipeline!$F$16,1)))</f>
        <v>3016.725</v>
      </c>
      <c r="CA9" s="100" t="n">
        <f aca="false">Pipeline!$Q$16*Pipeline!$D$16*MIN(1,MAX(0,(77-Pipeline!$E$16+1)/MAX(Pipeline!$F$16,1)))</f>
        <v>3016.725</v>
      </c>
      <c r="CB9" s="100" t="n">
        <f aca="false">Pipeline!$Q$16*Pipeline!$D$16*MIN(1,MAX(0,(78-Pipeline!$E$16+1)/MAX(Pipeline!$F$16,1)))</f>
        <v>3016.725</v>
      </c>
      <c r="CC9" s="100" t="n">
        <f aca="false">Pipeline!$Q$16*Pipeline!$D$16*MIN(1,MAX(0,(79-Pipeline!$E$16+1)/MAX(Pipeline!$F$16,1)))</f>
        <v>3016.725</v>
      </c>
      <c r="CD9" s="100" t="n">
        <f aca="false">Pipeline!$Q$16*Pipeline!$D$16*MIN(1,MAX(0,(80-Pipeline!$E$16+1)/MAX(Pipeline!$F$16,1)))</f>
        <v>3016.725</v>
      </c>
      <c r="CE9" s="100" t="n">
        <f aca="false">Pipeline!$Q$16*Pipeline!$D$16*MIN(1,MAX(0,(81-Pipeline!$E$16+1)/MAX(Pipeline!$F$16,1)))</f>
        <v>3016.725</v>
      </c>
      <c r="CF9" s="100" t="n">
        <f aca="false">Pipeline!$Q$16*Pipeline!$D$16*MIN(1,MAX(0,(82-Pipeline!$E$16+1)/MAX(Pipeline!$F$16,1)))</f>
        <v>3016.725</v>
      </c>
      <c r="CG9" s="100" t="n">
        <f aca="false">Pipeline!$Q$16*Pipeline!$D$16*MIN(1,MAX(0,(83-Pipeline!$E$16+1)/MAX(Pipeline!$F$16,1)))</f>
        <v>3016.725</v>
      </c>
      <c r="CH9" s="100" t="n">
        <f aca="false">Pipeline!$Q$16*Pipeline!$D$16*MIN(1,MAX(0,(84-Pipeline!$E$16+1)/MAX(Pipeline!$F$16,1)))</f>
        <v>3016.725</v>
      </c>
    </row>
    <row r="10" customFormat="false" ht="13.5" hidden="false" customHeight="true" outlineLevel="0" collapsed="false">
      <c r="A10" s="6" t="s">
        <v>490</v>
      </c>
      <c r="C10" s="100" t="n">
        <f aca="false">Pipeline!$Q$17*Pipeline!$D$17*MIN(1,MAX(0,(1-Pipeline!$E$17+1)/MAX(Pipeline!$F$17,1)))</f>
        <v>0</v>
      </c>
      <c r="D10" s="100" t="n">
        <f aca="false">Pipeline!$Q$17*Pipeline!$D$17*MIN(1,MAX(0,(2-Pipeline!$E$17+1)/MAX(Pipeline!$F$17,1)))</f>
        <v>78.3</v>
      </c>
      <c r="E10" s="100" t="n">
        <f aca="false">Pipeline!$Q$17*Pipeline!$D$17*MIN(1,MAX(0,(3-Pipeline!$E$17+1)/MAX(Pipeline!$F$17,1)))</f>
        <v>156.6</v>
      </c>
      <c r="F10" s="100" t="n">
        <f aca="false">Pipeline!$Q$17*Pipeline!$D$17*MIN(1,MAX(0,(4-Pipeline!$E$17+1)/MAX(Pipeline!$F$17,1)))</f>
        <v>234.9</v>
      </c>
      <c r="G10" s="100" t="n">
        <f aca="false">Pipeline!$Q$17*Pipeline!$D$17*MIN(1,MAX(0,(5-Pipeline!$E$17+1)/MAX(Pipeline!$F$17,1)))</f>
        <v>234.9</v>
      </c>
      <c r="H10" s="100" t="n">
        <f aca="false">Pipeline!$Q$17*Pipeline!$D$17*MIN(1,MAX(0,(6-Pipeline!$E$17+1)/MAX(Pipeline!$F$17,1)))</f>
        <v>234.9</v>
      </c>
      <c r="I10" s="100" t="n">
        <f aca="false">Pipeline!$Q$17*Pipeline!$D$17*MIN(1,MAX(0,(7-Pipeline!$E$17+1)/MAX(Pipeline!$F$17,1)))</f>
        <v>234.9</v>
      </c>
      <c r="J10" s="100" t="n">
        <f aca="false">Pipeline!$Q$17*Pipeline!$D$17*MIN(1,MAX(0,(8-Pipeline!$E$17+1)/MAX(Pipeline!$F$17,1)))</f>
        <v>234.9</v>
      </c>
      <c r="K10" s="100" t="n">
        <f aca="false">Pipeline!$Q$17*Pipeline!$D$17*MIN(1,MAX(0,(9-Pipeline!$E$17+1)/MAX(Pipeline!$F$17,1)))</f>
        <v>234.9</v>
      </c>
      <c r="L10" s="100" t="n">
        <f aca="false">Pipeline!$Q$17*Pipeline!$D$17*MIN(1,MAX(0,(10-Pipeline!$E$17+1)/MAX(Pipeline!$F$17,1)))</f>
        <v>234.9</v>
      </c>
      <c r="M10" s="100" t="n">
        <f aca="false">Pipeline!$Q$17*Pipeline!$D$17*MIN(1,MAX(0,(11-Pipeline!$E$17+1)/MAX(Pipeline!$F$17,1)))</f>
        <v>234.9</v>
      </c>
      <c r="N10" s="100" t="n">
        <f aca="false">Pipeline!$Q$17*Pipeline!$D$17*MIN(1,MAX(0,(12-Pipeline!$E$17+1)/MAX(Pipeline!$F$17,1)))</f>
        <v>234.9</v>
      </c>
      <c r="O10" s="100" t="n">
        <f aca="false">Pipeline!$Q$17*Pipeline!$D$17*MIN(1,MAX(0,(13-Pipeline!$E$17+1)/MAX(Pipeline!$F$17,1)))</f>
        <v>234.9</v>
      </c>
      <c r="P10" s="100" t="n">
        <f aca="false">Pipeline!$Q$17*Pipeline!$D$17*MIN(1,MAX(0,(14-Pipeline!$E$17+1)/MAX(Pipeline!$F$17,1)))</f>
        <v>234.9</v>
      </c>
      <c r="Q10" s="100" t="n">
        <f aca="false">Pipeline!$Q$17*Pipeline!$D$17*MIN(1,MAX(0,(15-Pipeline!$E$17+1)/MAX(Pipeline!$F$17,1)))</f>
        <v>234.9</v>
      </c>
      <c r="R10" s="100" t="n">
        <f aca="false">Pipeline!$Q$17*Pipeline!$D$17*MIN(1,MAX(0,(16-Pipeline!$E$17+1)/MAX(Pipeline!$F$17,1)))</f>
        <v>234.9</v>
      </c>
      <c r="S10" s="100" t="n">
        <f aca="false">Pipeline!$Q$17*Pipeline!$D$17*MIN(1,MAX(0,(17-Pipeline!$E$17+1)/MAX(Pipeline!$F$17,1)))</f>
        <v>234.9</v>
      </c>
      <c r="T10" s="100" t="n">
        <f aca="false">Pipeline!$Q$17*Pipeline!$D$17*MIN(1,MAX(0,(18-Pipeline!$E$17+1)/MAX(Pipeline!$F$17,1)))</f>
        <v>234.9</v>
      </c>
      <c r="U10" s="100" t="n">
        <f aca="false">Pipeline!$Q$17*Pipeline!$D$17*MIN(1,MAX(0,(19-Pipeline!$E$17+1)/MAX(Pipeline!$F$17,1)))</f>
        <v>234.9</v>
      </c>
      <c r="V10" s="100" t="n">
        <f aca="false">Pipeline!$Q$17*Pipeline!$D$17*MIN(1,MAX(0,(20-Pipeline!$E$17+1)/MAX(Pipeline!$F$17,1)))</f>
        <v>234.9</v>
      </c>
      <c r="W10" s="100" t="n">
        <f aca="false">Pipeline!$Q$17*Pipeline!$D$17*MIN(1,MAX(0,(21-Pipeline!$E$17+1)/MAX(Pipeline!$F$17,1)))</f>
        <v>234.9</v>
      </c>
      <c r="X10" s="100" t="n">
        <f aca="false">Pipeline!$Q$17*Pipeline!$D$17*MIN(1,MAX(0,(22-Pipeline!$E$17+1)/MAX(Pipeline!$F$17,1)))</f>
        <v>234.9</v>
      </c>
      <c r="Y10" s="100" t="n">
        <f aca="false">Pipeline!$Q$17*Pipeline!$D$17*MIN(1,MAX(0,(23-Pipeline!$E$17+1)/MAX(Pipeline!$F$17,1)))</f>
        <v>234.9</v>
      </c>
      <c r="Z10" s="100" t="n">
        <f aca="false">Pipeline!$Q$17*Pipeline!$D$17*MIN(1,MAX(0,(24-Pipeline!$E$17+1)/MAX(Pipeline!$F$17,1)))</f>
        <v>234.9</v>
      </c>
      <c r="AA10" s="100" t="n">
        <f aca="false">Pipeline!$Q$17*Pipeline!$D$17*MIN(1,MAX(0,(25-Pipeline!$E$17+1)/MAX(Pipeline!$F$17,1)))</f>
        <v>234.9</v>
      </c>
      <c r="AB10" s="100" t="n">
        <f aca="false">Pipeline!$Q$17*Pipeline!$D$17*MIN(1,MAX(0,(26-Pipeline!$E$17+1)/MAX(Pipeline!$F$17,1)))</f>
        <v>234.9</v>
      </c>
      <c r="AC10" s="100" t="n">
        <f aca="false">Pipeline!$Q$17*Pipeline!$D$17*MIN(1,MAX(0,(27-Pipeline!$E$17+1)/MAX(Pipeline!$F$17,1)))</f>
        <v>234.9</v>
      </c>
      <c r="AD10" s="100" t="n">
        <f aca="false">Pipeline!$Q$17*Pipeline!$D$17*MIN(1,MAX(0,(28-Pipeline!$E$17+1)/MAX(Pipeline!$F$17,1)))</f>
        <v>234.9</v>
      </c>
      <c r="AE10" s="100" t="n">
        <f aca="false">Pipeline!$Q$17*Pipeline!$D$17*MIN(1,MAX(0,(29-Pipeline!$E$17+1)/MAX(Pipeline!$F$17,1)))</f>
        <v>234.9</v>
      </c>
      <c r="AF10" s="100" t="n">
        <f aca="false">Pipeline!$Q$17*Pipeline!$D$17*MIN(1,MAX(0,(30-Pipeline!$E$17+1)/MAX(Pipeline!$F$17,1)))</f>
        <v>234.9</v>
      </c>
      <c r="AG10" s="100" t="n">
        <f aca="false">Pipeline!$Q$17*Pipeline!$D$17*MIN(1,MAX(0,(31-Pipeline!$E$17+1)/MAX(Pipeline!$F$17,1)))</f>
        <v>234.9</v>
      </c>
      <c r="AH10" s="100" t="n">
        <f aca="false">Pipeline!$Q$17*Pipeline!$D$17*MIN(1,MAX(0,(32-Pipeline!$E$17+1)/MAX(Pipeline!$F$17,1)))</f>
        <v>234.9</v>
      </c>
      <c r="AI10" s="100" t="n">
        <f aca="false">Pipeline!$Q$17*Pipeline!$D$17*MIN(1,MAX(0,(33-Pipeline!$E$17+1)/MAX(Pipeline!$F$17,1)))</f>
        <v>234.9</v>
      </c>
      <c r="AJ10" s="100" t="n">
        <f aca="false">Pipeline!$Q$17*Pipeline!$D$17*MIN(1,MAX(0,(34-Pipeline!$E$17+1)/MAX(Pipeline!$F$17,1)))</f>
        <v>234.9</v>
      </c>
      <c r="AK10" s="100" t="n">
        <f aca="false">Pipeline!$Q$17*Pipeline!$D$17*MIN(1,MAX(0,(35-Pipeline!$E$17+1)/MAX(Pipeline!$F$17,1)))</f>
        <v>234.9</v>
      </c>
      <c r="AL10" s="100" t="n">
        <f aca="false">Pipeline!$Q$17*Pipeline!$D$17*MIN(1,MAX(0,(36-Pipeline!$E$17+1)/MAX(Pipeline!$F$17,1)))</f>
        <v>234.9</v>
      </c>
      <c r="AM10" s="100" t="n">
        <f aca="false">Pipeline!$Q$17*Pipeline!$D$17*MIN(1,MAX(0,(37-Pipeline!$E$17+1)/MAX(Pipeline!$F$17,1)))</f>
        <v>234.9</v>
      </c>
      <c r="AN10" s="100" t="n">
        <f aca="false">Pipeline!$Q$17*Pipeline!$D$17*MIN(1,MAX(0,(38-Pipeline!$E$17+1)/MAX(Pipeline!$F$17,1)))</f>
        <v>234.9</v>
      </c>
      <c r="AO10" s="100" t="n">
        <f aca="false">Pipeline!$Q$17*Pipeline!$D$17*MIN(1,MAX(0,(39-Pipeline!$E$17+1)/MAX(Pipeline!$F$17,1)))</f>
        <v>234.9</v>
      </c>
      <c r="AP10" s="100" t="n">
        <f aca="false">Pipeline!$Q$17*Pipeline!$D$17*MIN(1,MAX(0,(40-Pipeline!$E$17+1)/MAX(Pipeline!$F$17,1)))</f>
        <v>234.9</v>
      </c>
      <c r="AQ10" s="100" t="n">
        <f aca="false">Pipeline!$Q$17*Pipeline!$D$17*MIN(1,MAX(0,(41-Pipeline!$E$17+1)/MAX(Pipeline!$F$17,1)))</f>
        <v>234.9</v>
      </c>
      <c r="AR10" s="100" t="n">
        <f aca="false">Pipeline!$Q$17*Pipeline!$D$17*MIN(1,MAX(0,(42-Pipeline!$E$17+1)/MAX(Pipeline!$F$17,1)))</f>
        <v>234.9</v>
      </c>
      <c r="AS10" s="100" t="n">
        <f aca="false">Pipeline!$Q$17*Pipeline!$D$17*MIN(1,MAX(0,(43-Pipeline!$E$17+1)/MAX(Pipeline!$F$17,1)))</f>
        <v>234.9</v>
      </c>
      <c r="AT10" s="100" t="n">
        <f aca="false">Pipeline!$Q$17*Pipeline!$D$17*MIN(1,MAX(0,(44-Pipeline!$E$17+1)/MAX(Pipeline!$F$17,1)))</f>
        <v>234.9</v>
      </c>
      <c r="AU10" s="100" t="n">
        <f aca="false">Pipeline!$Q$17*Pipeline!$D$17*MIN(1,MAX(0,(45-Pipeline!$E$17+1)/MAX(Pipeline!$F$17,1)))</f>
        <v>234.9</v>
      </c>
      <c r="AV10" s="100" t="n">
        <f aca="false">Pipeline!$Q$17*Pipeline!$D$17*MIN(1,MAX(0,(46-Pipeline!$E$17+1)/MAX(Pipeline!$F$17,1)))</f>
        <v>234.9</v>
      </c>
      <c r="AW10" s="100" t="n">
        <f aca="false">Pipeline!$Q$17*Pipeline!$D$17*MIN(1,MAX(0,(47-Pipeline!$E$17+1)/MAX(Pipeline!$F$17,1)))</f>
        <v>234.9</v>
      </c>
      <c r="AX10" s="100" t="n">
        <f aca="false">Pipeline!$Q$17*Pipeline!$D$17*MIN(1,MAX(0,(48-Pipeline!$E$17+1)/MAX(Pipeline!$F$17,1)))</f>
        <v>234.9</v>
      </c>
      <c r="AY10" s="100" t="n">
        <f aca="false">Pipeline!$Q$17*Pipeline!$D$17*MIN(1,MAX(0,(49-Pipeline!$E$17+1)/MAX(Pipeline!$F$17,1)))</f>
        <v>234.9</v>
      </c>
      <c r="AZ10" s="100" t="n">
        <f aca="false">Pipeline!$Q$17*Pipeline!$D$17*MIN(1,MAX(0,(50-Pipeline!$E$17+1)/MAX(Pipeline!$F$17,1)))</f>
        <v>234.9</v>
      </c>
      <c r="BA10" s="100" t="n">
        <f aca="false">Pipeline!$Q$17*Pipeline!$D$17*MIN(1,MAX(0,(51-Pipeline!$E$17+1)/MAX(Pipeline!$F$17,1)))</f>
        <v>234.9</v>
      </c>
      <c r="BB10" s="100" t="n">
        <f aca="false">Pipeline!$Q$17*Pipeline!$D$17*MIN(1,MAX(0,(52-Pipeline!$E$17+1)/MAX(Pipeline!$F$17,1)))</f>
        <v>234.9</v>
      </c>
      <c r="BC10" s="100" t="n">
        <f aca="false">Pipeline!$Q$17*Pipeline!$D$17*MIN(1,MAX(0,(53-Pipeline!$E$17+1)/MAX(Pipeline!$F$17,1)))</f>
        <v>234.9</v>
      </c>
      <c r="BD10" s="100" t="n">
        <f aca="false">Pipeline!$Q$17*Pipeline!$D$17*MIN(1,MAX(0,(54-Pipeline!$E$17+1)/MAX(Pipeline!$F$17,1)))</f>
        <v>234.9</v>
      </c>
      <c r="BE10" s="100" t="n">
        <f aca="false">Pipeline!$Q$17*Pipeline!$D$17*MIN(1,MAX(0,(55-Pipeline!$E$17+1)/MAX(Pipeline!$F$17,1)))</f>
        <v>234.9</v>
      </c>
      <c r="BF10" s="100" t="n">
        <f aca="false">Pipeline!$Q$17*Pipeline!$D$17*MIN(1,MAX(0,(56-Pipeline!$E$17+1)/MAX(Pipeline!$F$17,1)))</f>
        <v>234.9</v>
      </c>
      <c r="BG10" s="100" t="n">
        <f aca="false">Pipeline!$Q$17*Pipeline!$D$17*MIN(1,MAX(0,(57-Pipeline!$E$17+1)/MAX(Pipeline!$F$17,1)))</f>
        <v>234.9</v>
      </c>
      <c r="BH10" s="100" t="n">
        <f aca="false">Pipeline!$Q$17*Pipeline!$D$17*MIN(1,MAX(0,(58-Pipeline!$E$17+1)/MAX(Pipeline!$F$17,1)))</f>
        <v>234.9</v>
      </c>
      <c r="BI10" s="100" t="n">
        <f aca="false">Pipeline!$Q$17*Pipeline!$D$17*MIN(1,MAX(0,(59-Pipeline!$E$17+1)/MAX(Pipeline!$F$17,1)))</f>
        <v>234.9</v>
      </c>
      <c r="BJ10" s="100" t="n">
        <f aca="false">Pipeline!$Q$17*Pipeline!$D$17*MIN(1,MAX(0,(60-Pipeline!$E$17+1)/MAX(Pipeline!$F$17,1)))</f>
        <v>234.9</v>
      </c>
      <c r="BK10" s="100" t="n">
        <f aca="false">Pipeline!$Q$17*Pipeline!$D$17*MIN(1,MAX(0,(61-Pipeline!$E$17+1)/MAX(Pipeline!$F$17,1)))</f>
        <v>234.9</v>
      </c>
      <c r="BL10" s="100" t="n">
        <f aca="false">Pipeline!$Q$17*Pipeline!$D$17*MIN(1,MAX(0,(62-Pipeline!$E$17+1)/MAX(Pipeline!$F$17,1)))</f>
        <v>234.9</v>
      </c>
      <c r="BM10" s="100" t="n">
        <f aca="false">Pipeline!$Q$17*Pipeline!$D$17*MIN(1,MAX(0,(63-Pipeline!$E$17+1)/MAX(Pipeline!$F$17,1)))</f>
        <v>234.9</v>
      </c>
      <c r="BN10" s="100" t="n">
        <f aca="false">Pipeline!$Q$17*Pipeline!$D$17*MIN(1,MAX(0,(64-Pipeline!$E$17+1)/MAX(Pipeline!$F$17,1)))</f>
        <v>234.9</v>
      </c>
      <c r="BO10" s="100" t="n">
        <f aca="false">Pipeline!$Q$17*Pipeline!$D$17*MIN(1,MAX(0,(65-Pipeline!$E$17+1)/MAX(Pipeline!$F$17,1)))</f>
        <v>234.9</v>
      </c>
      <c r="BP10" s="100" t="n">
        <f aca="false">Pipeline!$Q$17*Pipeline!$D$17*MIN(1,MAX(0,(66-Pipeline!$E$17+1)/MAX(Pipeline!$F$17,1)))</f>
        <v>234.9</v>
      </c>
      <c r="BQ10" s="100" t="n">
        <f aca="false">Pipeline!$Q$17*Pipeline!$D$17*MIN(1,MAX(0,(67-Pipeline!$E$17+1)/MAX(Pipeline!$F$17,1)))</f>
        <v>234.9</v>
      </c>
      <c r="BR10" s="100" t="n">
        <f aca="false">Pipeline!$Q$17*Pipeline!$D$17*MIN(1,MAX(0,(68-Pipeline!$E$17+1)/MAX(Pipeline!$F$17,1)))</f>
        <v>234.9</v>
      </c>
      <c r="BS10" s="100" t="n">
        <f aca="false">Pipeline!$Q$17*Pipeline!$D$17*MIN(1,MAX(0,(69-Pipeline!$E$17+1)/MAX(Pipeline!$F$17,1)))</f>
        <v>234.9</v>
      </c>
      <c r="BT10" s="100" t="n">
        <f aca="false">Pipeline!$Q$17*Pipeline!$D$17*MIN(1,MAX(0,(70-Pipeline!$E$17+1)/MAX(Pipeline!$F$17,1)))</f>
        <v>234.9</v>
      </c>
      <c r="BU10" s="100" t="n">
        <f aca="false">Pipeline!$Q$17*Pipeline!$D$17*MIN(1,MAX(0,(71-Pipeline!$E$17+1)/MAX(Pipeline!$F$17,1)))</f>
        <v>234.9</v>
      </c>
      <c r="BV10" s="100" t="n">
        <f aca="false">Pipeline!$Q$17*Pipeline!$D$17*MIN(1,MAX(0,(72-Pipeline!$E$17+1)/MAX(Pipeline!$F$17,1)))</f>
        <v>234.9</v>
      </c>
      <c r="BW10" s="100" t="n">
        <f aca="false">Pipeline!$Q$17*Pipeline!$D$17*MIN(1,MAX(0,(73-Pipeline!$E$17+1)/MAX(Pipeline!$F$17,1)))</f>
        <v>234.9</v>
      </c>
      <c r="BX10" s="100" t="n">
        <f aca="false">Pipeline!$Q$17*Pipeline!$D$17*MIN(1,MAX(0,(74-Pipeline!$E$17+1)/MAX(Pipeline!$F$17,1)))</f>
        <v>234.9</v>
      </c>
      <c r="BY10" s="100" t="n">
        <f aca="false">Pipeline!$Q$17*Pipeline!$D$17*MIN(1,MAX(0,(75-Pipeline!$E$17+1)/MAX(Pipeline!$F$17,1)))</f>
        <v>234.9</v>
      </c>
      <c r="BZ10" s="100" t="n">
        <f aca="false">Pipeline!$Q$17*Pipeline!$D$17*MIN(1,MAX(0,(76-Pipeline!$E$17+1)/MAX(Pipeline!$F$17,1)))</f>
        <v>234.9</v>
      </c>
      <c r="CA10" s="100" t="n">
        <f aca="false">Pipeline!$Q$17*Pipeline!$D$17*MIN(1,MAX(0,(77-Pipeline!$E$17+1)/MAX(Pipeline!$F$17,1)))</f>
        <v>234.9</v>
      </c>
      <c r="CB10" s="100" t="n">
        <f aca="false">Pipeline!$Q$17*Pipeline!$D$17*MIN(1,MAX(0,(78-Pipeline!$E$17+1)/MAX(Pipeline!$F$17,1)))</f>
        <v>234.9</v>
      </c>
      <c r="CC10" s="100" t="n">
        <f aca="false">Pipeline!$Q$17*Pipeline!$D$17*MIN(1,MAX(0,(79-Pipeline!$E$17+1)/MAX(Pipeline!$F$17,1)))</f>
        <v>234.9</v>
      </c>
      <c r="CD10" s="100" t="n">
        <f aca="false">Pipeline!$Q$17*Pipeline!$D$17*MIN(1,MAX(0,(80-Pipeline!$E$17+1)/MAX(Pipeline!$F$17,1)))</f>
        <v>234.9</v>
      </c>
      <c r="CE10" s="100" t="n">
        <f aca="false">Pipeline!$Q$17*Pipeline!$D$17*MIN(1,MAX(0,(81-Pipeline!$E$17+1)/MAX(Pipeline!$F$17,1)))</f>
        <v>234.9</v>
      </c>
      <c r="CF10" s="100" t="n">
        <f aca="false">Pipeline!$Q$17*Pipeline!$D$17*MIN(1,MAX(0,(82-Pipeline!$E$17+1)/MAX(Pipeline!$F$17,1)))</f>
        <v>234.9</v>
      </c>
      <c r="CG10" s="100" t="n">
        <f aca="false">Pipeline!$Q$17*Pipeline!$D$17*MIN(1,MAX(0,(83-Pipeline!$E$17+1)/MAX(Pipeline!$F$17,1)))</f>
        <v>234.9</v>
      </c>
      <c r="CH10" s="100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6" t="s">
        <v>491</v>
      </c>
      <c r="C11" s="100" t="n">
        <f aca="false">Pipeline!$Q$18*Pipeline!$D$18*MIN(1,MAX(0,(1-Pipeline!$E$18+1)/MAX(Pipeline!$F$18,1)))</f>
        <v>0</v>
      </c>
      <c r="D11" s="100" t="n">
        <f aca="false">Pipeline!$Q$18*Pipeline!$D$18*MIN(1,MAX(0,(2-Pipeline!$E$18+1)/MAX(Pipeline!$F$18,1)))</f>
        <v>0</v>
      </c>
      <c r="E11" s="100" t="n">
        <f aca="false">Pipeline!$Q$18*Pipeline!$D$18*MIN(1,MAX(0,(3-Pipeline!$E$18+1)/MAX(Pipeline!$F$18,1)))</f>
        <v>1178.578125</v>
      </c>
      <c r="F11" s="100" t="n">
        <f aca="false">Pipeline!$Q$18*Pipeline!$D$18*MIN(1,MAX(0,(4-Pipeline!$E$18+1)/MAX(Pipeline!$F$18,1)))</f>
        <v>2357.15625</v>
      </c>
      <c r="G11" s="100" t="n">
        <f aca="false">Pipeline!$Q$18*Pipeline!$D$18*MIN(1,MAX(0,(5-Pipeline!$E$18+1)/MAX(Pipeline!$F$18,1)))</f>
        <v>3535.734375</v>
      </c>
      <c r="H11" s="100" t="n">
        <f aca="false">Pipeline!$Q$18*Pipeline!$D$18*MIN(1,MAX(0,(6-Pipeline!$E$18+1)/MAX(Pipeline!$F$18,1)))</f>
        <v>4714.3125</v>
      </c>
      <c r="I11" s="100" t="n">
        <f aca="false">Pipeline!$Q$18*Pipeline!$D$18*MIN(1,MAX(0,(7-Pipeline!$E$18+1)/MAX(Pipeline!$F$18,1)))</f>
        <v>5892.890625</v>
      </c>
      <c r="J11" s="100" t="n">
        <f aca="false">Pipeline!$Q$18*Pipeline!$D$18*MIN(1,MAX(0,(8-Pipeline!$E$18+1)/MAX(Pipeline!$F$18,1)))</f>
        <v>7071.46875</v>
      </c>
      <c r="K11" s="100" t="n">
        <f aca="false">Pipeline!$Q$18*Pipeline!$D$18*MIN(1,MAX(0,(9-Pipeline!$E$18+1)/MAX(Pipeline!$F$18,1)))</f>
        <v>8250.046875</v>
      </c>
      <c r="L11" s="100" t="n">
        <f aca="false">Pipeline!$Q$18*Pipeline!$D$18*MIN(1,MAX(0,(10-Pipeline!$E$18+1)/MAX(Pipeline!$F$18,1)))</f>
        <v>9428.625</v>
      </c>
      <c r="M11" s="100" t="n">
        <f aca="false">Pipeline!$Q$18*Pipeline!$D$18*MIN(1,MAX(0,(11-Pipeline!$E$18+1)/MAX(Pipeline!$F$18,1)))</f>
        <v>9428.625</v>
      </c>
      <c r="N11" s="100" t="n">
        <f aca="false">Pipeline!$Q$18*Pipeline!$D$18*MIN(1,MAX(0,(12-Pipeline!$E$18+1)/MAX(Pipeline!$F$18,1)))</f>
        <v>9428.625</v>
      </c>
      <c r="O11" s="100" t="n">
        <f aca="false">Pipeline!$Q$18*Pipeline!$D$18*MIN(1,MAX(0,(13-Pipeline!$E$18+1)/MAX(Pipeline!$F$18,1)))</f>
        <v>9428.625</v>
      </c>
      <c r="P11" s="100" t="n">
        <f aca="false">Pipeline!$Q$18*Pipeline!$D$18*MIN(1,MAX(0,(14-Pipeline!$E$18+1)/MAX(Pipeline!$F$18,1)))</f>
        <v>9428.625</v>
      </c>
      <c r="Q11" s="100" t="n">
        <f aca="false">Pipeline!$Q$18*Pipeline!$D$18*MIN(1,MAX(0,(15-Pipeline!$E$18+1)/MAX(Pipeline!$F$18,1)))</f>
        <v>9428.625</v>
      </c>
      <c r="R11" s="100" t="n">
        <f aca="false">Pipeline!$Q$18*Pipeline!$D$18*MIN(1,MAX(0,(16-Pipeline!$E$18+1)/MAX(Pipeline!$F$18,1)))</f>
        <v>9428.625</v>
      </c>
      <c r="S11" s="100" t="n">
        <f aca="false">Pipeline!$Q$18*Pipeline!$D$18*MIN(1,MAX(0,(17-Pipeline!$E$18+1)/MAX(Pipeline!$F$18,1)))</f>
        <v>9428.625</v>
      </c>
      <c r="T11" s="100" t="n">
        <f aca="false">Pipeline!$Q$18*Pipeline!$D$18*MIN(1,MAX(0,(18-Pipeline!$E$18+1)/MAX(Pipeline!$F$18,1)))</f>
        <v>9428.625</v>
      </c>
      <c r="U11" s="100" t="n">
        <f aca="false">Pipeline!$Q$18*Pipeline!$D$18*MIN(1,MAX(0,(19-Pipeline!$E$18+1)/MAX(Pipeline!$F$18,1)))</f>
        <v>9428.625</v>
      </c>
      <c r="V11" s="100" t="n">
        <f aca="false">Pipeline!$Q$18*Pipeline!$D$18*MIN(1,MAX(0,(20-Pipeline!$E$18+1)/MAX(Pipeline!$F$18,1)))</f>
        <v>9428.625</v>
      </c>
      <c r="W11" s="100" t="n">
        <f aca="false">Pipeline!$Q$18*Pipeline!$D$18*MIN(1,MAX(0,(21-Pipeline!$E$18+1)/MAX(Pipeline!$F$18,1)))</f>
        <v>9428.625</v>
      </c>
      <c r="X11" s="100" t="n">
        <f aca="false">Pipeline!$Q$18*Pipeline!$D$18*MIN(1,MAX(0,(22-Pipeline!$E$18+1)/MAX(Pipeline!$F$18,1)))</f>
        <v>9428.625</v>
      </c>
      <c r="Y11" s="100" t="n">
        <f aca="false">Pipeline!$Q$18*Pipeline!$D$18*MIN(1,MAX(0,(23-Pipeline!$E$18+1)/MAX(Pipeline!$F$18,1)))</f>
        <v>9428.625</v>
      </c>
      <c r="Z11" s="100" t="n">
        <f aca="false">Pipeline!$Q$18*Pipeline!$D$18*MIN(1,MAX(0,(24-Pipeline!$E$18+1)/MAX(Pipeline!$F$18,1)))</f>
        <v>9428.625</v>
      </c>
      <c r="AA11" s="100" t="n">
        <f aca="false">Pipeline!$Q$18*Pipeline!$D$18*MIN(1,MAX(0,(25-Pipeline!$E$18+1)/MAX(Pipeline!$F$18,1)))</f>
        <v>9428.625</v>
      </c>
      <c r="AB11" s="100" t="n">
        <f aca="false">Pipeline!$Q$18*Pipeline!$D$18*MIN(1,MAX(0,(26-Pipeline!$E$18+1)/MAX(Pipeline!$F$18,1)))</f>
        <v>9428.625</v>
      </c>
      <c r="AC11" s="100" t="n">
        <f aca="false">Pipeline!$Q$18*Pipeline!$D$18*MIN(1,MAX(0,(27-Pipeline!$E$18+1)/MAX(Pipeline!$F$18,1)))</f>
        <v>9428.625</v>
      </c>
      <c r="AD11" s="100" t="n">
        <f aca="false">Pipeline!$Q$18*Pipeline!$D$18*MIN(1,MAX(0,(28-Pipeline!$E$18+1)/MAX(Pipeline!$F$18,1)))</f>
        <v>9428.625</v>
      </c>
      <c r="AE11" s="100" t="n">
        <f aca="false">Pipeline!$Q$18*Pipeline!$D$18*MIN(1,MAX(0,(29-Pipeline!$E$18+1)/MAX(Pipeline!$F$18,1)))</f>
        <v>9428.625</v>
      </c>
      <c r="AF11" s="100" t="n">
        <f aca="false">Pipeline!$Q$18*Pipeline!$D$18*MIN(1,MAX(0,(30-Pipeline!$E$18+1)/MAX(Pipeline!$F$18,1)))</f>
        <v>9428.625</v>
      </c>
      <c r="AG11" s="100" t="n">
        <f aca="false">Pipeline!$Q$18*Pipeline!$D$18*MIN(1,MAX(0,(31-Pipeline!$E$18+1)/MAX(Pipeline!$F$18,1)))</f>
        <v>9428.625</v>
      </c>
      <c r="AH11" s="100" t="n">
        <f aca="false">Pipeline!$Q$18*Pipeline!$D$18*MIN(1,MAX(0,(32-Pipeline!$E$18+1)/MAX(Pipeline!$F$18,1)))</f>
        <v>9428.625</v>
      </c>
      <c r="AI11" s="100" t="n">
        <f aca="false">Pipeline!$Q$18*Pipeline!$D$18*MIN(1,MAX(0,(33-Pipeline!$E$18+1)/MAX(Pipeline!$F$18,1)))</f>
        <v>9428.625</v>
      </c>
      <c r="AJ11" s="100" t="n">
        <f aca="false">Pipeline!$Q$18*Pipeline!$D$18*MIN(1,MAX(0,(34-Pipeline!$E$18+1)/MAX(Pipeline!$F$18,1)))</f>
        <v>9428.625</v>
      </c>
      <c r="AK11" s="100" t="n">
        <f aca="false">Pipeline!$Q$18*Pipeline!$D$18*MIN(1,MAX(0,(35-Pipeline!$E$18+1)/MAX(Pipeline!$F$18,1)))</f>
        <v>9428.625</v>
      </c>
      <c r="AL11" s="100" t="n">
        <f aca="false">Pipeline!$Q$18*Pipeline!$D$18*MIN(1,MAX(0,(36-Pipeline!$E$18+1)/MAX(Pipeline!$F$18,1)))</f>
        <v>9428.625</v>
      </c>
      <c r="AM11" s="100" t="n">
        <f aca="false">Pipeline!$Q$18*Pipeline!$D$18*MIN(1,MAX(0,(37-Pipeline!$E$18+1)/MAX(Pipeline!$F$18,1)))</f>
        <v>9428.625</v>
      </c>
      <c r="AN11" s="100" t="n">
        <f aca="false">Pipeline!$Q$18*Pipeline!$D$18*MIN(1,MAX(0,(38-Pipeline!$E$18+1)/MAX(Pipeline!$F$18,1)))</f>
        <v>9428.625</v>
      </c>
      <c r="AO11" s="100" t="n">
        <f aca="false">Pipeline!$Q$18*Pipeline!$D$18*MIN(1,MAX(0,(39-Pipeline!$E$18+1)/MAX(Pipeline!$F$18,1)))</f>
        <v>9428.625</v>
      </c>
      <c r="AP11" s="100" t="n">
        <f aca="false">Pipeline!$Q$18*Pipeline!$D$18*MIN(1,MAX(0,(40-Pipeline!$E$18+1)/MAX(Pipeline!$F$18,1)))</f>
        <v>9428.625</v>
      </c>
      <c r="AQ11" s="100" t="n">
        <f aca="false">Pipeline!$Q$18*Pipeline!$D$18*MIN(1,MAX(0,(41-Pipeline!$E$18+1)/MAX(Pipeline!$F$18,1)))</f>
        <v>9428.625</v>
      </c>
      <c r="AR11" s="100" t="n">
        <f aca="false">Pipeline!$Q$18*Pipeline!$D$18*MIN(1,MAX(0,(42-Pipeline!$E$18+1)/MAX(Pipeline!$F$18,1)))</f>
        <v>9428.625</v>
      </c>
      <c r="AS11" s="100" t="n">
        <f aca="false">Pipeline!$Q$18*Pipeline!$D$18*MIN(1,MAX(0,(43-Pipeline!$E$18+1)/MAX(Pipeline!$F$18,1)))</f>
        <v>9428.625</v>
      </c>
      <c r="AT11" s="100" t="n">
        <f aca="false">Pipeline!$Q$18*Pipeline!$D$18*MIN(1,MAX(0,(44-Pipeline!$E$18+1)/MAX(Pipeline!$F$18,1)))</f>
        <v>9428.625</v>
      </c>
      <c r="AU11" s="100" t="n">
        <f aca="false">Pipeline!$Q$18*Pipeline!$D$18*MIN(1,MAX(0,(45-Pipeline!$E$18+1)/MAX(Pipeline!$F$18,1)))</f>
        <v>9428.625</v>
      </c>
      <c r="AV11" s="100" t="n">
        <f aca="false">Pipeline!$Q$18*Pipeline!$D$18*MIN(1,MAX(0,(46-Pipeline!$E$18+1)/MAX(Pipeline!$F$18,1)))</f>
        <v>9428.625</v>
      </c>
      <c r="AW11" s="100" t="n">
        <f aca="false">Pipeline!$Q$18*Pipeline!$D$18*MIN(1,MAX(0,(47-Pipeline!$E$18+1)/MAX(Pipeline!$F$18,1)))</f>
        <v>9428.625</v>
      </c>
      <c r="AX11" s="100" t="n">
        <f aca="false">Pipeline!$Q$18*Pipeline!$D$18*MIN(1,MAX(0,(48-Pipeline!$E$18+1)/MAX(Pipeline!$F$18,1)))</f>
        <v>9428.625</v>
      </c>
      <c r="AY11" s="100" t="n">
        <f aca="false">Pipeline!$Q$18*Pipeline!$D$18*MIN(1,MAX(0,(49-Pipeline!$E$18+1)/MAX(Pipeline!$F$18,1)))</f>
        <v>9428.625</v>
      </c>
      <c r="AZ11" s="100" t="n">
        <f aca="false">Pipeline!$Q$18*Pipeline!$D$18*MIN(1,MAX(0,(50-Pipeline!$E$18+1)/MAX(Pipeline!$F$18,1)))</f>
        <v>9428.625</v>
      </c>
      <c r="BA11" s="100" t="n">
        <f aca="false">Pipeline!$Q$18*Pipeline!$D$18*MIN(1,MAX(0,(51-Pipeline!$E$18+1)/MAX(Pipeline!$F$18,1)))</f>
        <v>9428.625</v>
      </c>
      <c r="BB11" s="100" t="n">
        <f aca="false">Pipeline!$Q$18*Pipeline!$D$18*MIN(1,MAX(0,(52-Pipeline!$E$18+1)/MAX(Pipeline!$F$18,1)))</f>
        <v>9428.625</v>
      </c>
      <c r="BC11" s="100" t="n">
        <f aca="false">Pipeline!$Q$18*Pipeline!$D$18*MIN(1,MAX(0,(53-Pipeline!$E$18+1)/MAX(Pipeline!$F$18,1)))</f>
        <v>9428.625</v>
      </c>
      <c r="BD11" s="100" t="n">
        <f aca="false">Pipeline!$Q$18*Pipeline!$D$18*MIN(1,MAX(0,(54-Pipeline!$E$18+1)/MAX(Pipeline!$F$18,1)))</f>
        <v>9428.625</v>
      </c>
      <c r="BE11" s="100" t="n">
        <f aca="false">Pipeline!$Q$18*Pipeline!$D$18*MIN(1,MAX(0,(55-Pipeline!$E$18+1)/MAX(Pipeline!$F$18,1)))</f>
        <v>9428.625</v>
      </c>
      <c r="BF11" s="100" t="n">
        <f aca="false">Pipeline!$Q$18*Pipeline!$D$18*MIN(1,MAX(0,(56-Pipeline!$E$18+1)/MAX(Pipeline!$F$18,1)))</f>
        <v>9428.625</v>
      </c>
      <c r="BG11" s="100" t="n">
        <f aca="false">Pipeline!$Q$18*Pipeline!$D$18*MIN(1,MAX(0,(57-Pipeline!$E$18+1)/MAX(Pipeline!$F$18,1)))</f>
        <v>9428.625</v>
      </c>
      <c r="BH11" s="100" t="n">
        <f aca="false">Pipeline!$Q$18*Pipeline!$D$18*MIN(1,MAX(0,(58-Pipeline!$E$18+1)/MAX(Pipeline!$F$18,1)))</f>
        <v>9428.625</v>
      </c>
      <c r="BI11" s="100" t="n">
        <f aca="false">Pipeline!$Q$18*Pipeline!$D$18*MIN(1,MAX(0,(59-Pipeline!$E$18+1)/MAX(Pipeline!$F$18,1)))</f>
        <v>9428.625</v>
      </c>
      <c r="BJ11" s="100" t="n">
        <f aca="false">Pipeline!$Q$18*Pipeline!$D$18*MIN(1,MAX(0,(60-Pipeline!$E$18+1)/MAX(Pipeline!$F$18,1)))</f>
        <v>9428.625</v>
      </c>
      <c r="BK11" s="100" t="n">
        <f aca="false">Pipeline!$Q$18*Pipeline!$D$18*MIN(1,MAX(0,(61-Pipeline!$E$18+1)/MAX(Pipeline!$F$18,1)))</f>
        <v>9428.625</v>
      </c>
      <c r="BL11" s="100" t="n">
        <f aca="false">Pipeline!$Q$18*Pipeline!$D$18*MIN(1,MAX(0,(62-Pipeline!$E$18+1)/MAX(Pipeline!$F$18,1)))</f>
        <v>9428.625</v>
      </c>
      <c r="BM11" s="100" t="n">
        <f aca="false">Pipeline!$Q$18*Pipeline!$D$18*MIN(1,MAX(0,(63-Pipeline!$E$18+1)/MAX(Pipeline!$F$18,1)))</f>
        <v>9428.625</v>
      </c>
      <c r="BN11" s="100" t="n">
        <f aca="false">Pipeline!$Q$18*Pipeline!$D$18*MIN(1,MAX(0,(64-Pipeline!$E$18+1)/MAX(Pipeline!$F$18,1)))</f>
        <v>9428.625</v>
      </c>
      <c r="BO11" s="100" t="n">
        <f aca="false">Pipeline!$Q$18*Pipeline!$D$18*MIN(1,MAX(0,(65-Pipeline!$E$18+1)/MAX(Pipeline!$F$18,1)))</f>
        <v>9428.625</v>
      </c>
      <c r="BP11" s="100" t="n">
        <f aca="false">Pipeline!$Q$18*Pipeline!$D$18*MIN(1,MAX(0,(66-Pipeline!$E$18+1)/MAX(Pipeline!$F$18,1)))</f>
        <v>9428.625</v>
      </c>
      <c r="BQ11" s="100" t="n">
        <f aca="false">Pipeline!$Q$18*Pipeline!$D$18*MIN(1,MAX(0,(67-Pipeline!$E$18+1)/MAX(Pipeline!$F$18,1)))</f>
        <v>9428.625</v>
      </c>
      <c r="BR11" s="100" t="n">
        <f aca="false">Pipeline!$Q$18*Pipeline!$D$18*MIN(1,MAX(0,(68-Pipeline!$E$18+1)/MAX(Pipeline!$F$18,1)))</f>
        <v>9428.625</v>
      </c>
      <c r="BS11" s="100" t="n">
        <f aca="false">Pipeline!$Q$18*Pipeline!$D$18*MIN(1,MAX(0,(69-Pipeline!$E$18+1)/MAX(Pipeline!$F$18,1)))</f>
        <v>9428.625</v>
      </c>
      <c r="BT11" s="100" t="n">
        <f aca="false">Pipeline!$Q$18*Pipeline!$D$18*MIN(1,MAX(0,(70-Pipeline!$E$18+1)/MAX(Pipeline!$F$18,1)))</f>
        <v>9428.625</v>
      </c>
      <c r="BU11" s="100" t="n">
        <f aca="false">Pipeline!$Q$18*Pipeline!$D$18*MIN(1,MAX(0,(71-Pipeline!$E$18+1)/MAX(Pipeline!$F$18,1)))</f>
        <v>9428.625</v>
      </c>
      <c r="BV11" s="100" t="n">
        <f aca="false">Pipeline!$Q$18*Pipeline!$D$18*MIN(1,MAX(0,(72-Pipeline!$E$18+1)/MAX(Pipeline!$F$18,1)))</f>
        <v>9428.625</v>
      </c>
      <c r="BW11" s="100" t="n">
        <f aca="false">Pipeline!$Q$18*Pipeline!$D$18*MIN(1,MAX(0,(73-Pipeline!$E$18+1)/MAX(Pipeline!$F$18,1)))</f>
        <v>9428.625</v>
      </c>
      <c r="BX11" s="100" t="n">
        <f aca="false">Pipeline!$Q$18*Pipeline!$D$18*MIN(1,MAX(0,(74-Pipeline!$E$18+1)/MAX(Pipeline!$F$18,1)))</f>
        <v>9428.625</v>
      </c>
      <c r="BY11" s="100" t="n">
        <f aca="false">Pipeline!$Q$18*Pipeline!$D$18*MIN(1,MAX(0,(75-Pipeline!$E$18+1)/MAX(Pipeline!$F$18,1)))</f>
        <v>9428.625</v>
      </c>
      <c r="BZ11" s="100" t="n">
        <f aca="false">Pipeline!$Q$18*Pipeline!$D$18*MIN(1,MAX(0,(76-Pipeline!$E$18+1)/MAX(Pipeline!$F$18,1)))</f>
        <v>9428.625</v>
      </c>
      <c r="CA11" s="100" t="n">
        <f aca="false">Pipeline!$Q$18*Pipeline!$D$18*MIN(1,MAX(0,(77-Pipeline!$E$18+1)/MAX(Pipeline!$F$18,1)))</f>
        <v>9428.625</v>
      </c>
      <c r="CB11" s="100" t="n">
        <f aca="false">Pipeline!$Q$18*Pipeline!$D$18*MIN(1,MAX(0,(78-Pipeline!$E$18+1)/MAX(Pipeline!$F$18,1)))</f>
        <v>9428.625</v>
      </c>
      <c r="CC11" s="100" t="n">
        <f aca="false">Pipeline!$Q$18*Pipeline!$D$18*MIN(1,MAX(0,(79-Pipeline!$E$18+1)/MAX(Pipeline!$F$18,1)))</f>
        <v>9428.625</v>
      </c>
      <c r="CD11" s="100" t="n">
        <f aca="false">Pipeline!$Q$18*Pipeline!$D$18*MIN(1,MAX(0,(80-Pipeline!$E$18+1)/MAX(Pipeline!$F$18,1)))</f>
        <v>9428.625</v>
      </c>
      <c r="CE11" s="100" t="n">
        <f aca="false">Pipeline!$Q$18*Pipeline!$D$18*MIN(1,MAX(0,(81-Pipeline!$E$18+1)/MAX(Pipeline!$F$18,1)))</f>
        <v>9428.625</v>
      </c>
      <c r="CF11" s="100" t="n">
        <f aca="false">Pipeline!$Q$18*Pipeline!$D$18*MIN(1,MAX(0,(82-Pipeline!$E$18+1)/MAX(Pipeline!$F$18,1)))</f>
        <v>9428.625</v>
      </c>
      <c r="CG11" s="100" t="n">
        <f aca="false">Pipeline!$Q$18*Pipeline!$D$18*MIN(1,MAX(0,(83-Pipeline!$E$18+1)/MAX(Pipeline!$F$18,1)))</f>
        <v>9428.625</v>
      </c>
      <c r="CH11" s="100" t="n">
        <f aca="false">Pipeline!$Q$18*Pipeline!$D$18*MIN(1,MAX(0,(84-Pipeline!$E$18+1)/MAX(Pipeline!$F$18,1)))</f>
        <v>9428.625</v>
      </c>
    </row>
    <row r="12" customFormat="false" ht="13.5" hidden="false" customHeight="true" outlineLevel="0" collapsed="false">
      <c r="A12" s="6" t="s">
        <v>492</v>
      </c>
      <c r="C12" s="100" t="n">
        <f aca="false">Pipeline!$Q$19*Pipeline!$D$19*MIN(1,MAX(0,(1-Pipeline!$E$19+1)/MAX(Pipeline!$F$19,1)))</f>
        <v>0</v>
      </c>
      <c r="D12" s="100" t="n">
        <f aca="false">Pipeline!$Q$19*Pipeline!$D$19*MIN(1,MAX(0,(2-Pipeline!$E$19+1)/MAX(Pipeline!$F$19,1)))</f>
        <v>0</v>
      </c>
      <c r="E12" s="100" t="n">
        <f aca="false">Pipeline!$Q$19*Pipeline!$D$19*MIN(1,MAX(0,(3-Pipeline!$E$19+1)/MAX(Pipeline!$F$19,1)))</f>
        <v>0</v>
      </c>
      <c r="F12" s="100" t="n">
        <f aca="false">Pipeline!$Q$19*Pipeline!$D$19*MIN(1,MAX(0,(4-Pipeline!$E$19+1)/MAX(Pipeline!$F$19,1)))</f>
        <v>0</v>
      </c>
      <c r="G12" s="100" t="n">
        <f aca="false">Pipeline!$Q$19*Pipeline!$D$19*MIN(1,MAX(0,(5-Pipeline!$E$19+1)/MAX(Pipeline!$F$19,1)))</f>
        <v>0</v>
      </c>
      <c r="H12" s="100" t="n">
        <f aca="false">Pipeline!$Q$19*Pipeline!$D$19*MIN(1,MAX(0,(6-Pipeline!$E$19+1)/MAX(Pipeline!$F$19,1)))</f>
        <v>717.75</v>
      </c>
      <c r="I12" s="100" t="n">
        <f aca="false">Pipeline!$Q$19*Pipeline!$D$19*MIN(1,MAX(0,(7-Pipeline!$E$19+1)/MAX(Pipeline!$F$19,1)))</f>
        <v>1435.5</v>
      </c>
      <c r="J12" s="100" t="n">
        <f aca="false">Pipeline!$Q$19*Pipeline!$D$19*MIN(1,MAX(0,(8-Pipeline!$E$19+1)/MAX(Pipeline!$F$19,1)))</f>
        <v>2153.25</v>
      </c>
      <c r="K12" s="100" t="n">
        <f aca="false">Pipeline!$Q$19*Pipeline!$D$19*MIN(1,MAX(0,(9-Pipeline!$E$19+1)/MAX(Pipeline!$F$19,1)))</f>
        <v>2871</v>
      </c>
      <c r="L12" s="100" t="n">
        <f aca="false">Pipeline!$Q$19*Pipeline!$D$19*MIN(1,MAX(0,(10-Pipeline!$E$19+1)/MAX(Pipeline!$F$19,1)))</f>
        <v>3588.75</v>
      </c>
      <c r="M12" s="100" t="n">
        <f aca="false">Pipeline!$Q$19*Pipeline!$D$19*MIN(1,MAX(0,(11-Pipeline!$E$19+1)/MAX(Pipeline!$F$19,1)))</f>
        <v>4306.5</v>
      </c>
      <c r="N12" s="100" t="n">
        <f aca="false">Pipeline!$Q$19*Pipeline!$D$19*MIN(1,MAX(0,(12-Pipeline!$E$19+1)/MAX(Pipeline!$F$19,1)))</f>
        <v>5024.25</v>
      </c>
      <c r="O12" s="100" t="n">
        <f aca="false">Pipeline!$Q$19*Pipeline!$D$19*MIN(1,MAX(0,(13-Pipeline!$E$19+1)/MAX(Pipeline!$F$19,1)))</f>
        <v>5742</v>
      </c>
      <c r="P12" s="100" t="n">
        <f aca="false">Pipeline!$Q$19*Pipeline!$D$19*MIN(1,MAX(0,(14-Pipeline!$E$19+1)/MAX(Pipeline!$F$19,1)))</f>
        <v>5742</v>
      </c>
      <c r="Q12" s="100" t="n">
        <f aca="false">Pipeline!$Q$19*Pipeline!$D$19*MIN(1,MAX(0,(15-Pipeline!$E$19+1)/MAX(Pipeline!$F$19,1)))</f>
        <v>5742</v>
      </c>
      <c r="R12" s="100" t="n">
        <f aca="false">Pipeline!$Q$19*Pipeline!$D$19*MIN(1,MAX(0,(16-Pipeline!$E$19+1)/MAX(Pipeline!$F$19,1)))</f>
        <v>5742</v>
      </c>
      <c r="S12" s="100" t="n">
        <f aca="false">Pipeline!$Q$19*Pipeline!$D$19*MIN(1,MAX(0,(17-Pipeline!$E$19+1)/MAX(Pipeline!$F$19,1)))</f>
        <v>5742</v>
      </c>
      <c r="T12" s="100" t="n">
        <f aca="false">Pipeline!$Q$19*Pipeline!$D$19*MIN(1,MAX(0,(18-Pipeline!$E$19+1)/MAX(Pipeline!$F$19,1)))</f>
        <v>5742</v>
      </c>
      <c r="U12" s="100" t="n">
        <f aca="false">Pipeline!$Q$19*Pipeline!$D$19*MIN(1,MAX(0,(19-Pipeline!$E$19+1)/MAX(Pipeline!$F$19,1)))</f>
        <v>5742</v>
      </c>
      <c r="V12" s="100" t="n">
        <f aca="false">Pipeline!$Q$19*Pipeline!$D$19*MIN(1,MAX(0,(20-Pipeline!$E$19+1)/MAX(Pipeline!$F$19,1)))</f>
        <v>5742</v>
      </c>
      <c r="W12" s="100" t="n">
        <f aca="false">Pipeline!$Q$19*Pipeline!$D$19*MIN(1,MAX(0,(21-Pipeline!$E$19+1)/MAX(Pipeline!$F$19,1)))</f>
        <v>5742</v>
      </c>
      <c r="X12" s="100" t="n">
        <f aca="false">Pipeline!$Q$19*Pipeline!$D$19*MIN(1,MAX(0,(22-Pipeline!$E$19+1)/MAX(Pipeline!$F$19,1)))</f>
        <v>5742</v>
      </c>
      <c r="Y12" s="100" t="n">
        <f aca="false">Pipeline!$Q$19*Pipeline!$D$19*MIN(1,MAX(0,(23-Pipeline!$E$19+1)/MAX(Pipeline!$F$19,1)))</f>
        <v>5742</v>
      </c>
      <c r="Z12" s="100" t="n">
        <f aca="false">Pipeline!$Q$19*Pipeline!$D$19*MIN(1,MAX(0,(24-Pipeline!$E$19+1)/MAX(Pipeline!$F$19,1)))</f>
        <v>5742</v>
      </c>
      <c r="AA12" s="100" t="n">
        <f aca="false">Pipeline!$Q$19*Pipeline!$D$19*MIN(1,MAX(0,(25-Pipeline!$E$19+1)/MAX(Pipeline!$F$19,1)))</f>
        <v>5742</v>
      </c>
      <c r="AB12" s="100" t="n">
        <f aca="false">Pipeline!$Q$19*Pipeline!$D$19*MIN(1,MAX(0,(26-Pipeline!$E$19+1)/MAX(Pipeline!$F$19,1)))</f>
        <v>5742</v>
      </c>
      <c r="AC12" s="100" t="n">
        <f aca="false">Pipeline!$Q$19*Pipeline!$D$19*MIN(1,MAX(0,(27-Pipeline!$E$19+1)/MAX(Pipeline!$F$19,1)))</f>
        <v>5742</v>
      </c>
      <c r="AD12" s="100" t="n">
        <f aca="false">Pipeline!$Q$19*Pipeline!$D$19*MIN(1,MAX(0,(28-Pipeline!$E$19+1)/MAX(Pipeline!$F$19,1)))</f>
        <v>5742</v>
      </c>
      <c r="AE12" s="100" t="n">
        <f aca="false">Pipeline!$Q$19*Pipeline!$D$19*MIN(1,MAX(0,(29-Pipeline!$E$19+1)/MAX(Pipeline!$F$19,1)))</f>
        <v>5742</v>
      </c>
      <c r="AF12" s="100" t="n">
        <f aca="false">Pipeline!$Q$19*Pipeline!$D$19*MIN(1,MAX(0,(30-Pipeline!$E$19+1)/MAX(Pipeline!$F$19,1)))</f>
        <v>5742</v>
      </c>
      <c r="AG12" s="100" t="n">
        <f aca="false">Pipeline!$Q$19*Pipeline!$D$19*MIN(1,MAX(0,(31-Pipeline!$E$19+1)/MAX(Pipeline!$F$19,1)))</f>
        <v>5742</v>
      </c>
      <c r="AH12" s="100" t="n">
        <f aca="false">Pipeline!$Q$19*Pipeline!$D$19*MIN(1,MAX(0,(32-Pipeline!$E$19+1)/MAX(Pipeline!$F$19,1)))</f>
        <v>5742</v>
      </c>
      <c r="AI12" s="100" t="n">
        <f aca="false">Pipeline!$Q$19*Pipeline!$D$19*MIN(1,MAX(0,(33-Pipeline!$E$19+1)/MAX(Pipeline!$F$19,1)))</f>
        <v>5742</v>
      </c>
      <c r="AJ12" s="100" t="n">
        <f aca="false">Pipeline!$Q$19*Pipeline!$D$19*MIN(1,MAX(0,(34-Pipeline!$E$19+1)/MAX(Pipeline!$F$19,1)))</f>
        <v>5742</v>
      </c>
      <c r="AK12" s="100" t="n">
        <f aca="false">Pipeline!$Q$19*Pipeline!$D$19*MIN(1,MAX(0,(35-Pipeline!$E$19+1)/MAX(Pipeline!$F$19,1)))</f>
        <v>5742</v>
      </c>
      <c r="AL12" s="100" t="n">
        <f aca="false">Pipeline!$Q$19*Pipeline!$D$19*MIN(1,MAX(0,(36-Pipeline!$E$19+1)/MAX(Pipeline!$F$19,1)))</f>
        <v>5742</v>
      </c>
      <c r="AM12" s="100" t="n">
        <f aca="false">Pipeline!$Q$19*Pipeline!$D$19*MIN(1,MAX(0,(37-Pipeline!$E$19+1)/MAX(Pipeline!$F$19,1)))</f>
        <v>5742</v>
      </c>
      <c r="AN12" s="100" t="n">
        <f aca="false">Pipeline!$Q$19*Pipeline!$D$19*MIN(1,MAX(0,(38-Pipeline!$E$19+1)/MAX(Pipeline!$F$19,1)))</f>
        <v>5742</v>
      </c>
      <c r="AO12" s="100" t="n">
        <f aca="false">Pipeline!$Q$19*Pipeline!$D$19*MIN(1,MAX(0,(39-Pipeline!$E$19+1)/MAX(Pipeline!$F$19,1)))</f>
        <v>5742</v>
      </c>
      <c r="AP12" s="100" t="n">
        <f aca="false">Pipeline!$Q$19*Pipeline!$D$19*MIN(1,MAX(0,(40-Pipeline!$E$19+1)/MAX(Pipeline!$F$19,1)))</f>
        <v>5742</v>
      </c>
      <c r="AQ12" s="100" t="n">
        <f aca="false">Pipeline!$Q$19*Pipeline!$D$19*MIN(1,MAX(0,(41-Pipeline!$E$19+1)/MAX(Pipeline!$F$19,1)))</f>
        <v>5742</v>
      </c>
      <c r="AR12" s="100" t="n">
        <f aca="false">Pipeline!$Q$19*Pipeline!$D$19*MIN(1,MAX(0,(42-Pipeline!$E$19+1)/MAX(Pipeline!$F$19,1)))</f>
        <v>5742</v>
      </c>
      <c r="AS12" s="100" t="n">
        <f aca="false">Pipeline!$Q$19*Pipeline!$D$19*MIN(1,MAX(0,(43-Pipeline!$E$19+1)/MAX(Pipeline!$F$19,1)))</f>
        <v>5742</v>
      </c>
      <c r="AT12" s="100" t="n">
        <f aca="false">Pipeline!$Q$19*Pipeline!$D$19*MIN(1,MAX(0,(44-Pipeline!$E$19+1)/MAX(Pipeline!$F$19,1)))</f>
        <v>5742</v>
      </c>
      <c r="AU12" s="100" t="n">
        <f aca="false">Pipeline!$Q$19*Pipeline!$D$19*MIN(1,MAX(0,(45-Pipeline!$E$19+1)/MAX(Pipeline!$F$19,1)))</f>
        <v>5742</v>
      </c>
      <c r="AV12" s="100" t="n">
        <f aca="false">Pipeline!$Q$19*Pipeline!$D$19*MIN(1,MAX(0,(46-Pipeline!$E$19+1)/MAX(Pipeline!$F$19,1)))</f>
        <v>5742</v>
      </c>
      <c r="AW12" s="100" t="n">
        <f aca="false">Pipeline!$Q$19*Pipeline!$D$19*MIN(1,MAX(0,(47-Pipeline!$E$19+1)/MAX(Pipeline!$F$19,1)))</f>
        <v>5742</v>
      </c>
      <c r="AX12" s="100" t="n">
        <f aca="false">Pipeline!$Q$19*Pipeline!$D$19*MIN(1,MAX(0,(48-Pipeline!$E$19+1)/MAX(Pipeline!$F$19,1)))</f>
        <v>5742</v>
      </c>
      <c r="AY12" s="100" t="n">
        <f aca="false">Pipeline!$Q$19*Pipeline!$D$19*MIN(1,MAX(0,(49-Pipeline!$E$19+1)/MAX(Pipeline!$F$19,1)))</f>
        <v>5742</v>
      </c>
      <c r="AZ12" s="100" t="n">
        <f aca="false">Pipeline!$Q$19*Pipeline!$D$19*MIN(1,MAX(0,(50-Pipeline!$E$19+1)/MAX(Pipeline!$F$19,1)))</f>
        <v>5742</v>
      </c>
      <c r="BA12" s="100" t="n">
        <f aca="false">Pipeline!$Q$19*Pipeline!$D$19*MIN(1,MAX(0,(51-Pipeline!$E$19+1)/MAX(Pipeline!$F$19,1)))</f>
        <v>5742</v>
      </c>
      <c r="BB12" s="100" t="n">
        <f aca="false">Pipeline!$Q$19*Pipeline!$D$19*MIN(1,MAX(0,(52-Pipeline!$E$19+1)/MAX(Pipeline!$F$19,1)))</f>
        <v>5742</v>
      </c>
      <c r="BC12" s="100" t="n">
        <f aca="false">Pipeline!$Q$19*Pipeline!$D$19*MIN(1,MAX(0,(53-Pipeline!$E$19+1)/MAX(Pipeline!$F$19,1)))</f>
        <v>5742</v>
      </c>
      <c r="BD12" s="100" t="n">
        <f aca="false">Pipeline!$Q$19*Pipeline!$D$19*MIN(1,MAX(0,(54-Pipeline!$E$19+1)/MAX(Pipeline!$F$19,1)))</f>
        <v>5742</v>
      </c>
      <c r="BE12" s="100" t="n">
        <f aca="false">Pipeline!$Q$19*Pipeline!$D$19*MIN(1,MAX(0,(55-Pipeline!$E$19+1)/MAX(Pipeline!$F$19,1)))</f>
        <v>5742</v>
      </c>
      <c r="BF12" s="100" t="n">
        <f aca="false">Pipeline!$Q$19*Pipeline!$D$19*MIN(1,MAX(0,(56-Pipeline!$E$19+1)/MAX(Pipeline!$F$19,1)))</f>
        <v>5742</v>
      </c>
      <c r="BG12" s="100" t="n">
        <f aca="false">Pipeline!$Q$19*Pipeline!$D$19*MIN(1,MAX(0,(57-Pipeline!$E$19+1)/MAX(Pipeline!$F$19,1)))</f>
        <v>5742</v>
      </c>
      <c r="BH12" s="100" t="n">
        <f aca="false">Pipeline!$Q$19*Pipeline!$D$19*MIN(1,MAX(0,(58-Pipeline!$E$19+1)/MAX(Pipeline!$F$19,1)))</f>
        <v>5742</v>
      </c>
      <c r="BI12" s="100" t="n">
        <f aca="false">Pipeline!$Q$19*Pipeline!$D$19*MIN(1,MAX(0,(59-Pipeline!$E$19+1)/MAX(Pipeline!$F$19,1)))</f>
        <v>5742</v>
      </c>
      <c r="BJ12" s="100" t="n">
        <f aca="false">Pipeline!$Q$19*Pipeline!$D$19*MIN(1,MAX(0,(60-Pipeline!$E$19+1)/MAX(Pipeline!$F$19,1)))</f>
        <v>5742</v>
      </c>
      <c r="BK12" s="100" t="n">
        <f aca="false">Pipeline!$Q$19*Pipeline!$D$19*MIN(1,MAX(0,(61-Pipeline!$E$19+1)/MAX(Pipeline!$F$19,1)))</f>
        <v>5742</v>
      </c>
      <c r="BL12" s="100" t="n">
        <f aca="false">Pipeline!$Q$19*Pipeline!$D$19*MIN(1,MAX(0,(62-Pipeline!$E$19+1)/MAX(Pipeline!$F$19,1)))</f>
        <v>5742</v>
      </c>
      <c r="BM12" s="100" t="n">
        <f aca="false">Pipeline!$Q$19*Pipeline!$D$19*MIN(1,MAX(0,(63-Pipeline!$E$19+1)/MAX(Pipeline!$F$19,1)))</f>
        <v>5742</v>
      </c>
      <c r="BN12" s="100" t="n">
        <f aca="false">Pipeline!$Q$19*Pipeline!$D$19*MIN(1,MAX(0,(64-Pipeline!$E$19+1)/MAX(Pipeline!$F$19,1)))</f>
        <v>5742</v>
      </c>
      <c r="BO12" s="100" t="n">
        <f aca="false">Pipeline!$Q$19*Pipeline!$D$19*MIN(1,MAX(0,(65-Pipeline!$E$19+1)/MAX(Pipeline!$F$19,1)))</f>
        <v>5742</v>
      </c>
      <c r="BP12" s="100" t="n">
        <f aca="false">Pipeline!$Q$19*Pipeline!$D$19*MIN(1,MAX(0,(66-Pipeline!$E$19+1)/MAX(Pipeline!$F$19,1)))</f>
        <v>5742</v>
      </c>
      <c r="BQ12" s="100" t="n">
        <f aca="false">Pipeline!$Q$19*Pipeline!$D$19*MIN(1,MAX(0,(67-Pipeline!$E$19+1)/MAX(Pipeline!$F$19,1)))</f>
        <v>5742</v>
      </c>
      <c r="BR12" s="100" t="n">
        <f aca="false">Pipeline!$Q$19*Pipeline!$D$19*MIN(1,MAX(0,(68-Pipeline!$E$19+1)/MAX(Pipeline!$F$19,1)))</f>
        <v>5742</v>
      </c>
      <c r="BS12" s="100" t="n">
        <f aca="false">Pipeline!$Q$19*Pipeline!$D$19*MIN(1,MAX(0,(69-Pipeline!$E$19+1)/MAX(Pipeline!$F$19,1)))</f>
        <v>5742</v>
      </c>
      <c r="BT12" s="100" t="n">
        <f aca="false">Pipeline!$Q$19*Pipeline!$D$19*MIN(1,MAX(0,(70-Pipeline!$E$19+1)/MAX(Pipeline!$F$19,1)))</f>
        <v>5742</v>
      </c>
      <c r="BU12" s="100" t="n">
        <f aca="false">Pipeline!$Q$19*Pipeline!$D$19*MIN(1,MAX(0,(71-Pipeline!$E$19+1)/MAX(Pipeline!$F$19,1)))</f>
        <v>5742</v>
      </c>
      <c r="BV12" s="100" t="n">
        <f aca="false">Pipeline!$Q$19*Pipeline!$D$19*MIN(1,MAX(0,(72-Pipeline!$E$19+1)/MAX(Pipeline!$F$19,1)))</f>
        <v>5742</v>
      </c>
      <c r="BW12" s="100" t="n">
        <f aca="false">Pipeline!$Q$19*Pipeline!$D$19*MIN(1,MAX(0,(73-Pipeline!$E$19+1)/MAX(Pipeline!$F$19,1)))</f>
        <v>5742</v>
      </c>
      <c r="BX12" s="100" t="n">
        <f aca="false">Pipeline!$Q$19*Pipeline!$D$19*MIN(1,MAX(0,(74-Pipeline!$E$19+1)/MAX(Pipeline!$F$19,1)))</f>
        <v>5742</v>
      </c>
      <c r="BY12" s="100" t="n">
        <f aca="false">Pipeline!$Q$19*Pipeline!$D$19*MIN(1,MAX(0,(75-Pipeline!$E$19+1)/MAX(Pipeline!$F$19,1)))</f>
        <v>5742</v>
      </c>
      <c r="BZ12" s="100" t="n">
        <f aca="false">Pipeline!$Q$19*Pipeline!$D$19*MIN(1,MAX(0,(76-Pipeline!$E$19+1)/MAX(Pipeline!$F$19,1)))</f>
        <v>5742</v>
      </c>
      <c r="CA12" s="100" t="n">
        <f aca="false">Pipeline!$Q$19*Pipeline!$D$19*MIN(1,MAX(0,(77-Pipeline!$E$19+1)/MAX(Pipeline!$F$19,1)))</f>
        <v>5742</v>
      </c>
      <c r="CB12" s="100" t="n">
        <f aca="false">Pipeline!$Q$19*Pipeline!$D$19*MIN(1,MAX(0,(78-Pipeline!$E$19+1)/MAX(Pipeline!$F$19,1)))</f>
        <v>5742</v>
      </c>
      <c r="CC12" s="100" t="n">
        <f aca="false">Pipeline!$Q$19*Pipeline!$D$19*MIN(1,MAX(0,(79-Pipeline!$E$19+1)/MAX(Pipeline!$F$19,1)))</f>
        <v>5742</v>
      </c>
      <c r="CD12" s="100" t="n">
        <f aca="false">Pipeline!$Q$19*Pipeline!$D$19*MIN(1,MAX(0,(80-Pipeline!$E$19+1)/MAX(Pipeline!$F$19,1)))</f>
        <v>5742</v>
      </c>
      <c r="CE12" s="100" t="n">
        <f aca="false">Pipeline!$Q$19*Pipeline!$D$19*MIN(1,MAX(0,(81-Pipeline!$E$19+1)/MAX(Pipeline!$F$19,1)))</f>
        <v>5742</v>
      </c>
      <c r="CF12" s="100" t="n">
        <f aca="false">Pipeline!$Q$19*Pipeline!$D$19*MIN(1,MAX(0,(82-Pipeline!$E$19+1)/MAX(Pipeline!$F$19,1)))</f>
        <v>5742</v>
      </c>
      <c r="CG12" s="100" t="n">
        <f aca="false">Pipeline!$Q$19*Pipeline!$D$19*MIN(1,MAX(0,(83-Pipeline!$E$19+1)/MAX(Pipeline!$F$19,1)))</f>
        <v>5742</v>
      </c>
      <c r="CH12" s="100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6" t="s">
        <v>493</v>
      </c>
      <c r="C13" s="100" t="n">
        <f aca="false">Pipeline!$Q$20*Pipeline!$D$20*MIN(1,MAX(0,(1-Pipeline!$E$20+1)/MAX(Pipeline!$F$20,1)))</f>
        <v>0</v>
      </c>
      <c r="D13" s="100" t="n">
        <f aca="false">Pipeline!$Q$20*Pipeline!$D$20*MIN(1,MAX(0,(2-Pipeline!$E$20+1)/MAX(Pipeline!$F$20,1)))</f>
        <v>0</v>
      </c>
      <c r="E13" s="100" t="n">
        <f aca="false">Pipeline!$Q$20*Pipeline!$D$20*MIN(1,MAX(0,(3-Pipeline!$E$20+1)/MAX(Pipeline!$F$20,1)))</f>
        <v>0</v>
      </c>
      <c r="F13" s="100" t="n">
        <f aca="false">Pipeline!$Q$20*Pipeline!$D$20*MIN(1,MAX(0,(4-Pipeline!$E$20+1)/MAX(Pipeline!$F$20,1)))</f>
        <v>0</v>
      </c>
      <c r="G13" s="100" t="n">
        <f aca="false">Pipeline!$Q$20*Pipeline!$D$20*MIN(1,MAX(0,(5-Pipeline!$E$20+1)/MAX(Pipeline!$F$20,1)))</f>
        <v>0</v>
      </c>
      <c r="H13" s="100" t="n">
        <f aca="false">Pipeline!$Q$20*Pipeline!$D$20*MIN(1,MAX(0,(6-Pipeline!$E$20+1)/MAX(Pipeline!$F$20,1)))</f>
        <v>0</v>
      </c>
      <c r="I13" s="100" t="n">
        <f aca="false">Pipeline!$Q$20*Pipeline!$D$20*MIN(1,MAX(0,(7-Pipeline!$E$20+1)/MAX(Pipeline!$F$20,1)))</f>
        <v>0</v>
      </c>
      <c r="J13" s="100" t="n">
        <f aca="false">Pipeline!$Q$20*Pipeline!$D$20*MIN(1,MAX(0,(8-Pipeline!$E$20+1)/MAX(Pipeline!$F$20,1)))</f>
        <v>0</v>
      </c>
      <c r="K13" s="100" t="n">
        <f aca="false">Pipeline!$Q$20*Pipeline!$D$20*MIN(1,MAX(0,(9-Pipeline!$E$20+1)/MAX(Pipeline!$F$20,1)))</f>
        <v>0</v>
      </c>
      <c r="L13" s="100" t="n">
        <f aca="false">Pipeline!$Q$20*Pipeline!$D$20*MIN(1,MAX(0,(10-Pipeline!$E$20+1)/MAX(Pipeline!$F$20,1)))</f>
        <v>0</v>
      </c>
      <c r="M13" s="100" t="n">
        <f aca="false">Pipeline!$Q$20*Pipeline!$D$20*MIN(1,MAX(0,(11-Pipeline!$E$20+1)/MAX(Pipeline!$F$20,1)))</f>
        <v>0</v>
      </c>
      <c r="N13" s="100" t="n">
        <f aca="false">Pipeline!$Q$20*Pipeline!$D$20*MIN(1,MAX(0,(12-Pipeline!$E$20+1)/MAX(Pipeline!$F$20,1)))</f>
        <v>978.75</v>
      </c>
      <c r="O13" s="100" t="n">
        <f aca="false">Pipeline!$Q$20*Pipeline!$D$20*MIN(1,MAX(0,(13-Pipeline!$E$20+1)/MAX(Pipeline!$F$20,1)))</f>
        <v>1957.5</v>
      </c>
      <c r="P13" s="100" t="n">
        <f aca="false">Pipeline!$Q$20*Pipeline!$D$20*MIN(1,MAX(0,(14-Pipeline!$E$20+1)/MAX(Pipeline!$F$20,1)))</f>
        <v>2936.25</v>
      </c>
      <c r="Q13" s="100" t="n">
        <f aca="false">Pipeline!$Q$20*Pipeline!$D$20*MIN(1,MAX(0,(15-Pipeline!$E$20+1)/MAX(Pipeline!$F$20,1)))</f>
        <v>3915</v>
      </c>
      <c r="R13" s="100" t="n">
        <f aca="false">Pipeline!$Q$20*Pipeline!$D$20*MIN(1,MAX(0,(16-Pipeline!$E$20+1)/MAX(Pipeline!$F$20,1)))</f>
        <v>4893.75</v>
      </c>
      <c r="S13" s="100" t="n">
        <f aca="false">Pipeline!$Q$20*Pipeline!$D$20*MIN(1,MAX(0,(17-Pipeline!$E$20+1)/MAX(Pipeline!$F$20,1)))</f>
        <v>5872.5</v>
      </c>
      <c r="T13" s="100" t="n">
        <f aca="false">Pipeline!$Q$20*Pipeline!$D$20*MIN(1,MAX(0,(18-Pipeline!$E$20+1)/MAX(Pipeline!$F$20,1)))</f>
        <v>6851.25</v>
      </c>
      <c r="U13" s="100" t="n">
        <f aca="false">Pipeline!$Q$20*Pipeline!$D$20*MIN(1,MAX(0,(19-Pipeline!$E$20+1)/MAX(Pipeline!$F$20,1)))</f>
        <v>7830</v>
      </c>
      <c r="V13" s="100" t="n">
        <f aca="false">Pipeline!$Q$20*Pipeline!$D$20*MIN(1,MAX(0,(20-Pipeline!$E$20+1)/MAX(Pipeline!$F$20,1)))</f>
        <v>8808.75</v>
      </c>
      <c r="W13" s="100" t="n">
        <f aca="false">Pipeline!$Q$20*Pipeline!$D$20*MIN(1,MAX(0,(21-Pipeline!$E$20+1)/MAX(Pipeline!$F$20,1)))</f>
        <v>9787.5</v>
      </c>
      <c r="X13" s="100" t="n">
        <f aca="false">Pipeline!$Q$20*Pipeline!$D$20*MIN(1,MAX(0,(22-Pipeline!$E$20+1)/MAX(Pipeline!$F$20,1)))</f>
        <v>9787.5</v>
      </c>
      <c r="Y13" s="100" t="n">
        <f aca="false">Pipeline!$Q$20*Pipeline!$D$20*MIN(1,MAX(0,(23-Pipeline!$E$20+1)/MAX(Pipeline!$F$20,1)))</f>
        <v>9787.5</v>
      </c>
      <c r="Z13" s="100" t="n">
        <f aca="false">Pipeline!$Q$20*Pipeline!$D$20*MIN(1,MAX(0,(24-Pipeline!$E$20+1)/MAX(Pipeline!$F$20,1)))</f>
        <v>9787.5</v>
      </c>
      <c r="AA13" s="100" t="n">
        <f aca="false">Pipeline!$Q$20*Pipeline!$D$20*MIN(1,MAX(0,(25-Pipeline!$E$20+1)/MAX(Pipeline!$F$20,1)))</f>
        <v>9787.5</v>
      </c>
      <c r="AB13" s="100" t="n">
        <f aca="false">Pipeline!$Q$20*Pipeline!$D$20*MIN(1,MAX(0,(26-Pipeline!$E$20+1)/MAX(Pipeline!$F$20,1)))</f>
        <v>9787.5</v>
      </c>
      <c r="AC13" s="100" t="n">
        <f aca="false">Pipeline!$Q$20*Pipeline!$D$20*MIN(1,MAX(0,(27-Pipeline!$E$20+1)/MAX(Pipeline!$F$20,1)))</f>
        <v>9787.5</v>
      </c>
      <c r="AD13" s="100" t="n">
        <f aca="false">Pipeline!$Q$20*Pipeline!$D$20*MIN(1,MAX(0,(28-Pipeline!$E$20+1)/MAX(Pipeline!$F$20,1)))</f>
        <v>9787.5</v>
      </c>
      <c r="AE13" s="100" t="n">
        <f aca="false">Pipeline!$Q$20*Pipeline!$D$20*MIN(1,MAX(0,(29-Pipeline!$E$20+1)/MAX(Pipeline!$F$20,1)))</f>
        <v>9787.5</v>
      </c>
      <c r="AF13" s="100" t="n">
        <f aca="false">Pipeline!$Q$20*Pipeline!$D$20*MIN(1,MAX(0,(30-Pipeline!$E$20+1)/MAX(Pipeline!$F$20,1)))</f>
        <v>9787.5</v>
      </c>
      <c r="AG13" s="100" t="n">
        <f aca="false">Pipeline!$Q$20*Pipeline!$D$20*MIN(1,MAX(0,(31-Pipeline!$E$20+1)/MAX(Pipeline!$F$20,1)))</f>
        <v>9787.5</v>
      </c>
      <c r="AH13" s="100" t="n">
        <f aca="false">Pipeline!$Q$20*Pipeline!$D$20*MIN(1,MAX(0,(32-Pipeline!$E$20+1)/MAX(Pipeline!$F$20,1)))</f>
        <v>9787.5</v>
      </c>
      <c r="AI13" s="100" t="n">
        <f aca="false">Pipeline!$Q$20*Pipeline!$D$20*MIN(1,MAX(0,(33-Pipeline!$E$20+1)/MAX(Pipeline!$F$20,1)))</f>
        <v>9787.5</v>
      </c>
      <c r="AJ13" s="100" t="n">
        <f aca="false">Pipeline!$Q$20*Pipeline!$D$20*MIN(1,MAX(0,(34-Pipeline!$E$20+1)/MAX(Pipeline!$F$20,1)))</f>
        <v>9787.5</v>
      </c>
      <c r="AK13" s="100" t="n">
        <f aca="false">Pipeline!$Q$20*Pipeline!$D$20*MIN(1,MAX(0,(35-Pipeline!$E$20+1)/MAX(Pipeline!$F$20,1)))</f>
        <v>9787.5</v>
      </c>
      <c r="AL13" s="100" t="n">
        <f aca="false">Pipeline!$Q$20*Pipeline!$D$20*MIN(1,MAX(0,(36-Pipeline!$E$20+1)/MAX(Pipeline!$F$20,1)))</f>
        <v>9787.5</v>
      </c>
      <c r="AM13" s="100" t="n">
        <f aca="false">Pipeline!$Q$20*Pipeline!$D$20*MIN(1,MAX(0,(37-Pipeline!$E$20+1)/MAX(Pipeline!$F$20,1)))</f>
        <v>9787.5</v>
      </c>
      <c r="AN13" s="100" t="n">
        <f aca="false">Pipeline!$Q$20*Pipeline!$D$20*MIN(1,MAX(0,(38-Pipeline!$E$20+1)/MAX(Pipeline!$F$20,1)))</f>
        <v>9787.5</v>
      </c>
      <c r="AO13" s="100" t="n">
        <f aca="false">Pipeline!$Q$20*Pipeline!$D$20*MIN(1,MAX(0,(39-Pipeline!$E$20+1)/MAX(Pipeline!$F$20,1)))</f>
        <v>9787.5</v>
      </c>
      <c r="AP13" s="100" t="n">
        <f aca="false">Pipeline!$Q$20*Pipeline!$D$20*MIN(1,MAX(0,(40-Pipeline!$E$20+1)/MAX(Pipeline!$F$20,1)))</f>
        <v>9787.5</v>
      </c>
      <c r="AQ13" s="100" t="n">
        <f aca="false">Pipeline!$Q$20*Pipeline!$D$20*MIN(1,MAX(0,(41-Pipeline!$E$20+1)/MAX(Pipeline!$F$20,1)))</f>
        <v>9787.5</v>
      </c>
      <c r="AR13" s="100" t="n">
        <f aca="false">Pipeline!$Q$20*Pipeline!$D$20*MIN(1,MAX(0,(42-Pipeline!$E$20+1)/MAX(Pipeline!$F$20,1)))</f>
        <v>9787.5</v>
      </c>
      <c r="AS13" s="100" t="n">
        <f aca="false">Pipeline!$Q$20*Pipeline!$D$20*MIN(1,MAX(0,(43-Pipeline!$E$20+1)/MAX(Pipeline!$F$20,1)))</f>
        <v>9787.5</v>
      </c>
      <c r="AT13" s="100" t="n">
        <f aca="false">Pipeline!$Q$20*Pipeline!$D$20*MIN(1,MAX(0,(44-Pipeline!$E$20+1)/MAX(Pipeline!$F$20,1)))</f>
        <v>9787.5</v>
      </c>
      <c r="AU13" s="100" t="n">
        <f aca="false">Pipeline!$Q$20*Pipeline!$D$20*MIN(1,MAX(0,(45-Pipeline!$E$20+1)/MAX(Pipeline!$F$20,1)))</f>
        <v>9787.5</v>
      </c>
      <c r="AV13" s="100" t="n">
        <f aca="false">Pipeline!$Q$20*Pipeline!$D$20*MIN(1,MAX(0,(46-Pipeline!$E$20+1)/MAX(Pipeline!$F$20,1)))</f>
        <v>9787.5</v>
      </c>
      <c r="AW13" s="100" t="n">
        <f aca="false">Pipeline!$Q$20*Pipeline!$D$20*MIN(1,MAX(0,(47-Pipeline!$E$20+1)/MAX(Pipeline!$F$20,1)))</f>
        <v>9787.5</v>
      </c>
      <c r="AX13" s="100" t="n">
        <f aca="false">Pipeline!$Q$20*Pipeline!$D$20*MIN(1,MAX(0,(48-Pipeline!$E$20+1)/MAX(Pipeline!$F$20,1)))</f>
        <v>9787.5</v>
      </c>
      <c r="AY13" s="100" t="n">
        <f aca="false">Pipeline!$Q$20*Pipeline!$D$20*MIN(1,MAX(0,(49-Pipeline!$E$20+1)/MAX(Pipeline!$F$20,1)))</f>
        <v>9787.5</v>
      </c>
      <c r="AZ13" s="100" t="n">
        <f aca="false">Pipeline!$Q$20*Pipeline!$D$20*MIN(1,MAX(0,(50-Pipeline!$E$20+1)/MAX(Pipeline!$F$20,1)))</f>
        <v>9787.5</v>
      </c>
      <c r="BA13" s="100" t="n">
        <f aca="false">Pipeline!$Q$20*Pipeline!$D$20*MIN(1,MAX(0,(51-Pipeline!$E$20+1)/MAX(Pipeline!$F$20,1)))</f>
        <v>9787.5</v>
      </c>
      <c r="BB13" s="100" t="n">
        <f aca="false">Pipeline!$Q$20*Pipeline!$D$20*MIN(1,MAX(0,(52-Pipeline!$E$20+1)/MAX(Pipeline!$F$20,1)))</f>
        <v>9787.5</v>
      </c>
      <c r="BC13" s="100" t="n">
        <f aca="false">Pipeline!$Q$20*Pipeline!$D$20*MIN(1,MAX(0,(53-Pipeline!$E$20+1)/MAX(Pipeline!$F$20,1)))</f>
        <v>9787.5</v>
      </c>
      <c r="BD13" s="100" t="n">
        <f aca="false">Pipeline!$Q$20*Pipeline!$D$20*MIN(1,MAX(0,(54-Pipeline!$E$20+1)/MAX(Pipeline!$F$20,1)))</f>
        <v>9787.5</v>
      </c>
      <c r="BE13" s="100" t="n">
        <f aca="false">Pipeline!$Q$20*Pipeline!$D$20*MIN(1,MAX(0,(55-Pipeline!$E$20+1)/MAX(Pipeline!$F$20,1)))</f>
        <v>9787.5</v>
      </c>
      <c r="BF13" s="100" t="n">
        <f aca="false">Pipeline!$Q$20*Pipeline!$D$20*MIN(1,MAX(0,(56-Pipeline!$E$20+1)/MAX(Pipeline!$F$20,1)))</f>
        <v>9787.5</v>
      </c>
      <c r="BG13" s="100" t="n">
        <f aca="false">Pipeline!$Q$20*Pipeline!$D$20*MIN(1,MAX(0,(57-Pipeline!$E$20+1)/MAX(Pipeline!$F$20,1)))</f>
        <v>9787.5</v>
      </c>
      <c r="BH13" s="100" t="n">
        <f aca="false">Pipeline!$Q$20*Pipeline!$D$20*MIN(1,MAX(0,(58-Pipeline!$E$20+1)/MAX(Pipeline!$F$20,1)))</f>
        <v>9787.5</v>
      </c>
      <c r="BI13" s="100" t="n">
        <f aca="false">Pipeline!$Q$20*Pipeline!$D$20*MIN(1,MAX(0,(59-Pipeline!$E$20+1)/MAX(Pipeline!$F$20,1)))</f>
        <v>9787.5</v>
      </c>
      <c r="BJ13" s="100" t="n">
        <f aca="false">Pipeline!$Q$20*Pipeline!$D$20*MIN(1,MAX(0,(60-Pipeline!$E$20+1)/MAX(Pipeline!$F$20,1)))</f>
        <v>9787.5</v>
      </c>
      <c r="BK13" s="100" t="n">
        <f aca="false">Pipeline!$Q$20*Pipeline!$D$20*MIN(1,MAX(0,(61-Pipeline!$E$20+1)/MAX(Pipeline!$F$20,1)))</f>
        <v>9787.5</v>
      </c>
      <c r="BL13" s="100" t="n">
        <f aca="false">Pipeline!$Q$20*Pipeline!$D$20*MIN(1,MAX(0,(62-Pipeline!$E$20+1)/MAX(Pipeline!$F$20,1)))</f>
        <v>9787.5</v>
      </c>
      <c r="BM13" s="100" t="n">
        <f aca="false">Pipeline!$Q$20*Pipeline!$D$20*MIN(1,MAX(0,(63-Pipeline!$E$20+1)/MAX(Pipeline!$F$20,1)))</f>
        <v>9787.5</v>
      </c>
      <c r="BN13" s="100" t="n">
        <f aca="false">Pipeline!$Q$20*Pipeline!$D$20*MIN(1,MAX(0,(64-Pipeline!$E$20+1)/MAX(Pipeline!$F$20,1)))</f>
        <v>9787.5</v>
      </c>
      <c r="BO13" s="100" t="n">
        <f aca="false">Pipeline!$Q$20*Pipeline!$D$20*MIN(1,MAX(0,(65-Pipeline!$E$20+1)/MAX(Pipeline!$F$20,1)))</f>
        <v>9787.5</v>
      </c>
      <c r="BP13" s="100" t="n">
        <f aca="false">Pipeline!$Q$20*Pipeline!$D$20*MIN(1,MAX(0,(66-Pipeline!$E$20+1)/MAX(Pipeline!$F$20,1)))</f>
        <v>9787.5</v>
      </c>
      <c r="BQ13" s="100" t="n">
        <f aca="false">Pipeline!$Q$20*Pipeline!$D$20*MIN(1,MAX(0,(67-Pipeline!$E$20+1)/MAX(Pipeline!$F$20,1)))</f>
        <v>9787.5</v>
      </c>
      <c r="BR13" s="100" t="n">
        <f aca="false">Pipeline!$Q$20*Pipeline!$D$20*MIN(1,MAX(0,(68-Pipeline!$E$20+1)/MAX(Pipeline!$F$20,1)))</f>
        <v>9787.5</v>
      </c>
      <c r="BS13" s="100" t="n">
        <f aca="false">Pipeline!$Q$20*Pipeline!$D$20*MIN(1,MAX(0,(69-Pipeline!$E$20+1)/MAX(Pipeline!$F$20,1)))</f>
        <v>9787.5</v>
      </c>
      <c r="BT13" s="100" t="n">
        <f aca="false">Pipeline!$Q$20*Pipeline!$D$20*MIN(1,MAX(0,(70-Pipeline!$E$20+1)/MAX(Pipeline!$F$20,1)))</f>
        <v>9787.5</v>
      </c>
      <c r="BU13" s="100" t="n">
        <f aca="false">Pipeline!$Q$20*Pipeline!$D$20*MIN(1,MAX(0,(71-Pipeline!$E$20+1)/MAX(Pipeline!$F$20,1)))</f>
        <v>9787.5</v>
      </c>
      <c r="BV13" s="100" t="n">
        <f aca="false">Pipeline!$Q$20*Pipeline!$D$20*MIN(1,MAX(0,(72-Pipeline!$E$20+1)/MAX(Pipeline!$F$20,1)))</f>
        <v>9787.5</v>
      </c>
      <c r="BW13" s="100" t="n">
        <f aca="false">Pipeline!$Q$20*Pipeline!$D$20*MIN(1,MAX(0,(73-Pipeline!$E$20+1)/MAX(Pipeline!$F$20,1)))</f>
        <v>9787.5</v>
      </c>
      <c r="BX13" s="100" t="n">
        <f aca="false">Pipeline!$Q$20*Pipeline!$D$20*MIN(1,MAX(0,(74-Pipeline!$E$20+1)/MAX(Pipeline!$F$20,1)))</f>
        <v>9787.5</v>
      </c>
      <c r="BY13" s="100" t="n">
        <f aca="false">Pipeline!$Q$20*Pipeline!$D$20*MIN(1,MAX(0,(75-Pipeline!$E$20+1)/MAX(Pipeline!$F$20,1)))</f>
        <v>9787.5</v>
      </c>
      <c r="BZ13" s="100" t="n">
        <f aca="false">Pipeline!$Q$20*Pipeline!$D$20*MIN(1,MAX(0,(76-Pipeline!$E$20+1)/MAX(Pipeline!$F$20,1)))</f>
        <v>9787.5</v>
      </c>
      <c r="CA13" s="100" t="n">
        <f aca="false">Pipeline!$Q$20*Pipeline!$D$20*MIN(1,MAX(0,(77-Pipeline!$E$20+1)/MAX(Pipeline!$F$20,1)))</f>
        <v>9787.5</v>
      </c>
      <c r="CB13" s="100" t="n">
        <f aca="false">Pipeline!$Q$20*Pipeline!$D$20*MIN(1,MAX(0,(78-Pipeline!$E$20+1)/MAX(Pipeline!$F$20,1)))</f>
        <v>9787.5</v>
      </c>
      <c r="CC13" s="100" t="n">
        <f aca="false">Pipeline!$Q$20*Pipeline!$D$20*MIN(1,MAX(0,(79-Pipeline!$E$20+1)/MAX(Pipeline!$F$20,1)))</f>
        <v>9787.5</v>
      </c>
      <c r="CD13" s="100" t="n">
        <f aca="false">Pipeline!$Q$20*Pipeline!$D$20*MIN(1,MAX(0,(80-Pipeline!$E$20+1)/MAX(Pipeline!$F$20,1)))</f>
        <v>9787.5</v>
      </c>
      <c r="CE13" s="100" t="n">
        <f aca="false">Pipeline!$Q$20*Pipeline!$D$20*MIN(1,MAX(0,(81-Pipeline!$E$20+1)/MAX(Pipeline!$F$20,1)))</f>
        <v>9787.5</v>
      </c>
      <c r="CF13" s="100" t="n">
        <f aca="false">Pipeline!$Q$20*Pipeline!$D$20*MIN(1,MAX(0,(82-Pipeline!$E$20+1)/MAX(Pipeline!$F$20,1)))</f>
        <v>9787.5</v>
      </c>
      <c r="CG13" s="100" t="n">
        <f aca="false">Pipeline!$Q$20*Pipeline!$D$20*MIN(1,MAX(0,(83-Pipeline!$E$20+1)/MAX(Pipeline!$F$20,1)))</f>
        <v>9787.5</v>
      </c>
      <c r="CH13" s="100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6" t="s">
        <v>494</v>
      </c>
      <c r="C14" s="100" t="n">
        <f aca="false">Pipeline!$Q$21*Pipeline!$D$21*MIN(1,MAX(0,(1-Pipeline!$E$21+1)/MAX(Pipeline!$F$21,1)))</f>
        <v>0</v>
      </c>
      <c r="D14" s="100" t="n">
        <f aca="false">Pipeline!$Q$21*Pipeline!$D$21*MIN(1,MAX(0,(2-Pipeline!$E$21+1)/MAX(Pipeline!$F$21,1)))</f>
        <v>0</v>
      </c>
      <c r="E14" s="100" t="n">
        <f aca="false">Pipeline!$Q$21*Pipeline!$D$21*MIN(1,MAX(0,(3-Pipeline!$E$21+1)/MAX(Pipeline!$F$21,1)))</f>
        <v>0</v>
      </c>
      <c r="F14" s="100" t="n">
        <f aca="false">Pipeline!$Q$21*Pipeline!$D$21*MIN(1,MAX(0,(4-Pipeline!$E$21+1)/MAX(Pipeline!$F$21,1)))</f>
        <v>0</v>
      </c>
      <c r="G14" s="100" t="n">
        <f aca="false">Pipeline!$Q$21*Pipeline!$D$21*MIN(1,MAX(0,(5-Pipeline!$E$21+1)/MAX(Pipeline!$F$21,1)))</f>
        <v>0</v>
      </c>
      <c r="H14" s="100" t="n">
        <f aca="false">Pipeline!$Q$21*Pipeline!$D$21*MIN(1,MAX(0,(6-Pipeline!$E$21+1)/MAX(Pipeline!$F$21,1)))</f>
        <v>0</v>
      </c>
      <c r="I14" s="100" t="n">
        <f aca="false">Pipeline!$Q$21*Pipeline!$D$21*MIN(1,MAX(0,(7-Pipeline!$E$21+1)/MAX(Pipeline!$F$21,1)))</f>
        <v>0</v>
      </c>
      <c r="J14" s="100" t="n">
        <f aca="false">Pipeline!$Q$21*Pipeline!$D$21*MIN(1,MAX(0,(8-Pipeline!$E$21+1)/MAX(Pipeline!$F$21,1)))</f>
        <v>0</v>
      </c>
      <c r="K14" s="100" t="n">
        <f aca="false">Pipeline!$Q$21*Pipeline!$D$21*MIN(1,MAX(0,(9-Pipeline!$E$21+1)/MAX(Pipeline!$F$21,1)))</f>
        <v>0</v>
      </c>
      <c r="L14" s="100" t="n">
        <f aca="false">Pipeline!$Q$21*Pipeline!$D$21*MIN(1,MAX(0,(10-Pipeline!$E$21+1)/MAX(Pipeline!$F$21,1)))</f>
        <v>0</v>
      </c>
      <c r="M14" s="100" t="n">
        <f aca="false">Pipeline!$Q$21*Pipeline!$D$21*MIN(1,MAX(0,(11-Pipeline!$E$21+1)/MAX(Pipeline!$F$21,1)))</f>
        <v>0</v>
      </c>
      <c r="N14" s="100" t="n">
        <f aca="false">Pipeline!$Q$21*Pipeline!$D$21*MIN(1,MAX(0,(12-Pipeline!$E$21+1)/MAX(Pipeline!$F$21,1)))</f>
        <v>0</v>
      </c>
      <c r="O14" s="100" t="n">
        <f aca="false">Pipeline!$Q$21*Pipeline!$D$21*MIN(1,MAX(0,(13-Pipeline!$E$21+1)/MAX(Pipeline!$F$21,1)))</f>
        <v>0</v>
      </c>
      <c r="P14" s="100" t="n">
        <f aca="false">Pipeline!$Q$21*Pipeline!$D$21*MIN(1,MAX(0,(14-Pipeline!$E$21+1)/MAX(Pipeline!$F$21,1)))</f>
        <v>365.4</v>
      </c>
      <c r="Q14" s="100" t="n">
        <f aca="false">Pipeline!$Q$21*Pipeline!$D$21*MIN(1,MAX(0,(15-Pipeline!$E$21+1)/MAX(Pipeline!$F$21,1)))</f>
        <v>730.8</v>
      </c>
      <c r="R14" s="100" t="n">
        <f aca="false">Pipeline!$Q$21*Pipeline!$D$21*MIN(1,MAX(0,(16-Pipeline!$E$21+1)/MAX(Pipeline!$F$21,1)))</f>
        <v>1096.2</v>
      </c>
      <c r="S14" s="100" t="n">
        <f aca="false">Pipeline!$Q$21*Pipeline!$D$21*MIN(1,MAX(0,(17-Pipeline!$E$21+1)/MAX(Pipeline!$F$21,1)))</f>
        <v>1461.6</v>
      </c>
      <c r="T14" s="100" t="n">
        <f aca="false">Pipeline!$Q$21*Pipeline!$D$21*MIN(1,MAX(0,(18-Pipeline!$E$21+1)/MAX(Pipeline!$F$21,1)))</f>
        <v>1827</v>
      </c>
      <c r="U14" s="100" t="n">
        <f aca="false">Pipeline!$Q$21*Pipeline!$D$21*MIN(1,MAX(0,(19-Pipeline!$E$21+1)/MAX(Pipeline!$F$21,1)))</f>
        <v>2192.4</v>
      </c>
      <c r="V14" s="100" t="n">
        <f aca="false">Pipeline!$Q$21*Pipeline!$D$21*MIN(1,MAX(0,(20-Pipeline!$E$21+1)/MAX(Pipeline!$F$21,1)))</f>
        <v>2557.8</v>
      </c>
      <c r="W14" s="100" t="n">
        <f aca="false">Pipeline!$Q$21*Pipeline!$D$21*MIN(1,MAX(0,(21-Pipeline!$E$21+1)/MAX(Pipeline!$F$21,1)))</f>
        <v>2923.2</v>
      </c>
      <c r="X14" s="100" t="n">
        <f aca="false">Pipeline!$Q$21*Pipeline!$D$21*MIN(1,MAX(0,(22-Pipeline!$E$21+1)/MAX(Pipeline!$F$21,1)))</f>
        <v>3288.6</v>
      </c>
      <c r="Y14" s="100" t="n">
        <f aca="false">Pipeline!$Q$21*Pipeline!$D$21*MIN(1,MAX(0,(23-Pipeline!$E$21+1)/MAX(Pipeline!$F$21,1)))</f>
        <v>3654</v>
      </c>
      <c r="Z14" s="100" t="n">
        <f aca="false">Pipeline!$Q$21*Pipeline!$D$21*MIN(1,MAX(0,(24-Pipeline!$E$21+1)/MAX(Pipeline!$F$21,1)))</f>
        <v>3654</v>
      </c>
      <c r="AA14" s="100" t="n">
        <f aca="false">Pipeline!$Q$21*Pipeline!$D$21*MIN(1,MAX(0,(25-Pipeline!$E$21+1)/MAX(Pipeline!$F$21,1)))</f>
        <v>3654</v>
      </c>
      <c r="AB14" s="100" t="n">
        <f aca="false">Pipeline!$Q$21*Pipeline!$D$21*MIN(1,MAX(0,(26-Pipeline!$E$21+1)/MAX(Pipeline!$F$21,1)))</f>
        <v>3654</v>
      </c>
      <c r="AC14" s="100" t="n">
        <f aca="false">Pipeline!$Q$21*Pipeline!$D$21*MIN(1,MAX(0,(27-Pipeline!$E$21+1)/MAX(Pipeline!$F$21,1)))</f>
        <v>3654</v>
      </c>
      <c r="AD14" s="100" t="n">
        <f aca="false">Pipeline!$Q$21*Pipeline!$D$21*MIN(1,MAX(0,(28-Pipeline!$E$21+1)/MAX(Pipeline!$F$21,1)))</f>
        <v>3654</v>
      </c>
      <c r="AE14" s="100" t="n">
        <f aca="false">Pipeline!$Q$21*Pipeline!$D$21*MIN(1,MAX(0,(29-Pipeline!$E$21+1)/MAX(Pipeline!$F$21,1)))</f>
        <v>3654</v>
      </c>
      <c r="AF14" s="100" t="n">
        <f aca="false">Pipeline!$Q$21*Pipeline!$D$21*MIN(1,MAX(0,(30-Pipeline!$E$21+1)/MAX(Pipeline!$F$21,1)))</f>
        <v>3654</v>
      </c>
      <c r="AG14" s="100" t="n">
        <f aca="false">Pipeline!$Q$21*Pipeline!$D$21*MIN(1,MAX(0,(31-Pipeline!$E$21+1)/MAX(Pipeline!$F$21,1)))</f>
        <v>3654</v>
      </c>
      <c r="AH14" s="100" t="n">
        <f aca="false">Pipeline!$Q$21*Pipeline!$D$21*MIN(1,MAX(0,(32-Pipeline!$E$21+1)/MAX(Pipeline!$F$21,1)))</f>
        <v>3654</v>
      </c>
      <c r="AI14" s="100" t="n">
        <f aca="false">Pipeline!$Q$21*Pipeline!$D$21*MIN(1,MAX(0,(33-Pipeline!$E$21+1)/MAX(Pipeline!$F$21,1)))</f>
        <v>3654</v>
      </c>
      <c r="AJ14" s="100" t="n">
        <f aca="false">Pipeline!$Q$21*Pipeline!$D$21*MIN(1,MAX(0,(34-Pipeline!$E$21+1)/MAX(Pipeline!$F$21,1)))</f>
        <v>3654</v>
      </c>
      <c r="AK14" s="100" t="n">
        <f aca="false">Pipeline!$Q$21*Pipeline!$D$21*MIN(1,MAX(0,(35-Pipeline!$E$21+1)/MAX(Pipeline!$F$21,1)))</f>
        <v>3654</v>
      </c>
      <c r="AL14" s="100" t="n">
        <f aca="false">Pipeline!$Q$21*Pipeline!$D$21*MIN(1,MAX(0,(36-Pipeline!$E$21+1)/MAX(Pipeline!$F$21,1)))</f>
        <v>3654</v>
      </c>
      <c r="AM14" s="100" t="n">
        <f aca="false">Pipeline!$Q$21*Pipeline!$D$21*MIN(1,MAX(0,(37-Pipeline!$E$21+1)/MAX(Pipeline!$F$21,1)))</f>
        <v>3654</v>
      </c>
      <c r="AN14" s="100" t="n">
        <f aca="false">Pipeline!$Q$21*Pipeline!$D$21*MIN(1,MAX(0,(38-Pipeline!$E$21+1)/MAX(Pipeline!$F$21,1)))</f>
        <v>3654</v>
      </c>
      <c r="AO14" s="100" t="n">
        <f aca="false">Pipeline!$Q$21*Pipeline!$D$21*MIN(1,MAX(0,(39-Pipeline!$E$21+1)/MAX(Pipeline!$F$21,1)))</f>
        <v>3654</v>
      </c>
      <c r="AP14" s="100" t="n">
        <f aca="false">Pipeline!$Q$21*Pipeline!$D$21*MIN(1,MAX(0,(40-Pipeline!$E$21+1)/MAX(Pipeline!$F$21,1)))</f>
        <v>3654</v>
      </c>
      <c r="AQ14" s="100" t="n">
        <f aca="false">Pipeline!$Q$21*Pipeline!$D$21*MIN(1,MAX(0,(41-Pipeline!$E$21+1)/MAX(Pipeline!$F$21,1)))</f>
        <v>3654</v>
      </c>
      <c r="AR14" s="100" t="n">
        <f aca="false">Pipeline!$Q$21*Pipeline!$D$21*MIN(1,MAX(0,(42-Pipeline!$E$21+1)/MAX(Pipeline!$F$21,1)))</f>
        <v>3654</v>
      </c>
      <c r="AS14" s="100" t="n">
        <f aca="false">Pipeline!$Q$21*Pipeline!$D$21*MIN(1,MAX(0,(43-Pipeline!$E$21+1)/MAX(Pipeline!$F$21,1)))</f>
        <v>3654</v>
      </c>
      <c r="AT14" s="100" t="n">
        <f aca="false">Pipeline!$Q$21*Pipeline!$D$21*MIN(1,MAX(0,(44-Pipeline!$E$21+1)/MAX(Pipeline!$F$21,1)))</f>
        <v>3654</v>
      </c>
      <c r="AU14" s="100" t="n">
        <f aca="false">Pipeline!$Q$21*Pipeline!$D$21*MIN(1,MAX(0,(45-Pipeline!$E$21+1)/MAX(Pipeline!$F$21,1)))</f>
        <v>3654</v>
      </c>
      <c r="AV14" s="100" t="n">
        <f aca="false">Pipeline!$Q$21*Pipeline!$D$21*MIN(1,MAX(0,(46-Pipeline!$E$21+1)/MAX(Pipeline!$F$21,1)))</f>
        <v>3654</v>
      </c>
      <c r="AW14" s="100" t="n">
        <f aca="false">Pipeline!$Q$21*Pipeline!$D$21*MIN(1,MAX(0,(47-Pipeline!$E$21+1)/MAX(Pipeline!$F$21,1)))</f>
        <v>3654</v>
      </c>
      <c r="AX14" s="100" t="n">
        <f aca="false">Pipeline!$Q$21*Pipeline!$D$21*MIN(1,MAX(0,(48-Pipeline!$E$21+1)/MAX(Pipeline!$F$21,1)))</f>
        <v>3654</v>
      </c>
      <c r="AY14" s="100" t="n">
        <f aca="false">Pipeline!$Q$21*Pipeline!$D$21*MIN(1,MAX(0,(49-Pipeline!$E$21+1)/MAX(Pipeline!$F$21,1)))</f>
        <v>3654</v>
      </c>
      <c r="AZ14" s="100" t="n">
        <f aca="false">Pipeline!$Q$21*Pipeline!$D$21*MIN(1,MAX(0,(50-Pipeline!$E$21+1)/MAX(Pipeline!$F$21,1)))</f>
        <v>3654</v>
      </c>
      <c r="BA14" s="100" t="n">
        <f aca="false">Pipeline!$Q$21*Pipeline!$D$21*MIN(1,MAX(0,(51-Pipeline!$E$21+1)/MAX(Pipeline!$F$21,1)))</f>
        <v>3654</v>
      </c>
      <c r="BB14" s="100" t="n">
        <f aca="false">Pipeline!$Q$21*Pipeline!$D$21*MIN(1,MAX(0,(52-Pipeline!$E$21+1)/MAX(Pipeline!$F$21,1)))</f>
        <v>3654</v>
      </c>
      <c r="BC14" s="100" t="n">
        <f aca="false">Pipeline!$Q$21*Pipeline!$D$21*MIN(1,MAX(0,(53-Pipeline!$E$21+1)/MAX(Pipeline!$F$21,1)))</f>
        <v>3654</v>
      </c>
      <c r="BD14" s="100" t="n">
        <f aca="false">Pipeline!$Q$21*Pipeline!$D$21*MIN(1,MAX(0,(54-Pipeline!$E$21+1)/MAX(Pipeline!$F$21,1)))</f>
        <v>3654</v>
      </c>
      <c r="BE14" s="100" t="n">
        <f aca="false">Pipeline!$Q$21*Pipeline!$D$21*MIN(1,MAX(0,(55-Pipeline!$E$21+1)/MAX(Pipeline!$F$21,1)))</f>
        <v>3654</v>
      </c>
      <c r="BF14" s="100" t="n">
        <f aca="false">Pipeline!$Q$21*Pipeline!$D$21*MIN(1,MAX(0,(56-Pipeline!$E$21+1)/MAX(Pipeline!$F$21,1)))</f>
        <v>3654</v>
      </c>
      <c r="BG14" s="100" t="n">
        <f aca="false">Pipeline!$Q$21*Pipeline!$D$21*MIN(1,MAX(0,(57-Pipeline!$E$21+1)/MAX(Pipeline!$F$21,1)))</f>
        <v>3654</v>
      </c>
      <c r="BH14" s="100" t="n">
        <f aca="false">Pipeline!$Q$21*Pipeline!$D$21*MIN(1,MAX(0,(58-Pipeline!$E$21+1)/MAX(Pipeline!$F$21,1)))</f>
        <v>3654</v>
      </c>
      <c r="BI14" s="100" t="n">
        <f aca="false">Pipeline!$Q$21*Pipeline!$D$21*MIN(1,MAX(0,(59-Pipeline!$E$21+1)/MAX(Pipeline!$F$21,1)))</f>
        <v>3654</v>
      </c>
      <c r="BJ14" s="100" t="n">
        <f aca="false">Pipeline!$Q$21*Pipeline!$D$21*MIN(1,MAX(0,(60-Pipeline!$E$21+1)/MAX(Pipeline!$F$21,1)))</f>
        <v>3654</v>
      </c>
      <c r="BK14" s="100" t="n">
        <f aca="false">Pipeline!$Q$21*Pipeline!$D$21*MIN(1,MAX(0,(61-Pipeline!$E$21+1)/MAX(Pipeline!$F$21,1)))</f>
        <v>3654</v>
      </c>
      <c r="BL14" s="100" t="n">
        <f aca="false">Pipeline!$Q$21*Pipeline!$D$21*MIN(1,MAX(0,(62-Pipeline!$E$21+1)/MAX(Pipeline!$F$21,1)))</f>
        <v>3654</v>
      </c>
      <c r="BM14" s="100" t="n">
        <f aca="false">Pipeline!$Q$21*Pipeline!$D$21*MIN(1,MAX(0,(63-Pipeline!$E$21+1)/MAX(Pipeline!$F$21,1)))</f>
        <v>3654</v>
      </c>
      <c r="BN14" s="100" t="n">
        <f aca="false">Pipeline!$Q$21*Pipeline!$D$21*MIN(1,MAX(0,(64-Pipeline!$E$21+1)/MAX(Pipeline!$F$21,1)))</f>
        <v>3654</v>
      </c>
      <c r="BO14" s="100" t="n">
        <f aca="false">Pipeline!$Q$21*Pipeline!$D$21*MIN(1,MAX(0,(65-Pipeline!$E$21+1)/MAX(Pipeline!$F$21,1)))</f>
        <v>3654</v>
      </c>
      <c r="BP14" s="100" t="n">
        <f aca="false">Pipeline!$Q$21*Pipeline!$D$21*MIN(1,MAX(0,(66-Pipeline!$E$21+1)/MAX(Pipeline!$F$21,1)))</f>
        <v>3654</v>
      </c>
      <c r="BQ14" s="100" t="n">
        <f aca="false">Pipeline!$Q$21*Pipeline!$D$21*MIN(1,MAX(0,(67-Pipeline!$E$21+1)/MAX(Pipeline!$F$21,1)))</f>
        <v>3654</v>
      </c>
      <c r="BR14" s="100" t="n">
        <f aca="false">Pipeline!$Q$21*Pipeline!$D$21*MIN(1,MAX(0,(68-Pipeline!$E$21+1)/MAX(Pipeline!$F$21,1)))</f>
        <v>3654</v>
      </c>
      <c r="BS14" s="100" t="n">
        <f aca="false">Pipeline!$Q$21*Pipeline!$D$21*MIN(1,MAX(0,(69-Pipeline!$E$21+1)/MAX(Pipeline!$F$21,1)))</f>
        <v>3654</v>
      </c>
      <c r="BT14" s="100" t="n">
        <f aca="false">Pipeline!$Q$21*Pipeline!$D$21*MIN(1,MAX(0,(70-Pipeline!$E$21+1)/MAX(Pipeline!$F$21,1)))</f>
        <v>3654</v>
      </c>
      <c r="BU14" s="100" t="n">
        <f aca="false">Pipeline!$Q$21*Pipeline!$D$21*MIN(1,MAX(0,(71-Pipeline!$E$21+1)/MAX(Pipeline!$F$21,1)))</f>
        <v>3654</v>
      </c>
      <c r="BV14" s="100" t="n">
        <f aca="false">Pipeline!$Q$21*Pipeline!$D$21*MIN(1,MAX(0,(72-Pipeline!$E$21+1)/MAX(Pipeline!$F$21,1)))</f>
        <v>3654</v>
      </c>
      <c r="BW14" s="100" t="n">
        <f aca="false">Pipeline!$Q$21*Pipeline!$D$21*MIN(1,MAX(0,(73-Pipeline!$E$21+1)/MAX(Pipeline!$F$21,1)))</f>
        <v>3654</v>
      </c>
      <c r="BX14" s="100" t="n">
        <f aca="false">Pipeline!$Q$21*Pipeline!$D$21*MIN(1,MAX(0,(74-Pipeline!$E$21+1)/MAX(Pipeline!$F$21,1)))</f>
        <v>3654</v>
      </c>
      <c r="BY14" s="100" t="n">
        <f aca="false">Pipeline!$Q$21*Pipeline!$D$21*MIN(1,MAX(0,(75-Pipeline!$E$21+1)/MAX(Pipeline!$F$21,1)))</f>
        <v>3654</v>
      </c>
      <c r="BZ14" s="100" t="n">
        <f aca="false">Pipeline!$Q$21*Pipeline!$D$21*MIN(1,MAX(0,(76-Pipeline!$E$21+1)/MAX(Pipeline!$F$21,1)))</f>
        <v>3654</v>
      </c>
      <c r="CA14" s="100" t="n">
        <f aca="false">Pipeline!$Q$21*Pipeline!$D$21*MIN(1,MAX(0,(77-Pipeline!$E$21+1)/MAX(Pipeline!$F$21,1)))</f>
        <v>3654</v>
      </c>
      <c r="CB14" s="100" t="n">
        <f aca="false">Pipeline!$Q$21*Pipeline!$D$21*MIN(1,MAX(0,(78-Pipeline!$E$21+1)/MAX(Pipeline!$F$21,1)))</f>
        <v>3654</v>
      </c>
      <c r="CC14" s="100" t="n">
        <f aca="false">Pipeline!$Q$21*Pipeline!$D$21*MIN(1,MAX(0,(79-Pipeline!$E$21+1)/MAX(Pipeline!$F$21,1)))</f>
        <v>3654</v>
      </c>
      <c r="CD14" s="100" t="n">
        <f aca="false">Pipeline!$Q$21*Pipeline!$D$21*MIN(1,MAX(0,(80-Pipeline!$E$21+1)/MAX(Pipeline!$F$21,1)))</f>
        <v>3654</v>
      </c>
      <c r="CE14" s="100" t="n">
        <f aca="false">Pipeline!$Q$21*Pipeline!$D$21*MIN(1,MAX(0,(81-Pipeline!$E$21+1)/MAX(Pipeline!$F$21,1)))</f>
        <v>3654</v>
      </c>
      <c r="CF14" s="100" t="n">
        <f aca="false">Pipeline!$Q$21*Pipeline!$D$21*MIN(1,MAX(0,(82-Pipeline!$E$21+1)/MAX(Pipeline!$F$21,1)))</f>
        <v>3654</v>
      </c>
      <c r="CG14" s="100" t="n">
        <f aca="false">Pipeline!$Q$21*Pipeline!$D$21*MIN(1,MAX(0,(83-Pipeline!$E$21+1)/MAX(Pipeline!$F$21,1)))</f>
        <v>3654</v>
      </c>
      <c r="CH14" s="100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6" t="s">
        <v>495</v>
      </c>
      <c r="C15" s="100" t="n">
        <f aca="false">Pipeline!$Q$22*Pipeline!$D$22*MIN(1,MAX(0,(1-Pipeline!$E$22+1)/MAX(Pipeline!$F$22,1)))</f>
        <v>0</v>
      </c>
      <c r="D15" s="100" t="n">
        <f aca="false">Pipeline!$Q$22*Pipeline!$D$22*MIN(1,MAX(0,(2-Pipeline!$E$22+1)/MAX(Pipeline!$F$22,1)))</f>
        <v>0</v>
      </c>
      <c r="E15" s="100" t="n">
        <f aca="false">Pipeline!$Q$22*Pipeline!$D$22*MIN(1,MAX(0,(3-Pipeline!$E$22+1)/MAX(Pipeline!$F$22,1)))</f>
        <v>0</v>
      </c>
      <c r="F15" s="100" t="n">
        <f aca="false">Pipeline!$Q$22*Pipeline!$D$22*MIN(1,MAX(0,(4-Pipeline!$E$22+1)/MAX(Pipeline!$F$22,1)))</f>
        <v>0</v>
      </c>
      <c r="G15" s="100" t="n">
        <f aca="false">Pipeline!$Q$22*Pipeline!$D$22*MIN(1,MAX(0,(5-Pipeline!$E$22+1)/MAX(Pipeline!$F$22,1)))</f>
        <v>0</v>
      </c>
      <c r="H15" s="100" t="n">
        <f aca="false">Pipeline!$Q$22*Pipeline!$D$22*MIN(1,MAX(0,(6-Pipeline!$E$22+1)/MAX(Pipeline!$F$22,1)))</f>
        <v>0</v>
      </c>
      <c r="I15" s="100" t="n">
        <f aca="false">Pipeline!$Q$22*Pipeline!$D$22*MIN(1,MAX(0,(7-Pipeline!$E$22+1)/MAX(Pipeline!$F$22,1)))</f>
        <v>0</v>
      </c>
      <c r="J15" s="100" t="n">
        <f aca="false">Pipeline!$Q$22*Pipeline!$D$22*MIN(1,MAX(0,(8-Pipeline!$E$22+1)/MAX(Pipeline!$F$22,1)))</f>
        <v>0</v>
      </c>
      <c r="K15" s="100" t="n">
        <f aca="false">Pipeline!$Q$22*Pipeline!$D$22*MIN(1,MAX(0,(9-Pipeline!$E$22+1)/MAX(Pipeline!$F$22,1)))</f>
        <v>0</v>
      </c>
      <c r="L15" s="100" t="n">
        <f aca="false">Pipeline!$Q$22*Pipeline!$D$22*MIN(1,MAX(0,(10-Pipeline!$E$22+1)/MAX(Pipeline!$F$22,1)))</f>
        <v>0</v>
      </c>
      <c r="M15" s="100" t="n">
        <f aca="false">Pipeline!$Q$22*Pipeline!$D$22*MIN(1,MAX(0,(11-Pipeline!$E$22+1)/MAX(Pipeline!$F$22,1)))</f>
        <v>0</v>
      </c>
      <c r="N15" s="100" t="n">
        <f aca="false">Pipeline!$Q$22*Pipeline!$D$22*MIN(1,MAX(0,(12-Pipeline!$E$22+1)/MAX(Pipeline!$F$22,1)))</f>
        <v>0</v>
      </c>
      <c r="O15" s="100" t="n">
        <f aca="false">Pipeline!$Q$22*Pipeline!$D$22*MIN(1,MAX(0,(13-Pipeline!$E$22+1)/MAX(Pipeline!$F$22,1)))</f>
        <v>0</v>
      </c>
      <c r="P15" s="100" t="n">
        <f aca="false">Pipeline!$Q$22*Pipeline!$D$22*MIN(1,MAX(0,(14-Pipeline!$E$22+1)/MAX(Pipeline!$F$22,1)))</f>
        <v>0</v>
      </c>
      <c r="Q15" s="100" t="n">
        <f aca="false">Pipeline!$Q$22*Pipeline!$D$22*MIN(1,MAX(0,(15-Pipeline!$E$22+1)/MAX(Pipeline!$F$22,1)))</f>
        <v>0</v>
      </c>
      <c r="R15" s="100" t="n">
        <f aca="false">Pipeline!$Q$22*Pipeline!$D$22*MIN(1,MAX(0,(16-Pipeline!$E$22+1)/MAX(Pipeline!$F$22,1)))</f>
        <v>0</v>
      </c>
      <c r="S15" s="100" t="n">
        <f aca="false">Pipeline!$Q$22*Pipeline!$D$22*MIN(1,MAX(0,(17-Pipeline!$E$22+1)/MAX(Pipeline!$F$22,1)))</f>
        <v>0</v>
      </c>
      <c r="T15" s="100" t="n">
        <f aca="false">Pipeline!$Q$22*Pipeline!$D$22*MIN(1,MAX(0,(18-Pipeline!$E$22+1)/MAX(Pipeline!$F$22,1)))</f>
        <v>0</v>
      </c>
      <c r="U15" s="100" t="n">
        <f aca="false">Pipeline!$Q$22*Pipeline!$D$22*MIN(1,MAX(0,(19-Pipeline!$E$22+1)/MAX(Pipeline!$F$22,1)))</f>
        <v>0</v>
      </c>
      <c r="V15" s="100" t="n">
        <f aca="false">Pipeline!$Q$22*Pipeline!$D$22*MIN(1,MAX(0,(20-Pipeline!$E$22+1)/MAX(Pipeline!$F$22,1)))</f>
        <v>0</v>
      </c>
      <c r="W15" s="100" t="n">
        <f aca="false">Pipeline!$Q$22*Pipeline!$D$22*MIN(1,MAX(0,(21-Pipeline!$E$22+1)/MAX(Pipeline!$F$22,1)))</f>
        <v>0</v>
      </c>
      <c r="X15" s="100" t="n">
        <f aca="false">Pipeline!$Q$22*Pipeline!$D$22*MIN(1,MAX(0,(22-Pipeline!$E$22+1)/MAX(Pipeline!$F$22,1)))</f>
        <v>0</v>
      </c>
      <c r="Y15" s="100" t="n">
        <f aca="false">Pipeline!$Q$22*Pipeline!$D$22*MIN(1,MAX(0,(23-Pipeline!$E$22+1)/MAX(Pipeline!$F$22,1)))</f>
        <v>0</v>
      </c>
      <c r="Z15" s="100" t="n">
        <f aca="false">Pipeline!$Q$22*Pipeline!$D$22*MIN(1,MAX(0,(24-Pipeline!$E$22+1)/MAX(Pipeline!$F$22,1)))</f>
        <v>0</v>
      </c>
      <c r="AA15" s="100" t="n">
        <f aca="false">Pipeline!$Q$22*Pipeline!$D$22*MIN(1,MAX(0,(25-Pipeline!$E$22+1)/MAX(Pipeline!$F$22,1)))</f>
        <v>0</v>
      </c>
      <c r="AB15" s="100" t="n">
        <f aca="false">Pipeline!$Q$22*Pipeline!$D$22*MIN(1,MAX(0,(26-Pipeline!$E$22+1)/MAX(Pipeline!$F$22,1)))</f>
        <v>0</v>
      </c>
      <c r="AC15" s="100" t="n">
        <f aca="false">Pipeline!$Q$22*Pipeline!$D$22*MIN(1,MAX(0,(27-Pipeline!$E$22+1)/MAX(Pipeline!$F$22,1)))</f>
        <v>0</v>
      </c>
      <c r="AD15" s="100" t="n">
        <f aca="false">Pipeline!$Q$22*Pipeline!$D$22*MIN(1,MAX(0,(28-Pipeline!$E$22+1)/MAX(Pipeline!$F$22,1)))</f>
        <v>0</v>
      </c>
      <c r="AE15" s="100" t="n">
        <f aca="false">Pipeline!$Q$22*Pipeline!$D$22*MIN(1,MAX(0,(29-Pipeline!$E$22+1)/MAX(Pipeline!$F$22,1)))</f>
        <v>0</v>
      </c>
      <c r="AF15" s="100" t="n">
        <f aca="false">Pipeline!$Q$22*Pipeline!$D$22*MIN(1,MAX(0,(30-Pipeline!$E$22+1)/MAX(Pipeline!$F$22,1)))</f>
        <v>0</v>
      </c>
      <c r="AG15" s="100" t="n">
        <f aca="false">Pipeline!$Q$22*Pipeline!$D$22*MIN(1,MAX(0,(31-Pipeline!$E$22+1)/MAX(Pipeline!$F$22,1)))</f>
        <v>0</v>
      </c>
      <c r="AH15" s="100" t="n">
        <f aca="false">Pipeline!$Q$22*Pipeline!$D$22*MIN(1,MAX(0,(32-Pipeline!$E$22+1)/MAX(Pipeline!$F$22,1)))</f>
        <v>0</v>
      </c>
      <c r="AI15" s="100" t="n">
        <f aca="false">Pipeline!$Q$22*Pipeline!$D$22*MIN(1,MAX(0,(33-Pipeline!$E$22+1)/MAX(Pipeline!$F$22,1)))</f>
        <v>0</v>
      </c>
      <c r="AJ15" s="100" t="n">
        <f aca="false">Pipeline!$Q$22*Pipeline!$D$22*MIN(1,MAX(0,(34-Pipeline!$E$22+1)/MAX(Pipeline!$F$22,1)))</f>
        <v>0</v>
      </c>
      <c r="AK15" s="100" t="n">
        <f aca="false">Pipeline!$Q$22*Pipeline!$D$22*MIN(1,MAX(0,(35-Pipeline!$E$22+1)/MAX(Pipeline!$F$22,1)))</f>
        <v>0</v>
      </c>
      <c r="AL15" s="100" t="n">
        <f aca="false">Pipeline!$Q$22*Pipeline!$D$22*MIN(1,MAX(0,(36-Pipeline!$E$22+1)/MAX(Pipeline!$F$22,1)))</f>
        <v>0</v>
      </c>
      <c r="AM15" s="100" t="n">
        <f aca="false">Pipeline!$Q$22*Pipeline!$D$22*MIN(1,MAX(0,(37-Pipeline!$E$22+1)/MAX(Pipeline!$F$22,1)))</f>
        <v>0</v>
      </c>
      <c r="AN15" s="100" t="n">
        <f aca="false">Pipeline!$Q$22*Pipeline!$D$22*MIN(1,MAX(0,(38-Pipeline!$E$22+1)/MAX(Pipeline!$F$22,1)))</f>
        <v>0</v>
      </c>
      <c r="AO15" s="100" t="n">
        <f aca="false">Pipeline!$Q$22*Pipeline!$D$22*MIN(1,MAX(0,(39-Pipeline!$E$22+1)/MAX(Pipeline!$F$22,1)))</f>
        <v>0</v>
      </c>
      <c r="AP15" s="100" t="n">
        <f aca="false">Pipeline!$Q$22*Pipeline!$D$22*MIN(1,MAX(0,(40-Pipeline!$E$22+1)/MAX(Pipeline!$F$22,1)))</f>
        <v>0</v>
      </c>
      <c r="AQ15" s="100" t="n">
        <f aca="false">Pipeline!$Q$22*Pipeline!$D$22*MIN(1,MAX(0,(41-Pipeline!$E$22+1)/MAX(Pipeline!$F$22,1)))</f>
        <v>0</v>
      </c>
      <c r="AR15" s="100" t="n">
        <f aca="false">Pipeline!$Q$22*Pipeline!$D$22*MIN(1,MAX(0,(42-Pipeline!$E$22+1)/MAX(Pipeline!$F$22,1)))</f>
        <v>0</v>
      </c>
      <c r="AS15" s="100" t="n">
        <f aca="false">Pipeline!$Q$22*Pipeline!$D$22*MIN(1,MAX(0,(43-Pipeline!$E$22+1)/MAX(Pipeline!$F$22,1)))</f>
        <v>0</v>
      </c>
      <c r="AT15" s="100" t="n">
        <f aca="false">Pipeline!$Q$22*Pipeline!$D$22*MIN(1,MAX(0,(44-Pipeline!$E$22+1)/MAX(Pipeline!$F$22,1)))</f>
        <v>0</v>
      </c>
      <c r="AU15" s="100" t="n">
        <f aca="false">Pipeline!$Q$22*Pipeline!$D$22*MIN(1,MAX(0,(45-Pipeline!$E$22+1)/MAX(Pipeline!$F$22,1)))</f>
        <v>0</v>
      </c>
      <c r="AV15" s="100" t="n">
        <f aca="false">Pipeline!$Q$22*Pipeline!$D$22*MIN(1,MAX(0,(46-Pipeline!$E$22+1)/MAX(Pipeline!$F$22,1)))</f>
        <v>0</v>
      </c>
      <c r="AW15" s="100" t="n">
        <f aca="false">Pipeline!$Q$22*Pipeline!$D$22*MIN(1,MAX(0,(47-Pipeline!$E$22+1)/MAX(Pipeline!$F$22,1)))</f>
        <v>0</v>
      </c>
      <c r="AX15" s="100" t="n">
        <f aca="false">Pipeline!$Q$22*Pipeline!$D$22*MIN(1,MAX(0,(48-Pipeline!$E$22+1)/MAX(Pipeline!$F$22,1)))</f>
        <v>0</v>
      </c>
      <c r="AY15" s="100" t="n">
        <f aca="false">Pipeline!$Q$22*Pipeline!$D$22*MIN(1,MAX(0,(49-Pipeline!$E$22+1)/MAX(Pipeline!$F$22,1)))</f>
        <v>0</v>
      </c>
      <c r="AZ15" s="100" t="n">
        <f aca="false">Pipeline!$Q$22*Pipeline!$D$22*MIN(1,MAX(0,(50-Pipeline!$E$22+1)/MAX(Pipeline!$F$22,1)))</f>
        <v>0</v>
      </c>
      <c r="BA15" s="100" t="n">
        <f aca="false">Pipeline!$Q$22*Pipeline!$D$22*MIN(1,MAX(0,(51-Pipeline!$E$22+1)/MAX(Pipeline!$F$22,1)))</f>
        <v>0</v>
      </c>
      <c r="BB15" s="100" t="n">
        <f aca="false">Pipeline!$Q$22*Pipeline!$D$22*MIN(1,MAX(0,(52-Pipeline!$E$22+1)/MAX(Pipeline!$F$22,1)))</f>
        <v>0</v>
      </c>
      <c r="BC15" s="100" t="n">
        <f aca="false">Pipeline!$Q$22*Pipeline!$D$22*MIN(1,MAX(0,(53-Pipeline!$E$22+1)/MAX(Pipeline!$F$22,1)))</f>
        <v>0</v>
      </c>
      <c r="BD15" s="100" t="n">
        <f aca="false">Pipeline!$Q$22*Pipeline!$D$22*MIN(1,MAX(0,(54-Pipeline!$E$22+1)/MAX(Pipeline!$F$22,1)))</f>
        <v>0</v>
      </c>
      <c r="BE15" s="100" t="n">
        <f aca="false">Pipeline!$Q$22*Pipeline!$D$22*MIN(1,MAX(0,(55-Pipeline!$E$22+1)/MAX(Pipeline!$F$22,1)))</f>
        <v>0</v>
      </c>
      <c r="BF15" s="100" t="n">
        <f aca="false">Pipeline!$Q$22*Pipeline!$D$22*MIN(1,MAX(0,(56-Pipeline!$E$22+1)/MAX(Pipeline!$F$22,1)))</f>
        <v>0</v>
      </c>
      <c r="BG15" s="100" t="n">
        <f aca="false">Pipeline!$Q$22*Pipeline!$D$22*MIN(1,MAX(0,(57-Pipeline!$E$22+1)/MAX(Pipeline!$F$22,1)))</f>
        <v>0</v>
      </c>
      <c r="BH15" s="100" t="n">
        <f aca="false">Pipeline!$Q$22*Pipeline!$D$22*MIN(1,MAX(0,(58-Pipeline!$E$22+1)/MAX(Pipeline!$F$22,1)))</f>
        <v>0</v>
      </c>
      <c r="BI15" s="100" t="n">
        <f aca="false">Pipeline!$Q$22*Pipeline!$D$22*MIN(1,MAX(0,(59-Pipeline!$E$22+1)/MAX(Pipeline!$F$22,1)))</f>
        <v>0</v>
      </c>
      <c r="BJ15" s="100" t="n">
        <f aca="false">Pipeline!$Q$22*Pipeline!$D$22*MIN(1,MAX(0,(60-Pipeline!$E$22+1)/MAX(Pipeline!$F$22,1)))</f>
        <v>0</v>
      </c>
      <c r="BK15" s="100" t="n">
        <f aca="false">Pipeline!$Q$22*Pipeline!$D$22*MIN(1,MAX(0,(61-Pipeline!$E$22+1)/MAX(Pipeline!$F$22,1)))</f>
        <v>0</v>
      </c>
      <c r="BL15" s="100" t="n">
        <f aca="false">Pipeline!$Q$22*Pipeline!$D$22*MIN(1,MAX(0,(62-Pipeline!$E$22+1)/MAX(Pipeline!$F$22,1)))</f>
        <v>0</v>
      </c>
      <c r="BM15" s="100" t="n">
        <f aca="false">Pipeline!$Q$22*Pipeline!$D$22*MIN(1,MAX(0,(63-Pipeline!$E$22+1)/MAX(Pipeline!$F$22,1)))</f>
        <v>0</v>
      </c>
      <c r="BN15" s="100" t="n">
        <f aca="false">Pipeline!$Q$22*Pipeline!$D$22*MIN(1,MAX(0,(64-Pipeline!$E$22+1)/MAX(Pipeline!$F$22,1)))</f>
        <v>0</v>
      </c>
      <c r="BO15" s="100" t="n">
        <f aca="false">Pipeline!$Q$22*Pipeline!$D$22*MIN(1,MAX(0,(65-Pipeline!$E$22+1)/MAX(Pipeline!$F$22,1)))</f>
        <v>0</v>
      </c>
      <c r="BP15" s="100" t="n">
        <f aca="false">Pipeline!$Q$22*Pipeline!$D$22*MIN(1,MAX(0,(66-Pipeline!$E$22+1)/MAX(Pipeline!$F$22,1)))</f>
        <v>0</v>
      </c>
      <c r="BQ15" s="100" t="n">
        <f aca="false">Pipeline!$Q$22*Pipeline!$D$22*MIN(1,MAX(0,(67-Pipeline!$E$22+1)/MAX(Pipeline!$F$22,1)))</f>
        <v>0</v>
      </c>
      <c r="BR15" s="100" t="n">
        <f aca="false">Pipeline!$Q$22*Pipeline!$D$22*MIN(1,MAX(0,(68-Pipeline!$E$22+1)/MAX(Pipeline!$F$22,1)))</f>
        <v>0</v>
      </c>
      <c r="BS15" s="100" t="n">
        <f aca="false">Pipeline!$Q$22*Pipeline!$D$22*MIN(1,MAX(0,(69-Pipeline!$E$22+1)/MAX(Pipeline!$F$22,1)))</f>
        <v>0</v>
      </c>
      <c r="BT15" s="100" t="n">
        <f aca="false">Pipeline!$Q$22*Pipeline!$D$22*MIN(1,MAX(0,(70-Pipeline!$E$22+1)/MAX(Pipeline!$F$22,1)))</f>
        <v>0</v>
      </c>
      <c r="BU15" s="100" t="n">
        <f aca="false">Pipeline!$Q$22*Pipeline!$D$22*MIN(1,MAX(0,(71-Pipeline!$E$22+1)/MAX(Pipeline!$F$22,1)))</f>
        <v>0</v>
      </c>
      <c r="BV15" s="100" t="n">
        <f aca="false">Pipeline!$Q$22*Pipeline!$D$22*MIN(1,MAX(0,(72-Pipeline!$E$22+1)/MAX(Pipeline!$F$22,1)))</f>
        <v>0</v>
      </c>
      <c r="BW15" s="100" t="n">
        <f aca="false">Pipeline!$Q$22*Pipeline!$D$22*MIN(1,MAX(0,(73-Pipeline!$E$22+1)/MAX(Pipeline!$F$22,1)))</f>
        <v>0</v>
      </c>
      <c r="BX15" s="100" t="n">
        <f aca="false">Pipeline!$Q$22*Pipeline!$D$22*MIN(1,MAX(0,(74-Pipeline!$E$22+1)/MAX(Pipeline!$F$22,1)))</f>
        <v>0</v>
      </c>
      <c r="BY15" s="100" t="n">
        <f aca="false">Pipeline!$Q$22*Pipeline!$D$22*MIN(1,MAX(0,(75-Pipeline!$E$22+1)/MAX(Pipeline!$F$22,1)))</f>
        <v>0</v>
      </c>
      <c r="BZ15" s="100" t="n">
        <f aca="false">Pipeline!$Q$22*Pipeline!$D$22*MIN(1,MAX(0,(76-Pipeline!$E$22+1)/MAX(Pipeline!$F$22,1)))</f>
        <v>0</v>
      </c>
      <c r="CA15" s="100" t="n">
        <f aca="false">Pipeline!$Q$22*Pipeline!$D$22*MIN(1,MAX(0,(77-Pipeline!$E$22+1)/MAX(Pipeline!$F$22,1)))</f>
        <v>0</v>
      </c>
      <c r="CB15" s="100" t="n">
        <f aca="false">Pipeline!$Q$22*Pipeline!$D$22*MIN(1,MAX(0,(78-Pipeline!$E$22+1)/MAX(Pipeline!$F$22,1)))</f>
        <v>0</v>
      </c>
      <c r="CC15" s="100" t="n">
        <f aca="false">Pipeline!$Q$22*Pipeline!$D$22*MIN(1,MAX(0,(79-Pipeline!$E$22+1)/MAX(Pipeline!$F$22,1)))</f>
        <v>0</v>
      </c>
      <c r="CD15" s="100" t="n">
        <f aca="false">Pipeline!$Q$22*Pipeline!$D$22*MIN(1,MAX(0,(80-Pipeline!$E$22+1)/MAX(Pipeline!$F$22,1)))</f>
        <v>0</v>
      </c>
      <c r="CE15" s="100" t="n">
        <f aca="false">Pipeline!$Q$22*Pipeline!$D$22*MIN(1,MAX(0,(81-Pipeline!$E$22+1)/MAX(Pipeline!$F$22,1)))</f>
        <v>0</v>
      </c>
      <c r="CF15" s="100" t="n">
        <f aca="false">Pipeline!$Q$22*Pipeline!$D$22*MIN(1,MAX(0,(82-Pipeline!$E$22+1)/MAX(Pipeline!$F$22,1)))</f>
        <v>0</v>
      </c>
      <c r="CG15" s="100" t="n">
        <f aca="false">Pipeline!$Q$22*Pipeline!$D$22*MIN(1,MAX(0,(83-Pipeline!$E$22+1)/MAX(Pipeline!$F$22,1)))</f>
        <v>0</v>
      </c>
      <c r="CH15" s="100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22" t="s">
        <v>496</v>
      </c>
      <c r="C16" s="100" t="n">
        <f aca="false">SUM(C9:C15)</f>
        <v>1005.575</v>
      </c>
      <c r="D16" s="100" t="n">
        <f aca="false">SUM(D9:D15)</f>
        <v>2089.45</v>
      </c>
      <c r="E16" s="100" t="n">
        <f aca="false">SUM(E9:E15)</f>
        <v>4351.903125</v>
      </c>
      <c r="F16" s="100" t="n">
        <f aca="false">SUM(F9:F15)</f>
        <v>5608.78125</v>
      </c>
      <c r="G16" s="100" t="n">
        <f aca="false">SUM(G9:G15)</f>
        <v>6787.359375</v>
      </c>
      <c r="H16" s="100" t="n">
        <f aca="false">SUM(H9:H15)</f>
        <v>8683.6875</v>
      </c>
      <c r="I16" s="100" t="n">
        <f aca="false">SUM(I9:I15)</f>
        <v>10580.015625</v>
      </c>
      <c r="J16" s="100" t="n">
        <f aca="false">SUM(J9:J15)</f>
        <v>12476.34375</v>
      </c>
      <c r="K16" s="100" t="n">
        <f aca="false">SUM(K9:K15)</f>
        <v>14372.671875</v>
      </c>
      <c r="L16" s="100" t="n">
        <f aca="false">SUM(L9:L15)</f>
        <v>16269</v>
      </c>
      <c r="M16" s="100" t="n">
        <f aca="false">SUM(M9:M15)</f>
        <v>16986.75</v>
      </c>
      <c r="N16" s="100" t="n">
        <f aca="false">SUM(N9:N15)</f>
        <v>18683.25</v>
      </c>
      <c r="O16" s="100" t="n">
        <f aca="false">SUM(O9:O15)</f>
        <v>20379.75</v>
      </c>
      <c r="P16" s="100" t="n">
        <f aca="false">SUM(P9:P15)</f>
        <v>21723.9</v>
      </c>
      <c r="Q16" s="100" t="n">
        <f aca="false">SUM(Q9:Q15)</f>
        <v>23068.05</v>
      </c>
      <c r="R16" s="100" t="n">
        <f aca="false">SUM(R9:R15)</f>
        <v>24412.2</v>
      </c>
      <c r="S16" s="100" t="n">
        <f aca="false">SUM(S9:S15)</f>
        <v>25756.35</v>
      </c>
      <c r="T16" s="100" t="n">
        <f aca="false">SUM(T9:T15)</f>
        <v>27100.5</v>
      </c>
      <c r="U16" s="100" t="n">
        <f aca="false">SUM(U9:U15)</f>
        <v>28444.65</v>
      </c>
      <c r="V16" s="100" t="n">
        <f aca="false">SUM(V9:V15)</f>
        <v>29788.8</v>
      </c>
      <c r="W16" s="100" t="n">
        <f aca="false">SUM(W9:W15)</f>
        <v>31132.95</v>
      </c>
      <c r="X16" s="100" t="n">
        <f aca="false">SUM(X9:X15)</f>
        <v>31498.35</v>
      </c>
      <c r="Y16" s="100" t="n">
        <f aca="false">SUM(Y9:Y15)</f>
        <v>31863.75</v>
      </c>
      <c r="Z16" s="100" t="n">
        <f aca="false">SUM(Z9:Z15)</f>
        <v>31863.75</v>
      </c>
      <c r="AA16" s="100" t="n">
        <f aca="false">SUM(AA9:AA15)</f>
        <v>31863.75</v>
      </c>
      <c r="AB16" s="100" t="n">
        <f aca="false">SUM(AB9:AB15)</f>
        <v>31863.75</v>
      </c>
      <c r="AC16" s="100" t="n">
        <f aca="false">SUM(AC9:AC15)</f>
        <v>31863.75</v>
      </c>
      <c r="AD16" s="100" t="n">
        <f aca="false">SUM(AD9:AD15)</f>
        <v>31863.75</v>
      </c>
      <c r="AE16" s="100" t="n">
        <f aca="false">SUM(AE9:AE15)</f>
        <v>31863.75</v>
      </c>
      <c r="AF16" s="100" t="n">
        <f aca="false">SUM(AF9:AF15)</f>
        <v>31863.75</v>
      </c>
      <c r="AG16" s="100" t="n">
        <f aca="false">SUM(AG9:AG15)</f>
        <v>31863.75</v>
      </c>
      <c r="AH16" s="100" t="n">
        <f aca="false">SUM(AH9:AH15)</f>
        <v>31863.75</v>
      </c>
      <c r="AI16" s="100" t="n">
        <f aca="false">SUM(AI9:AI15)</f>
        <v>31863.75</v>
      </c>
      <c r="AJ16" s="100" t="n">
        <f aca="false">SUM(AJ9:AJ15)</f>
        <v>31863.75</v>
      </c>
      <c r="AK16" s="100" t="n">
        <f aca="false">SUM(AK9:AK15)</f>
        <v>31863.75</v>
      </c>
      <c r="AL16" s="100" t="n">
        <f aca="false">SUM(AL9:AL15)</f>
        <v>31863.75</v>
      </c>
      <c r="AM16" s="100" t="n">
        <f aca="false">SUM(AM9:AM15)</f>
        <v>31863.75</v>
      </c>
      <c r="AN16" s="100" t="n">
        <f aca="false">SUM(AN9:AN15)</f>
        <v>31863.75</v>
      </c>
      <c r="AO16" s="100" t="n">
        <f aca="false">SUM(AO9:AO15)</f>
        <v>31863.75</v>
      </c>
      <c r="AP16" s="100" t="n">
        <f aca="false">SUM(AP9:AP15)</f>
        <v>31863.75</v>
      </c>
      <c r="AQ16" s="100" t="n">
        <f aca="false">SUM(AQ9:AQ15)</f>
        <v>31863.75</v>
      </c>
      <c r="AR16" s="100" t="n">
        <f aca="false">SUM(AR9:AR15)</f>
        <v>31863.75</v>
      </c>
      <c r="AS16" s="100" t="n">
        <f aca="false">SUM(AS9:AS15)</f>
        <v>31863.75</v>
      </c>
      <c r="AT16" s="100" t="n">
        <f aca="false">SUM(AT9:AT15)</f>
        <v>31863.75</v>
      </c>
      <c r="AU16" s="100" t="n">
        <f aca="false">SUM(AU9:AU15)</f>
        <v>31863.75</v>
      </c>
      <c r="AV16" s="100" t="n">
        <f aca="false">SUM(AV9:AV15)</f>
        <v>31863.75</v>
      </c>
      <c r="AW16" s="100" t="n">
        <f aca="false">SUM(AW9:AW15)</f>
        <v>31863.75</v>
      </c>
      <c r="AX16" s="100" t="n">
        <f aca="false">SUM(AX9:AX15)</f>
        <v>31863.75</v>
      </c>
      <c r="AY16" s="100" t="n">
        <f aca="false">SUM(AY9:AY15)</f>
        <v>31863.75</v>
      </c>
      <c r="AZ16" s="100" t="n">
        <f aca="false">SUM(AZ9:AZ15)</f>
        <v>31863.75</v>
      </c>
      <c r="BA16" s="100" t="n">
        <f aca="false">SUM(BA9:BA15)</f>
        <v>31863.75</v>
      </c>
      <c r="BB16" s="100" t="n">
        <f aca="false">SUM(BB9:BB15)</f>
        <v>31863.75</v>
      </c>
      <c r="BC16" s="100" t="n">
        <f aca="false">SUM(BC9:BC15)</f>
        <v>31863.75</v>
      </c>
      <c r="BD16" s="100" t="n">
        <f aca="false">SUM(BD9:BD15)</f>
        <v>31863.75</v>
      </c>
      <c r="BE16" s="100" t="n">
        <f aca="false">SUM(BE9:BE15)</f>
        <v>31863.75</v>
      </c>
      <c r="BF16" s="100" t="n">
        <f aca="false">SUM(BF9:BF15)</f>
        <v>31863.75</v>
      </c>
      <c r="BG16" s="100" t="n">
        <f aca="false">SUM(BG9:BG15)</f>
        <v>31863.75</v>
      </c>
      <c r="BH16" s="100" t="n">
        <f aca="false">SUM(BH9:BH15)</f>
        <v>31863.75</v>
      </c>
      <c r="BI16" s="100" t="n">
        <f aca="false">SUM(BI9:BI15)</f>
        <v>31863.75</v>
      </c>
      <c r="BJ16" s="100" t="n">
        <f aca="false">SUM(BJ9:BJ15)</f>
        <v>31863.75</v>
      </c>
      <c r="BK16" s="100" t="n">
        <f aca="false">SUM(BK9:BK15)</f>
        <v>31863.75</v>
      </c>
      <c r="BL16" s="100" t="n">
        <f aca="false">SUM(BL9:BL15)</f>
        <v>31863.75</v>
      </c>
      <c r="BM16" s="100" t="n">
        <f aca="false">SUM(BM9:BM15)</f>
        <v>31863.75</v>
      </c>
      <c r="BN16" s="100" t="n">
        <f aca="false">SUM(BN9:BN15)</f>
        <v>31863.75</v>
      </c>
      <c r="BO16" s="100" t="n">
        <f aca="false">SUM(BO9:BO15)</f>
        <v>31863.75</v>
      </c>
      <c r="BP16" s="100" t="n">
        <f aca="false">SUM(BP9:BP15)</f>
        <v>31863.75</v>
      </c>
      <c r="BQ16" s="100" t="n">
        <f aca="false">SUM(BQ9:BQ15)</f>
        <v>31863.75</v>
      </c>
      <c r="BR16" s="100" t="n">
        <f aca="false">SUM(BR9:BR15)</f>
        <v>31863.75</v>
      </c>
      <c r="BS16" s="100" t="n">
        <f aca="false">SUM(BS9:BS15)</f>
        <v>31863.75</v>
      </c>
      <c r="BT16" s="100" t="n">
        <f aca="false">SUM(BT9:BT15)</f>
        <v>31863.75</v>
      </c>
      <c r="BU16" s="100" t="n">
        <f aca="false">SUM(BU9:BU15)</f>
        <v>31863.75</v>
      </c>
      <c r="BV16" s="100" t="n">
        <f aca="false">SUM(BV9:BV15)</f>
        <v>31863.75</v>
      </c>
      <c r="BW16" s="100" t="n">
        <f aca="false">SUM(BW9:BW15)</f>
        <v>31863.75</v>
      </c>
      <c r="BX16" s="100" t="n">
        <f aca="false">SUM(BX9:BX15)</f>
        <v>31863.75</v>
      </c>
      <c r="BY16" s="100" t="n">
        <f aca="false">SUM(BY9:BY15)</f>
        <v>31863.75</v>
      </c>
      <c r="BZ16" s="100" t="n">
        <f aca="false">SUM(BZ9:BZ15)</f>
        <v>31863.75</v>
      </c>
      <c r="CA16" s="100" t="n">
        <f aca="false">SUM(CA9:CA15)</f>
        <v>31863.75</v>
      </c>
      <c r="CB16" s="100" t="n">
        <f aca="false">SUM(CB9:CB15)</f>
        <v>31863.75</v>
      </c>
      <c r="CC16" s="100" t="n">
        <f aca="false">SUM(CC9:CC15)</f>
        <v>31863.75</v>
      </c>
      <c r="CD16" s="100" t="n">
        <f aca="false">SUM(CD9:CD15)</f>
        <v>31863.75</v>
      </c>
      <c r="CE16" s="100" t="n">
        <f aca="false">SUM(CE9:CE15)</f>
        <v>31863.75</v>
      </c>
      <c r="CF16" s="100" t="n">
        <f aca="false">SUM(CF9:CF15)</f>
        <v>31863.75</v>
      </c>
      <c r="CG16" s="100" t="n">
        <f aca="false">SUM(CG9:CG15)</f>
        <v>31863.75</v>
      </c>
      <c r="CH16" s="100" t="n">
        <f aca="false">SUM(CH9:CH15)</f>
        <v>31863.75</v>
      </c>
    </row>
    <row r="17" customFormat="false" ht="13.5" hidden="false" customHeight="true" outlineLevel="0" collapsed="false">
      <c r="A17" s="6" t="s">
        <v>497</v>
      </c>
      <c r="C17" s="101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E$17</f>
        <v>103.962264150943</v>
      </c>
      <c r="D17" s="101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E$17</f>
        <v>222.408435072142</v>
      </c>
      <c r="E17" s="101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E$17</f>
        <v>533.677003230537</v>
      </c>
      <c r="F17" s="101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E$17</f>
        <v>740.983307237989</v>
      </c>
      <c r="G17" s="101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E$17</f>
        <v>933.805704475186</v>
      </c>
      <c r="H17" s="101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E$17</f>
        <v>1292.58953345489</v>
      </c>
      <c r="I17" s="101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E$17</f>
        <v>1651.3733624346</v>
      </c>
      <c r="J17" s="101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E$17</f>
        <v>2010.1571914143</v>
      </c>
      <c r="K17" s="101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E$17</f>
        <v>2368.94102039401</v>
      </c>
      <c r="L17" s="101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E$17</f>
        <v>2727.72484937371</v>
      </c>
      <c r="M17" s="101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E$17</f>
        <v>2893.68628111622</v>
      </c>
      <c r="N17" s="101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E$17</f>
        <v>3301.04615902965</v>
      </c>
      <c r="O17" s="101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E$17</f>
        <v>3708.40603694308</v>
      </c>
      <c r="P17" s="101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E$17</f>
        <v>4046.36386158237</v>
      </c>
      <c r="Q17" s="101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E$17</f>
        <v>4384.32168622166</v>
      </c>
      <c r="R17" s="101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E$17</f>
        <v>4722.27951086095</v>
      </c>
      <c r="S17" s="101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E$17</f>
        <v>5060.23733550024</v>
      </c>
      <c r="T17" s="101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E$17</f>
        <v>5398.19516013953</v>
      </c>
      <c r="U17" s="101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E$17</f>
        <v>5736.15298477882</v>
      </c>
      <c r="V17" s="101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E$17</f>
        <v>6074.11080941811</v>
      </c>
      <c r="W17" s="101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E$17</f>
        <v>6412.0686340574</v>
      </c>
      <c r="X17" s="101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E$17</f>
        <v>6508.62801252576</v>
      </c>
      <c r="Y17" s="101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E$17</f>
        <v>6605.18739099413</v>
      </c>
      <c r="Z17" s="101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E$17</f>
        <v>6605.18739099413</v>
      </c>
      <c r="AA17" s="101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E$17</f>
        <v>6605.18739099413</v>
      </c>
      <c r="AB17" s="101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E$17</f>
        <v>6605.18739099413</v>
      </c>
      <c r="AC17" s="101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E$17</f>
        <v>6605.18739099413</v>
      </c>
      <c r="AD17" s="101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E$17</f>
        <v>6605.18739099413</v>
      </c>
      <c r="AE17" s="101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E$17</f>
        <v>6605.18739099413</v>
      </c>
      <c r="AF17" s="101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E$17</f>
        <v>6605.18739099413</v>
      </c>
      <c r="AG17" s="101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E$17</f>
        <v>6605.18739099413</v>
      </c>
      <c r="AH17" s="101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E$17</f>
        <v>6605.18739099413</v>
      </c>
      <c r="AI17" s="101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E$17</f>
        <v>6605.18739099413</v>
      </c>
      <c r="AJ17" s="101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E$17</f>
        <v>6605.18739099413</v>
      </c>
      <c r="AK17" s="101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E$17</f>
        <v>6605.18739099413</v>
      </c>
      <c r="AL17" s="101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E$17</f>
        <v>6605.18739099413</v>
      </c>
      <c r="AM17" s="101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E$17</f>
        <v>6605.18739099413</v>
      </c>
      <c r="AN17" s="101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E$17</f>
        <v>6605.18739099413</v>
      </c>
      <c r="AO17" s="101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E$17</f>
        <v>6605.18739099413</v>
      </c>
      <c r="AP17" s="101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E$17</f>
        <v>6605.18739099413</v>
      </c>
      <c r="AQ17" s="101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E$17</f>
        <v>6605.18739099413</v>
      </c>
      <c r="AR17" s="101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E$17</f>
        <v>6605.18739099413</v>
      </c>
      <c r="AS17" s="101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E$17</f>
        <v>6605.18739099413</v>
      </c>
      <c r="AT17" s="101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E$17</f>
        <v>6605.18739099413</v>
      </c>
      <c r="AU17" s="101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E$17</f>
        <v>6605.18739099413</v>
      </c>
      <c r="AV17" s="101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E$17</f>
        <v>6605.18739099413</v>
      </c>
      <c r="AW17" s="101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E$17</f>
        <v>6605.18739099413</v>
      </c>
      <c r="AX17" s="101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E$17</f>
        <v>6605.18739099413</v>
      </c>
      <c r="AY17" s="101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E$17</f>
        <v>6605.18739099413</v>
      </c>
      <c r="AZ17" s="101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E$17</f>
        <v>6605.18739099413</v>
      </c>
      <c r="BA17" s="101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E$17</f>
        <v>6605.18739099413</v>
      </c>
      <c r="BB17" s="101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E$17</f>
        <v>6605.18739099413</v>
      </c>
      <c r="BC17" s="101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E$17</f>
        <v>6605.18739099413</v>
      </c>
      <c r="BD17" s="101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E$17</f>
        <v>6605.18739099413</v>
      </c>
      <c r="BE17" s="101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E$17</f>
        <v>6605.18739099413</v>
      </c>
      <c r="BF17" s="101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E$17</f>
        <v>6605.18739099413</v>
      </c>
      <c r="BG17" s="101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E$17</f>
        <v>6605.18739099413</v>
      </c>
      <c r="BH17" s="101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E$17</f>
        <v>6605.18739099413</v>
      </c>
      <c r="BI17" s="101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E$17</f>
        <v>6605.18739099413</v>
      </c>
      <c r="BJ17" s="101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E$17</f>
        <v>6605.18739099413</v>
      </c>
      <c r="BK17" s="101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E$17</f>
        <v>6605.18739099413</v>
      </c>
      <c r="BL17" s="101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E$17</f>
        <v>6605.18739099413</v>
      </c>
      <c r="BM17" s="101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E$17</f>
        <v>6605.18739099413</v>
      </c>
      <c r="BN17" s="101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E$17</f>
        <v>6605.18739099413</v>
      </c>
      <c r="BO17" s="101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E$17</f>
        <v>6605.18739099413</v>
      </c>
      <c r="BP17" s="101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E$17</f>
        <v>6605.18739099413</v>
      </c>
      <c r="BQ17" s="101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E$17</f>
        <v>6605.18739099413</v>
      </c>
      <c r="BR17" s="101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E$17</f>
        <v>6605.18739099413</v>
      </c>
      <c r="BS17" s="101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E$17</f>
        <v>6605.18739099413</v>
      </c>
      <c r="BT17" s="101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E$17</f>
        <v>6605.18739099413</v>
      </c>
      <c r="BU17" s="101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E$17</f>
        <v>6605.18739099413</v>
      </c>
      <c r="BV17" s="101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E$17</f>
        <v>6605.18739099413</v>
      </c>
      <c r="BW17" s="101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E$17</f>
        <v>6605.18739099413</v>
      </c>
      <c r="BX17" s="101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E$17</f>
        <v>6605.18739099413</v>
      </c>
      <c r="BY17" s="101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E$17</f>
        <v>6605.18739099413</v>
      </c>
      <c r="BZ17" s="101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E$17</f>
        <v>6605.18739099413</v>
      </c>
      <c r="CA17" s="101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E$17</f>
        <v>6605.18739099413</v>
      </c>
      <c r="CB17" s="101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E$17</f>
        <v>6605.18739099413</v>
      </c>
      <c r="CC17" s="101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E$17</f>
        <v>6605.18739099413</v>
      </c>
      <c r="CD17" s="101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E$17</f>
        <v>6605.18739099413</v>
      </c>
      <c r="CE17" s="101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E$17</f>
        <v>6605.18739099413</v>
      </c>
      <c r="CF17" s="101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E$17</f>
        <v>6605.18739099413</v>
      </c>
      <c r="CG17" s="101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E$17</f>
        <v>6605.18739099413</v>
      </c>
      <c r="CH17" s="101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E$17</f>
        <v>6605.18739099413</v>
      </c>
    </row>
    <row r="18" customFormat="false" ht="13.5" hidden="false" customHeight="true" outlineLevel="0" collapsed="false">
      <c r="A18" s="6" t="s">
        <v>498</v>
      </c>
      <c r="C18" s="109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E$17</f>
        <v>40.156364358106</v>
      </c>
      <c r="D18" s="109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E$17</f>
        <v>82.0744136290964</v>
      </c>
      <c r="E18" s="109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E$17</f>
        <v>153.716467502765</v>
      </c>
      <c r="F18" s="109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E$17</f>
        <v>185.202157018328</v>
      </c>
      <c r="G18" s="109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E$17</f>
        <v>214.926161621007</v>
      </c>
      <c r="H18" s="109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E$17</f>
        <v>264.836139183819</v>
      </c>
      <c r="I18" s="109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E$17</f>
        <v>314.746116746632</v>
      </c>
      <c r="J18" s="109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E$17</f>
        <v>364.656094309444</v>
      </c>
      <c r="K18" s="109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E$17</f>
        <v>414.566071872257</v>
      </c>
      <c r="L18" s="109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E$17</f>
        <v>464.476049435069</v>
      </c>
      <c r="M18" s="109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E$17</f>
        <v>484.662022395203</v>
      </c>
      <c r="N18" s="109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E$17</f>
        <v>534.209410570078</v>
      </c>
      <c r="O18" s="109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E$17</f>
        <v>583.756798744953</v>
      </c>
      <c r="P18" s="109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E$17</f>
        <v>624.86278004559</v>
      </c>
      <c r="Q18" s="109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E$17</f>
        <v>665.968761346226</v>
      </c>
      <c r="R18" s="109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E$17</f>
        <v>707.074742646863</v>
      </c>
      <c r="S18" s="109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E$17</f>
        <v>748.1807239475</v>
      </c>
      <c r="T18" s="109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E$17</f>
        <v>789.286705248137</v>
      </c>
      <c r="U18" s="109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E$17</f>
        <v>830.392686548774</v>
      </c>
      <c r="V18" s="109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E$17</f>
        <v>871.498667849411</v>
      </c>
      <c r="W18" s="109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E$17</f>
        <v>912.604649150047</v>
      </c>
      <c r="X18" s="109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E$17</f>
        <v>924.349215235943</v>
      </c>
      <c r="Y18" s="109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E$17</f>
        <v>936.09378132184</v>
      </c>
      <c r="Z18" s="109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E$17</f>
        <v>936.09378132184</v>
      </c>
      <c r="AA18" s="109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E$17</f>
        <v>936.09378132184</v>
      </c>
      <c r="AB18" s="109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E$17</f>
        <v>936.09378132184</v>
      </c>
      <c r="AC18" s="109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E$17</f>
        <v>936.09378132184</v>
      </c>
      <c r="AD18" s="109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E$17</f>
        <v>936.09378132184</v>
      </c>
      <c r="AE18" s="109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E$17</f>
        <v>936.09378132184</v>
      </c>
      <c r="AF18" s="109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E$17</f>
        <v>936.09378132184</v>
      </c>
      <c r="AG18" s="109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E$17</f>
        <v>936.09378132184</v>
      </c>
      <c r="AH18" s="109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E$17</f>
        <v>936.09378132184</v>
      </c>
      <c r="AI18" s="109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E$17</f>
        <v>936.09378132184</v>
      </c>
      <c r="AJ18" s="109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E$17</f>
        <v>936.09378132184</v>
      </c>
      <c r="AK18" s="109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E$17</f>
        <v>936.09378132184</v>
      </c>
      <c r="AL18" s="109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E$17</f>
        <v>936.09378132184</v>
      </c>
      <c r="AM18" s="109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E$17</f>
        <v>936.09378132184</v>
      </c>
      <c r="AN18" s="109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E$17</f>
        <v>936.09378132184</v>
      </c>
      <c r="AO18" s="109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E$17</f>
        <v>936.09378132184</v>
      </c>
      <c r="AP18" s="109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E$17</f>
        <v>936.09378132184</v>
      </c>
      <c r="AQ18" s="109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E$17</f>
        <v>936.09378132184</v>
      </c>
      <c r="AR18" s="109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E$17</f>
        <v>936.09378132184</v>
      </c>
      <c r="AS18" s="109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E$17</f>
        <v>936.09378132184</v>
      </c>
      <c r="AT18" s="109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E$17</f>
        <v>936.09378132184</v>
      </c>
      <c r="AU18" s="109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E$17</f>
        <v>936.09378132184</v>
      </c>
      <c r="AV18" s="109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E$17</f>
        <v>936.09378132184</v>
      </c>
      <c r="AW18" s="109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E$17</f>
        <v>936.09378132184</v>
      </c>
      <c r="AX18" s="109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E$17</f>
        <v>936.09378132184</v>
      </c>
      <c r="AY18" s="109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E$17</f>
        <v>936.09378132184</v>
      </c>
      <c r="AZ18" s="109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E$17</f>
        <v>936.09378132184</v>
      </c>
      <c r="BA18" s="109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E$17</f>
        <v>936.09378132184</v>
      </c>
      <c r="BB18" s="109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E$17</f>
        <v>936.09378132184</v>
      </c>
      <c r="BC18" s="109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E$17</f>
        <v>936.09378132184</v>
      </c>
      <c r="BD18" s="109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E$17</f>
        <v>936.09378132184</v>
      </c>
      <c r="BE18" s="109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E$17</f>
        <v>936.09378132184</v>
      </c>
      <c r="BF18" s="109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E$17</f>
        <v>936.09378132184</v>
      </c>
      <c r="BG18" s="109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E$17</f>
        <v>936.09378132184</v>
      </c>
      <c r="BH18" s="109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E$17</f>
        <v>936.09378132184</v>
      </c>
      <c r="BI18" s="109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E$17</f>
        <v>936.09378132184</v>
      </c>
      <c r="BJ18" s="109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E$17</f>
        <v>936.09378132184</v>
      </c>
      <c r="BK18" s="109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E$17</f>
        <v>936.09378132184</v>
      </c>
      <c r="BL18" s="109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E$17</f>
        <v>936.09378132184</v>
      </c>
      <c r="BM18" s="109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E$17</f>
        <v>936.09378132184</v>
      </c>
      <c r="BN18" s="109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E$17</f>
        <v>936.09378132184</v>
      </c>
      <c r="BO18" s="109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E$17</f>
        <v>936.09378132184</v>
      </c>
      <c r="BP18" s="109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E$17</f>
        <v>936.09378132184</v>
      </c>
      <c r="BQ18" s="109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E$17</f>
        <v>936.09378132184</v>
      </c>
      <c r="BR18" s="109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E$17</f>
        <v>936.09378132184</v>
      </c>
      <c r="BS18" s="109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E$17</f>
        <v>936.09378132184</v>
      </c>
      <c r="BT18" s="109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E$17</f>
        <v>936.09378132184</v>
      </c>
      <c r="BU18" s="109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E$17</f>
        <v>936.09378132184</v>
      </c>
      <c r="BV18" s="109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E$17</f>
        <v>936.09378132184</v>
      </c>
      <c r="BW18" s="109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E$17</f>
        <v>936.09378132184</v>
      </c>
      <c r="BX18" s="109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E$17</f>
        <v>936.09378132184</v>
      </c>
      <c r="BY18" s="109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E$17</f>
        <v>936.09378132184</v>
      </c>
      <c r="BZ18" s="109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E$17</f>
        <v>936.09378132184</v>
      </c>
      <c r="CA18" s="109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E$17</f>
        <v>936.09378132184</v>
      </c>
      <c r="CB18" s="109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E$17</f>
        <v>936.09378132184</v>
      </c>
      <c r="CC18" s="109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E$17</f>
        <v>936.09378132184</v>
      </c>
      <c r="CD18" s="109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E$17</f>
        <v>936.09378132184</v>
      </c>
      <c r="CE18" s="109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E$17</f>
        <v>936.09378132184</v>
      </c>
      <c r="CF18" s="109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E$17</f>
        <v>936.09378132184</v>
      </c>
      <c r="CG18" s="109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E$17</f>
        <v>936.09378132184</v>
      </c>
      <c r="CH18" s="109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E$17</f>
        <v>936.09378132184</v>
      </c>
    </row>
    <row r="19" customFormat="false" ht="13.5" hidden="false" customHeight="true" outlineLevel="0" collapsed="false">
      <c r="A19" s="6" t="s">
        <v>499</v>
      </c>
      <c r="C19" s="100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109.098</v>
      </c>
      <c r="D19" s="100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234.623647058823</v>
      </c>
      <c r="E19" s="100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579.188495010504</v>
      </c>
      <c r="F19" s="100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814.655342962185</v>
      </c>
      <c r="G19" s="100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1033.69454385504</v>
      </c>
      <c r="H19" s="100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1440.96720063025</v>
      </c>
      <c r="I19" s="100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1848.23985740546</v>
      </c>
      <c r="J19" s="100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2255.51251418067</v>
      </c>
      <c r="K19" s="100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2662.78517095588</v>
      </c>
      <c r="L19" s="100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3070.05782773109</v>
      </c>
      <c r="M19" s="100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3258.29128361345</v>
      </c>
      <c r="N19" s="100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3720.31885714286</v>
      </c>
      <c r="O19" s="100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4182.34643067227</v>
      </c>
      <c r="P19" s="100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4565.65819537815</v>
      </c>
      <c r="Q19" s="100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4948.96996008403</v>
      </c>
      <c r="R19" s="100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5332.28172478992</v>
      </c>
      <c r="S19" s="100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5715.5934894958</v>
      </c>
      <c r="T19" s="100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6098.90525420168</v>
      </c>
      <c r="U19" s="100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6482.21701890756</v>
      </c>
      <c r="V19" s="100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6865.52878361345</v>
      </c>
      <c r="W19" s="100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7248.84054831933</v>
      </c>
      <c r="X19" s="100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7358.35819537815</v>
      </c>
      <c r="Y19" s="100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7467.87584243697</v>
      </c>
      <c r="Z19" s="100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7467.87584243697</v>
      </c>
      <c r="AA19" s="100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7467.87584243697</v>
      </c>
      <c r="AB19" s="100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7467.87584243697</v>
      </c>
      <c r="AC19" s="100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7467.87584243697</v>
      </c>
      <c r="AD19" s="100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7467.87584243697</v>
      </c>
      <c r="AE19" s="100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7467.87584243697</v>
      </c>
      <c r="AF19" s="100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7467.87584243697</v>
      </c>
      <c r="AG19" s="100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7467.87584243697</v>
      </c>
      <c r="AH19" s="100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7467.87584243697</v>
      </c>
      <c r="AI19" s="100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7467.87584243697</v>
      </c>
      <c r="AJ19" s="100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7467.87584243697</v>
      </c>
      <c r="AK19" s="100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7467.87584243697</v>
      </c>
      <c r="AL19" s="100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7467.87584243697</v>
      </c>
      <c r="AM19" s="100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7467.87584243697</v>
      </c>
      <c r="AN19" s="100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7467.87584243697</v>
      </c>
      <c r="AO19" s="100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7467.87584243697</v>
      </c>
      <c r="AP19" s="100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7467.87584243697</v>
      </c>
      <c r="AQ19" s="100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7467.87584243697</v>
      </c>
      <c r="AR19" s="100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7467.87584243697</v>
      </c>
      <c r="AS19" s="100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7467.87584243697</v>
      </c>
      <c r="AT19" s="100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7467.87584243697</v>
      </c>
      <c r="AU19" s="100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7467.87584243697</v>
      </c>
      <c r="AV19" s="100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7467.87584243697</v>
      </c>
      <c r="AW19" s="100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7467.87584243697</v>
      </c>
      <c r="AX19" s="100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7467.87584243697</v>
      </c>
      <c r="AY19" s="100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7467.87584243697</v>
      </c>
      <c r="AZ19" s="100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7467.87584243697</v>
      </c>
      <c r="BA19" s="100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7467.87584243697</v>
      </c>
      <c r="BB19" s="100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7467.87584243697</v>
      </c>
      <c r="BC19" s="100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7467.87584243697</v>
      </c>
      <c r="BD19" s="100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7467.87584243697</v>
      </c>
      <c r="BE19" s="100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7467.87584243697</v>
      </c>
      <c r="BF19" s="100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7467.87584243697</v>
      </c>
      <c r="BG19" s="100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7467.87584243697</v>
      </c>
      <c r="BH19" s="100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7467.87584243697</v>
      </c>
      <c r="BI19" s="100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7467.87584243697</v>
      </c>
      <c r="BJ19" s="100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7467.87584243697</v>
      </c>
      <c r="BK19" s="100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7467.87584243697</v>
      </c>
      <c r="BL19" s="100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7467.87584243697</v>
      </c>
      <c r="BM19" s="100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7467.87584243697</v>
      </c>
      <c r="BN19" s="100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7467.87584243697</v>
      </c>
      <c r="BO19" s="100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7467.87584243697</v>
      </c>
      <c r="BP19" s="100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7467.87584243697</v>
      </c>
      <c r="BQ19" s="100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7467.87584243697</v>
      </c>
      <c r="BR19" s="100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7467.87584243697</v>
      </c>
      <c r="BS19" s="100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7467.87584243697</v>
      </c>
      <c r="BT19" s="100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7467.87584243697</v>
      </c>
      <c r="BU19" s="100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7467.87584243697</v>
      </c>
      <c r="BV19" s="100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7467.87584243697</v>
      </c>
      <c r="BW19" s="100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7467.87584243697</v>
      </c>
      <c r="BX19" s="100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7467.87584243697</v>
      </c>
      <c r="BY19" s="100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7467.87584243697</v>
      </c>
      <c r="BZ19" s="100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7467.87584243697</v>
      </c>
      <c r="CA19" s="100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7467.87584243697</v>
      </c>
      <c r="CB19" s="100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7467.87584243697</v>
      </c>
      <c r="CC19" s="100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7467.87584243697</v>
      </c>
      <c r="CD19" s="100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7467.87584243697</v>
      </c>
      <c r="CE19" s="100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7467.87584243697</v>
      </c>
      <c r="CF19" s="100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7467.87584243697</v>
      </c>
      <c r="CG19" s="100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7467.87584243697</v>
      </c>
      <c r="CH19" s="100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7467.87584243697</v>
      </c>
    </row>
    <row r="20" customFormat="false" ht="13.5" hidden="false" customHeight="true" outlineLevel="0" collapsed="false">
      <c r="A20" s="6" t="s">
        <v>500</v>
      </c>
      <c r="C20" s="109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09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09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09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09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09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09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09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09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09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09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09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09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09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09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09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09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09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09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09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09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09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09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09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09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09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09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09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09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09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09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09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09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09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09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09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09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09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09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09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09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09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09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09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09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09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09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09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09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09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09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09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09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09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09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09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09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09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09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09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09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09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09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09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09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09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09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09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09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09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09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09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09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09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09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09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09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09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09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09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09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09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09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09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6" t="s">
        <v>501</v>
      </c>
      <c r="C21" s="110" t="n">
        <f aca="false">IF(C18=0,1,MIN(1,C8/C18))</f>
        <v>1</v>
      </c>
      <c r="D21" s="110" t="n">
        <f aca="false">IF(D18=0,1,MIN(1,D8/D18))</f>
        <v>1</v>
      </c>
      <c r="E21" s="110" t="n">
        <f aca="false">IF(E18=0,1,MIN(1,E8/E18))</f>
        <v>1</v>
      </c>
      <c r="F21" s="110" t="n">
        <f aca="false">IF(F18=0,1,MIN(1,F8/F18))</f>
        <v>1</v>
      </c>
      <c r="G21" s="110" t="n">
        <f aca="false">IF(G18=0,1,MIN(1,G8/G18))</f>
        <v>1</v>
      </c>
      <c r="H21" s="110" t="n">
        <f aca="false">IF(H18=0,1,MIN(1,H8/H18))</f>
        <v>1</v>
      </c>
      <c r="I21" s="110" t="n">
        <f aca="false">IF(I18=0,1,MIN(1,I8/I18))</f>
        <v>1</v>
      </c>
      <c r="J21" s="110" t="n">
        <f aca="false">IF(J18=0,1,MIN(1,J8/J18))</f>
        <v>1</v>
      </c>
      <c r="K21" s="110" t="n">
        <f aca="false">IF(K18=0,1,MIN(1,K8/K18))</f>
        <v>1</v>
      </c>
      <c r="L21" s="110" t="n">
        <f aca="false">IF(L18=0,1,MIN(1,L8/L18))</f>
        <v>1</v>
      </c>
      <c r="M21" s="110" t="n">
        <f aca="false">IF(M18=0,1,MIN(1,M8/M18))</f>
        <v>1</v>
      </c>
      <c r="N21" s="110" t="n">
        <f aca="false">IF(N18=0,1,MIN(1,N8/N18))</f>
        <v>1</v>
      </c>
      <c r="O21" s="110" t="n">
        <f aca="false">IF(O18=0,1,MIN(1,O8/O18))</f>
        <v>1</v>
      </c>
      <c r="P21" s="110" t="n">
        <f aca="false">IF(P18=0,1,MIN(1,P8/P18))</f>
        <v>1</v>
      </c>
      <c r="Q21" s="110" t="n">
        <f aca="false">IF(Q18=0,1,MIN(1,Q8/Q18))</f>
        <v>1</v>
      </c>
      <c r="R21" s="110" t="n">
        <f aca="false">IF(R18=0,1,MIN(1,R8/R18))</f>
        <v>1</v>
      </c>
      <c r="S21" s="110" t="n">
        <f aca="false">IF(S18=0,1,MIN(1,S8/S18))</f>
        <v>1</v>
      </c>
      <c r="T21" s="110" t="n">
        <f aca="false">IF(T18=0,1,MIN(1,T8/T18))</f>
        <v>1</v>
      </c>
      <c r="U21" s="110" t="n">
        <f aca="false">IF(U18=0,1,MIN(1,U8/U18))</f>
        <v>1</v>
      </c>
      <c r="V21" s="110" t="n">
        <f aca="false">IF(V18=0,1,MIN(1,V8/V18))</f>
        <v>1</v>
      </c>
      <c r="W21" s="110" t="n">
        <f aca="false">IF(W18=0,1,MIN(1,W8/W18))</f>
        <v>1</v>
      </c>
      <c r="X21" s="110" t="n">
        <f aca="false">IF(X18=0,1,MIN(1,X8/X18))</f>
        <v>1</v>
      </c>
      <c r="Y21" s="110" t="n">
        <f aca="false">IF(Y18=0,1,MIN(1,Y8/Y18))</f>
        <v>1</v>
      </c>
      <c r="Z21" s="110" t="n">
        <f aca="false">IF(Z18=0,1,MIN(1,Z8/Z18))</f>
        <v>1</v>
      </c>
      <c r="AA21" s="110" t="n">
        <f aca="false">IF(AA18=0,1,MIN(1,AA8/AA18))</f>
        <v>1</v>
      </c>
      <c r="AB21" s="110" t="n">
        <f aca="false">IF(AB18=0,1,MIN(1,AB8/AB18))</f>
        <v>1</v>
      </c>
      <c r="AC21" s="110" t="n">
        <f aca="false">IF(AC18=0,1,MIN(1,AC8/AC18))</f>
        <v>1</v>
      </c>
      <c r="AD21" s="110" t="n">
        <f aca="false">IF(AD18=0,1,MIN(1,AD8/AD18))</f>
        <v>1</v>
      </c>
      <c r="AE21" s="110" t="n">
        <f aca="false">IF(AE18=0,1,MIN(1,AE8/AE18))</f>
        <v>1</v>
      </c>
      <c r="AF21" s="110" t="n">
        <f aca="false">IF(AF18=0,1,MIN(1,AF8/AF18))</f>
        <v>1</v>
      </c>
      <c r="AG21" s="110" t="n">
        <f aca="false">IF(AG18=0,1,MIN(1,AG8/AG18))</f>
        <v>1</v>
      </c>
      <c r="AH21" s="110" t="n">
        <f aca="false">IF(AH18=0,1,MIN(1,AH8/AH18))</f>
        <v>1</v>
      </c>
      <c r="AI21" s="110" t="n">
        <f aca="false">IF(AI18=0,1,MIN(1,AI8/AI18))</f>
        <v>1</v>
      </c>
      <c r="AJ21" s="110" t="n">
        <f aca="false">IF(AJ18=0,1,MIN(1,AJ8/AJ18))</f>
        <v>1</v>
      </c>
      <c r="AK21" s="110" t="n">
        <f aca="false">IF(AK18=0,1,MIN(1,AK8/AK18))</f>
        <v>1</v>
      </c>
      <c r="AL21" s="110" t="n">
        <f aca="false">IF(AL18=0,1,MIN(1,AL8/AL18))</f>
        <v>1</v>
      </c>
      <c r="AM21" s="110" t="n">
        <f aca="false">IF(AM18=0,1,MIN(1,AM8/AM18))</f>
        <v>1</v>
      </c>
      <c r="AN21" s="110" t="n">
        <f aca="false">IF(AN18=0,1,MIN(1,AN8/AN18))</f>
        <v>1</v>
      </c>
      <c r="AO21" s="110" t="n">
        <f aca="false">IF(AO18=0,1,MIN(1,AO8/AO18))</f>
        <v>1</v>
      </c>
      <c r="AP21" s="110" t="n">
        <f aca="false">IF(AP18=0,1,MIN(1,AP8/AP18))</f>
        <v>1</v>
      </c>
      <c r="AQ21" s="110" t="n">
        <f aca="false">IF(AQ18=0,1,MIN(1,AQ8/AQ18))</f>
        <v>1</v>
      </c>
      <c r="AR21" s="110" t="n">
        <f aca="false">IF(AR18=0,1,MIN(1,AR8/AR18))</f>
        <v>1</v>
      </c>
      <c r="AS21" s="110" t="n">
        <f aca="false">IF(AS18=0,1,MIN(1,AS8/AS18))</f>
        <v>1</v>
      </c>
      <c r="AT21" s="110" t="n">
        <f aca="false">IF(AT18=0,1,MIN(1,AT8/AT18))</f>
        <v>1</v>
      </c>
      <c r="AU21" s="110" t="n">
        <f aca="false">IF(AU18=0,1,MIN(1,AU8/AU18))</f>
        <v>1</v>
      </c>
      <c r="AV21" s="110" t="n">
        <f aca="false">IF(AV18=0,1,MIN(1,AV8/AV18))</f>
        <v>1</v>
      </c>
      <c r="AW21" s="110" t="n">
        <f aca="false">IF(AW18=0,1,MIN(1,AW8/AW18))</f>
        <v>1</v>
      </c>
      <c r="AX21" s="110" t="n">
        <f aca="false">IF(AX18=0,1,MIN(1,AX8/AX18))</f>
        <v>1</v>
      </c>
      <c r="AY21" s="110" t="n">
        <f aca="false">IF(AY18=0,1,MIN(1,AY8/AY18))</f>
        <v>1</v>
      </c>
      <c r="AZ21" s="110" t="n">
        <f aca="false">IF(AZ18=0,1,MIN(1,AZ8/AZ18))</f>
        <v>1</v>
      </c>
      <c r="BA21" s="110" t="n">
        <f aca="false">IF(BA18=0,1,MIN(1,BA8/BA18))</f>
        <v>1</v>
      </c>
      <c r="BB21" s="110" t="n">
        <f aca="false">IF(BB18=0,1,MIN(1,BB8/BB18))</f>
        <v>1</v>
      </c>
      <c r="BC21" s="110" t="n">
        <f aca="false">IF(BC18=0,1,MIN(1,BC8/BC18))</f>
        <v>1</v>
      </c>
      <c r="BD21" s="110" t="n">
        <f aca="false">IF(BD18=0,1,MIN(1,BD8/BD18))</f>
        <v>1</v>
      </c>
      <c r="BE21" s="110" t="n">
        <f aca="false">IF(BE18=0,1,MIN(1,BE8/BE18))</f>
        <v>1</v>
      </c>
      <c r="BF21" s="110" t="n">
        <f aca="false">IF(BF18=0,1,MIN(1,BF8/BF18))</f>
        <v>1</v>
      </c>
      <c r="BG21" s="110" t="n">
        <f aca="false">IF(BG18=0,1,MIN(1,BG8/BG18))</f>
        <v>1</v>
      </c>
      <c r="BH21" s="110" t="n">
        <f aca="false">IF(BH18=0,1,MIN(1,BH8/BH18))</f>
        <v>1</v>
      </c>
      <c r="BI21" s="110" t="n">
        <f aca="false">IF(BI18=0,1,MIN(1,BI8/BI18))</f>
        <v>1</v>
      </c>
      <c r="BJ21" s="110" t="n">
        <f aca="false">IF(BJ18=0,1,MIN(1,BJ8/BJ18))</f>
        <v>1</v>
      </c>
      <c r="BK21" s="110" t="n">
        <f aca="false">IF(BK18=0,1,MIN(1,BK8/BK18))</f>
        <v>1</v>
      </c>
      <c r="BL21" s="110" t="n">
        <f aca="false">IF(BL18=0,1,MIN(1,BL8/BL18))</f>
        <v>1</v>
      </c>
      <c r="BM21" s="110" t="n">
        <f aca="false">IF(BM18=0,1,MIN(1,BM8/BM18))</f>
        <v>1</v>
      </c>
      <c r="BN21" s="110" t="n">
        <f aca="false">IF(BN18=0,1,MIN(1,BN8/BN18))</f>
        <v>1</v>
      </c>
      <c r="BO21" s="110" t="n">
        <f aca="false">IF(BO18=0,1,MIN(1,BO8/BO18))</f>
        <v>1</v>
      </c>
      <c r="BP21" s="110" t="n">
        <f aca="false">IF(BP18=0,1,MIN(1,BP8/BP18))</f>
        <v>1</v>
      </c>
      <c r="BQ21" s="110" t="n">
        <f aca="false">IF(BQ18=0,1,MIN(1,BQ8/BQ18))</f>
        <v>1</v>
      </c>
      <c r="BR21" s="110" t="n">
        <f aca="false">IF(BR18=0,1,MIN(1,BR8/BR18))</f>
        <v>1</v>
      </c>
      <c r="BS21" s="110" t="n">
        <f aca="false">IF(BS18=0,1,MIN(1,BS8/BS18))</f>
        <v>1</v>
      </c>
      <c r="BT21" s="110" t="n">
        <f aca="false">IF(BT18=0,1,MIN(1,BT8/BT18))</f>
        <v>1</v>
      </c>
      <c r="BU21" s="110" t="n">
        <f aca="false">IF(BU18=0,1,MIN(1,BU8/BU18))</f>
        <v>1</v>
      </c>
      <c r="BV21" s="110" t="n">
        <f aca="false">IF(BV18=0,1,MIN(1,BV8/BV18))</f>
        <v>1</v>
      </c>
      <c r="BW21" s="110" t="n">
        <f aca="false">IF(BW18=0,1,MIN(1,BW8/BW18))</f>
        <v>1</v>
      </c>
      <c r="BX21" s="110" t="n">
        <f aca="false">IF(BX18=0,1,MIN(1,BX8/BX18))</f>
        <v>1</v>
      </c>
      <c r="BY21" s="110" t="n">
        <f aca="false">IF(BY18=0,1,MIN(1,BY8/BY18))</f>
        <v>1</v>
      </c>
      <c r="BZ21" s="110" t="n">
        <f aca="false">IF(BZ18=0,1,MIN(1,BZ8/BZ18))</f>
        <v>1</v>
      </c>
      <c r="CA21" s="110" t="n">
        <f aca="false">IF(CA18=0,1,MIN(1,CA8/CA18))</f>
        <v>1</v>
      </c>
      <c r="CB21" s="110" t="n">
        <f aca="false">IF(CB18=0,1,MIN(1,CB8/CB18))</f>
        <v>1</v>
      </c>
      <c r="CC21" s="110" t="n">
        <f aca="false">IF(CC18=0,1,MIN(1,CC8/CC18))</f>
        <v>1</v>
      </c>
      <c r="CD21" s="110" t="n">
        <f aca="false">IF(CD18=0,1,MIN(1,CD8/CD18))</f>
        <v>1</v>
      </c>
      <c r="CE21" s="110" t="n">
        <f aca="false">IF(CE18=0,1,MIN(1,CE8/CE18))</f>
        <v>1</v>
      </c>
      <c r="CF21" s="110" t="n">
        <f aca="false">IF(CF18=0,1,MIN(1,CF8/CF18))</f>
        <v>1</v>
      </c>
      <c r="CG21" s="110" t="n">
        <f aca="false">IF(CG18=0,1,MIN(1,CG8/CG18))</f>
        <v>1</v>
      </c>
      <c r="CH21" s="110" t="n">
        <f aca="false">IF(CH18=0,1,MIN(1,CH8/CH18))</f>
        <v>1</v>
      </c>
    </row>
    <row r="22" customFormat="false" ht="13.5" hidden="false" customHeight="true" outlineLevel="0" collapsed="false">
      <c r="A22" s="6" t="s">
        <v>502</v>
      </c>
      <c r="C22" s="110" t="n">
        <f aca="false">MIN(Hipótesis!$E$32,Hipótesis!$E$31+(Hipótesis!$E$32-Hipótesis!$E$31)*MAX(0,1-Hipótesis!$E$29)/Hipótesis!$E$33)</f>
        <v>0</v>
      </c>
      <c r="D22" s="110" t="n">
        <f aca="false">MIN(Hipótesis!$E$32,Hipótesis!$E$31+(Hipótesis!$E$32-Hipótesis!$E$31)*MAX(0,2-Hipótesis!$E$29)/Hipótesis!$E$33)</f>
        <v>0</v>
      </c>
      <c r="E22" s="110" t="n">
        <f aca="false">MIN(Hipótesis!$E$32,Hipótesis!$E$31+(Hipótesis!$E$32-Hipótesis!$E$31)*MAX(0,3-Hipótesis!$E$29)/Hipótesis!$E$33)</f>
        <v>0</v>
      </c>
      <c r="F22" s="110" t="n">
        <f aca="false">MIN(Hipótesis!$E$32,Hipótesis!$E$31+(Hipótesis!$E$32-Hipótesis!$E$31)*MAX(0,4-Hipótesis!$E$29)/Hipótesis!$E$33)</f>
        <v>0</v>
      </c>
      <c r="G22" s="110" t="n">
        <f aca="false">MIN(Hipótesis!$E$32,Hipótesis!$E$31+(Hipótesis!$E$32-Hipótesis!$E$31)*MAX(0,5-Hipótesis!$E$29)/Hipótesis!$E$33)</f>
        <v>0</v>
      </c>
      <c r="H22" s="110" t="n">
        <f aca="false">MIN(Hipótesis!$E$32,Hipótesis!$E$31+(Hipótesis!$E$32-Hipótesis!$E$31)*MAX(0,6-Hipótesis!$E$29)/Hipótesis!$E$33)</f>
        <v>0</v>
      </c>
      <c r="I22" s="110" t="n">
        <f aca="false">MIN(Hipótesis!$E$32,Hipótesis!$E$31+(Hipótesis!$E$32-Hipótesis!$E$31)*MAX(0,7-Hipótesis!$E$29)/Hipótesis!$E$33)</f>
        <v>0.0152777777777778</v>
      </c>
      <c r="J22" s="110" t="n">
        <f aca="false">MIN(Hipótesis!$E$32,Hipótesis!$E$31+(Hipótesis!$E$32-Hipótesis!$E$31)*MAX(0,8-Hipótesis!$E$29)/Hipótesis!$E$33)</f>
        <v>0.0305555555555556</v>
      </c>
      <c r="K22" s="110" t="n">
        <f aca="false">MIN(Hipótesis!$E$32,Hipótesis!$E$31+(Hipótesis!$E$32-Hipótesis!$E$31)*MAX(0,9-Hipótesis!$E$29)/Hipótesis!$E$33)</f>
        <v>0.0458333333333333</v>
      </c>
      <c r="L22" s="110" t="n">
        <f aca="false">MIN(Hipótesis!$E$32,Hipótesis!$E$31+(Hipótesis!$E$32-Hipótesis!$E$31)*MAX(0,10-Hipótesis!$E$29)/Hipótesis!$E$33)</f>
        <v>0.0611111111111111</v>
      </c>
      <c r="M22" s="110" t="n">
        <f aca="false">MIN(Hipótesis!$E$32,Hipótesis!$E$31+(Hipótesis!$E$32-Hipótesis!$E$31)*MAX(0,11-Hipótesis!$E$29)/Hipótesis!$E$33)</f>
        <v>0.0763888888888889</v>
      </c>
      <c r="N22" s="110" t="n">
        <f aca="false">MIN(Hipótesis!$E$32,Hipótesis!$E$31+(Hipótesis!$E$32-Hipótesis!$E$31)*MAX(0,12-Hipótesis!$E$29)/Hipótesis!$E$33)</f>
        <v>0.0916666666666667</v>
      </c>
      <c r="O22" s="110" t="n">
        <f aca="false">MIN(Hipótesis!$E$32,Hipótesis!$E$31+(Hipótesis!$E$32-Hipótesis!$E$31)*MAX(0,13-Hipótesis!$E$29)/Hipótesis!$E$33)</f>
        <v>0.106944444444444</v>
      </c>
      <c r="P22" s="110" t="n">
        <f aca="false">MIN(Hipótesis!$E$32,Hipótesis!$E$31+(Hipótesis!$E$32-Hipótesis!$E$31)*MAX(0,14-Hipótesis!$E$29)/Hipótesis!$E$33)</f>
        <v>0.122222222222222</v>
      </c>
      <c r="Q22" s="110" t="n">
        <f aca="false">MIN(Hipótesis!$E$32,Hipótesis!$E$31+(Hipótesis!$E$32-Hipótesis!$E$31)*MAX(0,15-Hipótesis!$E$29)/Hipótesis!$E$33)</f>
        <v>0.1375</v>
      </c>
      <c r="R22" s="110" t="n">
        <f aca="false">MIN(Hipótesis!$E$32,Hipótesis!$E$31+(Hipótesis!$E$32-Hipótesis!$E$31)*MAX(0,16-Hipótesis!$E$29)/Hipótesis!$E$33)</f>
        <v>0.152777777777778</v>
      </c>
      <c r="S22" s="110" t="n">
        <f aca="false">MIN(Hipótesis!$E$32,Hipótesis!$E$31+(Hipótesis!$E$32-Hipótesis!$E$31)*MAX(0,17-Hipótesis!$E$29)/Hipótesis!$E$33)</f>
        <v>0.168055555555556</v>
      </c>
      <c r="T22" s="110" t="n">
        <f aca="false">MIN(Hipótesis!$E$32,Hipótesis!$E$31+(Hipótesis!$E$32-Hipótesis!$E$31)*MAX(0,18-Hipótesis!$E$29)/Hipótesis!$E$33)</f>
        <v>0.183333333333333</v>
      </c>
      <c r="U22" s="110" t="n">
        <f aca="false">MIN(Hipótesis!$E$32,Hipótesis!$E$31+(Hipótesis!$E$32-Hipótesis!$E$31)*MAX(0,19-Hipótesis!$E$29)/Hipótesis!$E$33)</f>
        <v>0.198611111111111</v>
      </c>
      <c r="V22" s="110" t="n">
        <f aca="false">MIN(Hipótesis!$E$32,Hipótesis!$E$31+(Hipótesis!$E$32-Hipótesis!$E$31)*MAX(0,20-Hipótesis!$E$29)/Hipótesis!$E$33)</f>
        <v>0.213888888888889</v>
      </c>
      <c r="W22" s="110" t="n">
        <f aca="false">MIN(Hipótesis!$E$32,Hipótesis!$E$31+(Hipótesis!$E$32-Hipótesis!$E$31)*MAX(0,21-Hipótesis!$E$29)/Hipótesis!$E$33)</f>
        <v>0.229166666666667</v>
      </c>
      <c r="X22" s="110" t="n">
        <f aca="false">MIN(Hipótesis!$E$32,Hipótesis!$E$31+(Hipótesis!$E$32-Hipótesis!$E$31)*MAX(0,22-Hipótesis!$E$29)/Hipótesis!$E$33)</f>
        <v>0.244444444444444</v>
      </c>
      <c r="Y22" s="110" t="n">
        <f aca="false">MIN(Hipótesis!$E$32,Hipótesis!$E$31+(Hipótesis!$E$32-Hipótesis!$E$31)*MAX(0,23-Hipótesis!$E$29)/Hipótesis!$E$33)</f>
        <v>0.259722222222222</v>
      </c>
      <c r="Z22" s="110" t="n">
        <f aca="false">MIN(Hipótesis!$E$32,Hipótesis!$E$31+(Hipótesis!$E$32-Hipótesis!$E$31)*MAX(0,24-Hipótesis!$E$29)/Hipótesis!$E$33)</f>
        <v>0.275</v>
      </c>
      <c r="AA22" s="110" t="n">
        <f aca="false">MIN(Hipótesis!$E$32,Hipótesis!$E$31+(Hipótesis!$E$32-Hipótesis!$E$31)*MAX(0,25-Hipótesis!$E$29)/Hipótesis!$E$33)</f>
        <v>0.290277777777778</v>
      </c>
      <c r="AB22" s="110" t="n">
        <f aca="false">MIN(Hipótesis!$E$32,Hipótesis!$E$31+(Hipótesis!$E$32-Hipótesis!$E$31)*MAX(0,26-Hipótesis!$E$29)/Hipótesis!$E$33)</f>
        <v>0.305555555555556</v>
      </c>
      <c r="AC22" s="110" t="n">
        <f aca="false">MIN(Hipótesis!$E$32,Hipótesis!$E$31+(Hipótesis!$E$32-Hipótesis!$E$31)*MAX(0,27-Hipótesis!$E$29)/Hipótesis!$E$33)</f>
        <v>0.320833333333333</v>
      </c>
      <c r="AD22" s="110" t="n">
        <f aca="false">MIN(Hipótesis!$E$32,Hipótesis!$E$31+(Hipótesis!$E$32-Hipótesis!$E$31)*MAX(0,28-Hipótesis!$E$29)/Hipótesis!$E$33)</f>
        <v>0.336111111111111</v>
      </c>
      <c r="AE22" s="110" t="n">
        <f aca="false">MIN(Hipótesis!$E$32,Hipótesis!$E$31+(Hipótesis!$E$32-Hipótesis!$E$31)*MAX(0,29-Hipótesis!$E$29)/Hipótesis!$E$33)</f>
        <v>0.351388888888889</v>
      </c>
      <c r="AF22" s="110" t="n">
        <f aca="false">MIN(Hipótesis!$E$32,Hipótesis!$E$31+(Hipótesis!$E$32-Hipótesis!$E$31)*MAX(0,30-Hipótesis!$E$29)/Hipótesis!$E$33)</f>
        <v>0.366666666666667</v>
      </c>
      <c r="AG22" s="110" t="n">
        <f aca="false">MIN(Hipótesis!$E$32,Hipótesis!$E$31+(Hipótesis!$E$32-Hipótesis!$E$31)*MAX(0,31-Hipótesis!$E$29)/Hipótesis!$E$33)</f>
        <v>0.381944444444445</v>
      </c>
      <c r="AH22" s="110" t="n">
        <f aca="false">MIN(Hipótesis!$E$32,Hipótesis!$E$31+(Hipótesis!$E$32-Hipótesis!$E$31)*MAX(0,32-Hipótesis!$E$29)/Hipótesis!$E$33)</f>
        <v>0.397222222222222</v>
      </c>
      <c r="AI22" s="110" t="n">
        <f aca="false">MIN(Hipótesis!$E$32,Hipótesis!$E$31+(Hipótesis!$E$32-Hipótesis!$E$31)*MAX(0,33-Hipótesis!$E$29)/Hipótesis!$E$33)</f>
        <v>0.4125</v>
      </c>
      <c r="AJ22" s="110" t="n">
        <f aca="false">MIN(Hipótesis!$E$32,Hipótesis!$E$31+(Hipótesis!$E$32-Hipótesis!$E$31)*MAX(0,34-Hipótesis!$E$29)/Hipótesis!$E$33)</f>
        <v>0.427777777777778</v>
      </c>
      <c r="AK22" s="110" t="n">
        <f aca="false">MIN(Hipótesis!$E$32,Hipótesis!$E$31+(Hipótesis!$E$32-Hipótesis!$E$31)*MAX(0,35-Hipótesis!$E$29)/Hipótesis!$E$33)</f>
        <v>0.443055555555556</v>
      </c>
      <c r="AL22" s="110" t="n">
        <f aca="false">MIN(Hipótesis!$E$32,Hipótesis!$E$31+(Hipótesis!$E$32-Hipótesis!$E$31)*MAX(0,36-Hipótesis!$E$29)/Hipótesis!$E$33)</f>
        <v>0.458333333333333</v>
      </c>
      <c r="AM22" s="110" t="n">
        <f aca="false">MIN(Hipótesis!$E$32,Hipótesis!$E$31+(Hipótesis!$E$32-Hipótesis!$E$31)*MAX(0,37-Hipótesis!$E$29)/Hipótesis!$E$33)</f>
        <v>0.473611111111111</v>
      </c>
      <c r="AN22" s="110" t="n">
        <f aca="false">MIN(Hipótesis!$E$32,Hipótesis!$E$31+(Hipótesis!$E$32-Hipótesis!$E$31)*MAX(0,38-Hipótesis!$E$29)/Hipótesis!$E$33)</f>
        <v>0.488888888888889</v>
      </c>
      <c r="AO22" s="110" t="n">
        <f aca="false">MIN(Hipótesis!$E$32,Hipótesis!$E$31+(Hipótesis!$E$32-Hipótesis!$E$31)*MAX(0,39-Hipótesis!$E$29)/Hipótesis!$E$33)</f>
        <v>0.504166666666667</v>
      </c>
      <c r="AP22" s="110" t="n">
        <f aca="false">MIN(Hipótesis!$E$32,Hipótesis!$E$31+(Hipótesis!$E$32-Hipótesis!$E$31)*MAX(0,40-Hipótesis!$E$29)/Hipótesis!$E$33)</f>
        <v>0.519444444444445</v>
      </c>
      <c r="AQ22" s="110" t="n">
        <f aca="false">MIN(Hipótesis!$E$32,Hipótesis!$E$31+(Hipótesis!$E$32-Hipótesis!$E$31)*MAX(0,41-Hipótesis!$E$29)/Hipótesis!$E$33)</f>
        <v>0.534722222222222</v>
      </c>
      <c r="AR22" s="110" t="n">
        <f aca="false">MIN(Hipótesis!$E$32,Hipótesis!$E$31+(Hipótesis!$E$32-Hipótesis!$E$31)*MAX(0,42-Hipótesis!$E$29)/Hipótesis!$E$33)</f>
        <v>0.55</v>
      </c>
      <c r="AS22" s="110" t="n">
        <f aca="false">MIN(Hipótesis!$E$32,Hipótesis!$E$31+(Hipótesis!$E$32-Hipótesis!$E$31)*MAX(0,43-Hipótesis!$E$29)/Hipótesis!$E$33)</f>
        <v>0.55</v>
      </c>
      <c r="AT22" s="110" t="n">
        <f aca="false">MIN(Hipótesis!$E$32,Hipótesis!$E$31+(Hipótesis!$E$32-Hipótesis!$E$31)*MAX(0,44-Hipótesis!$E$29)/Hipótesis!$E$33)</f>
        <v>0.55</v>
      </c>
      <c r="AU22" s="110" t="n">
        <f aca="false">MIN(Hipótesis!$E$32,Hipótesis!$E$31+(Hipótesis!$E$32-Hipótesis!$E$31)*MAX(0,45-Hipótesis!$E$29)/Hipótesis!$E$33)</f>
        <v>0.55</v>
      </c>
      <c r="AV22" s="110" t="n">
        <f aca="false">MIN(Hipótesis!$E$32,Hipótesis!$E$31+(Hipótesis!$E$32-Hipótesis!$E$31)*MAX(0,46-Hipótesis!$E$29)/Hipótesis!$E$33)</f>
        <v>0.55</v>
      </c>
      <c r="AW22" s="110" t="n">
        <f aca="false">MIN(Hipótesis!$E$32,Hipótesis!$E$31+(Hipótesis!$E$32-Hipótesis!$E$31)*MAX(0,47-Hipótesis!$E$29)/Hipótesis!$E$33)</f>
        <v>0.55</v>
      </c>
      <c r="AX22" s="110" t="n">
        <f aca="false">MIN(Hipótesis!$E$32,Hipótesis!$E$31+(Hipótesis!$E$32-Hipótesis!$E$31)*MAX(0,48-Hipótesis!$E$29)/Hipótesis!$E$33)</f>
        <v>0.55</v>
      </c>
      <c r="AY22" s="110" t="n">
        <f aca="false">MIN(Hipótesis!$E$32,Hipótesis!$E$31+(Hipótesis!$E$32-Hipótesis!$E$31)*MAX(0,49-Hipótesis!$E$29)/Hipótesis!$E$33)</f>
        <v>0.55</v>
      </c>
      <c r="AZ22" s="110" t="n">
        <f aca="false">MIN(Hipótesis!$E$32,Hipótesis!$E$31+(Hipótesis!$E$32-Hipótesis!$E$31)*MAX(0,50-Hipótesis!$E$29)/Hipótesis!$E$33)</f>
        <v>0.55</v>
      </c>
      <c r="BA22" s="110" t="n">
        <f aca="false">MIN(Hipótesis!$E$32,Hipótesis!$E$31+(Hipótesis!$E$32-Hipótesis!$E$31)*MAX(0,51-Hipótesis!$E$29)/Hipótesis!$E$33)</f>
        <v>0.55</v>
      </c>
      <c r="BB22" s="110" t="n">
        <f aca="false">MIN(Hipótesis!$E$32,Hipótesis!$E$31+(Hipótesis!$E$32-Hipótesis!$E$31)*MAX(0,52-Hipótesis!$E$29)/Hipótesis!$E$33)</f>
        <v>0.55</v>
      </c>
      <c r="BC22" s="110" t="n">
        <f aca="false">MIN(Hipótesis!$E$32,Hipótesis!$E$31+(Hipótesis!$E$32-Hipótesis!$E$31)*MAX(0,53-Hipótesis!$E$29)/Hipótesis!$E$33)</f>
        <v>0.55</v>
      </c>
      <c r="BD22" s="110" t="n">
        <f aca="false">MIN(Hipótesis!$E$32,Hipótesis!$E$31+(Hipótesis!$E$32-Hipótesis!$E$31)*MAX(0,54-Hipótesis!$E$29)/Hipótesis!$E$33)</f>
        <v>0.55</v>
      </c>
      <c r="BE22" s="110" t="n">
        <f aca="false">MIN(Hipótesis!$E$32,Hipótesis!$E$31+(Hipótesis!$E$32-Hipótesis!$E$31)*MAX(0,55-Hipótesis!$E$29)/Hipótesis!$E$33)</f>
        <v>0.55</v>
      </c>
      <c r="BF22" s="110" t="n">
        <f aca="false">MIN(Hipótesis!$E$32,Hipótesis!$E$31+(Hipótesis!$E$32-Hipótesis!$E$31)*MAX(0,56-Hipótesis!$E$29)/Hipótesis!$E$33)</f>
        <v>0.55</v>
      </c>
      <c r="BG22" s="110" t="n">
        <f aca="false">MIN(Hipótesis!$E$32,Hipótesis!$E$31+(Hipótesis!$E$32-Hipótesis!$E$31)*MAX(0,57-Hipótesis!$E$29)/Hipótesis!$E$33)</f>
        <v>0.55</v>
      </c>
      <c r="BH22" s="110" t="n">
        <f aca="false">MIN(Hipótesis!$E$32,Hipótesis!$E$31+(Hipótesis!$E$32-Hipótesis!$E$31)*MAX(0,58-Hipótesis!$E$29)/Hipótesis!$E$33)</f>
        <v>0.55</v>
      </c>
      <c r="BI22" s="110" t="n">
        <f aca="false">MIN(Hipótesis!$E$32,Hipótesis!$E$31+(Hipótesis!$E$32-Hipótesis!$E$31)*MAX(0,59-Hipótesis!$E$29)/Hipótesis!$E$33)</f>
        <v>0.55</v>
      </c>
      <c r="BJ22" s="110" t="n">
        <f aca="false">MIN(Hipótesis!$E$32,Hipótesis!$E$31+(Hipótesis!$E$32-Hipótesis!$E$31)*MAX(0,60-Hipótesis!$E$29)/Hipótesis!$E$33)</f>
        <v>0.55</v>
      </c>
      <c r="BK22" s="110" t="n">
        <f aca="false">MIN(Hipótesis!$E$32,Hipótesis!$E$31+(Hipótesis!$E$32-Hipótesis!$E$31)*MAX(0,61-Hipótesis!$E$29)/Hipótesis!$E$33)</f>
        <v>0.55</v>
      </c>
      <c r="BL22" s="110" t="n">
        <f aca="false">MIN(Hipótesis!$E$32,Hipótesis!$E$31+(Hipótesis!$E$32-Hipótesis!$E$31)*MAX(0,62-Hipótesis!$E$29)/Hipótesis!$E$33)</f>
        <v>0.55</v>
      </c>
      <c r="BM22" s="110" t="n">
        <f aca="false">MIN(Hipótesis!$E$32,Hipótesis!$E$31+(Hipótesis!$E$32-Hipótesis!$E$31)*MAX(0,63-Hipótesis!$E$29)/Hipótesis!$E$33)</f>
        <v>0.55</v>
      </c>
      <c r="BN22" s="110" t="n">
        <f aca="false">MIN(Hipótesis!$E$32,Hipótesis!$E$31+(Hipótesis!$E$32-Hipótesis!$E$31)*MAX(0,64-Hipótesis!$E$29)/Hipótesis!$E$33)</f>
        <v>0.55</v>
      </c>
      <c r="BO22" s="110" t="n">
        <f aca="false">MIN(Hipótesis!$E$32,Hipótesis!$E$31+(Hipótesis!$E$32-Hipótesis!$E$31)*MAX(0,65-Hipótesis!$E$29)/Hipótesis!$E$33)</f>
        <v>0.55</v>
      </c>
      <c r="BP22" s="110" t="n">
        <f aca="false">MIN(Hipótesis!$E$32,Hipótesis!$E$31+(Hipótesis!$E$32-Hipótesis!$E$31)*MAX(0,66-Hipótesis!$E$29)/Hipótesis!$E$33)</f>
        <v>0.55</v>
      </c>
      <c r="BQ22" s="110" t="n">
        <f aca="false">MIN(Hipótesis!$E$32,Hipótesis!$E$31+(Hipótesis!$E$32-Hipótesis!$E$31)*MAX(0,67-Hipótesis!$E$29)/Hipótesis!$E$33)</f>
        <v>0.55</v>
      </c>
      <c r="BR22" s="110" t="n">
        <f aca="false">MIN(Hipótesis!$E$32,Hipótesis!$E$31+(Hipótesis!$E$32-Hipótesis!$E$31)*MAX(0,68-Hipótesis!$E$29)/Hipótesis!$E$33)</f>
        <v>0.55</v>
      </c>
      <c r="BS22" s="110" t="n">
        <f aca="false">MIN(Hipótesis!$E$32,Hipótesis!$E$31+(Hipótesis!$E$32-Hipótesis!$E$31)*MAX(0,69-Hipótesis!$E$29)/Hipótesis!$E$33)</f>
        <v>0.55</v>
      </c>
      <c r="BT22" s="110" t="n">
        <f aca="false">MIN(Hipótesis!$E$32,Hipótesis!$E$31+(Hipótesis!$E$32-Hipótesis!$E$31)*MAX(0,70-Hipótesis!$E$29)/Hipótesis!$E$33)</f>
        <v>0.55</v>
      </c>
      <c r="BU22" s="110" t="n">
        <f aca="false">MIN(Hipótesis!$E$32,Hipótesis!$E$31+(Hipótesis!$E$32-Hipótesis!$E$31)*MAX(0,71-Hipótesis!$E$29)/Hipótesis!$E$33)</f>
        <v>0.55</v>
      </c>
      <c r="BV22" s="110" t="n">
        <f aca="false">MIN(Hipótesis!$E$32,Hipótesis!$E$31+(Hipótesis!$E$32-Hipótesis!$E$31)*MAX(0,72-Hipótesis!$E$29)/Hipótesis!$E$33)</f>
        <v>0.55</v>
      </c>
      <c r="BW22" s="110" t="n">
        <f aca="false">MIN(Hipótesis!$E$32,Hipótesis!$E$31+(Hipótesis!$E$32-Hipótesis!$E$31)*MAX(0,73-Hipótesis!$E$29)/Hipótesis!$E$33)</f>
        <v>0.55</v>
      </c>
      <c r="BX22" s="110" t="n">
        <f aca="false">MIN(Hipótesis!$E$32,Hipótesis!$E$31+(Hipótesis!$E$32-Hipótesis!$E$31)*MAX(0,74-Hipótesis!$E$29)/Hipótesis!$E$33)</f>
        <v>0.55</v>
      </c>
      <c r="BY22" s="110" t="n">
        <f aca="false">MIN(Hipótesis!$E$32,Hipótesis!$E$31+(Hipótesis!$E$32-Hipótesis!$E$31)*MAX(0,75-Hipótesis!$E$29)/Hipótesis!$E$33)</f>
        <v>0.55</v>
      </c>
      <c r="BZ22" s="110" t="n">
        <f aca="false">MIN(Hipótesis!$E$32,Hipótesis!$E$31+(Hipótesis!$E$32-Hipótesis!$E$31)*MAX(0,76-Hipótesis!$E$29)/Hipótesis!$E$33)</f>
        <v>0.55</v>
      </c>
      <c r="CA22" s="110" t="n">
        <f aca="false">MIN(Hipótesis!$E$32,Hipótesis!$E$31+(Hipótesis!$E$32-Hipótesis!$E$31)*MAX(0,77-Hipótesis!$E$29)/Hipótesis!$E$33)</f>
        <v>0.55</v>
      </c>
      <c r="CB22" s="110" t="n">
        <f aca="false">MIN(Hipótesis!$E$32,Hipótesis!$E$31+(Hipótesis!$E$32-Hipótesis!$E$31)*MAX(0,78-Hipótesis!$E$29)/Hipótesis!$E$33)</f>
        <v>0.55</v>
      </c>
      <c r="CC22" s="110" t="n">
        <f aca="false">MIN(Hipótesis!$E$32,Hipótesis!$E$31+(Hipótesis!$E$32-Hipótesis!$E$31)*MAX(0,79-Hipótesis!$E$29)/Hipótesis!$E$33)</f>
        <v>0.55</v>
      </c>
      <c r="CD22" s="110" t="n">
        <f aca="false">MIN(Hipótesis!$E$32,Hipótesis!$E$31+(Hipótesis!$E$32-Hipótesis!$E$31)*MAX(0,80-Hipótesis!$E$29)/Hipótesis!$E$33)</f>
        <v>0.55</v>
      </c>
      <c r="CE22" s="110" t="n">
        <f aca="false">MIN(Hipótesis!$E$32,Hipótesis!$E$31+(Hipótesis!$E$32-Hipótesis!$E$31)*MAX(0,81-Hipótesis!$E$29)/Hipótesis!$E$33)</f>
        <v>0.55</v>
      </c>
      <c r="CF22" s="110" t="n">
        <f aca="false">MIN(Hipótesis!$E$32,Hipótesis!$E$31+(Hipótesis!$E$32-Hipótesis!$E$31)*MAX(0,82-Hipótesis!$E$29)/Hipótesis!$E$33)</f>
        <v>0.55</v>
      </c>
      <c r="CG22" s="110" t="n">
        <f aca="false">MIN(Hipótesis!$E$32,Hipótesis!$E$31+(Hipótesis!$E$32-Hipótesis!$E$31)*MAX(0,83-Hipótesis!$E$29)/Hipótesis!$E$33)</f>
        <v>0.55</v>
      </c>
      <c r="CH22" s="110" t="n">
        <f aca="false">MIN(Hipótesis!$E$32,Hipótesis!$E$31+(Hipótesis!$E$32-Hipótesis!$E$31)*MAX(0,84-Hipótesis!$E$29)/Hipótesis!$E$33)</f>
        <v>0.55</v>
      </c>
    </row>
    <row r="23" customFormat="false" ht="13.5" hidden="false" customHeight="true" outlineLevel="0" collapsed="false">
      <c r="A23" s="6" t="s">
        <v>503</v>
      </c>
      <c r="C23" s="101" t="n">
        <f aca="false">MAX(0,MIN(C8*C22,C8-C18*C21))</f>
        <v>0</v>
      </c>
      <c r="D23" s="101" t="n">
        <f aca="false">MAX(0,MIN(D8*D22,D8-D18*D21))</f>
        <v>0</v>
      </c>
      <c r="E23" s="101" t="n">
        <f aca="false">MAX(0,MIN(E8*E22,E8-E18*E21))</f>
        <v>0</v>
      </c>
      <c r="F23" s="101" t="n">
        <f aca="false">MAX(0,MIN(F8*F22,F8-F18*F21))</f>
        <v>0</v>
      </c>
      <c r="G23" s="101" t="n">
        <f aca="false">MAX(0,MIN(G8*G22,G8-G18*G21))</f>
        <v>0</v>
      </c>
      <c r="H23" s="101" t="n">
        <f aca="false">MAX(0,MIN(H8*H22,H8-H18*H21))</f>
        <v>0</v>
      </c>
      <c r="I23" s="101" t="n">
        <f aca="false">MAX(0,MIN(I8*I22,I8-I18*I21))</f>
        <v>44</v>
      </c>
      <c r="J23" s="101" t="n">
        <f aca="false">MAX(0,MIN(J8*J22,J8-J18*J21))</f>
        <v>88</v>
      </c>
      <c r="K23" s="101" t="n">
        <f aca="false">MAX(0,MIN(K8*K22,K8-K18*K21))</f>
        <v>132</v>
      </c>
      <c r="L23" s="101" t="n">
        <f aca="false">MAX(0,MIN(L8*L22,L8-L18*L21))</f>
        <v>176</v>
      </c>
      <c r="M23" s="101" t="n">
        <f aca="false">MAX(0,MIN(M8*M22,M8-M18*M21))</f>
        <v>220</v>
      </c>
      <c r="N23" s="101" t="n">
        <f aca="false">MAX(0,MIN(N8*N22,N8-N18*N21))</f>
        <v>264</v>
      </c>
      <c r="O23" s="101" t="n">
        <f aca="false">MAX(0,MIN(O8*O22,O8-O18*O21))</f>
        <v>308</v>
      </c>
      <c r="P23" s="101" t="n">
        <f aca="false">MAX(0,MIN(P8*P22,P8-P18*P21))</f>
        <v>352</v>
      </c>
      <c r="Q23" s="101" t="n">
        <f aca="false">MAX(0,MIN(Q8*Q22,Q8-Q18*Q21))</f>
        <v>396</v>
      </c>
      <c r="R23" s="101" t="n">
        <f aca="false">MAX(0,MIN(R8*R22,R8-R18*R21))</f>
        <v>440</v>
      </c>
      <c r="S23" s="101" t="n">
        <f aca="false">MAX(0,MIN(S8*S22,S8-S18*S21))</f>
        <v>484</v>
      </c>
      <c r="T23" s="101" t="n">
        <f aca="false">MAX(0,MIN(T8*T22,T8-T18*T21))</f>
        <v>528</v>
      </c>
      <c r="U23" s="101" t="n">
        <f aca="false">MAX(0,MIN(U8*U22,U8-U18*U21))</f>
        <v>572</v>
      </c>
      <c r="V23" s="101" t="n">
        <f aca="false">MAX(0,MIN(V8*V22,V8-V18*V21))</f>
        <v>616</v>
      </c>
      <c r="W23" s="101" t="n">
        <f aca="false">MAX(0,MIN(W8*W22,W8-W18*W21))</f>
        <v>660</v>
      </c>
      <c r="X23" s="101" t="n">
        <f aca="false">MAX(0,MIN(X8*X22,X8-X18*X21))</f>
        <v>704</v>
      </c>
      <c r="Y23" s="101" t="n">
        <f aca="false">MAX(0,MIN(Y8*Y22,Y8-Y18*Y21))</f>
        <v>748</v>
      </c>
      <c r="Z23" s="101" t="n">
        <f aca="false">MAX(0,MIN(Z8*Z22,Z8-Z18*Z21))</f>
        <v>792</v>
      </c>
      <c r="AA23" s="101" t="n">
        <f aca="false">MAX(0,MIN(AA8*AA22,AA8-AA18*AA21))</f>
        <v>836</v>
      </c>
      <c r="AB23" s="101" t="n">
        <f aca="false">MAX(0,MIN(AB8*AB22,AB8-AB18*AB21))</f>
        <v>880</v>
      </c>
      <c r="AC23" s="101" t="n">
        <f aca="false">MAX(0,MIN(AC8*AC22,AC8-AC18*AC21))</f>
        <v>924</v>
      </c>
      <c r="AD23" s="101" t="n">
        <f aca="false">MAX(0,MIN(AD8*AD22,AD8-AD18*AD21))</f>
        <v>968</v>
      </c>
      <c r="AE23" s="101" t="n">
        <f aca="false">MAX(0,MIN(AE8*AE22,AE8-AE18*AE21))</f>
        <v>1012</v>
      </c>
      <c r="AF23" s="101" t="n">
        <f aca="false">MAX(0,MIN(AF8*AF22,AF8-AF18*AF21))</f>
        <v>1056</v>
      </c>
      <c r="AG23" s="101" t="n">
        <f aca="false">MAX(0,MIN(AG8*AG22,AG8-AG18*AG21))</f>
        <v>1100</v>
      </c>
      <c r="AH23" s="101" t="n">
        <f aca="false">MAX(0,MIN(AH8*AH22,AH8-AH18*AH21))</f>
        <v>1144</v>
      </c>
      <c r="AI23" s="101" t="n">
        <f aca="false">MAX(0,MIN(AI8*AI22,AI8-AI18*AI21))</f>
        <v>1188</v>
      </c>
      <c r="AJ23" s="101" t="n">
        <f aca="false">MAX(0,MIN(AJ8*AJ22,AJ8-AJ18*AJ21))</f>
        <v>1232</v>
      </c>
      <c r="AK23" s="101" t="n">
        <f aca="false">MAX(0,MIN(AK8*AK22,AK8-AK18*AK21))</f>
        <v>1276</v>
      </c>
      <c r="AL23" s="101" t="n">
        <f aca="false">MAX(0,MIN(AL8*AL22,AL8-AL18*AL21))</f>
        <v>1320</v>
      </c>
      <c r="AM23" s="101" t="n">
        <f aca="false">MAX(0,MIN(AM8*AM22,AM8-AM18*AM21))</f>
        <v>1364</v>
      </c>
      <c r="AN23" s="101" t="n">
        <f aca="false">MAX(0,MIN(AN8*AN22,AN8-AN18*AN21))</f>
        <v>1408</v>
      </c>
      <c r="AO23" s="101" t="n">
        <f aca="false">MAX(0,MIN(AO8*AO22,AO8-AO18*AO21))</f>
        <v>1452</v>
      </c>
      <c r="AP23" s="101" t="n">
        <f aca="false">MAX(0,MIN(AP8*AP22,AP8-AP18*AP21))</f>
        <v>1496</v>
      </c>
      <c r="AQ23" s="101" t="n">
        <f aca="false">MAX(0,MIN(AQ8*AQ22,AQ8-AQ18*AQ21))</f>
        <v>1540</v>
      </c>
      <c r="AR23" s="101" t="n">
        <f aca="false">MAX(0,MIN(AR8*AR22,AR8-AR18*AR21))</f>
        <v>1584</v>
      </c>
      <c r="AS23" s="101" t="n">
        <f aca="false">MAX(0,MIN(AS8*AS22,AS8-AS18*AS21))</f>
        <v>1584</v>
      </c>
      <c r="AT23" s="101" t="n">
        <f aca="false">MAX(0,MIN(AT8*AT22,AT8-AT18*AT21))</f>
        <v>1584</v>
      </c>
      <c r="AU23" s="101" t="n">
        <f aca="false">MAX(0,MIN(AU8*AU22,AU8-AU18*AU21))</f>
        <v>1584</v>
      </c>
      <c r="AV23" s="101" t="n">
        <f aca="false">MAX(0,MIN(AV8*AV22,AV8-AV18*AV21))</f>
        <v>1584</v>
      </c>
      <c r="AW23" s="101" t="n">
        <f aca="false">MAX(0,MIN(AW8*AW22,AW8-AW18*AW21))</f>
        <v>1584</v>
      </c>
      <c r="AX23" s="101" t="n">
        <f aca="false">MAX(0,MIN(AX8*AX22,AX8-AX18*AX21))</f>
        <v>1584</v>
      </c>
      <c r="AY23" s="101" t="n">
        <f aca="false">MAX(0,MIN(AY8*AY22,AY8-AY18*AY21))</f>
        <v>1584</v>
      </c>
      <c r="AZ23" s="101" t="n">
        <f aca="false">MAX(0,MIN(AZ8*AZ22,AZ8-AZ18*AZ21))</f>
        <v>1584</v>
      </c>
      <c r="BA23" s="101" t="n">
        <f aca="false">MAX(0,MIN(BA8*BA22,BA8-BA18*BA21))</f>
        <v>1584</v>
      </c>
      <c r="BB23" s="101" t="n">
        <f aca="false">MAX(0,MIN(BB8*BB22,BB8-BB18*BB21))</f>
        <v>1584</v>
      </c>
      <c r="BC23" s="101" t="n">
        <f aca="false">MAX(0,MIN(BC8*BC22,BC8-BC18*BC21))</f>
        <v>1584</v>
      </c>
      <c r="BD23" s="101" t="n">
        <f aca="false">MAX(0,MIN(BD8*BD22,BD8-BD18*BD21))</f>
        <v>1584</v>
      </c>
      <c r="BE23" s="101" t="n">
        <f aca="false">MAX(0,MIN(BE8*BE22,BE8-BE18*BE21))</f>
        <v>1584</v>
      </c>
      <c r="BF23" s="101" t="n">
        <f aca="false">MAX(0,MIN(BF8*BF22,BF8-BF18*BF21))</f>
        <v>1584</v>
      </c>
      <c r="BG23" s="101" t="n">
        <f aca="false">MAX(0,MIN(BG8*BG22,BG8-BG18*BG21))</f>
        <v>1584</v>
      </c>
      <c r="BH23" s="101" t="n">
        <f aca="false">MAX(0,MIN(BH8*BH22,BH8-BH18*BH21))</f>
        <v>1584</v>
      </c>
      <c r="BI23" s="101" t="n">
        <f aca="false">MAX(0,MIN(BI8*BI22,BI8-BI18*BI21))</f>
        <v>1584</v>
      </c>
      <c r="BJ23" s="101" t="n">
        <f aca="false">MAX(0,MIN(BJ8*BJ22,BJ8-BJ18*BJ21))</f>
        <v>1584</v>
      </c>
      <c r="BK23" s="101" t="n">
        <f aca="false">MAX(0,MIN(BK8*BK22,BK8-BK18*BK21))</f>
        <v>1584</v>
      </c>
      <c r="BL23" s="101" t="n">
        <f aca="false">MAX(0,MIN(BL8*BL22,BL8-BL18*BL21))</f>
        <v>1584</v>
      </c>
      <c r="BM23" s="101" t="n">
        <f aca="false">MAX(0,MIN(BM8*BM22,BM8-BM18*BM21))</f>
        <v>1584</v>
      </c>
      <c r="BN23" s="101" t="n">
        <f aca="false">MAX(0,MIN(BN8*BN22,BN8-BN18*BN21))</f>
        <v>1584</v>
      </c>
      <c r="BO23" s="101" t="n">
        <f aca="false">MAX(0,MIN(BO8*BO22,BO8-BO18*BO21))</f>
        <v>1584</v>
      </c>
      <c r="BP23" s="101" t="n">
        <f aca="false">MAX(0,MIN(BP8*BP22,BP8-BP18*BP21))</f>
        <v>1584</v>
      </c>
      <c r="BQ23" s="101" t="n">
        <f aca="false">MAX(0,MIN(BQ8*BQ22,BQ8-BQ18*BQ21))</f>
        <v>1584</v>
      </c>
      <c r="BR23" s="101" t="n">
        <f aca="false">MAX(0,MIN(BR8*BR22,BR8-BR18*BR21))</f>
        <v>1584</v>
      </c>
      <c r="BS23" s="101" t="n">
        <f aca="false">MAX(0,MIN(BS8*BS22,BS8-BS18*BS21))</f>
        <v>1584</v>
      </c>
      <c r="BT23" s="101" t="n">
        <f aca="false">MAX(0,MIN(BT8*BT22,BT8-BT18*BT21))</f>
        <v>1584</v>
      </c>
      <c r="BU23" s="101" t="n">
        <f aca="false">MAX(0,MIN(BU8*BU22,BU8-BU18*BU21))</f>
        <v>1584</v>
      </c>
      <c r="BV23" s="101" t="n">
        <f aca="false">MAX(0,MIN(BV8*BV22,BV8-BV18*BV21))</f>
        <v>1584</v>
      </c>
      <c r="BW23" s="101" t="n">
        <f aca="false">MAX(0,MIN(BW8*BW22,BW8-BW18*BW21))</f>
        <v>1584</v>
      </c>
      <c r="BX23" s="101" t="n">
        <f aca="false">MAX(0,MIN(BX8*BX22,BX8-BX18*BX21))</f>
        <v>1584</v>
      </c>
      <c r="BY23" s="101" t="n">
        <f aca="false">MAX(0,MIN(BY8*BY22,BY8-BY18*BY21))</f>
        <v>1584</v>
      </c>
      <c r="BZ23" s="101" t="n">
        <f aca="false">MAX(0,MIN(BZ8*BZ22,BZ8-BZ18*BZ21))</f>
        <v>1584</v>
      </c>
      <c r="CA23" s="101" t="n">
        <f aca="false">MAX(0,MIN(CA8*CA22,CA8-CA18*CA21))</f>
        <v>1584</v>
      </c>
      <c r="CB23" s="101" t="n">
        <f aca="false">MAX(0,MIN(CB8*CB22,CB8-CB18*CB21))</f>
        <v>1584</v>
      </c>
      <c r="CC23" s="101" t="n">
        <f aca="false">MAX(0,MIN(CC8*CC22,CC8-CC18*CC21))</f>
        <v>1584</v>
      </c>
      <c r="CD23" s="101" t="n">
        <f aca="false">MAX(0,MIN(CD8*CD22,CD8-CD18*CD21))</f>
        <v>1584</v>
      </c>
      <c r="CE23" s="101" t="n">
        <f aca="false">MAX(0,MIN(CE8*CE22,CE8-CE18*CE21))</f>
        <v>1584</v>
      </c>
      <c r="CF23" s="101" t="n">
        <f aca="false">MAX(0,MIN(CF8*CF22,CF8-CF18*CF21))</f>
        <v>1584</v>
      </c>
      <c r="CG23" s="101" t="n">
        <f aca="false">MAX(0,MIN(CG8*CG22,CG8-CG18*CG21))</f>
        <v>1584</v>
      </c>
      <c r="CH23" s="101" t="n">
        <f aca="false">MAX(0,MIN(CH8*CH22,CH8-CH18*CH21))</f>
        <v>1584</v>
      </c>
    </row>
    <row r="24" customFormat="false" ht="13.5" hidden="false" customHeight="true" outlineLevel="0" collapsed="false">
      <c r="A24" s="22" t="s">
        <v>504</v>
      </c>
      <c r="C24" s="101" t="n">
        <f aca="false">C18*C21+C23</f>
        <v>40.156364358106</v>
      </c>
      <c r="D24" s="101" t="n">
        <f aca="false">D18*D21+D23</f>
        <v>82.0744136290964</v>
      </c>
      <c r="E24" s="101" t="n">
        <f aca="false">E18*E21+E23</f>
        <v>153.716467502765</v>
      </c>
      <c r="F24" s="101" t="n">
        <f aca="false">F18*F21+F23</f>
        <v>185.202157018328</v>
      </c>
      <c r="G24" s="101" t="n">
        <f aca="false">G18*G21+G23</f>
        <v>214.926161621007</v>
      </c>
      <c r="H24" s="101" t="n">
        <f aca="false">H18*H21+H23</f>
        <v>264.836139183819</v>
      </c>
      <c r="I24" s="101" t="n">
        <f aca="false">I18*I21+I23</f>
        <v>358.746116746632</v>
      </c>
      <c r="J24" s="101" t="n">
        <f aca="false">J18*J21+J23</f>
        <v>452.656094309444</v>
      </c>
      <c r="K24" s="101" t="n">
        <f aca="false">K18*K21+K23</f>
        <v>546.566071872257</v>
      </c>
      <c r="L24" s="101" t="n">
        <f aca="false">L18*L21+L23</f>
        <v>640.476049435069</v>
      </c>
      <c r="M24" s="101" t="n">
        <f aca="false">M18*M21+M23</f>
        <v>704.662022395203</v>
      </c>
      <c r="N24" s="101" t="n">
        <f aca="false">N18*N21+N23</f>
        <v>798.209410570078</v>
      </c>
      <c r="O24" s="101" t="n">
        <f aca="false">O18*O21+O23</f>
        <v>891.756798744953</v>
      </c>
      <c r="P24" s="101" t="n">
        <f aca="false">P18*P21+P23</f>
        <v>976.86278004559</v>
      </c>
      <c r="Q24" s="101" t="n">
        <f aca="false">Q18*Q21+Q23</f>
        <v>1061.96876134623</v>
      </c>
      <c r="R24" s="101" t="n">
        <f aca="false">R18*R21+R23</f>
        <v>1147.07474264686</v>
      </c>
      <c r="S24" s="101" t="n">
        <f aca="false">S18*S21+S23</f>
        <v>1232.1807239475</v>
      </c>
      <c r="T24" s="101" t="n">
        <f aca="false">T18*T21+T23</f>
        <v>1317.28670524814</v>
      </c>
      <c r="U24" s="101" t="n">
        <f aca="false">U18*U21+U23</f>
        <v>1402.39268654877</v>
      </c>
      <c r="V24" s="101" t="n">
        <f aca="false">V18*V21+V23</f>
        <v>1487.49866784941</v>
      </c>
      <c r="W24" s="101" t="n">
        <f aca="false">W18*W21+W23</f>
        <v>1572.60464915005</v>
      </c>
      <c r="X24" s="101" t="n">
        <f aca="false">X18*X21+X23</f>
        <v>1628.34921523594</v>
      </c>
      <c r="Y24" s="101" t="n">
        <f aca="false">Y18*Y21+Y23</f>
        <v>1684.09378132184</v>
      </c>
      <c r="Z24" s="101" t="n">
        <f aca="false">Z18*Z21+Z23</f>
        <v>1728.09378132184</v>
      </c>
      <c r="AA24" s="101" t="n">
        <f aca="false">AA18*AA21+AA23</f>
        <v>1772.09378132184</v>
      </c>
      <c r="AB24" s="101" t="n">
        <f aca="false">AB18*AB21+AB23</f>
        <v>1816.09378132184</v>
      </c>
      <c r="AC24" s="101" t="n">
        <f aca="false">AC18*AC21+AC23</f>
        <v>1860.09378132184</v>
      </c>
      <c r="AD24" s="101" t="n">
        <f aca="false">AD18*AD21+AD23</f>
        <v>1904.09378132184</v>
      </c>
      <c r="AE24" s="101" t="n">
        <f aca="false">AE18*AE21+AE23</f>
        <v>1948.09378132184</v>
      </c>
      <c r="AF24" s="101" t="n">
        <f aca="false">AF18*AF21+AF23</f>
        <v>1992.09378132184</v>
      </c>
      <c r="AG24" s="101" t="n">
        <f aca="false">AG18*AG21+AG23</f>
        <v>2036.09378132184</v>
      </c>
      <c r="AH24" s="101" t="n">
        <f aca="false">AH18*AH21+AH23</f>
        <v>2080.09378132184</v>
      </c>
      <c r="AI24" s="101" t="n">
        <f aca="false">AI18*AI21+AI23</f>
        <v>2124.09378132184</v>
      </c>
      <c r="AJ24" s="101" t="n">
        <f aca="false">AJ18*AJ21+AJ23</f>
        <v>2168.09378132184</v>
      </c>
      <c r="AK24" s="101" t="n">
        <f aca="false">AK18*AK21+AK23</f>
        <v>2212.09378132184</v>
      </c>
      <c r="AL24" s="101" t="n">
        <f aca="false">AL18*AL21+AL23</f>
        <v>2256.09378132184</v>
      </c>
      <c r="AM24" s="101" t="n">
        <f aca="false">AM18*AM21+AM23</f>
        <v>2300.09378132184</v>
      </c>
      <c r="AN24" s="101" t="n">
        <f aca="false">AN18*AN21+AN23</f>
        <v>2344.09378132184</v>
      </c>
      <c r="AO24" s="101" t="n">
        <f aca="false">AO18*AO21+AO23</f>
        <v>2388.09378132184</v>
      </c>
      <c r="AP24" s="101" t="n">
        <f aca="false">AP18*AP21+AP23</f>
        <v>2432.09378132184</v>
      </c>
      <c r="AQ24" s="101" t="n">
        <f aca="false">AQ18*AQ21+AQ23</f>
        <v>2476.09378132184</v>
      </c>
      <c r="AR24" s="101" t="n">
        <f aca="false">AR18*AR21+AR23</f>
        <v>2520.09378132184</v>
      </c>
      <c r="AS24" s="101" t="n">
        <f aca="false">AS18*AS21+AS23</f>
        <v>2520.09378132184</v>
      </c>
      <c r="AT24" s="101" t="n">
        <f aca="false">AT18*AT21+AT23</f>
        <v>2520.09378132184</v>
      </c>
      <c r="AU24" s="101" t="n">
        <f aca="false">AU18*AU21+AU23</f>
        <v>2520.09378132184</v>
      </c>
      <c r="AV24" s="101" t="n">
        <f aca="false">AV18*AV21+AV23</f>
        <v>2520.09378132184</v>
      </c>
      <c r="AW24" s="101" t="n">
        <f aca="false">AW18*AW21+AW23</f>
        <v>2520.09378132184</v>
      </c>
      <c r="AX24" s="101" t="n">
        <f aca="false">AX18*AX21+AX23</f>
        <v>2520.09378132184</v>
      </c>
      <c r="AY24" s="101" t="n">
        <f aca="false">AY18*AY21+AY23</f>
        <v>2520.09378132184</v>
      </c>
      <c r="AZ24" s="101" t="n">
        <f aca="false">AZ18*AZ21+AZ23</f>
        <v>2520.09378132184</v>
      </c>
      <c r="BA24" s="101" t="n">
        <f aca="false">BA18*BA21+BA23</f>
        <v>2520.09378132184</v>
      </c>
      <c r="BB24" s="101" t="n">
        <f aca="false">BB18*BB21+BB23</f>
        <v>2520.09378132184</v>
      </c>
      <c r="BC24" s="101" t="n">
        <f aca="false">BC18*BC21+BC23</f>
        <v>2520.09378132184</v>
      </c>
      <c r="BD24" s="101" t="n">
        <f aca="false">BD18*BD21+BD23</f>
        <v>2520.09378132184</v>
      </c>
      <c r="BE24" s="101" t="n">
        <f aca="false">BE18*BE21+BE23</f>
        <v>2520.09378132184</v>
      </c>
      <c r="BF24" s="101" t="n">
        <f aca="false">BF18*BF21+BF23</f>
        <v>2520.09378132184</v>
      </c>
      <c r="BG24" s="101" t="n">
        <f aca="false">BG18*BG21+BG23</f>
        <v>2520.09378132184</v>
      </c>
      <c r="BH24" s="101" t="n">
        <f aca="false">BH18*BH21+BH23</f>
        <v>2520.09378132184</v>
      </c>
      <c r="BI24" s="101" t="n">
        <f aca="false">BI18*BI21+BI23</f>
        <v>2520.09378132184</v>
      </c>
      <c r="BJ24" s="101" t="n">
        <f aca="false">BJ18*BJ21+BJ23</f>
        <v>2520.09378132184</v>
      </c>
      <c r="BK24" s="101" t="n">
        <f aca="false">BK18*BK21+BK23</f>
        <v>2520.09378132184</v>
      </c>
      <c r="BL24" s="101" t="n">
        <f aca="false">BL18*BL21+BL23</f>
        <v>2520.09378132184</v>
      </c>
      <c r="BM24" s="101" t="n">
        <f aca="false">BM18*BM21+BM23</f>
        <v>2520.09378132184</v>
      </c>
      <c r="BN24" s="101" t="n">
        <f aca="false">BN18*BN21+BN23</f>
        <v>2520.09378132184</v>
      </c>
      <c r="BO24" s="101" t="n">
        <f aca="false">BO18*BO21+BO23</f>
        <v>2520.09378132184</v>
      </c>
      <c r="BP24" s="101" t="n">
        <f aca="false">BP18*BP21+BP23</f>
        <v>2520.09378132184</v>
      </c>
      <c r="BQ24" s="101" t="n">
        <f aca="false">BQ18*BQ21+BQ23</f>
        <v>2520.09378132184</v>
      </c>
      <c r="BR24" s="101" t="n">
        <f aca="false">BR18*BR21+BR23</f>
        <v>2520.09378132184</v>
      </c>
      <c r="BS24" s="101" t="n">
        <f aca="false">BS18*BS21+BS23</f>
        <v>2520.09378132184</v>
      </c>
      <c r="BT24" s="101" t="n">
        <f aca="false">BT18*BT21+BT23</f>
        <v>2520.09378132184</v>
      </c>
      <c r="BU24" s="101" t="n">
        <f aca="false">BU18*BU21+BU23</f>
        <v>2520.09378132184</v>
      </c>
      <c r="BV24" s="101" t="n">
        <f aca="false">BV18*BV21+BV23</f>
        <v>2520.09378132184</v>
      </c>
      <c r="BW24" s="101" t="n">
        <f aca="false">BW18*BW21+BW23</f>
        <v>2520.09378132184</v>
      </c>
      <c r="BX24" s="101" t="n">
        <f aca="false">BX18*BX21+BX23</f>
        <v>2520.09378132184</v>
      </c>
      <c r="BY24" s="101" t="n">
        <f aca="false">BY18*BY21+BY23</f>
        <v>2520.09378132184</v>
      </c>
      <c r="BZ24" s="101" t="n">
        <f aca="false">BZ18*BZ21+BZ23</f>
        <v>2520.09378132184</v>
      </c>
      <c r="CA24" s="101" t="n">
        <f aca="false">CA18*CA21+CA23</f>
        <v>2520.09378132184</v>
      </c>
      <c r="CB24" s="101" t="n">
        <f aca="false">CB18*CB21+CB23</f>
        <v>2520.09378132184</v>
      </c>
      <c r="CC24" s="101" t="n">
        <f aca="false">CC18*CC21+CC23</f>
        <v>2520.09378132184</v>
      </c>
      <c r="CD24" s="101" t="n">
        <f aca="false">CD18*CD21+CD23</f>
        <v>2520.09378132184</v>
      </c>
      <c r="CE24" s="101" t="n">
        <f aca="false">CE18*CE21+CE23</f>
        <v>2520.09378132184</v>
      </c>
      <c r="CF24" s="101" t="n">
        <f aca="false">CF18*CF21+CF23</f>
        <v>2520.09378132184</v>
      </c>
      <c r="CG24" s="101" t="n">
        <f aca="false">CG18*CG21+CG23</f>
        <v>2520.09378132184</v>
      </c>
      <c r="CH24" s="101" t="n">
        <f aca="false">CH18*CH21+CH23</f>
        <v>2520.09378132184</v>
      </c>
    </row>
    <row r="25" customFormat="false" ht="13.5" hidden="false" customHeight="true" outlineLevel="0" collapsed="false">
      <c r="A25" s="6" t="s">
        <v>505</v>
      </c>
      <c r="C25" s="110" t="n">
        <f aca="false">IFERROR(C24/C8,0)</f>
        <v>0.0418295462063604</v>
      </c>
      <c r="D25" s="110" t="n">
        <f aca="false">IFERROR(D24/D8,0)</f>
        <v>0.0569961205757614</v>
      </c>
      <c r="E25" s="110" t="n">
        <f aca="false">IFERROR(E24/E8,0)</f>
        <v>0.0800606601576902</v>
      </c>
      <c r="F25" s="110" t="n">
        <f aca="false">IFERROR(F24/F8,0)</f>
        <v>0.0771675654243034</v>
      </c>
      <c r="G25" s="110" t="n">
        <f aca="false">IFERROR(G24/G8,0)</f>
        <v>0.0746271394517384</v>
      </c>
      <c r="H25" s="110" t="n">
        <f aca="false">IFERROR(H24/H8,0)</f>
        <v>0.0919569927721594</v>
      </c>
      <c r="I25" s="110" t="n">
        <f aca="false">IFERROR(I24/I8,0)</f>
        <v>0.124564623870358</v>
      </c>
      <c r="J25" s="110" t="n">
        <f aca="false">IFERROR(J24/J8,0)</f>
        <v>0.157172254968557</v>
      </c>
      <c r="K25" s="110" t="n">
        <f aca="false">IFERROR(K24/K8,0)</f>
        <v>0.189779886066756</v>
      </c>
      <c r="L25" s="110" t="n">
        <f aca="false">IFERROR(L24/L8,0)</f>
        <v>0.222387517164955</v>
      </c>
      <c r="M25" s="110" t="n">
        <f aca="false">IFERROR(M24/M8,0)</f>
        <v>0.244674313331668</v>
      </c>
      <c r="N25" s="110" t="n">
        <f aca="false">IFERROR(N24/N8,0)</f>
        <v>0.277156045336833</v>
      </c>
      <c r="O25" s="110" t="n">
        <f aca="false">IFERROR(O24/O8,0)</f>
        <v>0.309637777341997</v>
      </c>
      <c r="P25" s="110" t="n">
        <f aca="false">IFERROR(P24/P8,0)</f>
        <v>0.339188465293608</v>
      </c>
      <c r="Q25" s="110" t="n">
        <f aca="false">IFERROR(Q24/Q8,0)</f>
        <v>0.368739153245218</v>
      </c>
      <c r="R25" s="110" t="n">
        <f aca="false">IFERROR(R24/R8,0)</f>
        <v>0.398289841196828</v>
      </c>
      <c r="S25" s="110" t="n">
        <f aca="false">IFERROR(S24/S8,0)</f>
        <v>0.427840529148438</v>
      </c>
      <c r="T25" s="110" t="n">
        <f aca="false">IFERROR(T24/T8,0)</f>
        <v>0.457391217100048</v>
      </c>
      <c r="U25" s="110" t="n">
        <f aca="false">IFERROR(U24/U8,0)</f>
        <v>0.486941905051657</v>
      </c>
      <c r="V25" s="110" t="n">
        <f aca="false">IFERROR(V24/V8,0)</f>
        <v>0.516492593003268</v>
      </c>
      <c r="W25" s="110" t="n">
        <f aca="false">IFERROR(W24/W8,0)</f>
        <v>0.546043280954877</v>
      </c>
      <c r="X25" s="110" t="n">
        <f aca="false">IFERROR(X24/X8,0)</f>
        <v>0.565399033068036</v>
      </c>
      <c r="Y25" s="110" t="n">
        <f aca="false">IFERROR(Y24/Y8,0)</f>
        <v>0.584754785181194</v>
      </c>
      <c r="Z25" s="110" t="n">
        <f aca="false">IFERROR(Z24/Z8,0)</f>
        <v>0.600032562958972</v>
      </c>
      <c r="AA25" s="110" t="n">
        <f aca="false">IFERROR(AA24/AA8,0)</f>
        <v>0.61531034073675</v>
      </c>
      <c r="AB25" s="110" t="n">
        <f aca="false">IFERROR(AB24/AB8,0)</f>
        <v>0.630588118514528</v>
      </c>
      <c r="AC25" s="110" t="n">
        <f aca="false">IFERROR(AC24/AC8,0)</f>
        <v>0.645865896292306</v>
      </c>
      <c r="AD25" s="110" t="n">
        <f aca="false">IFERROR(AD24/AD8,0)</f>
        <v>0.661143674070083</v>
      </c>
      <c r="AE25" s="110" t="n">
        <f aca="false">IFERROR(AE24/AE8,0)</f>
        <v>0.676421451847861</v>
      </c>
      <c r="AF25" s="110" t="n">
        <f aca="false">IFERROR(AF24/AF8,0)</f>
        <v>0.691699229625639</v>
      </c>
      <c r="AG25" s="110" t="n">
        <f aca="false">IFERROR(AG24/AG8,0)</f>
        <v>0.706977007403417</v>
      </c>
      <c r="AH25" s="110" t="n">
        <f aca="false">IFERROR(AH24/AH8,0)</f>
        <v>0.722254785181194</v>
      </c>
      <c r="AI25" s="110" t="n">
        <f aca="false">IFERROR(AI24/AI8,0)</f>
        <v>0.737532562958972</v>
      </c>
      <c r="AJ25" s="110" t="n">
        <f aca="false">IFERROR(AJ24/AJ8,0)</f>
        <v>0.75281034073675</v>
      </c>
      <c r="AK25" s="110" t="n">
        <f aca="false">IFERROR(AK24/AK8,0)</f>
        <v>0.768088118514528</v>
      </c>
      <c r="AL25" s="110" t="n">
        <f aca="false">IFERROR(AL24/AL8,0)</f>
        <v>0.783365896292306</v>
      </c>
      <c r="AM25" s="110" t="n">
        <f aca="false">IFERROR(AM24/AM8,0)</f>
        <v>0.798643674070083</v>
      </c>
      <c r="AN25" s="110" t="n">
        <f aca="false">IFERROR(AN24/AN8,0)</f>
        <v>0.813921451847861</v>
      </c>
      <c r="AO25" s="110" t="n">
        <f aca="false">IFERROR(AO24/AO8,0)</f>
        <v>0.829199229625639</v>
      </c>
      <c r="AP25" s="110" t="n">
        <f aca="false">IFERROR(AP24/AP8,0)</f>
        <v>0.844477007403417</v>
      </c>
      <c r="AQ25" s="110" t="n">
        <f aca="false">IFERROR(AQ24/AQ8,0)</f>
        <v>0.859754785181194</v>
      </c>
      <c r="AR25" s="110" t="n">
        <f aca="false">IFERROR(AR24/AR8,0)</f>
        <v>0.875032562958972</v>
      </c>
      <c r="AS25" s="110" t="n">
        <f aca="false">IFERROR(AS24/AS8,0)</f>
        <v>0.875032562958972</v>
      </c>
      <c r="AT25" s="110" t="n">
        <f aca="false">IFERROR(AT24/AT8,0)</f>
        <v>0.875032562958972</v>
      </c>
      <c r="AU25" s="110" t="n">
        <f aca="false">IFERROR(AU24/AU8,0)</f>
        <v>0.875032562958972</v>
      </c>
      <c r="AV25" s="110" t="n">
        <f aca="false">IFERROR(AV24/AV8,0)</f>
        <v>0.875032562958972</v>
      </c>
      <c r="AW25" s="110" t="n">
        <f aca="false">IFERROR(AW24/AW8,0)</f>
        <v>0.875032562958972</v>
      </c>
      <c r="AX25" s="110" t="n">
        <f aca="false">IFERROR(AX24/AX8,0)</f>
        <v>0.875032562958972</v>
      </c>
      <c r="AY25" s="110" t="n">
        <f aca="false">IFERROR(AY24/AY8,0)</f>
        <v>0.875032562958972</v>
      </c>
      <c r="AZ25" s="110" t="n">
        <f aca="false">IFERROR(AZ24/AZ8,0)</f>
        <v>0.875032562958972</v>
      </c>
      <c r="BA25" s="110" t="n">
        <f aca="false">IFERROR(BA24/BA8,0)</f>
        <v>0.875032562958972</v>
      </c>
      <c r="BB25" s="110" t="n">
        <f aca="false">IFERROR(BB24/BB8,0)</f>
        <v>0.875032562958972</v>
      </c>
      <c r="BC25" s="110" t="n">
        <f aca="false">IFERROR(BC24/BC8,0)</f>
        <v>0.875032562958972</v>
      </c>
      <c r="BD25" s="110" t="n">
        <f aca="false">IFERROR(BD24/BD8,0)</f>
        <v>0.875032562958972</v>
      </c>
      <c r="BE25" s="110" t="n">
        <f aca="false">IFERROR(BE24/BE8,0)</f>
        <v>0.875032562958972</v>
      </c>
      <c r="BF25" s="110" t="n">
        <f aca="false">IFERROR(BF24/BF8,0)</f>
        <v>0.875032562958972</v>
      </c>
      <c r="BG25" s="110" t="n">
        <f aca="false">IFERROR(BG24/BG8,0)</f>
        <v>0.875032562958972</v>
      </c>
      <c r="BH25" s="110" t="n">
        <f aca="false">IFERROR(BH24/BH8,0)</f>
        <v>0.875032562958972</v>
      </c>
      <c r="BI25" s="110" t="n">
        <f aca="false">IFERROR(BI24/BI8,0)</f>
        <v>0.875032562958972</v>
      </c>
      <c r="BJ25" s="110" t="n">
        <f aca="false">IFERROR(BJ24/BJ8,0)</f>
        <v>0.875032562958972</v>
      </c>
      <c r="BK25" s="110" t="n">
        <f aca="false">IFERROR(BK24/BK8,0)</f>
        <v>0.875032562958972</v>
      </c>
      <c r="BL25" s="110" t="n">
        <f aca="false">IFERROR(BL24/BL8,0)</f>
        <v>0.875032562958972</v>
      </c>
      <c r="BM25" s="110" t="n">
        <f aca="false">IFERROR(BM24/BM8,0)</f>
        <v>0.875032562958972</v>
      </c>
      <c r="BN25" s="110" t="n">
        <f aca="false">IFERROR(BN24/BN8,0)</f>
        <v>0.875032562958972</v>
      </c>
      <c r="BO25" s="110" t="n">
        <f aca="false">IFERROR(BO24/BO8,0)</f>
        <v>0.875032562958972</v>
      </c>
      <c r="BP25" s="110" t="n">
        <f aca="false">IFERROR(BP24/BP8,0)</f>
        <v>0.875032562958972</v>
      </c>
      <c r="BQ25" s="110" t="n">
        <f aca="false">IFERROR(BQ24/BQ8,0)</f>
        <v>0.875032562958972</v>
      </c>
      <c r="BR25" s="110" t="n">
        <f aca="false">IFERROR(BR24/BR8,0)</f>
        <v>0.875032562958972</v>
      </c>
      <c r="BS25" s="110" t="n">
        <f aca="false">IFERROR(BS24/BS8,0)</f>
        <v>0.875032562958972</v>
      </c>
      <c r="BT25" s="110" t="n">
        <f aca="false">IFERROR(BT24/BT8,0)</f>
        <v>0.875032562958972</v>
      </c>
      <c r="BU25" s="110" t="n">
        <f aca="false">IFERROR(BU24/BU8,0)</f>
        <v>0.875032562958972</v>
      </c>
      <c r="BV25" s="110" t="n">
        <f aca="false">IFERROR(BV24/BV8,0)</f>
        <v>0.875032562958972</v>
      </c>
      <c r="BW25" s="110" t="n">
        <f aca="false">IFERROR(BW24/BW8,0)</f>
        <v>0.875032562958972</v>
      </c>
      <c r="BX25" s="110" t="n">
        <f aca="false">IFERROR(BX24/BX8,0)</f>
        <v>0.875032562958972</v>
      </c>
      <c r="BY25" s="110" t="n">
        <f aca="false">IFERROR(BY24/BY8,0)</f>
        <v>0.875032562958972</v>
      </c>
      <c r="BZ25" s="110" t="n">
        <f aca="false">IFERROR(BZ24/BZ8,0)</f>
        <v>0.875032562958972</v>
      </c>
      <c r="CA25" s="110" t="n">
        <f aca="false">IFERROR(CA24/CA8,0)</f>
        <v>0.875032562958972</v>
      </c>
      <c r="CB25" s="110" t="n">
        <f aca="false">IFERROR(CB24/CB8,0)</f>
        <v>0.875032562958972</v>
      </c>
      <c r="CC25" s="110" t="n">
        <f aca="false">IFERROR(CC24/CC8,0)</f>
        <v>0.875032562958972</v>
      </c>
      <c r="CD25" s="110" t="n">
        <f aca="false">IFERROR(CD24/CD8,0)</f>
        <v>0.875032562958972</v>
      </c>
      <c r="CE25" s="110" t="n">
        <f aca="false">IFERROR(CE24/CE8,0)</f>
        <v>0.875032562958972</v>
      </c>
      <c r="CF25" s="110" t="n">
        <f aca="false">IFERROR(CF24/CF8,0)</f>
        <v>0.875032562958972</v>
      </c>
      <c r="CG25" s="110" t="n">
        <f aca="false">IFERROR(CG24/CG8,0)</f>
        <v>0.875032562958972</v>
      </c>
      <c r="CH25" s="110" t="n">
        <f aca="false">IFERROR(CH24/CH8,0)</f>
        <v>0.875032562958972</v>
      </c>
    </row>
    <row r="26" customFormat="false" ht="13.5" hidden="false" customHeight="true" outlineLevel="0" collapsed="false">
      <c r="A26" s="6" t="s">
        <v>241</v>
      </c>
      <c r="C26" s="101" t="n">
        <f aca="false">C20*C21+C23*Hipótesis!$E$23</f>
        <v>12.3975</v>
      </c>
      <c r="D26" s="101" t="n">
        <f aca="false">D20*D21+D23*Hipótesis!$E$23</f>
        <v>27.405</v>
      </c>
      <c r="E26" s="101" t="n">
        <f aca="false">E20*E21+E23*Hipótesis!$E$23</f>
        <v>75.69</v>
      </c>
      <c r="F26" s="101" t="n">
        <f aca="false">F20*F21+F23*Hipótesis!$E$23</f>
        <v>111.5775</v>
      </c>
      <c r="G26" s="101" t="n">
        <f aca="false">G20*G21+G23*Hipótesis!$E$23</f>
        <v>144.855</v>
      </c>
      <c r="H26" s="101" t="n">
        <f aca="false">H20*H21+H23*Hipótesis!$E$23</f>
        <v>208.03875</v>
      </c>
      <c r="I26" s="101" t="n">
        <f aca="false">I20*I21+I23*Hipótesis!$E$23</f>
        <v>323.576713965405</v>
      </c>
      <c r="J26" s="101" t="n">
        <f aca="false">J20*J21+J23*Hipótesis!$E$23</f>
        <v>439.114677930811</v>
      </c>
      <c r="K26" s="101" t="n">
        <f aca="false">K20*K21+K23*Hipótesis!$E$23</f>
        <v>554.652641896216</v>
      </c>
      <c r="L26" s="101" t="n">
        <f aca="false">L20*L21+L23*Hipótesis!$E$23</f>
        <v>670.190605861622</v>
      </c>
      <c r="M26" s="101" t="n">
        <f aca="false">M20*M21+M23*Hipótesis!$E$23</f>
        <v>752.451069827027</v>
      </c>
      <c r="N26" s="101" t="n">
        <f aca="false">N20*N21+N23*Hipótesis!$E$23</f>
        <v>878.211533792432</v>
      </c>
      <c r="O26" s="101" t="n">
        <f aca="false">O20*O21+O23*Hipótesis!$E$23</f>
        <v>1003.97199775784</v>
      </c>
      <c r="P26" s="101" t="n">
        <f aca="false">P20*P21+P23*Hipótesis!$E$23</f>
        <v>1117.22621172324</v>
      </c>
      <c r="Q26" s="101" t="n">
        <f aca="false">Q20*Q21+Q23*Hipótesis!$E$23</f>
        <v>1230.48042568865</v>
      </c>
      <c r="R26" s="101" t="n">
        <f aca="false">R20*R21+R23*Hipótesis!$E$23</f>
        <v>1343.73463965405</v>
      </c>
      <c r="S26" s="101" t="n">
        <f aca="false">S20*S21+S23*Hipótesis!$E$23</f>
        <v>1456.98885361946</v>
      </c>
      <c r="T26" s="101" t="n">
        <f aca="false">T20*T21+T23*Hipótesis!$E$23</f>
        <v>1570.24306758486</v>
      </c>
      <c r="U26" s="101" t="n">
        <f aca="false">U20*U21+U23*Hipótesis!$E$23</f>
        <v>1683.49728155027</v>
      </c>
      <c r="V26" s="101" t="n">
        <f aca="false">V20*V21+V23*Hipótesis!$E$23</f>
        <v>1796.75149551568</v>
      </c>
      <c r="W26" s="101" t="n">
        <f aca="false">W20*W21+W23*Hipótesis!$E$23</f>
        <v>1910.00570948108</v>
      </c>
      <c r="X26" s="101" t="n">
        <f aca="false">X20*X21+X23*Hipótesis!$E$23</f>
        <v>1979.75992344649</v>
      </c>
      <c r="Y26" s="101" t="n">
        <f aca="false">Y20*Y21+Y23*Hipótesis!$E$23</f>
        <v>2049.51413741189</v>
      </c>
      <c r="Z26" s="101" t="n">
        <f aca="false">Z20*Z21+Z23*Hipótesis!$E$23</f>
        <v>2101.8683513773</v>
      </c>
      <c r="AA26" s="101" t="n">
        <f aca="false">AA20*AA21+AA23*Hipótesis!$E$23</f>
        <v>2154.2225653427</v>
      </c>
      <c r="AB26" s="101" t="n">
        <f aca="false">AB20*AB21+AB23*Hipótesis!$E$23</f>
        <v>2206.57677930811</v>
      </c>
      <c r="AC26" s="101" t="n">
        <f aca="false">AC20*AC21+AC23*Hipótesis!$E$23</f>
        <v>2258.93099327351</v>
      </c>
      <c r="AD26" s="101" t="n">
        <f aca="false">AD20*AD21+AD23*Hipótesis!$E$23</f>
        <v>2311.28520723892</v>
      </c>
      <c r="AE26" s="101" t="n">
        <f aca="false">AE20*AE21+AE23*Hipótesis!$E$23</f>
        <v>2363.63942120432</v>
      </c>
      <c r="AF26" s="101" t="n">
        <f aca="false">AF20*AF21+AF23*Hipótesis!$E$23</f>
        <v>2415.99363516973</v>
      </c>
      <c r="AG26" s="101" t="n">
        <f aca="false">AG20*AG21+AG23*Hipótesis!$E$23</f>
        <v>2468.34784913514</v>
      </c>
      <c r="AH26" s="101" t="n">
        <f aca="false">AH20*AH21+AH23*Hipótesis!$E$23</f>
        <v>2520.70206310054</v>
      </c>
      <c r="AI26" s="101" t="n">
        <f aca="false">AI20*AI21+AI23*Hipótesis!$E$23</f>
        <v>2573.05627706595</v>
      </c>
      <c r="AJ26" s="101" t="n">
        <f aca="false">AJ20*AJ21+AJ23*Hipótesis!$E$23</f>
        <v>2625.41049103135</v>
      </c>
      <c r="AK26" s="101" t="n">
        <f aca="false">AK20*AK21+AK23*Hipótesis!$E$23</f>
        <v>2677.76470499676</v>
      </c>
      <c r="AL26" s="101" t="n">
        <f aca="false">AL20*AL21+AL23*Hipótesis!$E$23</f>
        <v>2730.11891896216</v>
      </c>
      <c r="AM26" s="101" t="n">
        <f aca="false">AM20*AM21+AM23*Hipótesis!$E$23</f>
        <v>2782.47313292757</v>
      </c>
      <c r="AN26" s="101" t="n">
        <f aca="false">AN20*AN21+AN23*Hipótesis!$E$23</f>
        <v>2834.82734689297</v>
      </c>
      <c r="AO26" s="101" t="n">
        <f aca="false">AO20*AO21+AO23*Hipótesis!$E$23</f>
        <v>2887.18156085838</v>
      </c>
      <c r="AP26" s="101" t="n">
        <f aca="false">AP20*AP21+AP23*Hipótesis!$E$23</f>
        <v>2939.53577482378</v>
      </c>
      <c r="AQ26" s="101" t="n">
        <f aca="false">AQ20*AQ21+AQ23*Hipótesis!$E$23</f>
        <v>2991.88998878919</v>
      </c>
      <c r="AR26" s="101" t="n">
        <f aca="false">AR20*AR21+AR23*Hipótesis!$E$23</f>
        <v>3044.2442027546</v>
      </c>
      <c r="AS26" s="101" t="n">
        <f aca="false">AS20*AS21+AS23*Hipótesis!$E$23</f>
        <v>3044.2442027546</v>
      </c>
      <c r="AT26" s="101" t="n">
        <f aca="false">AT20*AT21+AT23*Hipótesis!$E$23</f>
        <v>3044.2442027546</v>
      </c>
      <c r="AU26" s="101" t="n">
        <f aca="false">AU20*AU21+AU23*Hipótesis!$E$23</f>
        <v>3044.2442027546</v>
      </c>
      <c r="AV26" s="101" t="n">
        <f aca="false">AV20*AV21+AV23*Hipótesis!$E$23</f>
        <v>3044.2442027546</v>
      </c>
      <c r="AW26" s="101" t="n">
        <f aca="false">AW20*AW21+AW23*Hipótesis!$E$23</f>
        <v>3044.2442027546</v>
      </c>
      <c r="AX26" s="101" t="n">
        <f aca="false">AX20*AX21+AX23*Hipótesis!$E$23</f>
        <v>3044.2442027546</v>
      </c>
      <c r="AY26" s="101" t="n">
        <f aca="false">AY20*AY21+AY23*Hipótesis!$E$23</f>
        <v>3044.2442027546</v>
      </c>
      <c r="AZ26" s="101" t="n">
        <f aca="false">AZ20*AZ21+AZ23*Hipótesis!$E$23</f>
        <v>3044.2442027546</v>
      </c>
      <c r="BA26" s="101" t="n">
        <f aca="false">BA20*BA21+BA23*Hipótesis!$E$23</f>
        <v>3044.2442027546</v>
      </c>
      <c r="BB26" s="101" t="n">
        <f aca="false">BB20*BB21+BB23*Hipótesis!$E$23</f>
        <v>3044.2442027546</v>
      </c>
      <c r="BC26" s="101" t="n">
        <f aca="false">BC20*BC21+BC23*Hipótesis!$E$23</f>
        <v>3044.2442027546</v>
      </c>
      <c r="BD26" s="101" t="n">
        <f aca="false">BD20*BD21+BD23*Hipótesis!$E$23</f>
        <v>3044.2442027546</v>
      </c>
      <c r="BE26" s="101" t="n">
        <f aca="false">BE20*BE21+BE23*Hipótesis!$E$23</f>
        <v>3044.2442027546</v>
      </c>
      <c r="BF26" s="101" t="n">
        <f aca="false">BF20*BF21+BF23*Hipótesis!$E$23</f>
        <v>3044.2442027546</v>
      </c>
      <c r="BG26" s="101" t="n">
        <f aca="false">BG20*BG21+BG23*Hipótesis!$E$23</f>
        <v>3044.2442027546</v>
      </c>
      <c r="BH26" s="101" t="n">
        <f aca="false">BH20*BH21+BH23*Hipótesis!$E$23</f>
        <v>3044.2442027546</v>
      </c>
      <c r="BI26" s="101" t="n">
        <f aca="false">BI20*BI21+BI23*Hipótesis!$E$23</f>
        <v>3044.2442027546</v>
      </c>
      <c r="BJ26" s="101" t="n">
        <f aca="false">BJ20*BJ21+BJ23*Hipótesis!$E$23</f>
        <v>3044.2442027546</v>
      </c>
      <c r="BK26" s="101" t="n">
        <f aca="false">BK20*BK21+BK23*Hipótesis!$E$23</f>
        <v>3044.2442027546</v>
      </c>
      <c r="BL26" s="101" t="n">
        <f aca="false">BL20*BL21+BL23*Hipótesis!$E$23</f>
        <v>3044.2442027546</v>
      </c>
      <c r="BM26" s="101" t="n">
        <f aca="false">BM20*BM21+BM23*Hipótesis!$E$23</f>
        <v>3044.2442027546</v>
      </c>
      <c r="BN26" s="101" t="n">
        <f aca="false">BN20*BN21+BN23*Hipótesis!$E$23</f>
        <v>3044.2442027546</v>
      </c>
      <c r="BO26" s="101" t="n">
        <f aca="false">BO20*BO21+BO23*Hipótesis!$E$23</f>
        <v>3044.2442027546</v>
      </c>
      <c r="BP26" s="101" t="n">
        <f aca="false">BP20*BP21+BP23*Hipótesis!$E$23</f>
        <v>3044.2442027546</v>
      </c>
      <c r="BQ26" s="101" t="n">
        <f aca="false">BQ20*BQ21+BQ23*Hipótesis!$E$23</f>
        <v>3044.2442027546</v>
      </c>
      <c r="BR26" s="101" t="n">
        <f aca="false">BR20*BR21+BR23*Hipótesis!$E$23</f>
        <v>3044.2442027546</v>
      </c>
      <c r="BS26" s="101" t="n">
        <f aca="false">BS20*BS21+BS23*Hipótesis!$E$23</f>
        <v>3044.2442027546</v>
      </c>
      <c r="BT26" s="101" t="n">
        <f aca="false">BT20*BT21+BT23*Hipótesis!$E$23</f>
        <v>3044.2442027546</v>
      </c>
      <c r="BU26" s="101" t="n">
        <f aca="false">BU20*BU21+BU23*Hipótesis!$E$23</f>
        <v>3044.2442027546</v>
      </c>
      <c r="BV26" s="101" t="n">
        <f aca="false">BV20*BV21+BV23*Hipótesis!$E$23</f>
        <v>3044.2442027546</v>
      </c>
      <c r="BW26" s="101" t="n">
        <f aca="false">BW20*BW21+BW23*Hipótesis!$E$23</f>
        <v>3044.2442027546</v>
      </c>
      <c r="BX26" s="101" t="n">
        <f aca="false">BX20*BX21+BX23*Hipótesis!$E$23</f>
        <v>3044.2442027546</v>
      </c>
      <c r="BY26" s="101" t="n">
        <f aca="false">BY20*BY21+BY23*Hipótesis!$E$23</f>
        <v>3044.2442027546</v>
      </c>
      <c r="BZ26" s="101" t="n">
        <f aca="false">BZ20*BZ21+BZ23*Hipótesis!$E$23</f>
        <v>3044.2442027546</v>
      </c>
      <c r="CA26" s="101" t="n">
        <f aca="false">CA20*CA21+CA23*Hipótesis!$E$23</f>
        <v>3044.2442027546</v>
      </c>
      <c r="CB26" s="101" t="n">
        <f aca="false">CB20*CB21+CB23*Hipótesis!$E$23</f>
        <v>3044.2442027546</v>
      </c>
      <c r="CC26" s="101" t="n">
        <f aca="false">CC20*CC21+CC23*Hipótesis!$E$23</f>
        <v>3044.2442027546</v>
      </c>
      <c r="CD26" s="101" t="n">
        <f aca="false">CD20*CD21+CD23*Hipótesis!$E$23</f>
        <v>3044.2442027546</v>
      </c>
      <c r="CE26" s="101" t="n">
        <f aca="false">CE20*CE21+CE23*Hipótesis!$E$23</f>
        <v>3044.2442027546</v>
      </c>
      <c r="CF26" s="101" t="n">
        <f aca="false">CF20*CF21+CF23*Hipótesis!$E$23</f>
        <v>3044.2442027546</v>
      </c>
      <c r="CG26" s="101" t="n">
        <f aca="false">CG20*CG21+CG23*Hipótesis!$E$23</f>
        <v>3044.2442027546</v>
      </c>
      <c r="CH26" s="101" t="n">
        <f aca="false">CH20*CH21+CH23*Hipótesis!$E$23</f>
        <v>3044.2442027546</v>
      </c>
    </row>
    <row r="27" customFormat="false" ht="13.5" hidden="false" customHeight="true" outlineLevel="0" collapsed="false">
      <c r="A27" s="6" t="s">
        <v>427</v>
      </c>
      <c r="C27" s="101" t="n">
        <f aca="false">C17*C21+C23*Hipótesis!$E$24</f>
        <v>103.962264150943</v>
      </c>
      <c r="D27" s="101" t="n">
        <f aca="false">D17*D21+D23*Hipótesis!$E$24</f>
        <v>222.408435072142</v>
      </c>
      <c r="E27" s="101" t="n">
        <f aca="false">E17*E21+E23*Hipótesis!$E$24</f>
        <v>533.677003230537</v>
      </c>
      <c r="F27" s="101" t="n">
        <f aca="false">F17*F21+F23*Hipótesis!$E$24</f>
        <v>740.983307237989</v>
      </c>
      <c r="G27" s="101" t="n">
        <f aca="false">G17*G21+G23*Hipótesis!$E$24</f>
        <v>933.805704475186</v>
      </c>
      <c r="H27" s="101" t="n">
        <f aca="false">H17*H21+H23*Hipótesis!$E$24</f>
        <v>1292.58953345489</v>
      </c>
      <c r="I27" s="101" t="n">
        <f aca="false">I17*I21+I23*Hipótesis!$E$24</f>
        <v>1952.89290297514</v>
      </c>
      <c r="J27" s="101" t="n">
        <f aca="false">J17*J21+J23*Hipótesis!$E$24</f>
        <v>2613.19627249538</v>
      </c>
      <c r="K27" s="101" t="n">
        <f aca="false">K17*K21+K23*Hipótesis!$E$24</f>
        <v>3273.49964201563</v>
      </c>
      <c r="L27" s="101" t="n">
        <f aca="false">L17*L21+L23*Hipótesis!$E$24</f>
        <v>3933.80301153587</v>
      </c>
      <c r="M27" s="101" t="n">
        <f aca="false">M17*M21+M23*Hipótesis!$E$24</f>
        <v>4401.28398381892</v>
      </c>
      <c r="N27" s="101" t="n">
        <f aca="false">N17*N21+N23*Hipótesis!$E$24</f>
        <v>5110.16340227289</v>
      </c>
      <c r="O27" s="101" t="n">
        <f aca="false">O17*O21+O23*Hipótesis!$E$24</f>
        <v>5819.04282072686</v>
      </c>
      <c r="P27" s="101" t="n">
        <f aca="false">P17*P21+P23*Hipótesis!$E$24</f>
        <v>6458.52018590669</v>
      </c>
      <c r="Q27" s="101" t="n">
        <f aca="false">Q17*Q21+Q23*Hipótesis!$E$24</f>
        <v>7097.99755108652</v>
      </c>
      <c r="R27" s="101" t="n">
        <f aca="false">R17*R21+R23*Hipótesis!$E$24</f>
        <v>7737.47491626635</v>
      </c>
      <c r="S27" s="101" t="n">
        <f aca="false">S17*S21+S23*Hipótesis!$E$24</f>
        <v>8376.95228144618</v>
      </c>
      <c r="T27" s="101" t="n">
        <f aca="false">T17*T21+T23*Hipótesis!$E$24</f>
        <v>9016.42964662601</v>
      </c>
      <c r="U27" s="101" t="n">
        <f aca="false">U17*U21+U23*Hipótesis!$E$24</f>
        <v>9655.90701180584</v>
      </c>
      <c r="V27" s="101" t="n">
        <f aca="false">V17*V21+V23*Hipótesis!$E$24</f>
        <v>10295.3843769857</v>
      </c>
      <c r="W27" s="101" t="n">
        <f aca="false">W17*W21+W23*Hipótesis!$E$24</f>
        <v>10934.8617421655</v>
      </c>
      <c r="X27" s="101" t="n">
        <f aca="false">X17*X21+X23*Hipótesis!$E$24</f>
        <v>11332.9406611744</v>
      </c>
      <c r="Y27" s="101" t="n">
        <f aca="false">Y17*Y21+Y23*Hipótesis!$E$24</f>
        <v>11731.0195801833</v>
      </c>
      <c r="Z27" s="101" t="n">
        <f aca="false">Z17*Z21+Z23*Hipótesis!$E$24</f>
        <v>12032.5391207239</v>
      </c>
      <c r="AA27" s="101" t="n">
        <f aca="false">AA17*AA21+AA23*Hipótesis!$E$24</f>
        <v>12334.0586612644</v>
      </c>
      <c r="AB27" s="101" t="n">
        <f aca="false">AB17*AB21+AB23*Hipótesis!$E$24</f>
        <v>12635.5782018049</v>
      </c>
      <c r="AC27" s="101" t="n">
        <f aca="false">AC17*AC21+AC23*Hipótesis!$E$24</f>
        <v>12937.0977423455</v>
      </c>
      <c r="AD27" s="101" t="n">
        <f aca="false">AD17*AD21+AD23*Hipótesis!$E$24</f>
        <v>13238.617282886</v>
      </c>
      <c r="AE27" s="101" t="n">
        <f aca="false">AE17*AE21+AE23*Hipótesis!$E$24</f>
        <v>13540.1368234266</v>
      </c>
      <c r="AF27" s="101" t="n">
        <f aca="false">AF17*AF21+AF23*Hipótesis!$E$24</f>
        <v>13841.6563639671</v>
      </c>
      <c r="AG27" s="101" t="n">
        <f aca="false">AG17*AG21+AG23*Hipótesis!$E$24</f>
        <v>14143.1759045076</v>
      </c>
      <c r="AH27" s="101" t="n">
        <f aca="false">AH17*AH21+AH23*Hipótesis!$E$24</f>
        <v>14444.6954450482</v>
      </c>
      <c r="AI27" s="101" t="n">
        <f aca="false">AI17*AI21+AI23*Hipótesis!$E$24</f>
        <v>14746.2149855887</v>
      </c>
      <c r="AJ27" s="101" t="n">
        <f aca="false">AJ17*AJ21+AJ23*Hipótesis!$E$24</f>
        <v>15047.7345261293</v>
      </c>
      <c r="AK27" s="101" t="n">
        <f aca="false">AK17*AK21+AK23*Hipótesis!$E$24</f>
        <v>15349.2540666698</v>
      </c>
      <c r="AL27" s="101" t="n">
        <f aca="false">AL17*AL21+AL23*Hipótesis!$E$24</f>
        <v>15650.7736072104</v>
      </c>
      <c r="AM27" s="101" t="n">
        <f aca="false">AM17*AM21+AM23*Hipótesis!$E$24</f>
        <v>15952.2931477509</v>
      </c>
      <c r="AN27" s="101" t="n">
        <f aca="false">AN17*AN21+AN23*Hipótesis!$E$24</f>
        <v>16253.8126882914</v>
      </c>
      <c r="AO27" s="101" t="n">
        <f aca="false">AO17*AO21+AO23*Hipótesis!$E$24</f>
        <v>16555.332228832</v>
      </c>
      <c r="AP27" s="101" t="n">
        <f aca="false">AP17*AP21+AP23*Hipótesis!$E$24</f>
        <v>16856.8517693725</v>
      </c>
      <c r="AQ27" s="101" t="n">
        <f aca="false">AQ17*AQ21+AQ23*Hipótesis!$E$24</f>
        <v>17158.3713099131</v>
      </c>
      <c r="AR27" s="101" t="n">
        <f aca="false">AR17*AR21+AR23*Hipótesis!$E$24</f>
        <v>17459.8908504536</v>
      </c>
      <c r="AS27" s="101" t="n">
        <f aca="false">AS17*AS21+AS23*Hipótesis!$E$24</f>
        <v>17459.8908504536</v>
      </c>
      <c r="AT27" s="101" t="n">
        <f aca="false">AT17*AT21+AT23*Hipótesis!$E$24</f>
        <v>17459.8908504536</v>
      </c>
      <c r="AU27" s="101" t="n">
        <f aca="false">AU17*AU21+AU23*Hipótesis!$E$24</f>
        <v>17459.8908504536</v>
      </c>
      <c r="AV27" s="101" t="n">
        <f aca="false">AV17*AV21+AV23*Hipótesis!$E$24</f>
        <v>17459.8908504536</v>
      </c>
      <c r="AW27" s="101" t="n">
        <f aca="false">AW17*AW21+AW23*Hipótesis!$E$24</f>
        <v>17459.8908504536</v>
      </c>
      <c r="AX27" s="101" t="n">
        <f aca="false">AX17*AX21+AX23*Hipótesis!$E$24</f>
        <v>17459.8908504536</v>
      </c>
      <c r="AY27" s="101" t="n">
        <f aca="false">AY17*AY21+AY23*Hipótesis!$E$24</f>
        <v>17459.8908504536</v>
      </c>
      <c r="AZ27" s="101" t="n">
        <f aca="false">AZ17*AZ21+AZ23*Hipótesis!$E$24</f>
        <v>17459.8908504536</v>
      </c>
      <c r="BA27" s="101" t="n">
        <f aca="false">BA17*BA21+BA23*Hipótesis!$E$24</f>
        <v>17459.8908504536</v>
      </c>
      <c r="BB27" s="101" t="n">
        <f aca="false">BB17*BB21+BB23*Hipótesis!$E$24</f>
        <v>17459.8908504536</v>
      </c>
      <c r="BC27" s="101" t="n">
        <f aca="false">BC17*BC21+BC23*Hipótesis!$E$24</f>
        <v>17459.8908504536</v>
      </c>
      <c r="BD27" s="101" t="n">
        <f aca="false">BD17*BD21+BD23*Hipótesis!$E$24</f>
        <v>17459.8908504536</v>
      </c>
      <c r="BE27" s="101" t="n">
        <f aca="false">BE17*BE21+BE23*Hipótesis!$E$24</f>
        <v>17459.8908504536</v>
      </c>
      <c r="BF27" s="101" t="n">
        <f aca="false">BF17*BF21+BF23*Hipótesis!$E$24</f>
        <v>17459.8908504536</v>
      </c>
      <c r="BG27" s="101" t="n">
        <f aca="false">BG17*BG21+BG23*Hipótesis!$E$24</f>
        <v>17459.8908504536</v>
      </c>
      <c r="BH27" s="101" t="n">
        <f aca="false">BH17*BH21+BH23*Hipótesis!$E$24</f>
        <v>17459.8908504536</v>
      </c>
      <c r="BI27" s="101" t="n">
        <f aca="false">BI17*BI21+BI23*Hipótesis!$E$24</f>
        <v>17459.8908504536</v>
      </c>
      <c r="BJ27" s="101" t="n">
        <f aca="false">BJ17*BJ21+BJ23*Hipótesis!$E$24</f>
        <v>17459.8908504536</v>
      </c>
      <c r="BK27" s="101" t="n">
        <f aca="false">BK17*BK21+BK23*Hipótesis!$E$24</f>
        <v>17459.8908504536</v>
      </c>
      <c r="BL27" s="101" t="n">
        <f aca="false">BL17*BL21+BL23*Hipótesis!$E$24</f>
        <v>17459.8908504536</v>
      </c>
      <c r="BM27" s="101" t="n">
        <f aca="false">BM17*BM21+BM23*Hipótesis!$E$24</f>
        <v>17459.8908504536</v>
      </c>
      <c r="BN27" s="101" t="n">
        <f aca="false">BN17*BN21+BN23*Hipótesis!$E$24</f>
        <v>17459.8908504536</v>
      </c>
      <c r="BO27" s="101" t="n">
        <f aca="false">BO17*BO21+BO23*Hipótesis!$E$24</f>
        <v>17459.8908504536</v>
      </c>
      <c r="BP27" s="101" t="n">
        <f aca="false">BP17*BP21+BP23*Hipótesis!$E$24</f>
        <v>17459.8908504536</v>
      </c>
      <c r="BQ27" s="101" t="n">
        <f aca="false">BQ17*BQ21+BQ23*Hipótesis!$E$24</f>
        <v>17459.8908504536</v>
      </c>
      <c r="BR27" s="101" t="n">
        <f aca="false">BR17*BR21+BR23*Hipótesis!$E$24</f>
        <v>17459.8908504536</v>
      </c>
      <c r="BS27" s="101" t="n">
        <f aca="false">BS17*BS21+BS23*Hipótesis!$E$24</f>
        <v>17459.8908504536</v>
      </c>
      <c r="BT27" s="101" t="n">
        <f aca="false">BT17*BT21+BT23*Hipótesis!$E$24</f>
        <v>17459.8908504536</v>
      </c>
      <c r="BU27" s="101" t="n">
        <f aca="false">BU17*BU21+BU23*Hipótesis!$E$24</f>
        <v>17459.8908504536</v>
      </c>
      <c r="BV27" s="101" t="n">
        <f aca="false">BV17*BV21+BV23*Hipótesis!$E$24</f>
        <v>17459.8908504536</v>
      </c>
      <c r="BW27" s="101" t="n">
        <f aca="false">BW17*BW21+BW23*Hipótesis!$E$24</f>
        <v>17459.8908504536</v>
      </c>
      <c r="BX27" s="101" t="n">
        <f aca="false">BX17*BX21+BX23*Hipótesis!$E$24</f>
        <v>17459.8908504536</v>
      </c>
      <c r="BY27" s="101" t="n">
        <f aca="false">BY17*BY21+BY23*Hipótesis!$E$24</f>
        <v>17459.8908504536</v>
      </c>
      <c r="BZ27" s="101" t="n">
        <f aca="false">BZ17*BZ21+BZ23*Hipótesis!$E$24</f>
        <v>17459.8908504536</v>
      </c>
      <c r="CA27" s="101" t="n">
        <f aca="false">CA17*CA21+CA23*Hipótesis!$E$24</f>
        <v>17459.8908504536</v>
      </c>
      <c r="CB27" s="101" t="n">
        <f aca="false">CB17*CB21+CB23*Hipótesis!$E$24</f>
        <v>17459.8908504536</v>
      </c>
      <c r="CC27" s="101" t="n">
        <f aca="false">CC17*CC21+CC23*Hipótesis!$E$24</f>
        <v>17459.8908504536</v>
      </c>
      <c r="CD27" s="101" t="n">
        <f aca="false">CD17*CD21+CD23*Hipótesis!$E$24</f>
        <v>17459.8908504536</v>
      </c>
      <c r="CE27" s="101" t="n">
        <f aca="false">CE17*CE21+CE23*Hipótesis!$E$24</f>
        <v>17459.8908504536</v>
      </c>
      <c r="CF27" s="101" t="n">
        <f aca="false">CF17*CF21+CF23*Hipótesis!$E$24</f>
        <v>17459.8908504536</v>
      </c>
      <c r="CG27" s="101" t="n">
        <f aca="false">CG17*CG21+CG23*Hipótesis!$E$24</f>
        <v>17459.8908504536</v>
      </c>
      <c r="CH27" s="101" t="n">
        <f aca="false">CH17*CH21+CH23*Hipótesis!$E$24</f>
        <v>17459.8908504536</v>
      </c>
    </row>
    <row r="28" customFormat="false" ht="13.5" hidden="false" customHeight="true" outlineLevel="0" collapsed="false">
      <c r="A28" s="6" t="s">
        <v>506</v>
      </c>
      <c r="C28" s="101" t="n">
        <f aca="false">C27*Producto!$D$10/60</f>
        <v>3.46540880503145</v>
      </c>
      <c r="D28" s="101" t="n">
        <f aca="false">D27*Producto!$D$10/60</f>
        <v>7.41361450240474</v>
      </c>
      <c r="E28" s="101" t="n">
        <f aca="false">E27*Producto!$D$10/60</f>
        <v>17.7892334410179</v>
      </c>
      <c r="F28" s="101" t="n">
        <f aca="false">F27*Producto!$D$10/60</f>
        <v>24.6994435745996</v>
      </c>
      <c r="G28" s="101" t="n">
        <f aca="false">G27*Producto!$D$10/60</f>
        <v>31.1268568158395</v>
      </c>
      <c r="H28" s="101" t="n">
        <f aca="false">H27*Producto!$D$10/60</f>
        <v>43.0863177818297</v>
      </c>
      <c r="I28" s="101" t="n">
        <f aca="false">I27*Producto!$D$10/60</f>
        <v>65.0964300991712</v>
      </c>
      <c r="J28" s="101" t="n">
        <f aca="false">J27*Producto!$D$10/60</f>
        <v>87.1065424165127</v>
      </c>
      <c r="K28" s="101" t="n">
        <f aca="false">K27*Producto!$D$10/60</f>
        <v>109.116654733854</v>
      </c>
      <c r="L28" s="101" t="n">
        <f aca="false">L27*Producto!$D$10/60</f>
        <v>131.126767051196</v>
      </c>
      <c r="M28" s="101" t="n">
        <f aca="false">M27*Producto!$D$10/60</f>
        <v>146.709466127297</v>
      </c>
      <c r="N28" s="101" t="n">
        <f aca="false">N27*Producto!$D$10/60</f>
        <v>170.338780075763</v>
      </c>
      <c r="O28" s="101" t="n">
        <f aca="false">O27*Producto!$D$10/60</f>
        <v>193.968094024229</v>
      </c>
      <c r="P28" s="101" t="n">
        <f aca="false">P27*Producto!$D$10/60</f>
        <v>215.28400619689</v>
      </c>
      <c r="Q28" s="101" t="n">
        <f aca="false">Q27*Producto!$D$10/60</f>
        <v>236.599918369551</v>
      </c>
      <c r="R28" s="101" t="n">
        <f aca="false">R27*Producto!$D$10/60</f>
        <v>257.915830542212</v>
      </c>
      <c r="S28" s="101" t="n">
        <f aca="false">S27*Producto!$D$10/60</f>
        <v>279.231742714873</v>
      </c>
      <c r="T28" s="101" t="n">
        <f aca="false">T27*Producto!$D$10/60</f>
        <v>300.547654887534</v>
      </c>
      <c r="U28" s="101" t="n">
        <f aca="false">U27*Producto!$D$10/60</f>
        <v>321.863567060195</v>
      </c>
      <c r="V28" s="101" t="n">
        <f aca="false">V27*Producto!$D$10/60</f>
        <v>343.179479232856</v>
      </c>
      <c r="W28" s="101" t="n">
        <f aca="false">W27*Producto!$D$10/60</f>
        <v>364.495391405517</v>
      </c>
      <c r="X28" s="101" t="n">
        <f aca="false">X27*Producto!$D$10/60</f>
        <v>377.764688705814</v>
      </c>
      <c r="Y28" s="101" t="n">
        <f aca="false">Y27*Producto!$D$10/60</f>
        <v>391.033986006111</v>
      </c>
      <c r="Z28" s="101" t="n">
        <f aca="false">Z27*Producto!$D$10/60</f>
        <v>401.084637357462</v>
      </c>
      <c r="AA28" s="101" t="n">
        <f aca="false">AA27*Producto!$D$10/60</f>
        <v>411.135288708813</v>
      </c>
      <c r="AB28" s="101" t="n">
        <f aca="false">AB27*Producto!$D$10/60</f>
        <v>421.185940060165</v>
      </c>
      <c r="AC28" s="101" t="n">
        <f aca="false">AC27*Producto!$D$10/60</f>
        <v>431.236591411516</v>
      </c>
      <c r="AD28" s="101" t="n">
        <f aca="false">AD27*Producto!$D$10/60</f>
        <v>441.287242762868</v>
      </c>
      <c r="AE28" s="101" t="n">
        <f aca="false">AE27*Producto!$D$10/60</f>
        <v>451.337894114219</v>
      </c>
      <c r="AF28" s="101" t="n">
        <f aca="false">AF27*Producto!$D$10/60</f>
        <v>461.38854546557</v>
      </c>
      <c r="AG28" s="101" t="n">
        <f aca="false">AG27*Producto!$D$10/60</f>
        <v>471.439196816922</v>
      </c>
      <c r="AH28" s="101" t="n">
        <f aca="false">AH27*Producto!$D$10/60</f>
        <v>481.489848168273</v>
      </c>
      <c r="AI28" s="101" t="n">
        <f aca="false">AI27*Producto!$D$10/60</f>
        <v>491.540499519624</v>
      </c>
      <c r="AJ28" s="101" t="n">
        <f aca="false">AJ27*Producto!$D$10/60</f>
        <v>501.591150870976</v>
      </c>
      <c r="AK28" s="101" t="n">
        <f aca="false">AK27*Producto!$D$10/60</f>
        <v>511.641802222327</v>
      </c>
      <c r="AL28" s="101" t="n">
        <f aca="false">AL27*Producto!$D$10/60</f>
        <v>521.692453573678</v>
      </c>
      <c r="AM28" s="101" t="n">
        <f aca="false">AM27*Producto!$D$10/60</f>
        <v>531.74310492503</v>
      </c>
      <c r="AN28" s="101" t="n">
        <f aca="false">AN27*Producto!$D$10/60</f>
        <v>541.793756276381</v>
      </c>
      <c r="AO28" s="101" t="n">
        <f aca="false">AO27*Producto!$D$10/60</f>
        <v>551.844407627732</v>
      </c>
      <c r="AP28" s="101" t="n">
        <f aca="false">AP27*Producto!$D$10/60</f>
        <v>561.895058979084</v>
      </c>
      <c r="AQ28" s="101" t="n">
        <f aca="false">AQ27*Producto!$D$10/60</f>
        <v>571.945710330435</v>
      </c>
      <c r="AR28" s="101" t="n">
        <f aca="false">AR27*Producto!$D$10/60</f>
        <v>581.996361681786</v>
      </c>
      <c r="AS28" s="101" t="n">
        <f aca="false">AS27*Producto!$D$10/60</f>
        <v>581.996361681786</v>
      </c>
      <c r="AT28" s="101" t="n">
        <f aca="false">AT27*Producto!$D$10/60</f>
        <v>581.996361681786</v>
      </c>
      <c r="AU28" s="101" t="n">
        <f aca="false">AU27*Producto!$D$10/60</f>
        <v>581.996361681786</v>
      </c>
      <c r="AV28" s="101" t="n">
        <f aca="false">AV27*Producto!$D$10/60</f>
        <v>581.996361681786</v>
      </c>
      <c r="AW28" s="101" t="n">
        <f aca="false">AW27*Producto!$D$10/60</f>
        <v>581.996361681786</v>
      </c>
      <c r="AX28" s="101" t="n">
        <f aca="false">AX27*Producto!$D$10/60</f>
        <v>581.996361681786</v>
      </c>
      <c r="AY28" s="101" t="n">
        <f aca="false">AY27*Producto!$D$10/60</f>
        <v>581.996361681786</v>
      </c>
      <c r="AZ28" s="101" t="n">
        <f aca="false">AZ27*Producto!$D$10/60</f>
        <v>581.996361681786</v>
      </c>
      <c r="BA28" s="101" t="n">
        <f aca="false">BA27*Producto!$D$10/60</f>
        <v>581.996361681786</v>
      </c>
      <c r="BB28" s="101" t="n">
        <f aca="false">BB27*Producto!$D$10/60</f>
        <v>581.996361681786</v>
      </c>
      <c r="BC28" s="101" t="n">
        <f aca="false">BC27*Producto!$D$10/60</f>
        <v>581.996361681786</v>
      </c>
      <c r="BD28" s="101" t="n">
        <f aca="false">BD27*Producto!$D$10/60</f>
        <v>581.996361681786</v>
      </c>
      <c r="BE28" s="101" t="n">
        <f aca="false">BE27*Producto!$D$10/60</f>
        <v>581.996361681786</v>
      </c>
      <c r="BF28" s="101" t="n">
        <f aca="false">BF27*Producto!$D$10/60</f>
        <v>581.996361681786</v>
      </c>
      <c r="BG28" s="101" t="n">
        <f aca="false">BG27*Producto!$D$10/60</f>
        <v>581.996361681786</v>
      </c>
      <c r="BH28" s="101" t="n">
        <f aca="false">BH27*Producto!$D$10/60</f>
        <v>581.996361681786</v>
      </c>
      <c r="BI28" s="101" t="n">
        <f aca="false">BI27*Producto!$D$10/60</f>
        <v>581.996361681786</v>
      </c>
      <c r="BJ28" s="101" t="n">
        <f aca="false">BJ27*Producto!$D$10/60</f>
        <v>581.996361681786</v>
      </c>
      <c r="BK28" s="101" t="n">
        <f aca="false">BK27*Producto!$D$10/60</f>
        <v>581.996361681786</v>
      </c>
      <c r="BL28" s="101" t="n">
        <f aca="false">BL27*Producto!$D$10/60</f>
        <v>581.996361681786</v>
      </c>
      <c r="BM28" s="101" t="n">
        <f aca="false">BM27*Producto!$D$10/60</f>
        <v>581.996361681786</v>
      </c>
      <c r="BN28" s="101" t="n">
        <f aca="false">BN27*Producto!$D$10/60</f>
        <v>581.996361681786</v>
      </c>
      <c r="BO28" s="101" t="n">
        <f aca="false">BO27*Producto!$D$10/60</f>
        <v>581.996361681786</v>
      </c>
      <c r="BP28" s="101" t="n">
        <f aca="false">BP27*Producto!$D$10/60</f>
        <v>581.996361681786</v>
      </c>
      <c r="BQ28" s="101" t="n">
        <f aca="false">BQ27*Producto!$D$10/60</f>
        <v>581.996361681786</v>
      </c>
      <c r="BR28" s="101" t="n">
        <f aca="false">BR27*Producto!$D$10/60</f>
        <v>581.996361681786</v>
      </c>
      <c r="BS28" s="101" t="n">
        <f aca="false">BS27*Producto!$D$10/60</f>
        <v>581.996361681786</v>
      </c>
      <c r="BT28" s="101" t="n">
        <f aca="false">BT27*Producto!$D$10/60</f>
        <v>581.996361681786</v>
      </c>
      <c r="BU28" s="101" t="n">
        <f aca="false">BU27*Producto!$D$10/60</f>
        <v>581.996361681786</v>
      </c>
      <c r="BV28" s="101" t="n">
        <f aca="false">BV27*Producto!$D$10/60</f>
        <v>581.996361681786</v>
      </c>
      <c r="BW28" s="101" t="n">
        <f aca="false">BW27*Producto!$D$10/60</f>
        <v>581.996361681786</v>
      </c>
      <c r="BX28" s="101" t="n">
        <f aca="false">BX27*Producto!$D$10/60</f>
        <v>581.996361681786</v>
      </c>
      <c r="BY28" s="101" t="n">
        <f aca="false">BY27*Producto!$D$10/60</f>
        <v>581.996361681786</v>
      </c>
      <c r="BZ28" s="101" t="n">
        <f aca="false">BZ27*Producto!$D$10/60</f>
        <v>581.996361681786</v>
      </c>
      <c r="CA28" s="101" t="n">
        <f aca="false">CA27*Producto!$D$10/60</f>
        <v>581.996361681786</v>
      </c>
      <c r="CB28" s="101" t="n">
        <f aca="false">CB27*Producto!$D$10/60</f>
        <v>581.996361681786</v>
      </c>
      <c r="CC28" s="101" t="n">
        <f aca="false">CC27*Producto!$D$10/60</f>
        <v>581.996361681786</v>
      </c>
      <c r="CD28" s="101" t="n">
        <f aca="false">CD27*Producto!$D$10/60</f>
        <v>581.996361681786</v>
      </c>
      <c r="CE28" s="101" t="n">
        <f aca="false">CE27*Producto!$D$10/60</f>
        <v>581.996361681786</v>
      </c>
      <c r="CF28" s="101" t="n">
        <f aca="false">CF27*Producto!$D$10/60</f>
        <v>581.996361681786</v>
      </c>
      <c r="CG28" s="101" t="n">
        <f aca="false">CG27*Producto!$D$10/60</f>
        <v>581.996361681786</v>
      </c>
      <c r="CH28" s="101" t="n">
        <f aca="false">CH27*Producto!$D$10/60</f>
        <v>581.996361681786</v>
      </c>
    </row>
    <row r="29" customFormat="false" ht="13.5" hidden="false" customHeight="true" outlineLevel="0" collapsed="false">
      <c r="A29" s="6" t="s">
        <v>507</v>
      </c>
      <c r="C29" s="101" t="n">
        <f aca="false">SUMPRODUCT((Hipótesis!$D$48:$D$53&lt;=1)*(Hipótesis!$B$48:$B$53)*(Hipótesis!$F$48:$F$53))</f>
        <v>320</v>
      </c>
      <c r="D29" s="101" t="n">
        <f aca="false">SUMPRODUCT((Hipótesis!$D$48:$D$53&lt;=2)*(Hipótesis!$B$48:$B$53)*(Hipótesis!$F$48:$F$53))</f>
        <v>320</v>
      </c>
      <c r="E29" s="101" t="n">
        <f aca="false">SUMPRODUCT((Hipótesis!$D$48:$D$53&lt;=3)*(Hipótesis!$B$48:$B$53)*(Hipótesis!$F$48:$F$53))</f>
        <v>320</v>
      </c>
      <c r="F29" s="101" t="n">
        <f aca="false">SUMPRODUCT((Hipótesis!$D$48:$D$53&lt;=4)*(Hipótesis!$B$48:$B$53)*(Hipótesis!$F$48:$F$53))</f>
        <v>320</v>
      </c>
      <c r="G29" s="101" t="n">
        <f aca="false">SUMPRODUCT((Hipótesis!$D$48:$D$53&lt;=5)*(Hipótesis!$B$48:$B$53)*(Hipótesis!$F$48:$F$53))</f>
        <v>320</v>
      </c>
      <c r="H29" s="101" t="n">
        <f aca="false">SUMPRODUCT((Hipótesis!$D$48:$D$53&lt;=6)*(Hipótesis!$B$48:$B$53)*(Hipótesis!$F$48:$F$53))</f>
        <v>320</v>
      </c>
      <c r="I29" s="101" t="n">
        <f aca="false">SUMPRODUCT((Hipótesis!$D$48:$D$53&lt;=7)*(Hipótesis!$B$48:$B$53)*(Hipótesis!$F$48:$F$53))</f>
        <v>320</v>
      </c>
      <c r="J29" s="101" t="n">
        <f aca="false">SUMPRODUCT((Hipótesis!$D$48:$D$53&lt;=8)*(Hipótesis!$B$48:$B$53)*(Hipótesis!$F$48:$F$53))</f>
        <v>320</v>
      </c>
      <c r="K29" s="101" t="n">
        <f aca="false">SUMPRODUCT((Hipótesis!$D$48:$D$53&lt;=9)*(Hipótesis!$B$48:$B$53)*(Hipótesis!$F$48:$F$53))</f>
        <v>320</v>
      </c>
      <c r="L29" s="101" t="n">
        <f aca="false">SUMPRODUCT((Hipótesis!$D$48:$D$53&lt;=10)*(Hipótesis!$B$48:$B$53)*(Hipótesis!$F$48:$F$53))</f>
        <v>320</v>
      </c>
      <c r="M29" s="101" t="n">
        <f aca="false">SUMPRODUCT((Hipótesis!$D$48:$D$53&lt;=11)*(Hipótesis!$B$48:$B$53)*(Hipótesis!$F$48:$F$53))</f>
        <v>320</v>
      </c>
      <c r="N29" s="101" t="n">
        <f aca="false">SUMPRODUCT((Hipótesis!$D$48:$D$53&lt;=12)*(Hipótesis!$B$48:$B$53)*(Hipótesis!$F$48:$F$53))</f>
        <v>320</v>
      </c>
      <c r="O29" s="101" t="n">
        <f aca="false">SUMPRODUCT((Hipótesis!$D$48:$D$53&lt;=13)*(Hipótesis!$B$48:$B$53)*(Hipótesis!$F$48:$F$53))</f>
        <v>320</v>
      </c>
      <c r="P29" s="101" t="n">
        <f aca="false">SUMPRODUCT((Hipótesis!$D$48:$D$53&lt;=14)*(Hipótesis!$B$48:$B$53)*(Hipótesis!$F$48:$F$53))</f>
        <v>320</v>
      </c>
      <c r="Q29" s="101" t="n">
        <f aca="false">SUMPRODUCT((Hipótesis!$D$48:$D$53&lt;=15)*(Hipótesis!$B$48:$B$53)*(Hipótesis!$F$48:$F$53))</f>
        <v>320</v>
      </c>
      <c r="R29" s="101" t="n">
        <f aca="false">SUMPRODUCT((Hipótesis!$D$48:$D$53&lt;=16)*(Hipótesis!$B$48:$B$53)*(Hipótesis!$F$48:$F$53))</f>
        <v>320</v>
      </c>
      <c r="S29" s="101" t="n">
        <f aca="false">SUMPRODUCT((Hipótesis!$D$48:$D$53&lt;=17)*(Hipótesis!$B$48:$B$53)*(Hipótesis!$F$48:$F$53))</f>
        <v>320</v>
      </c>
      <c r="T29" s="101" t="n">
        <f aca="false">SUMPRODUCT((Hipótesis!$D$48:$D$53&lt;=18)*(Hipótesis!$B$48:$B$53)*(Hipótesis!$F$48:$F$53))</f>
        <v>320</v>
      </c>
      <c r="U29" s="101" t="n">
        <f aca="false">SUMPRODUCT((Hipótesis!$D$48:$D$53&lt;=19)*(Hipótesis!$B$48:$B$53)*(Hipótesis!$F$48:$F$53))</f>
        <v>320</v>
      </c>
      <c r="V29" s="101" t="n">
        <f aca="false">SUMPRODUCT((Hipótesis!$D$48:$D$53&lt;=20)*(Hipótesis!$B$48:$B$53)*(Hipótesis!$F$48:$F$53))</f>
        <v>320</v>
      </c>
      <c r="W29" s="101" t="n">
        <f aca="false">SUMPRODUCT((Hipótesis!$D$48:$D$53&lt;=21)*(Hipótesis!$B$48:$B$53)*(Hipótesis!$F$48:$F$53))</f>
        <v>320</v>
      </c>
      <c r="X29" s="101" t="n">
        <f aca="false">SUMPRODUCT((Hipótesis!$D$48:$D$53&lt;=22)*(Hipótesis!$B$48:$B$53)*(Hipótesis!$F$48:$F$53))</f>
        <v>320</v>
      </c>
      <c r="Y29" s="101" t="n">
        <f aca="false">SUMPRODUCT((Hipótesis!$D$48:$D$53&lt;=23)*(Hipótesis!$B$48:$B$53)*(Hipótesis!$F$48:$F$53))</f>
        <v>320</v>
      </c>
      <c r="Z29" s="101" t="n">
        <f aca="false">SUMPRODUCT((Hipótesis!$D$48:$D$53&lt;=24)*(Hipótesis!$B$48:$B$53)*(Hipótesis!$F$48:$F$53))</f>
        <v>320</v>
      </c>
      <c r="AA29" s="101" t="n">
        <f aca="false">SUMPRODUCT((Hipótesis!$D$48:$D$53&lt;=25)*(Hipótesis!$B$48:$B$53)*(Hipótesis!$F$48:$F$53))</f>
        <v>320</v>
      </c>
      <c r="AB29" s="101" t="n">
        <f aca="false">SUMPRODUCT((Hipótesis!$D$48:$D$53&lt;=26)*(Hipótesis!$B$48:$B$53)*(Hipótesis!$F$48:$F$53))</f>
        <v>320</v>
      </c>
      <c r="AC29" s="101" t="n">
        <f aca="false">SUMPRODUCT((Hipótesis!$D$48:$D$53&lt;=27)*(Hipótesis!$B$48:$B$53)*(Hipótesis!$F$48:$F$53))</f>
        <v>320</v>
      </c>
      <c r="AD29" s="101" t="n">
        <f aca="false">SUMPRODUCT((Hipótesis!$D$48:$D$53&lt;=28)*(Hipótesis!$B$48:$B$53)*(Hipótesis!$F$48:$F$53))</f>
        <v>320</v>
      </c>
      <c r="AE29" s="101" t="n">
        <f aca="false">SUMPRODUCT((Hipótesis!$D$48:$D$53&lt;=29)*(Hipótesis!$B$48:$B$53)*(Hipótesis!$F$48:$F$53))</f>
        <v>320</v>
      </c>
      <c r="AF29" s="101" t="n">
        <f aca="false">SUMPRODUCT((Hipótesis!$D$48:$D$53&lt;=30)*(Hipótesis!$B$48:$B$53)*(Hipótesis!$F$48:$F$53))</f>
        <v>320</v>
      </c>
      <c r="AG29" s="101" t="n">
        <f aca="false">SUMPRODUCT((Hipótesis!$D$48:$D$53&lt;=31)*(Hipótesis!$B$48:$B$53)*(Hipótesis!$F$48:$F$53))</f>
        <v>320</v>
      </c>
      <c r="AH29" s="101" t="n">
        <f aca="false">SUMPRODUCT((Hipótesis!$D$48:$D$53&lt;=32)*(Hipótesis!$B$48:$B$53)*(Hipótesis!$F$48:$F$53))</f>
        <v>320</v>
      </c>
      <c r="AI29" s="101" t="n">
        <f aca="false">SUMPRODUCT((Hipótesis!$D$48:$D$53&lt;=33)*(Hipótesis!$B$48:$B$53)*(Hipótesis!$F$48:$F$53))</f>
        <v>320</v>
      </c>
      <c r="AJ29" s="101" t="n">
        <f aca="false">SUMPRODUCT((Hipótesis!$D$48:$D$53&lt;=34)*(Hipótesis!$B$48:$B$53)*(Hipótesis!$F$48:$F$53))</f>
        <v>320</v>
      </c>
      <c r="AK29" s="101" t="n">
        <f aca="false">SUMPRODUCT((Hipótesis!$D$48:$D$53&lt;=35)*(Hipótesis!$B$48:$B$53)*(Hipótesis!$F$48:$F$53))</f>
        <v>320</v>
      </c>
      <c r="AL29" s="101" t="n">
        <f aca="false">SUMPRODUCT((Hipótesis!$D$48:$D$53&lt;=36)*(Hipótesis!$B$48:$B$53)*(Hipótesis!$F$48:$F$53))</f>
        <v>320</v>
      </c>
      <c r="AM29" s="101" t="n">
        <f aca="false">SUMPRODUCT((Hipótesis!$D$48:$D$53&lt;=37)*(Hipótesis!$B$48:$B$53)*(Hipótesis!$F$48:$F$53))</f>
        <v>320</v>
      </c>
      <c r="AN29" s="101" t="n">
        <f aca="false">SUMPRODUCT((Hipótesis!$D$48:$D$53&lt;=38)*(Hipótesis!$B$48:$B$53)*(Hipótesis!$F$48:$F$53))</f>
        <v>320</v>
      </c>
      <c r="AO29" s="101" t="n">
        <f aca="false">SUMPRODUCT((Hipótesis!$D$48:$D$53&lt;=39)*(Hipótesis!$B$48:$B$53)*(Hipótesis!$F$48:$F$53))</f>
        <v>320</v>
      </c>
      <c r="AP29" s="101" t="n">
        <f aca="false">SUMPRODUCT((Hipótesis!$D$48:$D$53&lt;=40)*(Hipótesis!$B$48:$B$53)*(Hipótesis!$F$48:$F$53))</f>
        <v>320</v>
      </c>
      <c r="AQ29" s="101" t="n">
        <f aca="false">SUMPRODUCT((Hipótesis!$D$48:$D$53&lt;=41)*(Hipótesis!$B$48:$B$53)*(Hipótesis!$F$48:$F$53))</f>
        <v>320</v>
      </c>
      <c r="AR29" s="101" t="n">
        <f aca="false">SUMPRODUCT((Hipótesis!$D$48:$D$53&lt;=42)*(Hipótesis!$B$48:$B$53)*(Hipótesis!$F$48:$F$53))</f>
        <v>320</v>
      </c>
      <c r="AS29" s="101" t="n">
        <f aca="false">SUMPRODUCT((Hipótesis!$D$48:$D$53&lt;=43)*(Hipótesis!$B$48:$B$53)*(Hipótesis!$F$48:$F$53))</f>
        <v>320</v>
      </c>
      <c r="AT29" s="101" t="n">
        <f aca="false">SUMPRODUCT((Hipótesis!$D$48:$D$53&lt;=44)*(Hipótesis!$B$48:$B$53)*(Hipótesis!$F$48:$F$53))</f>
        <v>320</v>
      </c>
      <c r="AU29" s="101" t="n">
        <f aca="false">SUMPRODUCT((Hipótesis!$D$48:$D$53&lt;=45)*(Hipótesis!$B$48:$B$53)*(Hipótesis!$F$48:$F$53))</f>
        <v>320</v>
      </c>
      <c r="AV29" s="101" t="n">
        <f aca="false">SUMPRODUCT((Hipótesis!$D$48:$D$53&lt;=46)*(Hipótesis!$B$48:$B$53)*(Hipótesis!$F$48:$F$53))</f>
        <v>320</v>
      </c>
      <c r="AW29" s="101" t="n">
        <f aca="false">SUMPRODUCT((Hipótesis!$D$48:$D$53&lt;=47)*(Hipótesis!$B$48:$B$53)*(Hipótesis!$F$48:$F$53))</f>
        <v>320</v>
      </c>
      <c r="AX29" s="101" t="n">
        <f aca="false">SUMPRODUCT((Hipótesis!$D$48:$D$53&lt;=48)*(Hipótesis!$B$48:$B$53)*(Hipótesis!$F$48:$F$53))</f>
        <v>320</v>
      </c>
      <c r="AY29" s="101" t="n">
        <f aca="false">SUMPRODUCT((Hipótesis!$D$48:$D$53&lt;=49)*(Hipótesis!$B$48:$B$53)*(Hipótesis!$F$48:$F$53))</f>
        <v>320</v>
      </c>
      <c r="AZ29" s="101" t="n">
        <f aca="false">SUMPRODUCT((Hipótesis!$D$48:$D$53&lt;=50)*(Hipótesis!$B$48:$B$53)*(Hipótesis!$F$48:$F$53))</f>
        <v>320</v>
      </c>
      <c r="BA29" s="101" t="n">
        <f aca="false">SUMPRODUCT((Hipótesis!$D$48:$D$53&lt;=51)*(Hipótesis!$B$48:$B$53)*(Hipótesis!$F$48:$F$53))</f>
        <v>320</v>
      </c>
      <c r="BB29" s="101" t="n">
        <f aca="false">SUMPRODUCT((Hipótesis!$D$48:$D$53&lt;=52)*(Hipótesis!$B$48:$B$53)*(Hipótesis!$F$48:$F$53))</f>
        <v>320</v>
      </c>
      <c r="BC29" s="101" t="n">
        <f aca="false">SUMPRODUCT((Hipótesis!$D$48:$D$53&lt;=53)*(Hipótesis!$B$48:$B$53)*(Hipótesis!$F$48:$F$53))</f>
        <v>320</v>
      </c>
      <c r="BD29" s="101" t="n">
        <f aca="false">SUMPRODUCT((Hipótesis!$D$48:$D$53&lt;=54)*(Hipótesis!$B$48:$B$53)*(Hipótesis!$F$48:$F$53))</f>
        <v>320</v>
      </c>
      <c r="BE29" s="101" t="n">
        <f aca="false">SUMPRODUCT((Hipótesis!$D$48:$D$53&lt;=55)*(Hipótesis!$B$48:$B$53)*(Hipótesis!$F$48:$F$53))</f>
        <v>320</v>
      </c>
      <c r="BF29" s="101" t="n">
        <f aca="false">SUMPRODUCT((Hipótesis!$D$48:$D$53&lt;=56)*(Hipótesis!$B$48:$B$53)*(Hipótesis!$F$48:$F$53))</f>
        <v>320</v>
      </c>
      <c r="BG29" s="101" t="n">
        <f aca="false">SUMPRODUCT((Hipótesis!$D$48:$D$53&lt;=57)*(Hipótesis!$B$48:$B$53)*(Hipótesis!$F$48:$F$53))</f>
        <v>320</v>
      </c>
      <c r="BH29" s="101" t="n">
        <f aca="false">SUMPRODUCT((Hipótesis!$D$48:$D$53&lt;=58)*(Hipótesis!$B$48:$B$53)*(Hipótesis!$F$48:$F$53))</f>
        <v>320</v>
      </c>
      <c r="BI29" s="101" t="n">
        <f aca="false">SUMPRODUCT((Hipótesis!$D$48:$D$53&lt;=59)*(Hipótesis!$B$48:$B$53)*(Hipótesis!$F$48:$F$53))</f>
        <v>320</v>
      </c>
      <c r="BJ29" s="101" t="n">
        <f aca="false">SUMPRODUCT((Hipótesis!$D$48:$D$53&lt;=60)*(Hipótesis!$B$48:$B$53)*(Hipótesis!$F$48:$F$53))</f>
        <v>320</v>
      </c>
      <c r="BK29" s="101" t="n">
        <f aca="false">SUMPRODUCT((Hipótesis!$D$48:$D$53&lt;=61)*(Hipótesis!$B$48:$B$53)*(Hipótesis!$F$48:$F$53))</f>
        <v>320</v>
      </c>
      <c r="BL29" s="101" t="n">
        <f aca="false">SUMPRODUCT((Hipótesis!$D$48:$D$53&lt;=62)*(Hipótesis!$B$48:$B$53)*(Hipótesis!$F$48:$F$53))</f>
        <v>320</v>
      </c>
      <c r="BM29" s="101" t="n">
        <f aca="false">SUMPRODUCT((Hipótesis!$D$48:$D$53&lt;=63)*(Hipótesis!$B$48:$B$53)*(Hipótesis!$F$48:$F$53))</f>
        <v>320</v>
      </c>
      <c r="BN29" s="101" t="n">
        <f aca="false">SUMPRODUCT((Hipótesis!$D$48:$D$53&lt;=64)*(Hipótesis!$B$48:$B$53)*(Hipótesis!$F$48:$F$53))</f>
        <v>320</v>
      </c>
      <c r="BO29" s="101" t="n">
        <f aca="false">SUMPRODUCT((Hipótesis!$D$48:$D$53&lt;=65)*(Hipótesis!$B$48:$B$53)*(Hipótesis!$F$48:$F$53))</f>
        <v>320</v>
      </c>
      <c r="BP29" s="101" t="n">
        <f aca="false">SUMPRODUCT((Hipótesis!$D$48:$D$53&lt;=66)*(Hipótesis!$B$48:$B$53)*(Hipótesis!$F$48:$F$53))</f>
        <v>320</v>
      </c>
      <c r="BQ29" s="101" t="n">
        <f aca="false">SUMPRODUCT((Hipótesis!$D$48:$D$53&lt;=67)*(Hipótesis!$B$48:$B$53)*(Hipótesis!$F$48:$F$53))</f>
        <v>320</v>
      </c>
      <c r="BR29" s="101" t="n">
        <f aca="false">SUMPRODUCT((Hipótesis!$D$48:$D$53&lt;=68)*(Hipótesis!$B$48:$B$53)*(Hipótesis!$F$48:$F$53))</f>
        <v>320</v>
      </c>
      <c r="BS29" s="101" t="n">
        <f aca="false">SUMPRODUCT((Hipótesis!$D$48:$D$53&lt;=69)*(Hipótesis!$B$48:$B$53)*(Hipótesis!$F$48:$F$53))</f>
        <v>320</v>
      </c>
      <c r="BT29" s="101" t="n">
        <f aca="false">SUMPRODUCT((Hipótesis!$D$48:$D$53&lt;=70)*(Hipótesis!$B$48:$B$53)*(Hipótesis!$F$48:$F$53))</f>
        <v>320</v>
      </c>
      <c r="BU29" s="101" t="n">
        <f aca="false">SUMPRODUCT((Hipótesis!$D$48:$D$53&lt;=71)*(Hipótesis!$B$48:$B$53)*(Hipótesis!$F$48:$F$53))</f>
        <v>320</v>
      </c>
      <c r="BV29" s="101" t="n">
        <f aca="false">SUMPRODUCT((Hipótesis!$D$48:$D$53&lt;=72)*(Hipótesis!$B$48:$B$53)*(Hipótesis!$F$48:$F$53))</f>
        <v>320</v>
      </c>
      <c r="BW29" s="101" t="n">
        <f aca="false">SUMPRODUCT((Hipótesis!$D$48:$D$53&lt;=73)*(Hipótesis!$B$48:$B$53)*(Hipótesis!$F$48:$F$53))</f>
        <v>320</v>
      </c>
      <c r="BX29" s="101" t="n">
        <f aca="false">SUMPRODUCT((Hipótesis!$D$48:$D$53&lt;=74)*(Hipótesis!$B$48:$B$53)*(Hipótesis!$F$48:$F$53))</f>
        <v>320</v>
      </c>
      <c r="BY29" s="101" t="n">
        <f aca="false">SUMPRODUCT((Hipótesis!$D$48:$D$53&lt;=75)*(Hipótesis!$B$48:$B$53)*(Hipótesis!$F$48:$F$53))</f>
        <v>320</v>
      </c>
      <c r="BZ29" s="101" t="n">
        <f aca="false">SUMPRODUCT((Hipótesis!$D$48:$D$53&lt;=76)*(Hipótesis!$B$48:$B$53)*(Hipótesis!$F$48:$F$53))</f>
        <v>320</v>
      </c>
      <c r="CA29" s="101" t="n">
        <f aca="false">SUMPRODUCT((Hipótesis!$D$48:$D$53&lt;=77)*(Hipótesis!$B$48:$B$53)*(Hipótesis!$F$48:$F$53))</f>
        <v>320</v>
      </c>
      <c r="CB29" s="101" t="n">
        <f aca="false">SUMPRODUCT((Hipótesis!$D$48:$D$53&lt;=78)*(Hipótesis!$B$48:$B$53)*(Hipótesis!$F$48:$F$53))</f>
        <v>320</v>
      </c>
      <c r="CC29" s="101" t="n">
        <f aca="false">SUMPRODUCT((Hipótesis!$D$48:$D$53&lt;=79)*(Hipótesis!$B$48:$B$53)*(Hipótesis!$F$48:$F$53))</f>
        <v>320</v>
      </c>
      <c r="CD29" s="101" t="n">
        <f aca="false">SUMPRODUCT((Hipótesis!$D$48:$D$53&lt;=80)*(Hipótesis!$B$48:$B$53)*(Hipótesis!$F$48:$F$53))</f>
        <v>320</v>
      </c>
      <c r="CE29" s="101" t="n">
        <f aca="false">SUMPRODUCT((Hipótesis!$D$48:$D$53&lt;=81)*(Hipótesis!$B$48:$B$53)*(Hipótesis!$F$48:$F$53))</f>
        <v>320</v>
      </c>
      <c r="CF29" s="101" t="n">
        <f aca="false">SUMPRODUCT((Hipótesis!$D$48:$D$53&lt;=82)*(Hipótesis!$B$48:$B$53)*(Hipótesis!$F$48:$F$53))</f>
        <v>320</v>
      </c>
      <c r="CG29" s="101" t="n">
        <f aca="false">SUMPRODUCT((Hipótesis!$D$48:$D$53&lt;=83)*(Hipótesis!$B$48:$B$53)*(Hipótesis!$F$48:$F$53))</f>
        <v>320</v>
      </c>
      <c r="CH29" s="101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22" t="s">
        <v>508</v>
      </c>
      <c r="C30" s="101" t="n">
        <f aca="false">ROUNDUP(MAX(0,C28-C29)/Hipótesis!$D$63,0)</f>
        <v>0</v>
      </c>
      <c r="D30" s="101" t="n">
        <f aca="false">ROUNDUP(MAX(0,D28-D29)/Hipótesis!$D$63,0)</f>
        <v>0</v>
      </c>
      <c r="E30" s="101" t="n">
        <f aca="false">ROUNDUP(MAX(0,E28-E29)/Hipótesis!$D$63,0)</f>
        <v>0</v>
      </c>
      <c r="F30" s="101" t="n">
        <f aca="false">ROUNDUP(MAX(0,F28-F29)/Hipótesis!$D$63,0)</f>
        <v>0</v>
      </c>
      <c r="G30" s="101" t="n">
        <f aca="false">ROUNDUP(MAX(0,G28-G29)/Hipótesis!$D$63,0)</f>
        <v>0</v>
      </c>
      <c r="H30" s="101" t="n">
        <f aca="false">ROUNDUP(MAX(0,H28-H29)/Hipótesis!$D$63,0)</f>
        <v>0</v>
      </c>
      <c r="I30" s="101" t="n">
        <f aca="false">ROUNDUP(MAX(0,I28-I29)/Hipótesis!$D$63,0)</f>
        <v>0</v>
      </c>
      <c r="J30" s="101" t="n">
        <f aca="false">ROUNDUP(MAX(0,J28-J29)/Hipótesis!$D$63,0)</f>
        <v>0</v>
      </c>
      <c r="K30" s="101" t="n">
        <f aca="false">ROUNDUP(MAX(0,K28-K29)/Hipótesis!$D$63,0)</f>
        <v>0</v>
      </c>
      <c r="L30" s="101" t="n">
        <f aca="false">ROUNDUP(MAX(0,L28-L29)/Hipótesis!$D$63,0)</f>
        <v>0</v>
      </c>
      <c r="M30" s="101" t="n">
        <f aca="false">ROUNDUP(MAX(0,M28-M29)/Hipótesis!$D$63,0)</f>
        <v>0</v>
      </c>
      <c r="N30" s="101" t="n">
        <f aca="false">ROUNDUP(MAX(0,N28-N29)/Hipótesis!$D$63,0)</f>
        <v>0</v>
      </c>
      <c r="O30" s="101" t="n">
        <f aca="false">ROUNDUP(MAX(0,O28-O29)/Hipótesis!$D$63,0)</f>
        <v>0</v>
      </c>
      <c r="P30" s="101" t="n">
        <f aca="false">ROUNDUP(MAX(0,P28-P29)/Hipótesis!$D$63,0)</f>
        <v>0</v>
      </c>
      <c r="Q30" s="101" t="n">
        <f aca="false">ROUNDUP(MAX(0,Q28-Q29)/Hipótesis!$D$63,0)</f>
        <v>0</v>
      </c>
      <c r="R30" s="101" t="n">
        <f aca="false">ROUNDUP(MAX(0,R28-R29)/Hipótesis!$D$63,0)</f>
        <v>0</v>
      </c>
      <c r="S30" s="101" t="n">
        <f aca="false">ROUNDUP(MAX(0,S28-S29)/Hipótesis!$D$63,0)</f>
        <v>0</v>
      </c>
      <c r="T30" s="101" t="n">
        <f aca="false">ROUNDUP(MAX(0,T28-T29)/Hipótesis!$D$63,0)</f>
        <v>0</v>
      </c>
      <c r="U30" s="101" t="n">
        <f aca="false">ROUNDUP(MAX(0,U28-U29)/Hipótesis!$D$63,0)</f>
        <v>1</v>
      </c>
      <c r="V30" s="101" t="n">
        <f aca="false">ROUNDUP(MAX(0,V28-V29)/Hipótesis!$D$63,0)</f>
        <v>1</v>
      </c>
      <c r="W30" s="101" t="n">
        <f aca="false">ROUNDUP(MAX(0,W28-W29)/Hipótesis!$D$63,0)</f>
        <v>1</v>
      </c>
      <c r="X30" s="101" t="n">
        <f aca="false">ROUNDUP(MAX(0,X28-X29)/Hipótesis!$D$63,0)</f>
        <v>1</v>
      </c>
      <c r="Y30" s="101" t="n">
        <f aca="false">ROUNDUP(MAX(0,Y28-Y29)/Hipótesis!$D$63,0)</f>
        <v>1</v>
      </c>
      <c r="Z30" s="101" t="n">
        <f aca="false">ROUNDUP(MAX(0,Z28-Z29)/Hipótesis!$D$63,0)</f>
        <v>1</v>
      </c>
      <c r="AA30" s="101" t="n">
        <f aca="false">ROUNDUP(MAX(0,AA28-AA29)/Hipótesis!$D$63,0)</f>
        <v>1</v>
      </c>
      <c r="AB30" s="101" t="n">
        <f aca="false">ROUNDUP(MAX(0,AB28-AB29)/Hipótesis!$D$63,0)</f>
        <v>1</v>
      </c>
      <c r="AC30" s="101" t="n">
        <f aca="false">ROUNDUP(MAX(0,AC28-AC29)/Hipótesis!$D$63,0)</f>
        <v>1</v>
      </c>
      <c r="AD30" s="101" t="n">
        <f aca="false">ROUNDUP(MAX(0,AD28-AD29)/Hipótesis!$D$63,0)</f>
        <v>1</v>
      </c>
      <c r="AE30" s="101" t="n">
        <f aca="false">ROUNDUP(MAX(0,AE28-AE29)/Hipótesis!$D$63,0)</f>
        <v>1</v>
      </c>
      <c r="AF30" s="101" t="n">
        <f aca="false">ROUNDUP(MAX(0,AF28-AF29)/Hipótesis!$D$63,0)</f>
        <v>1</v>
      </c>
      <c r="AG30" s="101" t="n">
        <f aca="false">ROUNDUP(MAX(0,AG28-AG29)/Hipótesis!$D$63,0)</f>
        <v>1</v>
      </c>
      <c r="AH30" s="101" t="n">
        <f aca="false">ROUNDUP(MAX(0,AH28-AH29)/Hipótesis!$D$63,0)</f>
        <v>2</v>
      </c>
      <c r="AI30" s="101" t="n">
        <f aca="false">ROUNDUP(MAX(0,AI28-AI29)/Hipótesis!$D$63,0)</f>
        <v>2</v>
      </c>
      <c r="AJ30" s="101" t="n">
        <f aca="false">ROUNDUP(MAX(0,AJ28-AJ29)/Hipótesis!$D$63,0)</f>
        <v>2</v>
      </c>
      <c r="AK30" s="101" t="n">
        <f aca="false">ROUNDUP(MAX(0,AK28-AK29)/Hipótesis!$D$63,0)</f>
        <v>2</v>
      </c>
      <c r="AL30" s="101" t="n">
        <f aca="false">ROUNDUP(MAX(0,AL28-AL29)/Hipótesis!$D$63,0)</f>
        <v>2</v>
      </c>
      <c r="AM30" s="101" t="n">
        <f aca="false">ROUNDUP(MAX(0,AM28-AM29)/Hipótesis!$D$63,0)</f>
        <v>2</v>
      </c>
      <c r="AN30" s="101" t="n">
        <f aca="false">ROUNDUP(MAX(0,AN28-AN29)/Hipótesis!$D$63,0)</f>
        <v>2</v>
      </c>
      <c r="AO30" s="101" t="n">
        <f aca="false">ROUNDUP(MAX(0,AO28-AO29)/Hipótesis!$D$63,0)</f>
        <v>2</v>
      </c>
      <c r="AP30" s="101" t="n">
        <f aca="false">ROUNDUP(MAX(0,AP28-AP29)/Hipótesis!$D$63,0)</f>
        <v>2</v>
      </c>
      <c r="AQ30" s="101" t="n">
        <f aca="false">ROUNDUP(MAX(0,AQ28-AQ29)/Hipótesis!$D$63,0)</f>
        <v>2</v>
      </c>
      <c r="AR30" s="101" t="n">
        <f aca="false">ROUNDUP(MAX(0,AR28-AR29)/Hipótesis!$D$63,0)</f>
        <v>2</v>
      </c>
      <c r="AS30" s="101" t="n">
        <f aca="false">ROUNDUP(MAX(0,AS28-AS29)/Hipótesis!$D$63,0)</f>
        <v>2</v>
      </c>
      <c r="AT30" s="101" t="n">
        <f aca="false">ROUNDUP(MAX(0,AT28-AT29)/Hipótesis!$D$63,0)</f>
        <v>2</v>
      </c>
      <c r="AU30" s="101" t="n">
        <f aca="false">ROUNDUP(MAX(0,AU28-AU29)/Hipótesis!$D$63,0)</f>
        <v>2</v>
      </c>
      <c r="AV30" s="101" t="n">
        <f aca="false">ROUNDUP(MAX(0,AV28-AV29)/Hipótesis!$D$63,0)</f>
        <v>2</v>
      </c>
      <c r="AW30" s="101" t="n">
        <f aca="false">ROUNDUP(MAX(0,AW28-AW29)/Hipótesis!$D$63,0)</f>
        <v>2</v>
      </c>
      <c r="AX30" s="101" t="n">
        <f aca="false">ROUNDUP(MAX(0,AX28-AX29)/Hipótesis!$D$63,0)</f>
        <v>2</v>
      </c>
      <c r="AY30" s="101" t="n">
        <f aca="false">ROUNDUP(MAX(0,AY28-AY29)/Hipótesis!$D$63,0)</f>
        <v>2</v>
      </c>
      <c r="AZ30" s="101" t="n">
        <f aca="false">ROUNDUP(MAX(0,AZ28-AZ29)/Hipótesis!$D$63,0)</f>
        <v>2</v>
      </c>
      <c r="BA30" s="101" t="n">
        <f aca="false">ROUNDUP(MAX(0,BA28-BA29)/Hipótesis!$D$63,0)</f>
        <v>2</v>
      </c>
      <c r="BB30" s="101" t="n">
        <f aca="false">ROUNDUP(MAX(0,BB28-BB29)/Hipótesis!$D$63,0)</f>
        <v>2</v>
      </c>
      <c r="BC30" s="101" t="n">
        <f aca="false">ROUNDUP(MAX(0,BC28-BC29)/Hipótesis!$D$63,0)</f>
        <v>2</v>
      </c>
      <c r="BD30" s="101" t="n">
        <f aca="false">ROUNDUP(MAX(0,BD28-BD29)/Hipótesis!$D$63,0)</f>
        <v>2</v>
      </c>
      <c r="BE30" s="101" t="n">
        <f aca="false">ROUNDUP(MAX(0,BE28-BE29)/Hipótesis!$D$63,0)</f>
        <v>2</v>
      </c>
      <c r="BF30" s="101" t="n">
        <f aca="false">ROUNDUP(MAX(0,BF28-BF29)/Hipótesis!$D$63,0)</f>
        <v>2</v>
      </c>
      <c r="BG30" s="101" t="n">
        <f aca="false">ROUNDUP(MAX(0,BG28-BG29)/Hipótesis!$D$63,0)</f>
        <v>2</v>
      </c>
      <c r="BH30" s="101" t="n">
        <f aca="false">ROUNDUP(MAX(0,BH28-BH29)/Hipótesis!$D$63,0)</f>
        <v>2</v>
      </c>
      <c r="BI30" s="101" t="n">
        <f aca="false">ROUNDUP(MAX(0,BI28-BI29)/Hipótesis!$D$63,0)</f>
        <v>2</v>
      </c>
      <c r="BJ30" s="101" t="n">
        <f aca="false">ROUNDUP(MAX(0,BJ28-BJ29)/Hipótesis!$D$63,0)</f>
        <v>2</v>
      </c>
      <c r="BK30" s="101" t="n">
        <f aca="false">ROUNDUP(MAX(0,BK28-BK29)/Hipótesis!$D$63,0)</f>
        <v>2</v>
      </c>
      <c r="BL30" s="101" t="n">
        <f aca="false">ROUNDUP(MAX(0,BL28-BL29)/Hipótesis!$D$63,0)</f>
        <v>2</v>
      </c>
      <c r="BM30" s="101" t="n">
        <f aca="false">ROUNDUP(MAX(0,BM28-BM29)/Hipótesis!$D$63,0)</f>
        <v>2</v>
      </c>
      <c r="BN30" s="101" t="n">
        <f aca="false">ROUNDUP(MAX(0,BN28-BN29)/Hipótesis!$D$63,0)</f>
        <v>2</v>
      </c>
      <c r="BO30" s="101" t="n">
        <f aca="false">ROUNDUP(MAX(0,BO28-BO29)/Hipótesis!$D$63,0)</f>
        <v>2</v>
      </c>
      <c r="BP30" s="101" t="n">
        <f aca="false">ROUNDUP(MAX(0,BP28-BP29)/Hipótesis!$D$63,0)</f>
        <v>2</v>
      </c>
      <c r="BQ30" s="101" t="n">
        <f aca="false">ROUNDUP(MAX(0,BQ28-BQ29)/Hipótesis!$D$63,0)</f>
        <v>2</v>
      </c>
      <c r="BR30" s="101" t="n">
        <f aca="false">ROUNDUP(MAX(0,BR28-BR29)/Hipótesis!$D$63,0)</f>
        <v>2</v>
      </c>
      <c r="BS30" s="101" t="n">
        <f aca="false">ROUNDUP(MAX(0,BS28-BS29)/Hipótesis!$D$63,0)</f>
        <v>2</v>
      </c>
      <c r="BT30" s="101" t="n">
        <f aca="false">ROUNDUP(MAX(0,BT28-BT29)/Hipótesis!$D$63,0)</f>
        <v>2</v>
      </c>
      <c r="BU30" s="101" t="n">
        <f aca="false">ROUNDUP(MAX(0,BU28-BU29)/Hipótesis!$D$63,0)</f>
        <v>2</v>
      </c>
      <c r="BV30" s="101" t="n">
        <f aca="false">ROUNDUP(MAX(0,BV28-BV29)/Hipótesis!$D$63,0)</f>
        <v>2</v>
      </c>
      <c r="BW30" s="101" t="n">
        <f aca="false">ROUNDUP(MAX(0,BW28-BW29)/Hipótesis!$D$63,0)</f>
        <v>2</v>
      </c>
      <c r="BX30" s="101" t="n">
        <f aca="false">ROUNDUP(MAX(0,BX28-BX29)/Hipótesis!$D$63,0)</f>
        <v>2</v>
      </c>
      <c r="BY30" s="101" t="n">
        <f aca="false">ROUNDUP(MAX(0,BY28-BY29)/Hipótesis!$D$63,0)</f>
        <v>2</v>
      </c>
      <c r="BZ30" s="101" t="n">
        <f aca="false">ROUNDUP(MAX(0,BZ28-BZ29)/Hipótesis!$D$63,0)</f>
        <v>2</v>
      </c>
      <c r="CA30" s="101" t="n">
        <f aca="false">ROUNDUP(MAX(0,CA28-CA29)/Hipótesis!$D$63,0)</f>
        <v>2</v>
      </c>
      <c r="CB30" s="101" t="n">
        <f aca="false">ROUNDUP(MAX(0,CB28-CB29)/Hipótesis!$D$63,0)</f>
        <v>2</v>
      </c>
      <c r="CC30" s="101" t="n">
        <f aca="false">ROUNDUP(MAX(0,CC28-CC29)/Hipótesis!$D$63,0)</f>
        <v>2</v>
      </c>
      <c r="CD30" s="101" t="n">
        <f aca="false">ROUNDUP(MAX(0,CD28-CD29)/Hipótesis!$D$63,0)</f>
        <v>2</v>
      </c>
      <c r="CE30" s="101" t="n">
        <f aca="false">ROUNDUP(MAX(0,CE28-CE29)/Hipótesis!$D$63,0)</f>
        <v>2</v>
      </c>
      <c r="CF30" s="101" t="n">
        <f aca="false">ROUNDUP(MAX(0,CF28-CF29)/Hipótesis!$D$63,0)</f>
        <v>2</v>
      </c>
      <c r="CG30" s="101" t="n">
        <f aca="false">ROUNDUP(MAX(0,CG28-CG29)/Hipótesis!$D$63,0)</f>
        <v>2</v>
      </c>
      <c r="CH30" s="101" t="n">
        <f aca="false">ROUNDUP(MAX(0,CH28-CH29)/Hipótesis!$D$63,0)</f>
        <v>2</v>
      </c>
    </row>
    <row r="31" customFormat="false" ht="13.5" hidden="false" customHeight="true" outlineLevel="0" collapsed="false">
      <c r="A31" s="22" t="s">
        <v>509</v>
      </c>
      <c r="C31" s="101" t="n">
        <f aca="false">SUMPRODUCT((Hipótesis!$D$48:$D$53&lt;=1)*(Hipótesis!$B$48:$B$53))+C30</f>
        <v>4</v>
      </c>
      <c r="D31" s="101" t="n">
        <f aca="false">SUMPRODUCT((Hipótesis!$D$48:$D$53&lt;=2)*(Hipótesis!$B$48:$B$53))+D30</f>
        <v>4</v>
      </c>
      <c r="E31" s="101" t="n">
        <f aca="false">SUMPRODUCT((Hipótesis!$D$48:$D$53&lt;=3)*(Hipótesis!$B$48:$B$53))+E30</f>
        <v>4</v>
      </c>
      <c r="F31" s="101" t="n">
        <f aca="false">SUMPRODUCT((Hipótesis!$D$48:$D$53&lt;=4)*(Hipótesis!$B$48:$B$53))+F30</f>
        <v>4</v>
      </c>
      <c r="G31" s="101" t="n">
        <f aca="false">SUMPRODUCT((Hipótesis!$D$48:$D$53&lt;=5)*(Hipótesis!$B$48:$B$53))+G30</f>
        <v>4</v>
      </c>
      <c r="H31" s="101" t="n">
        <f aca="false">SUMPRODUCT((Hipótesis!$D$48:$D$53&lt;=6)*(Hipótesis!$B$48:$B$53))+H30</f>
        <v>4</v>
      </c>
      <c r="I31" s="101" t="n">
        <f aca="false">SUMPRODUCT((Hipótesis!$D$48:$D$53&lt;=7)*(Hipótesis!$B$48:$B$53))+I30</f>
        <v>4</v>
      </c>
      <c r="J31" s="101" t="n">
        <f aca="false">SUMPRODUCT((Hipótesis!$D$48:$D$53&lt;=8)*(Hipótesis!$B$48:$B$53))+J30</f>
        <v>4</v>
      </c>
      <c r="K31" s="101" t="n">
        <f aca="false">SUMPRODUCT((Hipótesis!$D$48:$D$53&lt;=9)*(Hipótesis!$B$48:$B$53))+K30</f>
        <v>4</v>
      </c>
      <c r="L31" s="101" t="n">
        <f aca="false">SUMPRODUCT((Hipótesis!$D$48:$D$53&lt;=10)*(Hipótesis!$B$48:$B$53))+L30</f>
        <v>4</v>
      </c>
      <c r="M31" s="101" t="n">
        <f aca="false">SUMPRODUCT((Hipótesis!$D$48:$D$53&lt;=11)*(Hipótesis!$B$48:$B$53))+M30</f>
        <v>4</v>
      </c>
      <c r="N31" s="101" t="n">
        <f aca="false">SUMPRODUCT((Hipótesis!$D$48:$D$53&lt;=12)*(Hipótesis!$B$48:$B$53))+N30</f>
        <v>4</v>
      </c>
      <c r="O31" s="101" t="n">
        <f aca="false">SUMPRODUCT((Hipótesis!$D$48:$D$53&lt;=13)*(Hipótesis!$B$48:$B$53))+O30</f>
        <v>4</v>
      </c>
      <c r="P31" s="101" t="n">
        <f aca="false">SUMPRODUCT((Hipótesis!$D$48:$D$53&lt;=14)*(Hipótesis!$B$48:$B$53))+P30</f>
        <v>4</v>
      </c>
      <c r="Q31" s="101" t="n">
        <f aca="false">SUMPRODUCT((Hipótesis!$D$48:$D$53&lt;=15)*(Hipótesis!$B$48:$B$53))+Q30</f>
        <v>4</v>
      </c>
      <c r="R31" s="101" t="n">
        <f aca="false">SUMPRODUCT((Hipótesis!$D$48:$D$53&lt;=16)*(Hipótesis!$B$48:$B$53))+R30</f>
        <v>4</v>
      </c>
      <c r="S31" s="101" t="n">
        <f aca="false">SUMPRODUCT((Hipótesis!$D$48:$D$53&lt;=17)*(Hipótesis!$B$48:$B$53))+S30</f>
        <v>4</v>
      </c>
      <c r="T31" s="101" t="n">
        <f aca="false">SUMPRODUCT((Hipótesis!$D$48:$D$53&lt;=18)*(Hipótesis!$B$48:$B$53))+T30</f>
        <v>4</v>
      </c>
      <c r="U31" s="101" t="n">
        <f aca="false">SUMPRODUCT((Hipótesis!$D$48:$D$53&lt;=19)*(Hipótesis!$B$48:$B$53))+U30</f>
        <v>5</v>
      </c>
      <c r="V31" s="101" t="n">
        <f aca="false">SUMPRODUCT((Hipótesis!$D$48:$D$53&lt;=20)*(Hipótesis!$B$48:$B$53))+V30</f>
        <v>6</v>
      </c>
      <c r="W31" s="101" t="n">
        <f aca="false">SUMPRODUCT((Hipótesis!$D$48:$D$53&lt;=21)*(Hipótesis!$B$48:$B$53))+W30</f>
        <v>6</v>
      </c>
      <c r="X31" s="101" t="n">
        <f aca="false">SUMPRODUCT((Hipótesis!$D$48:$D$53&lt;=22)*(Hipótesis!$B$48:$B$53))+X30</f>
        <v>6</v>
      </c>
      <c r="Y31" s="101" t="n">
        <f aca="false">SUMPRODUCT((Hipótesis!$D$48:$D$53&lt;=23)*(Hipótesis!$B$48:$B$53))+Y30</f>
        <v>6</v>
      </c>
      <c r="Z31" s="101" t="n">
        <f aca="false">SUMPRODUCT((Hipótesis!$D$48:$D$53&lt;=24)*(Hipótesis!$B$48:$B$53))+Z30</f>
        <v>6</v>
      </c>
      <c r="AA31" s="101" t="n">
        <f aca="false">SUMPRODUCT((Hipótesis!$D$48:$D$53&lt;=25)*(Hipótesis!$B$48:$B$53))+AA30</f>
        <v>6</v>
      </c>
      <c r="AB31" s="101" t="n">
        <f aca="false">SUMPRODUCT((Hipótesis!$D$48:$D$53&lt;=26)*(Hipótesis!$B$48:$B$53))+AB30</f>
        <v>6</v>
      </c>
      <c r="AC31" s="101" t="n">
        <f aca="false">SUMPRODUCT((Hipótesis!$D$48:$D$53&lt;=27)*(Hipótesis!$B$48:$B$53))+AC30</f>
        <v>6</v>
      </c>
      <c r="AD31" s="101" t="n">
        <f aca="false">SUMPRODUCT((Hipótesis!$D$48:$D$53&lt;=28)*(Hipótesis!$B$48:$B$53))+AD30</f>
        <v>6</v>
      </c>
      <c r="AE31" s="101" t="n">
        <f aca="false">SUMPRODUCT((Hipótesis!$D$48:$D$53&lt;=29)*(Hipótesis!$B$48:$B$53))+AE30</f>
        <v>6</v>
      </c>
      <c r="AF31" s="101" t="n">
        <f aca="false">SUMPRODUCT((Hipótesis!$D$48:$D$53&lt;=30)*(Hipótesis!$B$48:$B$53))+AF30</f>
        <v>6</v>
      </c>
      <c r="AG31" s="101" t="n">
        <f aca="false">SUMPRODUCT((Hipótesis!$D$48:$D$53&lt;=31)*(Hipótesis!$B$48:$B$53))+AG30</f>
        <v>6</v>
      </c>
      <c r="AH31" s="101" t="n">
        <f aca="false">SUMPRODUCT((Hipótesis!$D$48:$D$53&lt;=32)*(Hipótesis!$B$48:$B$53))+AH30</f>
        <v>7</v>
      </c>
      <c r="AI31" s="101" t="n">
        <f aca="false">SUMPRODUCT((Hipótesis!$D$48:$D$53&lt;=33)*(Hipótesis!$B$48:$B$53))+AI30</f>
        <v>7</v>
      </c>
      <c r="AJ31" s="101" t="n">
        <f aca="false">SUMPRODUCT((Hipótesis!$D$48:$D$53&lt;=34)*(Hipótesis!$B$48:$B$53))+AJ30</f>
        <v>7</v>
      </c>
      <c r="AK31" s="101" t="n">
        <f aca="false">SUMPRODUCT((Hipótesis!$D$48:$D$53&lt;=35)*(Hipótesis!$B$48:$B$53))+AK30</f>
        <v>7</v>
      </c>
      <c r="AL31" s="101" t="n">
        <f aca="false">SUMPRODUCT((Hipótesis!$D$48:$D$53&lt;=36)*(Hipótesis!$B$48:$B$53))+AL30</f>
        <v>7</v>
      </c>
      <c r="AM31" s="101" t="n">
        <f aca="false">SUMPRODUCT((Hipótesis!$D$48:$D$53&lt;=37)*(Hipótesis!$B$48:$B$53))+AM30</f>
        <v>7</v>
      </c>
      <c r="AN31" s="101" t="n">
        <f aca="false">SUMPRODUCT((Hipótesis!$D$48:$D$53&lt;=38)*(Hipótesis!$B$48:$B$53))+AN30</f>
        <v>7</v>
      </c>
      <c r="AO31" s="101" t="n">
        <f aca="false">SUMPRODUCT((Hipótesis!$D$48:$D$53&lt;=39)*(Hipótesis!$B$48:$B$53))+AO30</f>
        <v>7</v>
      </c>
      <c r="AP31" s="101" t="n">
        <f aca="false">SUMPRODUCT((Hipótesis!$D$48:$D$53&lt;=40)*(Hipótesis!$B$48:$B$53))+AP30</f>
        <v>7</v>
      </c>
      <c r="AQ31" s="101" t="n">
        <f aca="false">SUMPRODUCT((Hipótesis!$D$48:$D$53&lt;=41)*(Hipótesis!$B$48:$B$53))+AQ30</f>
        <v>7</v>
      </c>
      <c r="AR31" s="101" t="n">
        <f aca="false">SUMPRODUCT((Hipótesis!$D$48:$D$53&lt;=42)*(Hipótesis!$B$48:$B$53))+AR30</f>
        <v>7</v>
      </c>
      <c r="AS31" s="101" t="n">
        <f aca="false">SUMPRODUCT((Hipótesis!$D$48:$D$53&lt;=43)*(Hipótesis!$B$48:$B$53))+AS30</f>
        <v>7</v>
      </c>
      <c r="AT31" s="101" t="n">
        <f aca="false">SUMPRODUCT((Hipótesis!$D$48:$D$53&lt;=44)*(Hipótesis!$B$48:$B$53))+AT30</f>
        <v>7</v>
      </c>
      <c r="AU31" s="101" t="n">
        <f aca="false">SUMPRODUCT((Hipótesis!$D$48:$D$53&lt;=45)*(Hipótesis!$B$48:$B$53))+AU30</f>
        <v>7</v>
      </c>
      <c r="AV31" s="101" t="n">
        <f aca="false">SUMPRODUCT((Hipótesis!$D$48:$D$53&lt;=46)*(Hipótesis!$B$48:$B$53))+AV30</f>
        <v>7</v>
      </c>
      <c r="AW31" s="101" t="n">
        <f aca="false">SUMPRODUCT((Hipótesis!$D$48:$D$53&lt;=47)*(Hipótesis!$B$48:$B$53))+AW30</f>
        <v>7</v>
      </c>
      <c r="AX31" s="101" t="n">
        <f aca="false">SUMPRODUCT((Hipótesis!$D$48:$D$53&lt;=48)*(Hipótesis!$B$48:$B$53))+AX30</f>
        <v>7</v>
      </c>
      <c r="AY31" s="101" t="n">
        <f aca="false">SUMPRODUCT((Hipótesis!$D$48:$D$53&lt;=49)*(Hipótesis!$B$48:$B$53))+AY30</f>
        <v>7</v>
      </c>
      <c r="AZ31" s="101" t="n">
        <f aca="false">SUMPRODUCT((Hipótesis!$D$48:$D$53&lt;=50)*(Hipótesis!$B$48:$B$53))+AZ30</f>
        <v>7</v>
      </c>
      <c r="BA31" s="101" t="n">
        <f aca="false">SUMPRODUCT((Hipótesis!$D$48:$D$53&lt;=51)*(Hipótesis!$B$48:$B$53))+BA30</f>
        <v>7</v>
      </c>
      <c r="BB31" s="101" t="n">
        <f aca="false">SUMPRODUCT((Hipótesis!$D$48:$D$53&lt;=52)*(Hipótesis!$B$48:$B$53))+BB30</f>
        <v>7</v>
      </c>
      <c r="BC31" s="101" t="n">
        <f aca="false">SUMPRODUCT((Hipótesis!$D$48:$D$53&lt;=53)*(Hipótesis!$B$48:$B$53))+BC30</f>
        <v>7</v>
      </c>
      <c r="BD31" s="101" t="n">
        <f aca="false">SUMPRODUCT((Hipótesis!$D$48:$D$53&lt;=54)*(Hipótesis!$B$48:$B$53))+BD30</f>
        <v>7</v>
      </c>
      <c r="BE31" s="101" t="n">
        <f aca="false">SUMPRODUCT((Hipótesis!$D$48:$D$53&lt;=55)*(Hipótesis!$B$48:$B$53))+BE30</f>
        <v>7</v>
      </c>
      <c r="BF31" s="101" t="n">
        <f aca="false">SUMPRODUCT((Hipótesis!$D$48:$D$53&lt;=56)*(Hipótesis!$B$48:$B$53))+BF30</f>
        <v>7</v>
      </c>
      <c r="BG31" s="101" t="n">
        <f aca="false">SUMPRODUCT((Hipótesis!$D$48:$D$53&lt;=57)*(Hipótesis!$B$48:$B$53))+BG30</f>
        <v>7</v>
      </c>
      <c r="BH31" s="101" t="n">
        <f aca="false">SUMPRODUCT((Hipótesis!$D$48:$D$53&lt;=58)*(Hipótesis!$B$48:$B$53))+BH30</f>
        <v>7</v>
      </c>
      <c r="BI31" s="101" t="n">
        <f aca="false">SUMPRODUCT((Hipótesis!$D$48:$D$53&lt;=59)*(Hipótesis!$B$48:$B$53))+BI30</f>
        <v>7</v>
      </c>
      <c r="BJ31" s="101" t="n">
        <f aca="false">SUMPRODUCT((Hipótesis!$D$48:$D$53&lt;=60)*(Hipótesis!$B$48:$B$53))+BJ30</f>
        <v>7</v>
      </c>
      <c r="BK31" s="101" t="n">
        <f aca="false">SUMPRODUCT((Hipótesis!$D$48:$D$53&lt;=61)*(Hipótesis!$B$48:$B$53))+BK30</f>
        <v>7</v>
      </c>
      <c r="BL31" s="101" t="n">
        <f aca="false">SUMPRODUCT((Hipótesis!$D$48:$D$53&lt;=62)*(Hipótesis!$B$48:$B$53))+BL30</f>
        <v>7</v>
      </c>
      <c r="BM31" s="101" t="n">
        <f aca="false">SUMPRODUCT((Hipótesis!$D$48:$D$53&lt;=63)*(Hipótesis!$B$48:$B$53))+BM30</f>
        <v>7</v>
      </c>
      <c r="BN31" s="101" t="n">
        <f aca="false">SUMPRODUCT((Hipótesis!$D$48:$D$53&lt;=64)*(Hipótesis!$B$48:$B$53))+BN30</f>
        <v>7</v>
      </c>
      <c r="BO31" s="101" t="n">
        <f aca="false">SUMPRODUCT((Hipótesis!$D$48:$D$53&lt;=65)*(Hipótesis!$B$48:$B$53))+BO30</f>
        <v>7</v>
      </c>
      <c r="BP31" s="101" t="n">
        <f aca="false">SUMPRODUCT((Hipótesis!$D$48:$D$53&lt;=66)*(Hipótesis!$B$48:$B$53))+BP30</f>
        <v>7</v>
      </c>
      <c r="BQ31" s="101" t="n">
        <f aca="false">SUMPRODUCT((Hipótesis!$D$48:$D$53&lt;=67)*(Hipótesis!$B$48:$B$53))+BQ30</f>
        <v>7</v>
      </c>
      <c r="BR31" s="101" t="n">
        <f aca="false">SUMPRODUCT((Hipótesis!$D$48:$D$53&lt;=68)*(Hipótesis!$B$48:$B$53))+BR30</f>
        <v>7</v>
      </c>
      <c r="BS31" s="101" t="n">
        <f aca="false">SUMPRODUCT((Hipótesis!$D$48:$D$53&lt;=69)*(Hipótesis!$B$48:$B$53))+BS30</f>
        <v>7</v>
      </c>
      <c r="BT31" s="101" t="n">
        <f aca="false">SUMPRODUCT((Hipótesis!$D$48:$D$53&lt;=70)*(Hipótesis!$B$48:$B$53))+BT30</f>
        <v>7</v>
      </c>
      <c r="BU31" s="101" t="n">
        <f aca="false">SUMPRODUCT((Hipótesis!$D$48:$D$53&lt;=71)*(Hipótesis!$B$48:$B$53))+BU30</f>
        <v>7</v>
      </c>
      <c r="BV31" s="101" t="n">
        <f aca="false">SUMPRODUCT((Hipótesis!$D$48:$D$53&lt;=72)*(Hipótesis!$B$48:$B$53))+BV30</f>
        <v>7</v>
      </c>
      <c r="BW31" s="101" t="n">
        <f aca="false">SUMPRODUCT((Hipótesis!$D$48:$D$53&lt;=73)*(Hipótesis!$B$48:$B$53))+BW30</f>
        <v>7</v>
      </c>
      <c r="BX31" s="101" t="n">
        <f aca="false">SUMPRODUCT((Hipótesis!$D$48:$D$53&lt;=74)*(Hipótesis!$B$48:$B$53))+BX30</f>
        <v>7</v>
      </c>
      <c r="BY31" s="101" t="n">
        <f aca="false">SUMPRODUCT((Hipótesis!$D$48:$D$53&lt;=75)*(Hipótesis!$B$48:$B$53))+BY30</f>
        <v>7</v>
      </c>
      <c r="BZ31" s="101" t="n">
        <f aca="false">SUMPRODUCT((Hipótesis!$D$48:$D$53&lt;=76)*(Hipótesis!$B$48:$B$53))+BZ30</f>
        <v>7</v>
      </c>
      <c r="CA31" s="101" t="n">
        <f aca="false">SUMPRODUCT((Hipótesis!$D$48:$D$53&lt;=77)*(Hipótesis!$B$48:$B$53))+CA30</f>
        <v>7</v>
      </c>
      <c r="CB31" s="101" t="n">
        <f aca="false">SUMPRODUCT((Hipótesis!$D$48:$D$53&lt;=78)*(Hipótesis!$B$48:$B$53))+CB30</f>
        <v>7</v>
      </c>
      <c r="CC31" s="101" t="n">
        <f aca="false">SUMPRODUCT((Hipótesis!$D$48:$D$53&lt;=79)*(Hipótesis!$B$48:$B$53))+CC30</f>
        <v>7</v>
      </c>
      <c r="CD31" s="101" t="n">
        <f aca="false">SUMPRODUCT((Hipótesis!$D$48:$D$53&lt;=80)*(Hipótesis!$B$48:$B$53))+CD30</f>
        <v>7</v>
      </c>
      <c r="CE31" s="101" t="n">
        <f aca="false">SUMPRODUCT((Hipótesis!$D$48:$D$53&lt;=81)*(Hipótesis!$B$48:$B$53))+CE30</f>
        <v>7</v>
      </c>
      <c r="CF31" s="101" t="n">
        <f aca="false">SUMPRODUCT((Hipótesis!$D$48:$D$53&lt;=82)*(Hipótesis!$B$48:$B$53))+CF30</f>
        <v>7</v>
      </c>
      <c r="CG31" s="101" t="n">
        <f aca="false">SUMPRODUCT((Hipótesis!$D$48:$D$53&lt;=83)*(Hipótesis!$B$48:$B$53))+CG30</f>
        <v>7</v>
      </c>
      <c r="CH31" s="101" t="n">
        <f aca="false">SUMPRODUCT((Hipótesis!$D$48:$D$53&lt;=84)*(Hipótesis!$B$48:$B$53))+CH30</f>
        <v>7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9" t="s">
        <v>510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</row>
    <row r="34" customFormat="false" ht="13.5" hidden="false" customHeight="true" outlineLevel="0" collapsed="false">
      <c r="A34" s="6" t="s">
        <v>511</v>
      </c>
      <c r="C34" s="100" t="n">
        <f aca="false">C16*C21*Hipótesis!$E$16</f>
        <v>1357.52625</v>
      </c>
      <c r="D34" s="100" t="n">
        <f aca="false">D16*D21*Hipótesis!$E$16</f>
        <v>2820.7575</v>
      </c>
      <c r="E34" s="100" t="n">
        <f aca="false">E16*E21*Hipótesis!$E$16</f>
        <v>5875.06921875</v>
      </c>
      <c r="F34" s="100" t="n">
        <f aca="false">F16*F21*Hipótesis!$E$16</f>
        <v>7571.8546875</v>
      </c>
      <c r="G34" s="100" t="n">
        <f aca="false">G16*G21*Hipótesis!$E$16</f>
        <v>9162.93515625</v>
      </c>
      <c r="H34" s="100" t="n">
        <f aca="false">H16*H21*Hipótesis!$E$16</f>
        <v>11722.978125</v>
      </c>
      <c r="I34" s="100" t="n">
        <f aca="false">I16*I21*Hipótesis!$E$16</f>
        <v>14283.02109375</v>
      </c>
      <c r="J34" s="100" t="n">
        <f aca="false">J16*J21*Hipótesis!$E$16</f>
        <v>16843.0640625</v>
      </c>
      <c r="K34" s="100" t="n">
        <f aca="false">K16*K21*Hipótesis!$E$16</f>
        <v>19403.10703125</v>
      </c>
      <c r="L34" s="100" t="n">
        <f aca="false">L16*L21*Hipótesis!$E$16</f>
        <v>21963.15</v>
      </c>
      <c r="M34" s="100" t="n">
        <f aca="false">M16*M21*Hipótesis!$E$16</f>
        <v>22932.1125</v>
      </c>
      <c r="N34" s="100" t="n">
        <f aca="false">N16*N21*Hipótesis!$E$16</f>
        <v>25222.3875</v>
      </c>
      <c r="O34" s="100" t="n">
        <f aca="false">O16*O21*Hipótesis!$E$16</f>
        <v>27512.6625</v>
      </c>
      <c r="P34" s="100" t="n">
        <f aca="false">P16*P21*Hipótesis!$E$16</f>
        <v>29327.265</v>
      </c>
      <c r="Q34" s="100" t="n">
        <f aca="false">Q16*Q21*Hipótesis!$E$16</f>
        <v>31141.8675</v>
      </c>
      <c r="R34" s="100" t="n">
        <f aca="false">R16*R21*Hipótesis!$E$16</f>
        <v>32956.47</v>
      </c>
      <c r="S34" s="100" t="n">
        <f aca="false">S16*S21*Hipótesis!$E$16</f>
        <v>34771.0725</v>
      </c>
      <c r="T34" s="100" t="n">
        <f aca="false">T16*T21*Hipótesis!$E$16</f>
        <v>36585.675</v>
      </c>
      <c r="U34" s="100" t="n">
        <f aca="false">U16*U21*Hipótesis!$E$16</f>
        <v>38400.2775</v>
      </c>
      <c r="V34" s="100" t="n">
        <f aca="false">V16*V21*Hipótesis!$E$16</f>
        <v>40214.88</v>
      </c>
      <c r="W34" s="100" t="n">
        <f aca="false">W16*W21*Hipótesis!$E$16</f>
        <v>42029.4825</v>
      </c>
      <c r="X34" s="100" t="n">
        <f aca="false">X16*X21*Hipótesis!$E$16</f>
        <v>42522.7725</v>
      </c>
      <c r="Y34" s="100" t="n">
        <f aca="false">Y16*Y21*Hipótesis!$E$16</f>
        <v>43016.0625</v>
      </c>
      <c r="Z34" s="100" t="n">
        <f aca="false">Z16*Z21*Hipótesis!$E$16</f>
        <v>43016.0625</v>
      </c>
      <c r="AA34" s="100" t="n">
        <f aca="false">AA16*AA21*Hipótesis!$E$16</f>
        <v>43016.0625</v>
      </c>
      <c r="AB34" s="100" t="n">
        <f aca="false">AB16*AB21*Hipótesis!$E$16</f>
        <v>43016.0625</v>
      </c>
      <c r="AC34" s="100" t="n">
        <f aca="false">AC16*AC21*Hipótesis!$E$16</f>
        <v>43016.0625</v>
      </c>
      <c r="AD34" s="100" t="n">
        <f aca="false">AD16*AD21*Hipótesis!$E$16</f>
        <v>43016.0625</v>
      </c>
      <c r="AE34" s="100" t="n">
        <f aca="false">AE16*AE21*Hipótesis!$E$16</f>
        <v>43016.0625</v>
      </c>
      <c r="AF34" s="100" t="n">
        <f aca="false">AF16*AF21*Hipótesis!$E$16</f>
        <v>43016.0625</v>
      </c>
      <c r="AG34" s="100" t="n">
        <f aca="false">AG16*AG21*Hipótesis!$E$16</f>
        <v>43016.0625</v>
      </c>
      <c r="AH34" s="100" t="n">
        <f aca="false">AH16*AH21*Hipótesis!$E$16</f>
        <v>43016.0625</v>
      </c>
      <c r="AI34" s="100" t="n">
        <f aca="false">AI16*AI21*Hipótesis!$E$16</f>
        <v>43016.0625</v>
      </c>
      <c r="AJ34" s="100" t="n">
        <f aca="false">AJ16*AJ21*Hipótesis!$E$16</f>
        <v>43016.0625</v>
      </c>
      <c r="AK34" s="100" t="n">
        <f aca="false">AK16*AK21*Hipótesis!$E$16</f>
        <v>43016.0625</v>
      </c>
      <c r="AL34" s="100" t="n">
        <f aca="false">AL16*AL21*Hipótesis!$E$16</f>
        <v>43016.0625</v>
      </c>
      <c r="AM34" s="100" t="n">
        <f aca="false">AM16*AM21*Hipótesis!$E$16</f>
        <v>43016.0625</v>
      </c>
      <c r="AN34" s="100" t="n">
        <f aca="false">AN16*AN21*Hipótesis!$E$16</f>
        <v>43016.0625</v>
      </c>
      <c r="AO34" s="100" t="n">
        <f aca="false">AO16*AO21*Hipótesis!$E$16</f>
        <v>43016.0625</v>
      </c>
      <c r="AP34" s="100" t="n">
        <f aca="false">AP16*AP21*Hipótesis!$E$16</f>
        <v>43016.0625</v>
      </c>
      <c r="AQ34" s="100" t="n">
        <f aca="false">AQ16*AQ21*Hipótesis!$E$16</f>
        <v>43016.0625</v>
      </c>
      <c r="AR34" s="100" t="n">
        <f aca="false">AR16*AR21*Hipótesis!$E$16</f>
        <v>43016.0625</v>
      </c>
      <c r="AS34" s="100" t="n">
        <f aca="false">AS16*AS21*Hipótesis!$E$16</f>
        <v>43016.0625</v>
      </c>
      <c r="AT34" s="100" t="n">
        <f aca="false">AT16*AT21*Hipótesis!$E$16</f>
        <v>43016.0625</v>
      </c>
      <c r="AU34" s="100" t="n">
        <f aca="false">AU16*AU21*Hipótesis!$E$16</f>
        <v>43016.0625</v>
      </c>
      <c r="AV34" s="100" t="n">
        <f aca="false">AV16*AV21*Hipótesis!$E$16</f>
        <v>43016.0625</v>
      </c>
      <c r="AW34" s="100" t="n">
        <f aca="false">AW16*AW21*Hipótesis!$E$16</f>
        <v>43016.0625</v>
      </c>
      <c r="AX34" s="100" t="n">
        <f aca="false">AX16*AX21*Hipótesis!$E$16</f>
        <v>43016.0625</v>
      </c>
      <c r="AY34" s="100" t="n">
        <f aca="false">AY16*AY21*Hipótesis!$E$16</f>
        <v>43016.0625</v>
      </c>
      <c r="AZ34" s="100" t="n">
        <f aca="false">AZ16*AZ21*Hipótesis!$E$16</f>
        <v>43016.0625</v>
      </c>
      <c r="BA34" s="100" t="n">
        <f aca="false">BA16*BA21*Hipótesis!$E$16</f>
        <v>43016.0625</v>
      </c>
      <c r="BB34" s="100" t="n">
        <f aca="false">BB16*BB21*Hipótesis!$E$16</f>
        <v>43016.0625</v>
      </c>
      <c r="BC34" s="100" t="n">
        <f aca="false">BC16*BC21*Hipótesis!$E$16</f>
        <v>43016.0625</v>
      </c>
      <c r="BD34" s="100" t="n">
        <f aca="false">BD16*BD21*Hipótesis!$E$16</f>
        <v>43016.0625</v>
      </c>
      <c r="BE34" s="100" t="n">
        <f aca="false">BE16*BE21*Hipótesis!$E$16</f>
        <v>43016.0625</v>
      </c>
      <c r="BF34" s="100" t="n">
        <f aca="false">BF16*BF21*Hipótesis!$E$16</f>
        <v>43016.0625</v>
      </c>
      <c r="BG34" s="100" t="n">
        <f aca="false">BG16*BG21*Hipótesis!$E$16</f>
        <v>43016.0625</v>
      </c>
      <c r="BH34" s="100" t="n">
        <f aca="false">BH16*BH21*Hipótesis!$E$16</f>
        <v>43016.0625</v>
      </c>
      <c r="BI34" s="100" t="n">
        <f aca="false">BI16*BI21*Hipótesis!$E$16</f>
        <v>43016.0625</v>
      </c>
      <c r="BJ34" s="100" t="n">
        <f aca="false">BJ16*BJ21*Hipótesis!$E$16</f>
        <v>43016.0625</v>
      </c>
      <c r="BK34" s="100" t="n">
        <f aca="false">BK16*BK21*Hipótesis!$E$16</f>
        <v>43016.0625</v>
      </c>
      <c r="BL34" s="100" t="n">
        <f aca="false">BL16*BL21*Hipótesis!$E$16</f>
        <v>43016.0625</v>
      </c>
      <c r="BM34" s="100" t="n">
        <f aca="false">BM16*BM21*Hipótesis!$E$16</f>
        <v>43016.0625</v>
      </c>
      <c r="BN34" s="100" t="n">
        <f aca="false">BN16*BN21*Hipótesis!$E$16</f>
        <v>43016.0625</v>
      </c>
      <c r="BO34" s="100" t="n">
        <f aca="false">BO16*BO21*Hipótesis!$E$16</f>
        <v>43016.0625</v>
      </c>
      <c r="BP34" s="100" t="n">
        <f aca="false">BP16*BP21*Hipótesis!$E$16</f>
        <v>43016.0625</v>
      </c>
      <c r="BQ34" s="100" t="n">
        <f aca="false">BQ16*BQ21*Hipótesis!$E$16</f>
        <v>43016.0625</v>
      </c>
      <c r="BR34" s="100" t="n">
        <f aca="false">BR16*BR21*Hipótesis!$E$16</f>
        <v>43016.0625</v>
      </c>
      <c r="BS34" s="100" t="n">
        <f aca="false">BS16*BS21*Hipótesis!$E$16</f>
        <v>43016.0625</v>
      </c>
      <c r="BT34" s="100" t="n">
        <f aca="false">BT16*BT21*Hipótesis!$E$16</f>
        <v>43016.0625</v>
      </c>
      <c r="BU34" s="100" t="n">
        <f aca="false">BU16*BU21*Hipótesis!$E$16</f>
        <v>43016.0625</v>
      </c>
      <c r="BV34" s="100" t="n">
        <f aca="false">BV16*BV21*Hipótesis!$E$16</f>
        <v>43016.0625</v>
      </c>
      <c r="BW34" s="100" t="n">
        <f aca="false">BW16*BW21*Hipótesis!$E$16</f>
        <v>43016.0625</v>
      </c>
      <c r="BX34" s="100" t="n">
        <f aca="false">BX16*BX21*Hipótesis!$E$16</f>
        <v>43016.0625</v>
      </c>
      <c r="BY34" s="100" t="n">
        <f aca="false">BY16*BY21*Hipótesis!$E$16</f>
        <v>43016.0625</v>
      </c>
      <c r="BZ34" s="100" t="n">
        <f aca="false">BZ16*BZ21*Hipótesis!$E$16</f>
        <v>43016.0625</v>
      </c>
      <c r="CA34" s="100" t="n">
        <f aca="false">CA16*CA21*Hipótesis!$E$16</f>
        <v>43016.0625</v>
      </c>
      <c r="CB34" s="100" t="n">
        <f aca="false">CB16*CB21*Hipótesis!$E$16</f>
        <v>43016.0625</v>
      </c>
      <c r="CC34" s="100" t="n">
        <f aca="false">CC16*CC21*Hipótesis!$E$16</f>
        <v>43016.0625</v>
      </c>
      <c r="CD34" s="100" t="n">
        <f aca="false">CD16*CD21*Hipótesis!$E$16</f>
        <v>43016.0625</v>
      </c>
      <c r="CE34" s="100" t="n">
        <f aca="false">CE16*CE21*Hipótesis!$E$16</f>
        <v>43016.0625</v>
      </c>
      <c r="CF34" s="100" t="n">
        <f aca="false">CF16*CF21*Hipótesis!$E$16</f>
        <v>43016.0625</v>
      </c>
      <c r="CG34" s="100" t="n">
        <f aca="false">CG16*CG21*Hipótesis!$E$16</f>
        <v>43016.0625</v>
      </c>
      <c r="CH34" s="100" t="n">
        <f aca="false">CH16*CH21*Hipótesis!$E$16</f>
        <v>43016.0625</v>
      </c>
    </row>
    <row r="35" customFormat="false" ht="13.5" hidden="false" customHeight="true" outlineLevel="0" collapsed="false">
      <c r="A35" s="6" t="s">
        <v>512</v>
      </c>
      <c r="C35" s="100" t="n">
        <f aca="false">C23*(Hipótesis!$E$30*Hipótesis!$E$20+(1-Hipótesis!$E$30)*Hipótesis!$E$21)</f>
        <v>0</v>
      </c>
      <c r="D35" s="100" t="n">
        <f aca="false">D23*(Hipótesis!$E$30*Hipótesis!$E$20+(1-Hipótesis!$E$30)*Hipótesis!$E$21)</f>
        <v>0</v>
      </c>
      <c r="E35" s="100" t="n">
        <f aca="false">E23*(Hipótesis!$E$30*Hipótesis!$E$20+(1-Hipótesis!$E$30)*Hipótesis!$E$21)</f>
        <v>0</v>
      </c>
      <c r="F35" s="100" t="n">
        <f aca="false">F23*(Hipótesis!$E$30*Hipótesis!$E$20+(1-Hipótesis!$E$30)*Hipótesis!$E$21)</f>
        <v>0</v>
      </c>
      <c r="G35" s="100" t="n">
        <f aca="false">G23*(Hipótesis!$E$30*Hipótesis!$E$20+(1-Hipótesis!$E$30)*Hipótesis!$E$21)</f>
        <v>0</v>
      </c>
      <c r="H35" s="100" t="n">
        <f aca="false">H23*(Hipótesis!$E$30*Hipótesis!$E$20+(1-Hipótesis!$E$30)*Hipótesis!$E$21)</f>
        <v>0</v>
      </c>
      <c r="I35" s="100" t="n">
        <f aca="false">I23*(Hipótesis!$E$30*Hipótesis!$E$20+(1-Hipótesis!$E$30)*Hipótesis!$E$21)</f>
        <v>2330.20608028832</v>
      </c>
      <c r="J35" s="100" t="n">
        <f aca="false">J23*(Hipótesis!$E$30*Hipótesis!$E$20+(1-Hipótesis!$E$30)*Hipótesis!$E$21)</f>
        <v>4660.41216057665</v>
      </c>
      <c r="K35" s="100" t="n">
        <f aca="false">K23*(Hipótesis!$E$30*Hipótesis!$E$20+(1-Hipótesis!$E$30)*Hipótesis!$E$21)</f>
        <v>6990.61824086497</v>
      </c>
      <c r="L35" s="100" t="n">
        <f aca="false">L23*(Hipótesis!$E$30*Hipótesis!$E$20+(1-Hipótesis!$E$30)*Hipótesis!$E$21)</f>
        <v>9320.8243211533</v>
      </c>
      <c r="M35" s="100" t="n">
        <f aca="false">M23*(Hipótesis!$E$30*Hipótesis!$E$20+(1-Hipótesis!$E$30)*Hipótesis!$E$21)</f>
        <v>11651.0304014416</v>
      </c>
      <c r="N35" s="100" t="n">
        <f aca="false">N23*(Hipótesis!$E$30*Hipótesis!$E$20+(1-Hipótesis!$E$30)*Hipótesis!$E$21)</f>
        <v>13981.2364817299</v>
      </c>
      <c r="O35" s="100" t="n">
        <f aca="false">O23*(Hipótesis!$E$30*Hipótesis!$E$20+(1-Hipótesis!$E$30)*Hipótesis!$E$21)</f>
        <v>16311.4425620183</v>
      </c>
      <c r="P35" s="100" t="n">
        <f aca="false">P23*(Hipótesis!$E$30*Hipótesis!$E$20+(1-Hipótesis!$E$30)*Hipótesis!$E$21)</f>
        <v>18641.6486423066</v>
      </c>
      <c r="Q35" s="100" t="n">
        <f aca="false">Q23*(Hipótesis!$E$30*Hipótesis!$E$20+(1-Hipótesis!$E$30)*Hipótesis!$E$21)</f>
        <v>20971.8547225949</v>
      </c>
      <c r="R35" s="100" t="n">
        <f aca="false">R23*(Hipótesis!$E$30*Hipótesis!$E$20+(1-Hipótesis!$E$30)*Hipótesis!$E$21)</f>
        <v>23302.0608028833</v>
      </c>
      <c r="S35" s="100" t="n">
        <f aca="false">S23*(Hipótesis!$E$30*Hipótesis!$E$20+(1-Hipótesis!$E$30)*Hipótesis!$E$21)</f>
        <v>25632.2668831716</v>
      </c>
      <c r="T35" s="100" t="n">
        <f aca="false">T23*(Hipótesis!$E$30*Hipótesis!$E$20+(1-Hipótesis!$E$30)*Hipótesis!$E$21)</f>
        <v>27962.4729634599</v>
      </c>
      <c r="U35" s="100" t="n">
        <f aca="false">U23*(Hipótesis!$E$30*Hipótesis!$E$20+(1-Hipótesis!$E$30)*Hipótesis!$E$21)</f>
        <v>30292.6790437482</v>
      </c>
      <c r="V35" s="100" t="n">
        <f aca="false">V23*(Hipótesis!$E$30*Hipótesis!$E$20+(1-Hipótesis!$E$30)*Hipótesis!$E$21)</f>
        <v>32622.8851240365</v>
      </c>
      <c r="W35" s="100" t="n">
        <f aca="false">W23*(Hipótesis!$E$30*Hipótesis!$E$20+(1-Hipótesis!$E$30)*Hipótesis!$E$21)</f>
        <v>34953.0912043249</v>
      </c>
      <c r="X35" s="100" t="n">
        <f aca="false">X23*(Hipótesis!$E$30*Hipótesis!$E$20+(1-Hipótesis!$E$30)*Hipótesis!$E$21)</f>
        <v>37283.2972846132</v>
      </c>
      <c r="Y35" s="100" t="n">
        <f aca="false">Y23*(Hipótesis!$E$30*Hipótesis!$E$20+(1-Hipótesis!$E$30)*Hipótesis!$E$21)</f>
        <v>39613.5033649015</v>
      </c>
      <c r="Z35" s="100" t="n">
        <f aca="false">Z23*(Hipótesis!$E$30*Hipótesis!$E$20+(1-Hipótesis!$E$30)*Hipótesis!$E$21)</f>
        <v>41943.7094451898</v>
      </c>
      <c r="AA35" s="100" t="n">
        <f aca="false">AA23*(Hipótesis!$E$30*Hipótesis!$E$20+(1-Hipótesis!$E$30)*Hipótesis!$E$21)</f>
        <v>44273.9155254782</v>
      </c>
      <c r="AB35" s="100" t="n">
        <f aca="false">AB23*(Hipótesis!$E$30*Hipótesis!$E$20+(1-Hipótesis!$E$30)*Hipótesis!$E$21)</f>
        <v>46604.1216057665</v>
      </c>
      <c r="AC35" s="100" t="n">
        <f aca="false">AC23*(Hipótesis!$E$30*Hipótesis!$E$20+(1-Hipótesis!$E$30)*Hipótesis!$E$21)</f>
        <v>48934.3276860548</v>
      </c>
      <c r="AD35" s="100" t="n">
        <f aca="false">AD23*(Hipótesis!$E$30*Hipótesis!$E$20+(1-Hipótesis!$E$30)*Hipótesis!$E$21)</f>
        <v>51264.5337663432</v>
      </c>
      <c r="AE35" s="100" t="n">
        <f aca="false">AE23*(Hipótesis!$E$30*Hipótesis!$E$20+(1-Hipótesis!$E$30)*Hipótesis!$E$21)</f>
        <v>53594.7398466315</v>
      </c>
      <c r="AF35" s="100" t="n">
        <f aca="false">AF23*(Hipótesis!$E$30*Hipótesis!$E$20+(1-Hipótesis!$E$30)*Hipótesis!$E$21)</f>
        <v>55924.9459269198</v>
      </c>
      <c r="AG35" s="100" t="n">
        <f aca="false">AG23*(Hipótesis!$E$30*Hipótesis!$E$20+(1-Hipótesis!$E$30)*Hipótesis!$E$21)</f>
        <v>58255.1520072081</v>
      </c>
      <c r="AH35" s="100" t="n">
        <f aca="false">AH23*(Hipótesis!$E$30*Hipótesis!$E$20+(1-Hipótesis!$E$30)*Hipótesis!$E$21)</f>
        <v>60585.3580874964</v>
      </c>
      <c r="AI35" s="100" t="n">
        <f aca="false">AI23*(Hipótesis!$E$30*Hipótesis!$E$20+(1-Hipótesis!$E$30)*Hipótesis!$E$21)</f>
        <v>62915.5641677848</v>
      </c>
      <c r="AJ35" s="100" t="n">
        <f aca="false">AJ23*(Hipótesis!$E$30*Hipótesis!$E$20+(1-Hipótesis!$E$30)*Hipótesis!$E$21)</f>
        <v>65245.7702480731</v>
      </c>
      <c r="AK35" s="100" t="n">
        <f aca="false">AK23*(Hipótesis!$E$30*Hipótesis!$E$20+(1-Hipótesis!$E$30)*Hipótesis!$E$21)</f>
        <v>67575.9763283614</v>
      </c>
      <c r="AL35" s="100" t="n">
        <f aca="false">AL23*(Hipótesis!$E$30*Hipótesis!$E$20+(1-Hipótesis!$E$30)*Hipótesis!$E$21)</f>
        <v>69906.1824086497</v>
      </c>
      <c r="AM35" s="100" t="n">
        <f aca="false">AM23*(Hipótesis!$E$30*Hipótesis!$E$20+(1-Hipótesis!$E$30)*Hipótesis!$E$21)</f>
        <v>72236.3884889381</v>
      </c>
      <c r="AN35" s="100" t="n">
        <f aca="false">AN23*(Hipótesis!$E$30*Hipótesis!$E$20+(1-Hipótesis!$E$30)*Hipótesis!$E$21)</f>
        <v>74566.5945692264</v>
      </c>
      <c r="AO35" s="100" t="n">
        <f aca="false">AO23*(Hipótesis!$E$30*Hipótesis!$E$20+(1-Hipótesis!$E$30)*Hipótesis!$E$21)</f>
        <v>76896.8006495147</v>
      </c>
      <c r="AP35" s="100" t="n">
        <f aca="false">AP23*(Hipótesis!$E$30*Hipótesis!$E$20+(1-Hipótesis!$E$30)*Hipótesis!$E$21)</f>
        <v>79227.0067298031</v>
      </c>
      <c r="AQ35" s="100" t="n">
        <f aca="false">AQ23*(Hipótesis!$E$30*Hipótesis!$E$20+(1-Hipótesis!$E$30)*Hipótesis!$E$21)</f>
        <v>81557.2128100914</v>
      </c>
      <c r="AR35" s="100" t="n">
        <f aca="false">AR23*(Hipótesis!$E$30*Hipótesis!$E$20+(1-Hipótesis!$E$30)*Hipótesis!$E$21)</f>
        <v>83887.4188903797</v>
      </c>
      <c r="AS35" s="100" t="n">
        <f aca="false">AS23*(Hipótesis!$E$30*Hipótesis!$E$20+(1-Hipótesis!$E$30)*Hipótesis!$E$21)</f>
        <v>83887.4188903797</v>
      </c>
      <c r="AT35" s="100" t="n">
        <f aca="false">AT23*(Hipótesis!$E$30*Hipótesis!$E$20+(1-Hipótesis!$E$30)*Hipótesis!$E$21)</f>
        <v>83887.4188903797</v>
      </c>
      <c r="AU35" s="100" t="n">
        <f aca="false">AU23*(Hipótesis!$E$30*Hipótesis!$E$20+(1-Hipótesis!$E$30)*Hipótesis!$E$21)</f>
        <v>83887.4188903797</v>
      </c>
      <c r="AV35" s="100" t="n">
        <f aca="false">AV23*(Hipótesis!$E$30*Hipótesis!$E$20+(1-Hipótesis!$E$30)*Hipótesis!$E$21)</f>
        <v>83887.4188903797</v>
      </c>
      <c r="AW35" s="100" t="n">
        <f aca="false">AW23*(Hipótesis!$E$30*Hipótesis!$E$20+(1-Hipótesis!$E$30)*Hipótesis!$E$21)</f>
        <v>83887.4188903797</v>
      </c>
      <c r="AX35" s="100" t="n">
        <f aca="false">AX23*(Hipótesis!$E$30*Hipótesis!$E$20+(1-Hipótesis!$E$30)*Hipótesis!$E$21)</f>
        <v>83887.4188903797</v>
      </c>
      <c r="AY35" s="100" t="n">
        <f aca="false">AY23*(Hipótesis!$E$30*Hipótesis!$E$20+(1-Hipótesis!$E$30)*Hipótesis!$E$21)</f>
        <v>83887.4188903797</v>
      </c>
      <c r="AZ35" s="100" t="n">
        <f aca="false">AZ23*(Hipótesis!$E$30*Hipótesis!$E$20+(1-Hipótesis!$E$30)*Hipótesis!$E$21)</f>
        <v>83887.4188903797</v>
      </c>
      <c r="BA35" s="100" t="n">
        <f aca="false">BA23*(Hipótesis!$E$30*Hipótesis!$E$20+(1-Hipótesis!$E$30)*Hipótesis!$E$21)</f>
        <v>83887.4188903797</v>
      </c>
      <c r="BB35" s="100" t="n">
        <f aca="false">BB23*(Hipótesis!$E$30*Hipótesis!$E$20+(1-Hipótesis!$E$30)*Hipótesis!$E$21)</f>
        <v>83887.4188903797</v>
      </c>
      <c r="BC35" s="100" t="n">
        <f aca="false">BC23*(Hipótesis!$E$30*Hipótesis!$E$20+(1-Hipótesis!$E$30)*Hipótesis!$E$21)</f>
        <v>83887.4188903797</v>
      </c>
      <c r="BD35" s="100" t="n">
        <f aca="false">BD23*(Hipótesis!$E$30*Hipótesis!$E$20+(1-Hipótesis!$E$30)*Hipótesis!$E$21)</f>
        <v>83887.4188903797</v>
      </c>
      <c r="BE35" s="100" t="n">
        <f aca="false">BE23*(Hipótesis!$E$30*Hipótesis!$E$20+(1-Hipótesis!$E$30)*Hipótesis!$E$21)</f>
        <v>83887.4188903797</v>
      </c>
      <c r="BF35" s="100" t="n">
        <f aca="false">BF23*(Hipótesis!$E$30*Hipótesis!$E$20+(1-Hipótesis!$E$30)*Hipótesis!$E$21)</f>
        <v>83887.4188903797</v>
      </c>
      <c r="BG35" s="100" t="n">
        <f aca="false">BG23*(Hipótesis!$E$30*Hipótesis!$E$20+(1-Hipótesis!$E$30)*Hipótesis!$E$21)</f>
        <v>83887.4188903797</v>
      </c>
      <c r="BH35" s="100" t="n">
        <f aca="false">BH23*(Hipótesis!$E$30*Hipótesis!$E$20+(1-Hipótesis!$E$30)*Hipótesis!$E$21)</f>
        <v>83887.4188903797</v>
      </c>
      <c r="BI35" s="100" t="n">
        <f aca="false">BI23*(Hipótesis!$E$30*Hipótesis!$E$20+(1-Hipótesis!$E$30)*Hipótesis!$E$21)</f>
        <v>83887.4188903797</v>
      </c>
      <c r="BJ35" s="100" t="n">
        <f aca="false">BJ23*(Hipótesis!$E$30*Hipótesis!$E$20+(1-Hipótesis!$E$30)*Hipótesis!$E$21)</f>
        <v>83887.4188903797</v>
      </c>
      <c r="BK35" s="100" t="n">
        <f aca="false">BK23*(Hipótesis!$E$30*Hipótesis!$E$20+(1-Hipótesis!$E$30)*Hipótesis!$E$21)</f>
        <v>83887.4188903797</v>
      </c>
      <c r="BL35" s="100" t="n">
        <f aca="false">BL23*(Hipótesis!$E$30*Hipótesis!$E$20+(1-Hipótesis!$E$30)*Hipótesis!$E$21)</f>
        <v>83887.4188903797</v>
      </c>
      <c r="BM35" s="100" t="n">
        <f aca="false">BM23*(Hipótesis!$E$30*Hipótesis!$E$20+(1-Hipótesis!$E$30)*Hipótesis!$E$21)</f>
        <v>83887.4188903797</v>
      </c>
      <c r="BN35" s="100" t="n">
        <f aca="false">BN23*(Hipótesis!$E$30*Hipótesis!$E$20+(1-Hipótesis!$E$30)*Hipótesis!$E$21)</f>
        <v>83887.4188903797</v>
      </c>
      <c r="BO35" s="100" t="n">
        <f aca="false">BO23*(Hipótesis!$E$30*Hipótesis!$E$20+(1-Hipótesis!$E$30)*Hipótesis!$E$21)</f>
        <v>83887.4188903797</v>
      </c>
      <c r="BP35" s="100" t="n">
        <f aca="false">BP23*(Hipótesis!$E$30*Hipótesis!$E$20+(1-Hipótesis!$E$30)*Hipótesis!$E$21)</f>
        <v>83887.4188903797</v>
      </c>
      <c r="BQ35" s="100" t="n">
        <f aca="false">BQ23*(Hipótesis!$E$30*Hipótesis!$E$20+(1-Hipótesis!$E$30)*Hipótesis!$E$21)</f>
        <v>83887.4188903797</v>
      </c>
      <c r="BR35" s="100" t="n">
        <f aca="false">BR23*(Hipótesis!$E$30*Hipótesis!$E$20+(1-Hipótesis!$E$30)*Hipótesis!$E$21)</f>
        <v>83887.4188903797</v>
      </c>
      <c r="BS35" s="100" t="n">
        <f aca="false">BS23*(Hipótesis!$E$30*Hipótesis!$E$20+(1-Hipótesis!$E$30)*Hipótesis!$E$21)</f>
        <v>83887.4188903797</v>
      </c>
      <c r="BT35" s="100" t="n">
        <f aca="false">BT23*(Hipótesis!$E$30*Hipótesis!$E$20+(1-Hipótesis!$E$30)*Hipótesis!$E$21)</f>
        <v>83887.4188903797</v>
      </c>
      <c r="BU35" s="100" t="n">
        <f aca="false">BU23*(Hipótesis!$E$30*Hipótesis!$E$20+(1-Hipótesis!$E$30)*Hipótesis!$E$21)</f>
        <v>83887.4188903797</v>
      </c>
      <c r="BV35" s="100" t="n">
        <f aca="false">BV23*(Hipótesis!$E$30*Hipótesis!$E$20+(1-Hipótesis!$E$30)*Hipótesis!$E$21)</f>
        <v>83887.4188903797</v>
      </c>
      <c r="BW35" s="100" t="n">
        <f aca="false">BW23*(Hipótesis!$E$30*Hipótesis!$E$20+(1-Hipótesis!$E$30)*Hipótesis!$E$21)</f>
        <v>83887.4188903797</v>
      </c>
      <c r="BX35" s="100" t="n">
        <f aca="false">BX23*(Hipótesis!$E$30*Hipótesis!$E$20+(1-Hipótesis!$E$30)*Hipótesis!$E$21)</f>
        <v>83887.4188903797</v>
      </c>
      <c r="BY35" s="100" t="n">
        <f aca="false">BY23*(Hipótesis!$E$30*Hipótesis!$E$20+(1-Hipótesis!$E$30)*Hipótesis!$E$21)</f>
        <v>83887.4188903797</v>
      </c>
      <c r="BZ35" s="100" t="n">
        <f aca="false">BZ23*(Hipótesis!$E$30*Hipótesis!$E$20+(1-Hipótesis!$E$30)*Hipótesis!$E$21)</f>
        <v>83887.4188903797</v>
      </c>
      <c r="CA35" s="100" t="n">
        <f aca="false">CA23*(Hipótesis!$E$30*Hipótesis!$E$20+(1-Hipótesis!$E$30)*Hipótesis!$E$21)</f>
        <v>83887.4188903797</v>
      </c>
      <c r="CB35" s="100" t="n">
        <f aca="false">CB23*(Hipótesis!$E$30*Hipótesis!$E$20+(1-Hipótesis!$E$30)*Hipótesis!$E$21)</f>
        <v>83887.4188903797</v>
      </c>
      <c r="CC35" s="100" t="n">
        <f aca="false">CC23*(Hipótesis!$E$30*Hipótesis!$E$20+(1-Hipótesis!$E$30)*Hipótesis!$E$21)</f>
        <v>83887.4188903797</v>
      </c>
      <c r="CD35" s="100" t="n">
        <f aca="false">CD23*(Hipótesis!$E$30*Hipótesis!$E$20+(1-Hipótesis!$E$30)*Hipótesis!$E$21)</f>
        <v>83887.4188903797</v>
      </c>
      <c r="CE35" s="100" t="n">
        <f aca="false">CE23*(Hipótesis!$E$30*Hipótesis!$E$20+(1-Hipótesis!$E$30)*Hipótesis!$E$21)</f>
        <v>83887.4188903797</v>
      </c>
      <c r="CF35" s="100" t="n">
        <f aca="false">CF23*(Hipótesis!$E$30*Hipótesis!$E$20+(1-Hipótesis!$E$30)*Hipótesis!$E$21)</f>
        <v>83887.4188903797</v>
      </c>
      <c r="CG35" s="100" t="n">
        <f aca="false">CG23*(Hipótesis!$E$30*Hipótesis!$E$20+(1-Hipótesis!$E$30)*Hipótesis!$E$21)</f>
        <v>83887.4188903797</v>
      </c>
      <c r="CH35" s="100" t="n">
        <f aca="false">CH23*(Hipótesis!$E$30*Hipótesis!$E$20+(1-Hipótesis!$E$30)*Hipótesis!$E$21)</f>
        <v>83887.4188903797</v>
      </c>
    </row>
    <row r="36" customFormat="false" ht="13.5" hidden="false" customHeight="true" outlineLevel="0" collapsed="false">
      <c r="A36" s="22" t="s">
        <v>513</v>
      </c>
      <c r="C36" s="100" t="n">
        <f aca="false">C34+C35</f>
        <v>1357.52625</v>
      </c>
      <c r="D36" s="100" t="n">
        <f aca="false">D34+D35</f>
        <v>2820.7575</v>
      </c>
      <c r="E36" s="100" t="n">
        <f aca="false">E34+E35</f>
        <v>5875.06921875</v>
      </c>
      <c r="F36" s="100" t="n">
        <f aca="false">F34+F35</f>
        <v>7571.8546875</v>
      </c>
      <c r="G36" s="100" t="n">
        <f aca="false">G34+G35</f>
        <v>9162.93515625</v>
      </c>
      <c r="H36" s="100" t="n">
        <f aca="false">H34+H35</f>
        <v>11722.978125</v>
      </c>
      <c r="I36" s="100" t="n">
        <f aca="false">I34+I35</f>
        <v>16613.2271740383</v>
      </c>
      <c r="J36" s="100" t="n">
        <f aca="false">J34+J35</f>
        <v>21503.4762230767</v>
      </c>
      <c r="K36" s="100" t="n">
        <f aca="false">K34+K35</f>
        <v>26393.725272115</v>
      </c>
      <c r="L36" s="100" t="n">
        <f aca="false">L34+L35</f>
        <v>31283.9743211533</v>
      </c>
      <c r="M36" s="100" t="n">
        <f aca="false">M34+M35</f>
        <v>34583.1429014416</v>
      </c>
      <c r="N36" s="100" t="n">
        <f aca="false">N34+N35</f>
        <v>39203.62398173</v>
      </c>
      <c r="O36" s="100" t="n">
        <f aca="false">O34+O35</f>
        <v>43824.1050620183</v>
      </c>
      <c r="P36" s="100" t="n">
        <f aca="false">P34+P35</f>
        <v>47968.9136423066</v>
      </c>
      <c r="Q36" s="100" t="n">
        <f aca="false">Q34+Q35</f>
        <v>52113.7222225949</v>
      </c>
      <c r="R36" s="100" t="n">
        <f aca="false">R34+R35</f>
        <v>56258.5308028833</v>
      </c>
      <c r="S36" s="100" t="n">
        <f aca="false">S34+S35</f>
        <v>60403.3393831716</v>
      </c>
      <c r="T36" s="100" t="n">
        <f aca="false">T34+T35</f>
        <v>64548.1479634599</v>
      </c>
      <c r="U36" s="100" t="n">
        <f aca="false">U34+U35</f>
        <v>68692.9565437482</v>
      </c>
      <c r="V36" s="100" t="n">
        <f aca="false">V34+V35</f>
        <v>72837.7651240366</v>
      </c>
      <c r="W36" s="100" t="n">
        <f aca="false">W34+W35</f>
        <v>76982.5737043249</v>
      </c>
      <c r="X36" s="100" t="n">
        <f aca="false">X34+X35</f>
        <v>79806.0697846132</v>
      </c>
      <c r="Y36" s="100" t="n">
        <f aca="false">Y34+Y35</f>
        <v>82629.5658649015</v>
      </c>
      <c r="Z36" s="100" t="n">
        <f aca="false">Z34+Z35</f>
        <v>84959.7719451898</v>
      </c>
      <c r="AA36" s="100" t="n">
        <f aca="false">AA34+AA35</f>
        <v>87289.9780254782</v>
      </c>
      <c r="AB36" s="100" t="n">
        <f aca="false">AB34+AB35</f>
        <v>89620.1841057665</v>
      </c>
      <c r="AC36" s="100" t="n">
        <f aca="false">AC34+AC35</f>
        <v>91950.3901860548</v>
      </c>
      <c r="AD36" s="100" t="n">
        <f aca="false">AD34+AD35</f>
        <v>94280.5962663431</v>
      </c>
      <c r="AE36" s="100" t="n">
        <f aca="false">AE34+AE35</f>
        <v>96610.8023466315</v>
      </c>
      <c r="AF36" s="100" t="n">
        <f aca="false">AF34+AF35</f>
        <v>98941.0084269198</v>
      </c>
      <c r="AG36" s="100" t="n">
        <f aca="false">AG34+AG35</f>
        <v>101271.214507208</v>
      </c>
      <c r="AH36" s="100" t="n">
        <f aca="false">AH34+AH35</f>
        <v>103601.420587496</v>
      </c>
      <c r="AI36" s="100" t="n">
        <f aca="false">AI34+AI35</f>
        <v>105931.626667785</v>
      </c>
      <c r="AJ36" s="100" t="n">
        <f aca="false">AJ34+AJ35</f>
        <v>108261.832748073</v>
      </c>
      <c r="AK36" s="100" t="n">
        <f aca="false">AK34+AK35</f>
        <v>110592.038828361</v>
      </c>
      <c r="AL36" s="100" t="n">
        <f aca="false">AL34+AL35</f>
        <v>112922.24490865</v>
      </c>
      <c r="AM36" s="100" t="n">
        <f aca="false">AM34+AM35</f>
        <v>115252.450988938</v>
      </c>
      <c r="AN36" s="100" t="n">
        <f aca="false">AN34+AN35</f>
        <v>117582.657069226</v>
      </c>
      <c r="AO36" s="100" t="n">
        <f aca="false">AO34+AO35</f>
        <v>119912.863149515</v>
      </c>
      <c r="AP36" s="100" t="n">
        <f aca="false">AP34+AP35</f>
        <v>122243.069229803</v>
      </c>
      <c r="AQ36" s="100" t="n">
        <f aca="false">AQ34+AQ35</f>
        <v>124573.275310091</v>
      </c>
      <c r="AR36" s="100" t="n">
        <f aca="false">AR34+AR35</f>
        <v>126903.48139038</v>
      </c>
      <c r="AS36" s="100" t="n">
        <f aca="false">AS34+AS35</f>
        <v>126903.48139038</v>
      </c>
      <c r="AT36" s="100" t="n">
        <f aca="false">AT34+AT35</f>
        <v>126903.48139038</v>
      </c>
      <c r="AU36" s="100" t="n">
        <f aca="false">AU34+AU35</f>
        <v>126903.48139038</v>
      </c>
      <c r="AV36" s="100" t="n">
        <f aca="false">AV34+AV35</f>
        <v>126903.48139038</v>
      </c>
      <c r="AW36" s="100" t="n">
        <f aca="false">AW34+AW35</f>
        <v>126903.48139038</v>
      </c>
      <c r="AX36" s="100" t="n">
        <f aca="false">AX34+AX35</f>
        <v>126903.48139038</v>
      </c>
      <c r="AY36" s="100" t="n">
        <f aca="false">AY34+AY35</f>
        <v>126903.48139038</v>
      </c>
      <c r="AZ36" s="100" t="n">
        <f aca="false">AZ34+AZ35</f>
        <v>126903.48139038</v>
      </c>
      <c r="BA36" s="100" t="n">
        <f aca="false">BA34+BA35</f>
        <v>126903.48139038</v>
      </c>
      <c r="BB36" s="100" t="n">
        <f aca="false">BB34+BB35</f>
        <v>126903.48139038</v>
      </c>
      <c r="BC36" s="100" t="n">
        <f aca="false">BC34+BC35</f>
        <v>126903.48139038</v>
      </c>
      <c r="BD36" s="100" t="n">
        <f aca="false">BD34+BD35</f>
        <v>126903.48139038</v>
      </c>
      <c r="BE36" s="100" t="n">
        <f aca="false">BE34+BE35</f>
        <v>126903.48139038</v>
      </c>
      <c r="BF36" s="100" t="n">
        <f aca="false">BF34+BF35</f>
        <v>126903.48139038</v>
      </c>
      <c r="BG36" s="100" t="n">
        <f aca="false">BG34+BG35</f>
        <v>126903.48139038</v>
      </c>
      <c r="BH36" s="100" t="n">
        <f aca="false">BH34+BH35</f>
        <v>126903.48139038</v>
      </c>
      <c r="BI36" s="100" t="n">
        <f aca="false">BI34+BI35</f>
        <v>126903.48139038</v>
      </c>
      <c r="BJ36" s="100" t="n">
        <f aca="false">BJ34+BJ35</f>
        <v>126903.48139038</v>
      </c>
      <c r="BK36" s="100" t="n">
        <f aca="false">BK34+BK35</f>
        <v>126903.48139038</v>
      </c>
      <c r="BL36" s="100" t="n">
        <f aca="false">BL34+BL35</f>
        <v>126903.48139038</v>
      </c>
      <c r="BM36" s="100" t="n">
        <f aca="false">BM34+BM35</f>
        <v>126903.48139038</v>
      </c>
      <c r="BN36" s="100" t="n">
        <f aca="false">BN34+BN35</f>
        <v>126903.48139038</v>
      </c>
      <c r="BO36" s="100" t="n">
        <f aca="false">BO34+BO35</f>
        <v>126903.48139038</v>
      </c>
      <c r="BP36" s="100" t="n">
        <f aca="false">BP34+BP35</f>
        <v>126903.48139038</v>
      </c>
      <c r="BQ36" s="100" t="n">
        <f aca="false">BQ34+BQ35</f>
        <v>126903.48139038</v>
      </c>
      <c r="BR36" s="100" t="n">
        <f aca="false">BR34+BR35</f>
        <v>126903.48139038</v>
      </c>
      <c r="BS36" s="100" t="n">
        <f aca="false">BS34+BS35</f>
        <v>126903.48139038</v>
      </c>
      <c r="BT36" s="100" t="n">
        <f aca="false">BT34+BT35</f>
        <v>126903.48139038</v>
      </c>
      <c r="BU36" s="100" t="n">
        <f aca="false">BU34+BU35</f>
        <v>126903.48139038</v>
      </c>
      <c r="BV36" s="100" t="n">
        <f aca="false">BV34+BV35</f>
        <v>126903.48139038</v>
      </c>
      <c r="BW36" s="100" t="n">
        <f aca="false">BW34+BW35</f>
        <v>126903.48139038</v>
      </c>
      <c r="BX36" s="100" t="n">
        <f aca="false">BX34+BX35</f>
        <v>126903.48139038</v>
      </c>
      <c r="BY36" s="100" t="n">
        <f aca="false">BY34+BY35</f>
        <v>126903.48139038</v>
      </c>
      <c r="BZ36" s="100" t="n">
        <f aca="false">BZ34+BZ35</f>
        <v>126903.48139038</v>
      </c>
      <c r="CA36" s="100" t="n">
        <f aca="false">CA34+CA35</f>
        <v>126903.48139038</v>
      </c>
      <c r="CB36" s="100" t="n">
        <f aca="false">CB34+CB35</f>
        <v>126903.48139038</v>
      </c>
      <c r="CC36" s="100" t="n">
        <f aca="false">CC34+CC35</f>
        <v>126903.48139038</v>
      </c>
      <c r="CD36" s="100" t="n">
        <f aca="false">CD34+CD35</f>
        <v>126903.48139038</v>
      </c>
      <c r="CE36" s="100" t="n">
        <f aca="false">CE34+CE35</f>
        <v>126903.48139038</v>
      </c>
      <c r="CF36" s="100" t="n">
        <f aca="false">CF34+CF35</f>
        <v>126903.48139038</v>
      </c>
      <c r="CG36" s="100" t="n">
        <f aca="false">CG34+CG35</f>
        <v>126903.48139038</v>
      </c>
      <c r="CH36" s="100" t="n">
        <f aca="false">CH34+CH35</f>
        <v>126903.48139038</v>
      </c>
    </row>
    <row r="37" customFormat="false" ht="13.5" hidden="false" customHeight="true" outlineLevel="0" collapsed="false">
      <c r="A37" s="6" t="s">
        <v>514</v>
      </c>
      <c r="C37" s="100" t="n">
        <f aca="false">-C36*Hipótesis!$E$34</f>
        <v>-135.752625</v>
      </c>
      <c r="D37" s="100" t="n">
        <f aca="false">-D36*Hipótesis!$E$34</f>
        <v>-282.07575</v>
      </c>
      <c r="E37" s="100" t="n">
        <f aca="false">-E36*Hipótesis!$E$34</f>
        <v>-587.506921875</v>
      </c>
      <c r="F37" s="100" t="n">
        <f aca="false">-F36*Hipótesis!$E$34</f>
        <v>-757.18546875</v>
      </c>
      <c r="G37" s="100" t="n">
        <f aca="false">-G36*Hipótesis!$E$34</f>
        <v>-916.293515625</v>
      </c>
      <c r="H37" s="100" t="n">
        <f aca="false">-H36*Hipótesis!$E$34</f>
        <v>-1172.2978125</v>
      </c>
      <c r="I37" s="100" t="n">
        <f aca="false">-I36*Hipótesis!$E$34</f>
        <v>-1661.32271740383</v>
      </c>
      <c r="J37" s="100" t="n">
        <f aca="false">-J36*Hipótesis!$E$34</f>
        <v>-2150.34762230767</v>
      </c>
      <c r="K37" s="100" t="n">
        <f aca="false">-K36*Hipótesis!$E$34</f>
        <v>-2639.3725272115</v>
      </c>
      <c r="L37" s="100" t="n">
        <f aca="false">-L36*Hipótesis!$E$34</f>
        <v>-3128.39743211533</v>
      </c>
      <c r="M37" s="100" t="n">
        <f aca="false">-M36*Hipótesis!$E$34</f>
        <v>-3458.31429014416</v>
      </c>
      <c r="N37" s="100" t="n">
        <f aca="false">-N36*Hipótesis!$E$34</f>
        <v>-3920.362398173</v>
      </c>
      <c r="O37" s="100" t="n">
        <f aca="false">-O36*Hipótesis!$E$34</f>
        <v>-4382.41050620183</v>
      </c>
      <c r="P37" s="100" t="n">
        <f aca="false">-P36*Hipótesis!$E$34</f>
        <v>-4796.89136423066</v>
      </c>
      <c r="Q37" s="100" t="n">
        <f aca="false">-Q36*Hipótesis!$E$34</f>
        <v>-5211.37222225949</v>
      </c>
      <c r="R37" s="100" t="n">
        <f aca="false">-R36*Hipótesis!$E$34</f>
        <v>-5625.85308028833</v>
      </c>
      <c r="S37" s="100" t="n">
        <f aca="false">-S36*Hipótesis!$E$34</f>
        <v>-6040.33393831716</v>
      </c>
      <c r="T37" s="100" t="n">
        <f aca="false">-T36*Hipótesis!$E$34</f>
        <v>-6454.81479634599</v>
      </c>
      <c r="U37" s="100" t="n">
        <f aca="false">-U36*Hipótesis!$E$34</f>
        <v>-6869.29565437482</v>
      </c>
      <c r="V37" s="100" t="n">
        <f aca="false">-V36*Hipótesis!$E$34</f>
        <v>-7283.77651240366</v>
      </c>
      <c r="W37" s="100" t="n">
        <f aca="false">-W36*Hipótesis!$E$34</f>
        <v>-7698.25737043249</v>
      </c>
      <c r="X37" s="100" t="n">
        <f aca="false">-X36*Hipótesis!$E$34</f>
        <v>-7980.60697846132</v>
      </c>
      <c r="Y37" s="100" t="n">
        <f aca="false">-Y36*Hipótesis!$E$34</f>
        <v>-8262.95658649015</v>
      </c>
      <c r="Z37" s="100" t="n">
        <f aca="false">-Z36*Hipótesis!$E$34</f>
        <v>-8495.97719451898</v>
      </c>
      <c r="AA37" s="100" t="n">
        <f aca="false">-AA36*Hipótesis!$E$34</f>
        <v>-8728.99780254782</v>
      </c>
      <c r="AB37" s="100" t="n">
        <f aca="false">-AB36*Hipótesis!$E$34</f>
        <v>-8962.01841057665</v>
      </c>
      <c r="AC37" s="100" t="n">
        <f aca="false">-AC36*Hipótesis!$E$34</f>
        <v>-9195.03901860548</v>
      </c>
      <c r="AD37" s="100" t="n">
        <f aca="false">-AD36*Hipótesis!$E$34</f>
        <v>-9428.05962663432</v>
      </c>
      <c r="AE37" s="100" t="n">
        <f aca="false">-AE36*Hipótesis!$E$34</f>
        <v>-9661.08023466315</v>
      </c>
      <c r="AF37" s="100" t="n">
        <f aca="false">-AF36*Hipótesis!$E$34</f>
        <v>-9894.10084269198</v>
      </c>
      <c r="AG37" s="100" t="n">
        <f aca="false">-AG36*Hipótesis!$E$34</f>
        <v>-10127.1214507208</v>
      </c>
      <c r="AH37" s="100" t="n">
        <f aca="false">-AH36*Hipótesis!$E$34</f>
        <v>-10360.1420587496</v>
      </c>
      <c r="AI37" s="100" t="n">
        <f aca="false">-AI36*Hipótesis!$E$34</f>
        <v>-10593.1626667785</v>
      </c>
      <c r="AJ37" s="100" t="n">
        <f aca="false">-AJ36*Hipótesis!$E$34</f>
        <v>-10826.1832748073</v>
      </c>
      <c r="AK37" s="100" t="n">
        <f aca="false">-AK36*Hipótesis!$E$34</f>
        <v>-11059.2038828361</v>
      </c>
      <c r="AL37" s="100" t="n">
        <f aca="false">-AL36*Hipótesis!$E$34</f>
        <v>-11292.224490865</v>
      </c>
      <c r="AM37" s="100" t="n">
        <f aca="false">-AM36*Hipótesis!$E$34</f>
        <v>-11525.2450988938</v>
      </c>
      <c r="AN37" s="100" t="n">
        <f aca="false">-AN36*Hipótesis!$E$34</f>
        <v>-11758.2657069226</v>
      </c>
      <c r="AO37" s="100" t="n">
        <f aca="false">-AO36*Hipótesis!$E$34</f>
        <v>-11991.2863149515</v>
      </c>
      <c r="AP37" s="100" t="n">
        <f aca="false">-AP36*Hipótesis!$E$34</f>
        <v>-12224.3069229803</v>
      </c>
      <c r="AQ37" s="100" t="n">
        <f aca="false">-AQ36*Hipótesis!$E$34</f>
        <v>-12457.3275310091</v>
      </c>
      <c r="AR37" s="100" t="n">
        <f aca="false">-AR36*Hipótesis!$E$34</f>
        <v>-12690.348139038</v>
      </c>
      <c r="AS37" s="100" t="n">
        <f aca="false">-AS36*Hipótesis!$E$34</f>
        <v>-12690.348139038</v>
      </c>
      <c r="AT37" s="100" t="n">
        <f aca="false">-AT36*Hipótesis!$E$34</f>
        <v>-12690.348139038</v>
      </c>
      <c r="AU37" s="100" t="n">
        <f aca="false">-AU36*Hipótesis!$E$34</f>
        <v>-12690.348139038</v>
      </c>
      <c r="AV37" s="100" t="n">
        <f aca="false">-AV36*Hipótesis!$E$34</f>
        <v>-12690.348139038</v>
      </c>
      <c r="AW37" s="100" t="n">
        <f aca="false">-AW36*Hipótesis!$E$34</f>
        <v>-12690.348139038</v>
      </c>
      <c r="AX37" s="100" t="n">
        <f aca="false">-AX36*Hipótesis!$E$34</f>
        <v>-12690.348139038</v>
      </c>
      <c r="AY37" s="100" t="n">
        <f aca="false">-AY36*Hipótesis!$E$34</f>
        <v>-12690.348139038</v>
      </c>
      <c r="AZ37" s="100" t="n">
        <f aca="false">-AZ36*Hipótesis!$E$34</f>
        <v>-12690.348139038</v>
      </c>
      <c r="BA37" s="100" t="n">
        <f aca="false">-BA36*Hipótesis!$E$34</f>
        <v>-12690.348139038</v>
      </c>
      <c r="BB37" s="100" t="n">
        <f aca="false">-BB36*Hipótesis!$E$34</f>
        <v>-12690.348139038</v>
      </c>
      <c r="BC37" s="100" t="n">
        <f aca="false">-BC36*Hipótesis!$E$34</f>
        <v>-12690.348139038</v>
      </c>
      <c r="BD37" s="100" t="n">
        <f aca="false">-BD36*Hipótesis!$E$34</f>
        <v>-12690.348139038</v>
      </c>
      <c r="BE37" s="100" t="n">
        <f aca="false">-BE36*Hipótesis!$E$34</f>
        <v>-12690.348139038</v>
      </c>
      <c r="BF37" s="100" t="n">
        <f aca="false">-BF36*Hipótesis!$E$34</f>
        <v>-12690.348139038</v>
      </c>
      <c r="BG37" s="100" t="n">
        <f aca="false">-BG36*Hipótesis!$E$34</f>
        <v>-12690.348139038</v>
      </c>
      <c r="BH37" s="100" t="n">
        <f aca="false">-BH36*Hipótesis!$E$34</f>
        <v>-12690.348139038</v>
      </c>
      <c r="BI37" s="100" t="n">
        <f aca="false">-BI36*Hipótesis!$E$34</f>
        <v>-12690.348139038</v>
      </c>
      <c r="BJ37" s="100" t="n">
        <f aca="false">-BJ36*Hipótesis!$E$34</f>
        <v>-12690.348139038</v>
      </c>
      <c r="BK37" s="100" t="n">
        <f aca="false">-BK36*Hipótesis!$E$34</f>
        <v>-12690.348139038</v>
      </c>
      <c r="BL37" s="100" t="n">
        <f aca="false">-BL36*Hipótesis!$E$34</f>
        <v>-12690.348139038</v>
      </c>
      <c r="BM37" s="100" t="n">
        <f aca="false">-BM36*Hipótesis!$E$34</f>
        <v>-12690.348139038</v>
      </c>
      <c r="BN37" s="100" t="n">
        <f aca="false">-BN36*Hipótesis!$E$34</f>
        <v>-12690.348139038</v>
      </c>
      <c r="BO37" s="100" t="n">
        <f aca="false">-BO36*Hipótesis!$E$34</f>
        <v>-12690.348139038</v>
      </c>
      <c r="BP37" s="100" t="n">
        <f aca="false">-BP36*Hipótesis!$E$34</f>
        <v>-12690.348139038</v>
      </c>
      <c r="BQ37" s="100" t="n">
        <f aca="false">-BQ36*Hipótesis!$E$34</f>
        <v>-12690.348139038</v>
      </c>
      <c r="BR37" s="100" t="n">
        <f aca="false">-BR36*Hipótesis!$E$34</f>
        <v>-12690.348139038</v>
      </c>
      <c r="BS37" s="100" t="n">
        <f aca="false">-BS36*Hipótesis!$E$34</f>
        <v>-12690.348139038</v>
      </c>
      <c r="BT37" s="100" t="n">
        <f aca="false">-BT36*Hipótesis!$E$34</f>
        <v>-12690.348139038</v>
      </c>
      <c r="BU37" s="100" t="n">
        <f aca="false">-BU36*Hipótesis!$E$34</f>
        <v>-12690.348139038</v>
      </c>
      <c r="BV37" s="100" t="n">
        <f aca="false">-BV36*Hipótesis!$E$34</f>
        <v>-12690.348139038</v>
      </c>
      <c r="BW37" s="100" t="n">
        <f aca="false">-BW36*Hipótesis!$E$34</f>
        <v>-12690.348139038</v>
      </c>
      <c r="BX37" s="100" t="n">
        <f aca="false">-BX36*Hipótesis!$E$34</f>
        <v>-12690.348139038</v>
      </c>
      <c r="BY37" s="100" t="n">
        <f aca="false">-BY36*Hipótesis!$E$34</f>
        <v>-12690.348139038</v>
      </c>
      <c r="BZ37" s="100" t="n">
        <f aca="false">-BZ36*Hipótesis!$E$34</f>
        <v>-12690.348139038</v>
      </c>
      <c r="CA37" s="100" t="n">
        <f aca="false">-CA36*Hipótesis!$E$34</f>
        <v>-12690.348139038</v>
      </c>
      <c r="CB37" s="100" t="n">
        <f aca="false">-CB36*Hipótesis!$E$34</f>
        <v>-12690.348139038</v>
      </c>
      <c r="CC37" s="100" t="n">
        <f aca="false">-CC36*Hipótesis!$E$34</f>
        <v>-12690.348139038</v>
      </c>
      <c r="CD37" s="100" t="n">
        <f aca="false">-CD36*Hipótesis!$E$34</f>
        <v>-12690.348139038</v>
      </c>
      <c r="CE37" s="100" t="n">
        <f aca="false">-CE36*Hipótesis!$E$34</f>
        <v>-12690.348139038</v>
      </c>
      <c r="CF37" s="100" t="n">
        <f aca="false">-CF36*Hipótesis!$E$34</f>
        <v>-12690.348139038</v>
      </c>
      <c r="CG37" s="100" t="n">
        <f aca="false">-CG36*Hipótesis!$E$34</f>
        <v>-12690.348139038</v>
      </c>
      <c r="CH37" s="100" t="n">
        <f aca="false">-CH36*Hipótesis!$E$34</f>
        <v>-12690.348139038</v>
      </c>
    </row>
    <row r="38" customFormat="false" ht="13.5" hidden="false" customHeight="true" outlineLevel="0" collapsed="false">
      <c r="A38" s="22" t="s">
        <v>515</v>
      </c>
      <c r="C38" s="100" t="n">
        <f aca="false">C36+C37</f>
        <v>1221.773625</v>
      </c>
      <c r="D38" s="100" t="n">
        <f aca="false">D36+D37</f>
        <v>2538.68175</v>
      </c>
      <c r="E38" s="100" t="n">
        <f aca="false">E36+E37</f>
        <v>5287.562296875</v>
      </c>
      <c r="F38" s="100" t="n">
        <f aca="false">F36+F37</f>
        <v>6814.66921875</v>
      </c>
      <c r="G38" s="100" t="n">
        <f aca="false">G36+G37</f>
        <v>8246.641640625</v>
      </c>
      <c r="H38" s="100" t="n">
        <f aca="false">H36+H37</f>
        <v>10550.6803125</v>
      </c>
      <c r="I38" s="100" t="n">
        <f aca="false">I36+I37</f>
        <v>14951.9044566345</v>
      </c>
      <c r="J38" s="100" t="n">
        <f aca="false">J36+J37</f>
        <v>19353.128600769</v>
      </c>
      <c r="K38" s="100" t="n">
        <f aca="false">K36+K37</f>
        <v>23754.3527449035</v>
      </c>
      <c r="L38" s="100" t="n">
        <f aca="false">L36+L37</f>
        <v>28155.576889038</v>
      </c>
      <c r="M38" s="100" t="n">
        <f aca="false">M36+M37</f>
        <v>31124.8286112975</v>
      </c>
      <c r="N38" s="100" t="n">
        <f aca="false">N36+N37</f>
        <v>35283.261583557</v>
      </c>
      <c r="O38" s="100" t="n">
        <f aca="false">O36+O37</f>
        <v>39441.6945558164</v>
      </c>
      <c r="P38" s="100" t="n">
        <f aca="false">P36+P37</f>
        <v>43172.0222780759</v>
      </c>
      <c r="Q38" s="100" t="n">
        <f aca="false">Q36+Q37</f>
        <v>46902.3500003354</v>
      </c>
      <c r="R38" s="100" t="n">
        <f aca="false">R36+R37</f>
        <v>50632.6777225949</v>
      </c>
      <c r="S38" s="100" t="n">
        <f aca="false">S36+S37</f>
        <v>54363.0054448544</v>
      </c>
      <c r="T38" s="100" t="n">
        <f aca="false">T36+T37</f>
        <v>58093.3331671139</v>
      </c>
      <c r="U38" s="100" t="n">
        <f aca="false">U36+U37</f>
        <v>61823.6608893734</v>
      </c>
      <c r="V38" s="100" t="n">
        <f aca="false">V36+V37</f>
        <v>65553.9886116329</v>
      </c>
      <c r="W38" s="100" t="n">
        <f aca="false">W36+W37</f>
        <v>69284.3163338924</v>
      </c>
      <c r="X38" s="100" t="n">
        <f aca="false">X36+X37</f>
        <v>71825.4628061519</v>
      </c>
      <c r="Y38" s="100" t="n">
        <f aca="false">Y36+Y37</f>
        <v>74366.6092784114</v>
      </c>
      <c r="Z38" s="100" t="n">
        <f aca="false">Z36+Z37</f>
        <v>76463.7947506709</v>
      </c>
      <c r="AA38" s="100" t="n">
        <f aca="false">AA36+AA37</f>
        <v>78560.9802229304</v>
      </c>
      <c r="AB38" s="100" t="n">
        <f aca="false">AB36+AB37</f>
        <v>80658.1656951899</v>
      </c>
      <c r="AC38" s="100" t="n">
        <f aca="false">AC36+AC37</f>
        <v>82755.3511674493</v>
      </c>
      <c r="AD38" s="100" t="n">
        <f aca="false">AD36+AD37</f>
        <v>84852.5366397088</v>
      </c>
      <c r="AE38" s="100" t="n">
        <f aca="false">AE36+AE37</f>
        <v>86949.7221119683</v>
      </c>
      <c r="AF38" s="100" t="n">
        <f aca="false">AF36+AF37</f>
        <v>89046.9075842278</v>
      </c>
      <c r="AG38" s="100" t="n">
        <f aca="false">AG36+AG37</f>
        <v>91144.0930564873</v>
      </c>
      <c r="AH38" s="100" t="n">
        <f aca="false">AH36+AH37</f>
        <v>93241.2785287468</v>
      </c>
      <c r="AI38" s="100" t="n">
        <f aca="false">AI36+AI37</f>
        <v>95338.4640010063</v>
      </c>
      <c r="AJ38" s="100" t="n">
        <f aca="false">AJ36+AJ37</f>
        <v>97435.6494732658</v>
      </c>
      <c r="AK38" s="100" t="n">
        <f aca="false">AK36+AK37</f>
        <v>99532.8349455253</v>
      </c>
      <c r="AL38" s="100" t="n">
        <f aca="false">AL36+AL37</f>
        <v>101630.020417785</v>
      </c>
      <c r="AM38" s="100" t="n">
        <f aca="false">AM36+AM37</f>
        <v>103727.205890044</v>
      </c>
      <c r="AN38" s="100" t="n">
        <f aca="false">AN36+AN37</f>
        <v>105824.391362304</v>
      </c>
      <c r="AO38" s="100" t="n">
        <f aca="false">AO36+AO37</f>
        <v>107921.576834563</v>
      </c>
      <c r="AP38" s="100" t="n">
        <f aca="false">AP36+AP37</f>
        <v>110018.762306823</v>
      </c>
      <c r="AQ38" s="100" t="n">
        <f aca="false">AQ36+AQ37</f>
        <v>112115.947779082</v>
      </c>
      <c r="AR38" s="100" t="n">
        <f aca="false">AR36+AR37</f>
        <v>114213.133251342</v>
      </c>
      <c r="AS38" s="100" t="n">
        <f aca="false">AS36+AS37</f>
        <v>114213.133251342</v>
      </c>
      <c r="AT38" s="100" t="n">
        <f aca="false">AT36+AT37</f>
        <v>114213.133251342</v>
      </c>
      <c r="AU38" s="100" t="n">
        <f aca="false">AU36+AU37</f>
        <v>114213.133251342</v>
      </c>
      <c r="AV38" s="100" t="n">
        <f aca="false">AV36+AV37</f>
        <v>114213.133251342</v>
      </c>
      <c r="AW38" s="100" t="n">
        <f aca="false">AW36+AW37</f>
        <v>114213.133251342</v>
      </c>
      <c r="AX38" s="100" t="n">
        <f aca="false">AX36+AX37</f>
        <v>114213.133251342</v>
      </c>
      <c r="AY38" s="100" t="n">
        <f aca="false">AY36+AY37</f>
        <v>114213.133251342</v>
      </c>
      <c r="AZ38" s="100" t="n">
        <f aca="false">AZ36+AZ37</f>
        <v>114213.133251342</v>
      </c>
      <c r="BA38" s="100" t="n">
        <f aca="false">BA36+BA37</f>
        <v>114213.133251342</v>
      </c>
      <c r="BB38" s="100" t="n">
        <f aca="false">BB36+BB37</f>
        <v>114213.133251342</v>
      </c>
      <c r="BC38" s="100" t="n">
        <f aca="false">BC36+BC37</f>
        <v>114213.133251342</v>
      </c>
      <c r="BD38" s="100" t="n">
        <f aca="false">BD36+BD37</f>
        <v>114213.133251342</v>
      </c>
      <c r="BE38" s="100" t="n">
        <f aca="false">BE36+BE37</f>
        <v>114213.133251342</v>
      </c>
      <c r="BF38" s="100" t="n">
        <f aca="false">BF36+BF37</f>
        <v>114213.133251342</v>
      </c>
      <c r="BG38" s="100" t="n">
        <f aca="false">BG36+BG37</f>
        <v>114213.133251342</v>
      </c>
      <c r="BH38" s="100" t="n">
        <f aca="false">BH36+BH37</f>
        <v>114213.133251342</v>
      </c>
      <c r="BI38" s="100" t="n">
        <f aca="false">BI36+BI37</f>
        <v>114213.133251342</v>
      </c>
      <c r="BJ38" s="100" t="n">
        <f aca="false">BJ36+BJ37</f>
        <v>114213.133251342</v>
      </c>
      <c r="BK38" s="100" t="n">
        <f aca="false">BK36+BK37</f>
        <v>114213.133251342</v>
      </c>
      <c r="BL38" s="100" t="n">
        <f aca="false">BL36+BL37</f>
        <v>114213.133251342</v>
      </c>
      <c r="BM38" s="100" t="n">
        <f aca="false">BM36+BM37</f>
        <v>114213.133251342</v>
      </c>
      <c r="BN38" s="100" t="n">
        <f aca="false">BN36+BN37</f>
        <v>114213.133251342</v>
      </c>
      <c r="BO38" s="100" t="n">
        <f aca="false">BO36+BO37</f>
        <v>114213.133251342</v>
      </c>
      <c r="BP38" s="100" t="n">
        <f aca="false">BP36+BP37</f>
        <v>114213.133251342</v>
      </c>
      <c r="BQ38" s="100" t="n">
        <f aca="false">BQ36+BQ37</f>
        <v>114213.133251342</v>
      </c>
      <c r="BR38" s="100" t="n">
        <f aca="false">BR36+BR37</f>
        <v>114213.133251342</v>
      </c>
      <c r="BS38" s="100" t="n">
        <f aca="false">BS36+BS37</f>
        <v>114213.133251342</v>
      </c>
      <c r="BT38" s="100" t="n">
        <f aca="false">BT36+BT37</f>
        <v>114213.133251342</v>
      </c>
      <c r="BU38" s="100" t="n">
        <f aca="false">BU36+BU37</f>
        <v>114213.133251342</v>
      </c>
      <c r="BV38" s="100" t="n">
        <f aca="false">BV36+BV37</f>
        <v>114213.133251342</v>
      </c>
      <c r="BW38" s="100" t="n">
        <f aca="false">BW36+BW37</f>
        <v>114213.133251342</v>
      </c>
      <c r="BX38" s="100" t="n">
        <f aca="false">BX36+BX37</f>
        <v>114213.133251342</v>
      </c>
      <c r="BY38" s="100" t="n">
        <f aca="false">BY36+BY37</f>
        <v>114213.133251342</v>
      </c>
      <c r="BZ38" s="100" t="n">
        <f aca="false">BZ36+BZ37</f>
        <v>114213.133251342</v>
      </c>
      <c r="CA38" s="100" t="n">
        <f aca="false">CA36+CA37</f>
        <v>114213.133251342</v>
      </c>
      <c r="CB38" s="100" t="n">
        <f aca="false">CB36+CB37</f>
        <v>114213.133251342</v>
      </c>
      <c r="CC38" s="100" t="n">
        <f aca="false">CC36+CC37</f>
        <v>114213.133251342</v>
      </c>
      <c r="CD38" s="100" t="n">
        <f aca="false">CD36+CD37</f>
        <v>114213.133251342</v>
      </c>
      <c r="CE38" s="100" t="n">
        <f aca="false">CE36+CE37</f>
        <v>114213.133251342</v>
      </c>
      <c r="CF38" s="100" t="n">
        <f aca="false">CF36+CF37</f>
        <v>114213.133251342</v>
      </c>
      <c r="CG38" s="100" t="n">
        <f aca="false">CG36+CG37</f>
        <v>114213.133251342</v>
      </c>
      <c r="CH38" s="100" t="n">
        <f aca="false">CH36+CH37</f>
        <v>114213.133251342</v>
      </c>
    </row>
    <row r="39" customFormat="false" ht="13.5" hidden="false" customHeight="true" outlineLevel="0" collapsed="false">
      <c r="A39" s="6" t="s">
        <v>516</v>
      </c>
      <c r="C39" s="100" t="n">
        <f aca="false">-(C19*C21*Hipótesis!$E$18+C23*Hipótesis!$E$22)</f>
        <v>-81.8235</v>
      </c>
      <c r="D39" s="100" t="n">
        <f aca="false">-(D19*D21*Hipótesis!$E$18+D23*Hipótesis!$E$22)</f>
        <v>-175.967735294118</v>
      </c>
      <c r="E39" s="100" t="n">
        <f aca="false">-(E19*E21*Hipótesis!$E$18+E23*Hipótesis!$E$22)</f>
        <v>-434.391371257878</v>
      </c>
      <c r="F39" s="100" t="n">
        <f aca="false">-(F19*F21*Hipótesis!$E$18+F23*Hipótesis!$E$22)</f>
        <v>-610.991507221639</v>
      </c>
      <c r="G39" s="100" t="n">
        <f aca="false">-(G19*G21*Hipótesis!$E$18+G23*Hipótesis!$E$22)</f>
        <v>-775.270907891282</v>
      </c>
      <c r="H39" s="100" t="n">
        <f aca="false">-(H19*H21*Hipótesis!$E$18+H23*Hipótesis!$E$22)</f>
        <v>-1080.72540047269</v>
      </c>
      <c r="I39" s="100" t="n">
        <f aca="false">-(I19*I21*Hipótesis!$E$18+I23*Hipótesis!$E$22)</f>
        <v>-1639.40105833788</v>
      </c>
      <c r="J39" s="100" t="n">
        <f aca="false">-(J19*J21*Hipótesis!$E$18+J23*Hipótesis!$E$22)</f>
        <v>-2198.07671620307</v>
      </c>
      <c r="K39" s="100" t="n">
        <f aca="false">-(K19*K21*Hipótesis!$E$18+K23*Hipótesis!$E$22)</f>
        <v>-2756.75237406826</v>
      </c>
      <c r="L39" s="100" t="n">
        <f aca="false">-(L19*L21*Hipótesis!$E$18+L23*Hipótesis!$E$22)</f>
        <v>-3315.42803193345</v>
      </c>
      <c r="M39" s="100" t="n">
        <f aca="false">-(M19*M21*Hipótesis!$E$18+M23*Hipótesis!$E$22)</f>
        <v>-3709.824289129</v>
      </c>
      <c r="N39" s="100" t="n">
        <f aca="false">-(N19*N21*Hipótesis!$E$18+N23*Hipótesis!$E$22)</f>
        <v>-4309.56613455985</v>
      </c>
      <c r="O39" s="100" t="n">
        <f aca="false">-(O19*O21*Hipótesis!$E$18+O23*Hipótesis!$E$22)</f>
        <v>-4909.30797999069</v>
      </c>
      <c r="P39" s="100" t="n">
        <f aca="false">-(P19*P21*Hipótesis!$E$18+P23*Hipótesis!$E$22)</f>
        <v>-5450.01296880388</v>
      </c>
      <c r="Q39" s="100" t="n">
        <f aca="false">-(Q19*Q21*Hipótesis!$E$18+Q23*Hipótesis!$E$22)</f>
        <v>-5990.71795761708</v>
      </c>
      <c r="R39" s="100" t="n">
        <f aca="false">-(R19*R21*Hipótesis!$E$18+R23*Hipótesis!$E$22)</f>
        <v>-6531.42294643028</v>
      </c>
      <c r="S39" s="100" t="n">
        <f aca="false">-(S19*S21*Hipótesis!$E$18+S23*Hipótesis!$E$22)</f>
        <v>-7072.12793524347</v>
      </c>
      <c r="T39" s="100" t="n">
        <f aca="false">-(T19*T21*Hipótesis!$E$18+T23*Hipótesis!$E$22)</f>
        <v>-7612.83292405667</v>
      </c>
      <c r="U39" s="100" t="n">
        <f aca="false">-(U19*U21*Hipótesis!$E$18+U23*Hipótesis!$E$22)</f>
        <v>-8153.53791286986</v>
      </c>
      <c r="V39" s="100" t="n">
        <f aca="false">-(V19*V21*Hipótesis!$E$18+V23*Hipótesis!$E$22)</f>
        <v>-8694.24290168306</v>
      </c>
      <c r="W39" s="100" t="n">
        <f aca="false">-(W19*W21*Hipótesis!$E$18+W23*Hipótesis!$E$22)</f>
        <v>-9234.94789049625</v>
      </c>
      <c r="X39" s="100" t="n">
        <f aca="false">-(X19*X21*Hipótesis!$E$18+X23*Hipótesis!$E$22)</f>
        <v>-9570.30729107415</v>
      </c>
      <c r="Y39" s="100" t="n">
        <f aca="false">-(Y19*Y21*Hipótesis!$E$18+Y23*Hipótesis!$E$22)</f>
        <v>-9905.66669165206</v>
      </c>
      <c r="Z39" s="100" t="n">
        <f aca="false">-(Z19*Z21*Hipótesis!$E$18+Z23*Hipótesis!$E$22)</f>
        <v>-10158.8878569358</v>
      </c>
      <c r="AA39" s="100" t="n">
        <f aca="false">-(AA19*AA21*Hipótesis!$E$18+AA23*Hipótesis!$E$22)</f>
        <v>-10412.1090222196</v>
      </c>
      <c r="AB39" s="100" t="n">
        <f aca="false">-(AB19*AB21*Hipótesis!$E$18+AB23*Hipótesis!$E$22)</f>
        <v>-10665.3301875034</v>
      </c>
      <c r="AC39" s="100" t="n">
        <f aca="false">-(AC19*AC21*Hipótesis!$E$18+AC23*Hipótesis!$E$22)</f>
        <v>-10918.5513527872</v>
      </c>
      <c r="AD39" s="100" t="n">
        <f aca="false">-(AD19*AD21*Hipótesis!$E$18+AD23*Hipótesis!$E$22)</f>
        <v>-11171.772518071</v>
      </c>
      <c r="AE39" s="100" t="n">
        <f aca="false">-(AE19*AE21*Hipótesis!$E$18+AE23*Hipótesis!$E$22)</f>
        <v>-11424.9936833548</v>
      </c>
      <c r="AF39" s="100" t="n">
        <f aca="false">-(AF19*AF21*Hipótesis!$E$18+AF23*Hipótesis!$E$22)</f>
        <v>-11678.2148486385</v>
      </c>
      <c r="AG39" s="100" t="n">
        <f aca="false">-(AG19*AG21*Hipótesis!$E$18+AG23*Hipótesis!$E$22)</f>
        <v>-11931.4360139223</v>
      </c>
      <c r="AH39" s="100" t="n">
        <f aca="false">-(AH19*AH21*Hipótesis!$E$18+AH23*Hipótesis!$E$22)</f>
        <v>-12184.6571792061</v>
      </c>
      <c r="AI39" s="100" t="n">
        <f aca="false">-(AI19*AI21*Hipótesis!$E$18+AI23*Hipótesis!$E$22)</f>
        <v>-12437.8783444899</v>
      </c>
      <c r="AJ39" s="100" t="n">
        <f aca="false">-(AJ19*AJ21*Hipótesis!$E$18+AJ23*Hipótesis!$E$22)</f>
        <v>-12691.0995097737</v>
      </c>
      <c r="AK39" s="100" t="n">
        <f aca="false">-(AK19*AK21*Hipótesis!$E$18+AK23*Hipótesis!$E$22)</f>
        <v>-12944.3206750575</v>
      </c>
      <c r="AL39" s="100" t="n">
        <f aca="false">-(AL19*AL21*Hipótesis!$E$18+AL23*Hipótesis!$E$22)</f>
        <v>-13197.5418403412</v>
      </c>
      <c r="AM39" s="100" t="n">
        <f aca="false">-(AM19*AM21*Hipótesis!$E$18+AM23*Hipótesis!$E$22)</f>
        <v>-13450.763005625</v>
      </c>
      <c r="AN39" s="100" t="n">
        <f aca="false">-(AN19*AN21*Hipótesis!$E$18+AN23*Hipótesis!$E$22)</f>
        <v>-13703.9841709088</v>
      </c>
      <c r="AO39" s="100" t="n">
        <f aca="false">-(AO19*AO21*Hipótesis!$E$18+AO23*Hipótesis!$E$22)</f>
        <v>-13957.2053361926</v>
      </c>
      <c r="AP39" s="100" t="n">
        <f aca="false">-(AP19*AP21*Hipótesis!$E$18+AP23*Hipótesis!$E$22)</f>
        <v>-14210.4265014764</v>
      </c>
      <c r="AQ39" s="100" t="n">
        <f aca="false">-(AQ19*AQ21*Hipótesis!$E$18+AQ23*Hipótesis!$E$22)</f>
        <v>-14463.6476667602</v>
      </c>
      <c r="AR39" s="100" t="n">
        <f aca="false">-(AR19*AR21*Hipótesis!$E$18+AR23*Hipótesis!$E$22)</f>
        <v>-14716.868832044</v>
      </c>
      <c r="AS39" s="100" t="n">
        <f aca="false">-(AS19*AS21*Hipótesis!$E$18+AS23*Hipótesis!$E$22)</f>
        <v>-14716.868832044</v>
      </c>
      <c r="AT39" s="100" t="n">
        <f aca="false">-(AT19*AT21*Hipótesis!$E$18+AT23*Hipótesis!$E$22)</f>
        <v>-14716.868832044</v>
      </c>
      <c r="AU39" s="100" t="n">
        <f aca="false">-(AU19*AU21*Hipótesis!$E$18+AU23*Hipótesis!$E$22)</f>
        <v>-14716.868832044</v>
      </c>
      <c r="AV39" s="100" t="n">
        <f aca="false">-(AV19*AV21*Hipótesis!$E$18+AV23*Hipótesis!$E$22)</f>
        <v>-14716.868832044</v>
      </c>
      <c r="AW39" s="100" t="n">
        <f aca="false">-(AW19*AW21*Hipótesis!$E$18+AW23*Hipótesis!$E$22)</f>
        <v>-14716.868832044</v>
      </c>
      <c r="AX39" s="100" t="n">
        <f aca="false">-(AX19*AX21*Hipótesis!$E$18+AX23*Hipótesis!$E$22)</f>
        <v>-14716.868832044</v>
      </c>
      <c r="AY39" s="100" t="n">
        <f aca="false">-(AY19*AY21*Hipótesis!$E$18+AY23*Hipótesis!$E$22)</f>
        <v>-14716.868832044</v>
      </c>
      <c r="AZ39" s="100" t="n">
        <f aca="false">-(AZ19*AZ21*Hipótesis!$E$18+AZ23*Hipótesis!$E$22)</f>
        <v>-14716.868832044</v>
      </c>
      <c r="BA39" s="100" t="n">
        <f aca="false">-(BA19*BA21*Hipótesis!$E$18+BA23*Hipótesis!$E$22)</f>
        <v>-14716.868832044</v>
      </c>
      <c r="BB39" s="100" t="n">
        <f aca="false">-(BB19*BB21*Hipótesis!$E$18+BB23*Hipótesis!$E$22)</f>
        <v>-14716.868832044</v>
      </c>
      <c r="BC39" s="100" t="n">
        <f aca="false">-(BC19*BC21*Hipótesis!$E$18+BC23*Hipótesis!$E$22)</f>
        <v>-14716.868832044</v>
      </c>
      <c r="BD39" s="100" t="n">
        <f aca="false">-(BD19*BD21*Hipótesis!$E$18+BD23*Hipótesis!$E$22)</f>
        <v>-14716.868832044</v>
      </c>
      <c r="BE39" s="100" t="n">
        <f aca="false">-(BE19*BE21*Hipótesis!$E$18+BE23*Hipótesis!$E$22)</f>
        <v>-14716.868832044</v>
      </c>
      <c r="BF39" s="100" t="n">
        <f aca="false">-(BF19*BF21*Hipótesis!$E$18+BF23*Hipótesis!$E$22)</f>
        <v>-14716.868832044</v>
      </c>
      <c r="BG39" s="100" t="n">
        <f aca="false">-(BG19*BG21*Hipótesis!$E$18+BG23*Hipótesis!$E$22)</f>
        <v>-14716.868832044</v>
      </c>
      <c r="BH39" s="100" t="n">
        <f aca="false">-(BH19*BH21*Hipótesis!$E$18+BH23*Hipótesis!$E$22)</f>
        <v>-14716.868832044</v>
      </c>
      <c r="BI39" s="100" t="n">
        <f aca="false">-(BI19*BI21*Hipótesis!$E$18+BI23*Hipótesis!$E$22)</f>
        <v>-14716.868832044</v>
      </c>
      <c r="BJ39" s="100" t="n">
        <f aca="false">-(BJ19*BJ21*Hipótesis!$E$18+BJ23*Hipótesis!$E$22)</f>
        <v>-14716.868832044</v>
      </c>
      <c r="BK39" s="100" t="n">
        <f aca="false">-(BK19*BK21*Hipótesis!$E$18+BK23*Hipótesis!$E$22)</f>
        <v>-14716.868832044</v>
      </c>
      <c r="BL39" s="100" t="n">
        <f aca="false">-(BL19*BL21*Hipótesis!$E$18+BL23*Hipótesis!$E$22)</f>
        <v>-14716.868832044</v>
      </c>
      <c r="BM39" s="100" t="n">
        <f aca="false">-(BM19*BM21*Hipótesis!$E$18+BM23*Hipótesis!$E$22)</f>
        <v>-14716.868832044</v>
      </c>
      <c r="BN39" s="100" t="n">
        <f aca="false">-(BN19*BN21*Hipótesis!$E$18+BN23*Hipótesis!$E$22)</f>
        <v>-14716.868832044</v>
      </c>
      <c r="BO39" s="100" t="n">
        <f aca="false">-(BO19*BO21*Hipótesis!$E$18+BO23*Hipótesis!$E$22)</f>
        <v>-14716.868832044</v>
      </c>
      <c r="BP39" s="100" t="n">
        <f aca="false">-(BP19*BP21*Hipótesis!$E$18+BP23*Hipótesis!$E$22)</f>
        <v>-14716.868832044</v>
      </c>
      <c r="BQ39" s="100" t="n">
        <f aca="false">-(BQ19*BQ21*Hipótesis!$E$18+BQ23*Hipótesis!$E$22)</f>
        <v>-14716.868832044</v>
      </c>
      <c r="BR39" s="100" t="n">
        <f aca="false">-(BR19*BR21*Hipótesis!$E$18+BR23*Hipótesis!$E$22)</f>
        <v>-14716.868832044</v>
      </c>
      <c r="BS39" s="100" t="n">
        <f aca="false">-(BS19*BS21*Hipótesis!$E$18+BS23*Hipótesis!$E$22)</f>
        <v>-14716.868832044</v>
      </c>
      <c r="BT39" s="100" t="n">
        <f aca="false">-(BT19*BT21*Hipótesis!$E$18+BT23*Hipótesis!$E$22)</f>
        <v>-14716.868832044</v>
      </c>
      <c r="BU39" s="100" t="n">
        <f aca="false">-(BU19*BU21*Hipótesis!$E$18+BU23*Hipótesis!$E$22)</f>
        <v>-14716.868832044</v>
      </c>
      <c r="BV39" s="100" t="n">
        <f aca="false">-(BV19*BV21*Hipótesis!$E$18+BV23*Hipótesis!$E$22)</f>
        <v>-14716.868832044</v>
      </c>
      <c r="BW39" s="100" t="n">
        <f aca="false">-(BW19*BW21*Hipótesis!$E$18+BW23*Hipótesis!$E$22)</f>
        <v>-14716.868832044</v>
      </c>
      <c r="BX39" s="100" t="n">
        <f aca="false">-(BX19*BX21*Hipótesis!$E$18+BX23*Hipótesis!$E$22)</f>
        <v>-14716.868832044</v>
      </c>
      <c r="BY39" s="100" t="n">
        <f aca="false">-(BY19*BY21*Hipótesis!$E$18+BY23*Hipótesis!$E$22)</f>
        <v>-14716.868832044</v>
      </c>
      <c r="BZ39" s="100" t="n">
        <f aca="false">-(BZ19*BZ21*Hipótesis!$E$18+BZ23*Hipótesis!$E$22)</f>
        <v>-14716.868832044</v>
      </c>
      <c r="CA39" s="100" t="n">
        <f aca="false">-(CA19*CA21*Hipótesis!$E$18+CA23*Hipótesis!$E$22)</f>
        <v>-14716.868832044</v>
      </c>
      <c r="CB39" s="100" t="n">
        <f aca="false">-(CB19*CB21*Hipótesis!$E$18+CB23*Hipótesis!$E$22)</f>
        <v>-14716.868832044</v>
      </c>
      <c r="CC39" s="100" t="n">
        <f aca="false">-(CC19*CC21*Hipótesis!$E$18+CC23*Hipótesis!$E$22)</f>
        <v>-14716.868832044</v>
      </c>
      <c r="CD39" s="100" t="n">
        <f aca="false">-(CD19*CD21*Hipótesis!$E$18+CD23*Hipótesis!$E$22)</f>
        <v>-14716.868832044</v>
      </c>
      <c r="CE39" s="100" t="n">
        <f aca="false">-(CE19*CE21*Hipótesis!$E$18+CE23*Hipótesis!$E$22)</f>
        <v>-14716.868832044</v>
      </c>
      <c r="CF39" s="100" t="n">
        <f aca="false">-(CF19*CF21*Hipótesis!$E$18+CF23*Hipótesis!$E$22)</f>
        <v>-14716.868832044</v>
      </c>
      <c r="CG39" s="100" t="n">
        <f aca="false">-(CG19*CG21*Hipótesis!$E$18+CG23*Hipótesis!$E$22)</f>
        <v>-14716.868832044</v>
      </c>
      <c r="CH39" s="100" t="n">
        <f aca="false">-(CH19*CH21*Hipótesis!$E$18+CH23*Hipótesis!$E$22)</f>
        <v>-14716.868832044</v>
      </c>
    </row>
    <row r="40" customFormat="false" ht="13.5" hidden="false" customHeight="true" outlineLevel="0" collapsed="false">
      <c r="A40" s="46" t="s">
        <v>517</v>
      </c>
      <c r="C40" s="63" t="n">
        <f aca="false">C38+C39</f>
        <v>1139.950125</v>
      </c>
      <c r="D40" s="63" t="n">
        <f aca="false">D38+D39</f>
        <v>2362.71401470588</v>
      </c>
      <c r="E40" s="63" t="n">
        <f aca="false">E38+E39</f>
        <v>4853.17092561712</v>
      </c>
      <c r="F40" s="63" t="n">
        <f aca="false">F38+F39</f>
        <v>6203.67771152836</v>
      </c>
      <c r="G40" s="63" t="n">
        <f aca="false">G38+G39</f>
        <v>7471.37073273372</v>
      </c>
      <c r="H40" s="63" t="n">
        <f aca="false">H38+H39</f>
        <v>9469.95491202731</v>
      </c>
      <c r="I40" s="63" t="n">
        <f aca="false">I38+I39</f>
        <v>13312.5033982966</v>
      </c>
      <c r="J40" s="63" t="n">
        <f aca="false">J38+J39</f>
        <v>17155.0518845659</v>
      </c>
      <c r="K40" s="63" t="n">
        <f aca="false">K38+K39</f>
        <v>20997.6003708352</v>
      </c>
      <c r="L40" s="63" t="n">
        <f aca="false">L38+L39</f>
        <v>24840.1488571045</v>
      </c>
      <c r="M40" s="63" t="n">
        <f aca="false">M38+M39</f>
        <v>27415.0043221685</v>
      </c>
      <c r="N40" s="63" t="n">
        <f aca="false">N38+N39</f>
        <v>30973.6954489971</v>
      </c>
      <c r="O40" s="63" t="n">
        <f aca="false">O38+O39</f>
        <v>34532.3865758258</v>
      </c>
      <c r="P40" s="63" t="n">
        <f aca="false">P38+P39</f>
        <v>37722.0093092721</v>
      </c>
      <c r="Q40" s="63" t="n">
        <f aca="false">Q38+Q39</f>
        <v>40911.6320427183</v>
      </c>
      <c r="R40" s="63" t="n">
        <f aca="false">R38+R39</f>
        <v>44101.2547761647</v>
      </c>
      <c r="S40" s="63" t="n">
        <f aca="false">S38+S39</f>
        <v>47290.877509611</v>
      </c>
      <c r="T40" s="63" t="n">
        <f aca="false">T38+T39</f>
        <v>50480.5002430572</v>
      </c>
      <c r="U40" s="63" t="n">
        <f aca="false">U38+U39</f>
        <v>53670.1229765035</v>
      </c>
      <c r="V40" s="63" t="n">
        <f aca="false">V38+V39</f>
        <v>56859.7457099498</v>
      </c>
      <c r="W40" s="63" t="n">
        <f aca="false">W38+W39</f>
        <v>60049.3684433961</v>
      </c>
      <c r="X40" s="63" t="n">
        <f aca="false">X38+X39</f>
        <v>62255.1555150777</v>
      </c>
      <c r="Y40" s="63" t="n">
        <f aca="false">Y38+Y39</f>
        <v>64460.9425867593</v>
      </c>
      <c r="Z40" s="63" t="n">
        <f aca="false">Z38+Z39</f>
        <v>66304.906893735</v>
      </c>
      <c r="AA40" s="63" t="n">
        <f aca="false">AA38+AA39</f>
        <v>68148.8712007107</v>
      </c>
      <c r="AB40" s="63" t="n">
        <f aca="false">AB38+AB39</f>
        <v>69992.8355076864</v>
      </c>
      <c r="AC40" s="63" t="n">
        <f aca="false">AC38+AC39</f>
        <v>71836.7998146621</v>
      </c>
      <c r="AD40" s="63" t="n">
        <f aca="false">AD38+AD39</f>
        <v>73680.7641216379</v>
      </c>
      <c r="AE40" s="63" t="n">
        <f aca="false">AE38+AE39</f>
        <v>75524.7284286136</v>
      </c>
      <c r="AF40" s="63" t="n">
        <f aca="false">AF38+AF39</f>
        <v>77368.6927355893</v>
      </c>
      <c r="AG40" s="63" t="n">
        <f aca="false">AG38+AG39</f>
        <v>79212.657042565</v>
      </c>
      <c r="AH40" s="63" t="n">
        <f aca="false">AH38+AH39</f>
        <v>81056.6213495407</v>
      </c>
      <c r="AI40" s="63" t="n">
        <f aca="false">AI38+AI39</f>
        <v>82900.5856565164</v>
      </c>
      <c r="AJ40" s="63" t="n">
        <f aca="false">AJ38+AJ39</f>
        <v>84744.5499634921</v>
      </c>
      <c r="AK40" s="63" t="n">
        <f aca="false">AK38+AK39</f>
        <v>86588.5142704678</v>
      </c>
      <c r="AL40" s="63" t="n">
        <f aca="false">AL38+AL39</f>
        <v>88432.4785774435</v>
      </c>
      <c r="AM40" s="63" t="n">
        <f aca="false">AM38+AM39</f>
        <v>90276.4428844192</v>
      </c>
      <c r="AN40" s="63" t="n">
        <f aca="false">AN38+AN39</f>
        <v>92120.4071913949</v>
      </c>
      <c r="AO40" s="63" t="n">
        <f aca="false">AO38+AO39</f>
        <v>93964.3714983707</v>
      </c>
      <c r="AP40" s="63" t="n">
        <f aca="false">AP38+AP39</f>
        <v>95808.3358053464</v>
      </c>
      <c r="AQ40" s="63" t="n">
        <f aca="false">AQ38+AQ39</f>
        <v>97652.3001123221</v>
      </c>
      <c r="AR40" s="63" t="n">
        <f aca="false">AR38+AR39</f>
        <v>99496.2644192978</v>
      </c>
      <c r="AS40" s="63" t="n">
        <f aca="false">AS38+AS39</f>
        <v>99496.2644192978</v>
      </c>
      <c r="AT40" s="63" t="n">
        <f aca="false">AT38+AT39</f>
        <v>99496.2644192978</v>
      </c>
      <c r="AU40" s="63" t="n">
        <f aca="false">AU38+AU39</f>
        <v>99496.2644192978</v>
      </c>
      <c r="AV40" s="63" t="n">
        <f aca="false">AV38+AV39</f>
        <v>99496.2644192978</v>
      </c>
      <c r="AW40" s="63" t="n">
        <f aca="false">AW38+AW39</f>
        <v>99496.2644192978</v>
      </c>
      <c r="AX40" s="63" t="n">
        <f aca="false">AX38+AX39</f>
        <v>99496.2644192978</v>
      </c>
      <c r="AY40" s="63" t="n">
        <f aca="false">AY38+AY39</f>
        <v>99496.2644192978</v>
      </c>
      <c r="AZ40" s="63" t="n">
        <f aca="false">AZ38+AZ39</f>
        <v>99496.2644192978</v>
      </c>
      <c r="BA40" s="63" t="n">
        <f aca="false">BA38+BA39</f>
        <v>99496.2644192978</v>
      </c>
      <c r="BB40" s="63" t="n">
        <f aca="false">BB38+BB39</f>
        <v>99496.2644192978</v>
      </c>
      <c r="BC40" s="63" t="n">
        <f aca="false">BC38+BC39</f>
        <v>99496.2644192978</v>
      </c>
      <c r="BD40" s="63" t="n">
        <f aca="false">BD38+BD39</f>
        <v>99496.2644192978</v>
      </c>
      <c r="BE40" s="63" t="n">
        <f aca="false">BE38+BE39</f>
        <v>99496.2644192978</v>
      </c>
      <c r="BF40" s="63" t="n">
        <f aca="false">BF38+BF39</f>
        <v>99496.2644192978</v>
      </c>
      <c r="BG40" s="63" t="n">
        <f aca="false">BG38+BG39</f>
        <v>99496.2644192978</v>
      </c>
      <c r="BH40" s="63" t="n">
        <f aca="false">BH38+BH39</f>
        <v>99496.2644192978</v>
      </c>
      <c r="BI40" s="63" t="n">
        <f aca="false">BI38+BI39</f>
        <v>99496.2644192978</v>
      </c>
      <c r="BJ40" s="63" t="n">
        <f aca="false">BJ38+BJ39</f>
        <v>99496.2644192978</v>
      </c>
      <c r="BK40" s="63" t="n">
        <f aca="false">BK38+BK39</f>
        <v>99496.2644192978</v>
      </c>
      <c r="BL40" s="63" t="n">
        <f aca="false">BL38+BL39</f>
        <v>99496.2644192978</v>
      </c>
      <c r="BM40" s="63" t="n">
        <f aca="false">BM38+BM39</f>
        <v>99496.2644192978</v>
      </c>
      <c r="BN40" s="63" t="n">
        <f aca="false">BN38+BN39</f>
        <v>99496.2644192978</v>
      </c>
      <c r="BO40" s="63" t="n">
        <f aca="false">BO38+BO39</f>
        <v>99496.2644192978</v>
      </c>
      <c r="BP40" s="63" t="n">
        <f aca="false">BP38+BP39</f>
        <v>99496.2644192978</v>
      </c>
      <c r="BQ40" s="63" t="n">
        <f aca="false">BQ38+BQ39</f>
        <v>99496.2644192978</v>
      </c>
      <c r="BR40" s="63" t="n">
        <f aca="false">BR38+BR39</f>
        <v>99496.2644192978</v>
      </c>
      <c r="BS40" s="63" t="n">
        <f aca="false">BS38+BS39</f>
        <v>99496.2644192978</v>
      </c>
      <c r="BT40" s="63" t="n">
        <f aca="false">BT38+BT39</f>
        <v>99496.2644192978</v>
      </c>
      <c r="BU40" s="63" t="n">
        <f aca="false">BU38+BU39</f>
        <v>99496.2644192978</v>
      </c>
      <c r="BV40" s="63" t="n">
        <f aca="false">BV38+BV39</f>
        <v>99496.2644192978</v>
      </c>
      <c r="BW40" s="63" t="n">
        <f aca="false">BW38+BW39</f>
        <v>99496.2644192978</v>
      </c>
      <c r="BX40" s="63" t="n">
        <f aca="false">BX38+BX39</f>
        <v>99496.2644192978</v>
      </c>
      <c r="BY40" s="63" t="n">
        <f aca="false">BY38+BY39</f>
        <v>99496.2644192978</v>
      </c>
      <c r="BZ40" s="63" t="n">
        <f aca="false">BZ38+BZ39</f>
        <v>99496.2644192978</v>
      </c>
      <c r="CA40" s="63" t="n">
        <f aca="false">CA38+CA39</f>
        <v>99496.2644192978</v>
      </c>
      <c r="CB40" s="63" t="n">
        <f aca="false">CB38+CB39</f>
        <v>99496.2644192978</v>
      </c>
      <c r="CC40" s="63" t="n">
        <f aca="false">CC38+CC39</f>
        <v>99496.2644192978</v>
      </c>
      <c r="CD40" s="63" t="n">
        <f aca="false">CD38+CD39</f>
        <v>99496.2644192978</v>
      </c>
      <c r="CE40" s="63" t="n">
        <f aca="false">CE38+CE39</f>
        <v>99496.2644192978</v>
      </c>
      <c r="CF40" s="63" t="n">
        <f aca="false">CF38+CF39</f>
        <v>99496.2644192978</v>
      </c>
      <c r="CG40" s="63" t="n">
        <f aca="false">CG38+CG39</f>
        <v>99496.2644192978</v>
      </c>
      <c r="CH40" s="63" t="n">
        <f aca="false">CH38+CH39</f>
        <v>99496.2644192978</v>
      </c>
    </row>
    <row r="41" customFormat="false" ht="13.5" hidden="false" customHeight="true" outlineLevel="0" collapsed="false">
      <c r="A41" s="6" t="s">
        <v>518</v>
      </c>
      <c r="C41" s="110" t="n">
        <f aca="false">IFERROR(C40/C38,0)</f>
        <v>0.933028919330289</v>
      </c>
      <c r="D41" s="110" t="n">
        <f aca="false">IFERROR(D40/D38,0)</f>
        <v>0.930685390047761</v>
      </c>
      <c r="E41" s="110" t="n">
        <f aca="false">IFERROR(E40/E38,0)</f>
        <v>0.917846571469313</v>
      </c>
      <c r="F41" s="110" t="n">
        <f aca="false">IFERROR(F40/F38,0)</f>
        <v>0.910341722010432</v>
      </c>
      <c r="G41" s="110" t="n">
        <f aca="false">IFERROR(G40/G38,0)</f>
        <v>0.905989499522799</v>
      </c>
      <c r="H41" s="110" t="n">
        <f aca="false">IFERROR(H40/H38,0)</f>
        <v>0.897568178689644</v>
      </c>
      <c r="I41" s="110" t="n">
        <f aca="false">IFERROR(I40/I38,0)</f>
        <v>0.890355033829123</v>
      </c>
      <c r="J41" s="110" t="n">
        <f aca="false">IFERROR(J40/J38,0)</f>
        <v>0.886422667799782</v>
      </c>
      <c r="K41" s="110" t="n">
        <f aca="false">IFERROR(K40/K38,0)</f>
        <v>0.883947485175755</v>
      </c>
      <c r="L41" s="110" t="n">
        <f aca="false">IFERROR(L40/L38,0)</f>
        <v>0.882246133865427</v>
      </c>
      <c r="M41" s="110" t="n">
        <f aca="false">IFERROR(M40/M38,0)</f>
        <v>0.880808201855208</v>
      </c>
      <c r="N41" s="110" t="n">
        <f aca="false">IFERROR(N40/N38,0)</f>
        <v>0.877858056734522</v>
      </c>
      <c r="O41" s="110" t="n">
        <f aca="false">IFERROR(O40/O38,0)</f>
        <v>0.875529993442771</v>
      </c>
      <c r="P41" s="110" t="n">
        <f aca="false">IFERROR(P40/P38,0)</f>
        <v>0.873760535614947</v>
      </c>
      <c r="Q41" s="110" t="n">
        <f aca="false">IFERROR(Q40/Q38,0)</f>
        <v>0.872272541619466</v>
      </c>
      <c r="R41" s="110" t="n">
        <f aca="false">IFERROR(R40/R38,0)</f>
        <v>0.871003801493287</v>
      </c>
      <c r="S41" s="110" t="n">
        <f aca="false">IFERROR(S40/S38,0)</f>
        <v>0.869909180381548</v>
      </c>
      <c r="T41" s="110" t="n">
        <f aca="false">IFERROR(T40/T38,0)</f>
        <v>0.868955136346588</v>
      </c>
      <c r="U41" s="110" t="n">
        <f aca="false">IFERROR(U40/U38,0)</f>
        <v>0.868116222889814</v>
      </c>
      <c r="V41" s="110" t="n">
        <f aca="false">IFERROR(V40/V38,0)</f>
        <v>0.867372785610482</v>
      </c>
      <c r="W41" s="110" t="n">
        <f aca="false">IFERROR(W40/W38,0)</f>
        <v>0.866709402947825</v>
      </c>
      <c r="X41" s="110" t="n">
        <f aca="false">IFERROR(X40/X38,0)</f>
        <v>0.866756065089295</v>
      </c>
      <c r="Y41" s="110" t="n">
        <f aca="false">IFERROR(Y40/Y38,0)</f>
        <v>0.866799538290531</v>
      </c>
      <c r="Z41" s="110" t="n">
        <f aca="false">IFERROR(Z40/Z38,0)</f>
        <v>0.867141202054366</v>
      </c>
      <c r="AA41" s="110" t="n">
        <f aca="false">IFERROR(AA40/AA38,0)</f>
        <v>0.867464624388934</v>
      </c>
      <c r="AB41" s="110" t="n">
        <f aca="false">IFERROR(AB40/AB38,0)</f>
        <v>0.867771228175358</v>
      </c>
      <c r="AC41" s="110" t="n">
        <f aca="false">IFERROR(AC40/AC38,0)</f>
        <v>0.868062292060192</v>
      </c>
      <c r="AD41" s="110" t="n">
        <f aca="false">IFERROR(AD40/AD38,0)</f>
        <v>0.868338968279672</v>
      </c>
      <c r="AE41" s="110" t="n">
        <f aca="false">IFERROR(AE40/AE38,0)</f>
        <v>0.868602297904502</v>
      </c>
      <c r="AF41" s="110" t="n">
        <f aca="false">IFERROR(AF40/AF38,0)</f>
        <v>0.868853223930406</v>
      </c>
      <c r="AG41" s="110" t="n">
        <f aca="false">IFERROR(AG40/AG38,0)</f>
        <v>0.869092602561444</v>
      </c>
      <c r="AH41" s="110" t="n">
        <f aca="false">IFERROR(AH40/AH38,0)</f>
        <v>0.86932121297061</v>
      </c>
      <c r="AI41" s="110" t="n">
        <f aca="false">IFERROR(AI40/AI38,0)</f>
        <v>0.869539765772201</v>
      </c>
      <c r="AJ41" s="110" t="n">
        <f aca="false">IFERROR(AJ40/AJ38,0)</f>
        <v>0.869748910400029</v>
      </c>
      <c r="AK41" s="110" t="n">
        <f aca="false">IFERROR(AK40/AK38,0)</f>
        <v>0.869949241552881</v>
      </c>
      <c r="AL41" s="110" t="n">
        <f aca="false">IFERROR(AL40/AL38,0)</f>
        <v>0.870141304841933</v>
      </c>
      <c r="AM41" s="110" t="n">
        <f aca="false">IFERROR(AM40/AM38,0)</f>
        <v>0.870325601753088</v>
      </c>
      <c r="AN41" s="110" t="n">
        <f aca="false">IFERROR(AN40/AN38,0)</f>
        <v>0.870502594019261</v>
      </c>
      <c r="AO41" s="110" t="n">
        <f aca="false">IFERROR(AO40/AO38,0)</f>
        <v>0.870672707482878</v>
      </c>
      <c r="AP41" s="110" t="n">
        <f aca="false">IFERROR(AP40/AP38,0)</f>
        <v>0.870836335516609</v>
      </c>
      <c r="AQ41" s="110" t="n">
        <f aca="false">IFERROR(AQ40/AQ38,0)</f>
        <v>0.870993842060187</v>
      </c>
      <c r="AR41" s="110" t="n">
        <f aca="false">IFERROR(AR40/AR38,0)</f>
        <v>0.871145564322647</v>
      </c>
      <c r="AS41" s="110" t="n">
        <f aca="false">IFERROR(AS40/AS38,0)</f>
        <v>0.871145564322647</v>
      </c>
      <c r="AT41" s="110" t="n">
        <f aca="false">IFERROR(AT40/AT38,0)</f>
        <v>0.871145564322647</v>
      </c>
      <c r="AU41" s="110" t="n">
        <f aca="false">IFERROR(AU40/AU38,0)</f>
        <v>0.871145564322647</v>
      </c>
      <c r="AV41" s="110" t="n">
        <f aca="false">IFERROR(AV40/AV38,0)</f>
        <v>0.871145564322647</v>
      </c>
      <c r="AW41" s="110" t="n">
        <f aca="false">IFERROR(AW40/AW38,0)</f>
        <v>0.871145564322647</v>
      </c>
      <c r="AX41" s="110" t="n">
        <f aca="false">IFERROR(AX40/AX38,0)</f>
        <v>0.871145564322647</v>
      </c>
      <c r="AY41" s="110" t="n">
        <f aca="false">IFERROR(AY40/AY38,0)</f>
        <v>0.871145564322647</v>
      </c>
      <c r="AZ41" s="110" t="n">
        <f aca="false">IFERROR(AZ40/AZ38,0)</f>
        <v>0.871145564322647</v>
      </c>
      <c r="BA41" s="110" t="n">
        <f aca="false">IFERROR(BA40/BA38,0)</f>
        <v>0.871145564322647</v>
      </c>
      <c r="BB41" s="110" t="n">
        <f aca="false">IFERROR(BB40/BB38,0)</f>
        <v>0.871145564322647</v>
      </c>
      <c r="BC41" s="110" t="n">
        <f aca="false">IFERROR(BC40/BC38,0)</f>
        <v>0.871145564322647</v>
      </c>
      <c r="BD41" s="110" t="n">
        <f aca="false">IFERROR(BD40/BD38,0)</f>
        <v>0.871145564322647</v>
      </c>
      <c r="BE41" s="110" t="n">
        <f aca="false">IFERROR(BE40/BE38,0)</f>
        <v>0.871145564322647</v>
      </c>
      <c r="BF41" s="110" t="n">
        <f aca="false">IFERROR(BF40/BF38,0)</f>
        <v>0.871145564322647</v>
      </c>
      <c r="BG41" s="110" t="n">
        <f aca="false">IFERROR(BG40/BG38,0)</f>
        <v>0.871145564322647</v>
      </c>
      <c r="BH41" s="110" t="n">
        <f aca="false">IFERROR(BH40/BH38,0)</f>
        <v>0.871145564322647</v>
      </c>
      <c r="BI41" s="110" t="n">
        <f aca="false">IFERROR(BI40/BI38,0)</f>
        <v>0.871145564322647</v>
      </c>
      <c r="BJ41" s="110" t="n">
        <f aca="false">IFERROR(BJ40/BJ38,0)</f>
        <v>0.871145564322647</v>
      </c>
      <c r="BK41" s="110" t="n">
        <f aca="false">IFERROR(BK40/BK38,0)</f>
        <v>0.871145564322647</v>
      </c>
      <c r="BL41" s="110" t="n">
        <f aca="false">IFERROR(BL40/BL38,0)</f>
        <v>0.871145564322647</v>
      </c>
      <c r="BM41" s="110" t="n">
        <f aca="false">IFERROR(BM40/BM38,0)</f>
        <v>0.871145564322647</v>
      </c>
      <c r="BN41" s="110" t="n">
        <f aca="false">IFERROR(BN40/BN38,0)</f>
        <v>0.871145564322647</v>
      </c>
      <c r="BO41" s="110" t="n">
        <f aca="false">IFERROR(BO40/BO38,0)</f>
        <v>0.871145564322647</v>
      </c>
      <c r="BP41" s="110" t="n">
        <f aca="false">IFERROR(BP40/BP38,0)</f>
        <v>0.871145564322647</v>
      </c>
      <c r="BQ41" s="110" t="n">
        <f aca="false">IFERROR(BQ40/BQ38,0)</f>
        <v>0.871145564322647</v>
      </c>
      <c r="BR41" s="110" t="n">
        <f aca="false">IFERROR(BR40/BR38,0)</f>
        <v>0.871145564322647</v>
      </c>
      <c r="BS41" s="110" t="n">
        <f aca="false">IFERROR(BS40/BS38,0)</f>
        <v>0.871145564322647</v>
      </c>
      <c r="BT41" s="110" t="n">
        <f aca="false">IFERROR(BT40/BT38,0)</f>
        <v>0.871145564322647</v>
      </c>
      <c r="BU41" s="110" t="n">
        <f aca="false">IFERROR(BU40/BU38,0)</f>
        <v>0.871145564322647</v>
      </c>
      <c r="BV41" s="110" t="n">
        <f aca="false">IFERROR(BV40/BV38,0)</f>
        <v>0.871145564322647</v>
      </c>
      <c r="BW41" s="110" t="n">
        <f aca="false">IFERROR(BW40/BW38,0)</f>
        <v>0.871145564322647</v>
      </c>
      <c r="BX41" s="110" t="n">
        <f aca="false">IFERROR(BX40/BX38,0)</f>
        <v>0.871145564322647</v>
      </c>
      <c r="BY41" s="110" t="n">
        <f aca="false">IFERROR(BY40/BY38,0)</f>
        <v>0.871145564322647</v>
      </c>
      <c r="BZ41" s="110" t="n">
        <f aca="false">IFERROR(BZ40/BZ38,0)</f>
        <v>0.871145564322647</v>
      </c>
      <c r="CA41" s="110" t="n">
        <f aca="false">IFERROR(CA40/CA38,0)</f>
        <v>0.871145564322647</v>
      </c>
      <c r="CB41" s="110" t="n">
        <f aca="false">IFERROR(CB40/CB38,0)</f>
        <v>0.871145564322647</v>
      </c>
      <c r="CC41" s="110" t="n">
        <f aca="false">IFERROR(CC40/CC38,0)</f>
        <v>0.871145564322647</v>
      </c>
      <c r="CD41" s="110" t="n">
        <f aca="false">IFERROR(CD40/CD38,0)</f>
        <v>0.871145564322647</v>
      </c>
      <c r="CE41" s="110" t="n">
        <f aca="false">IFERROR(CE40/CE38,0)</f>
        <v>0.871145564322647</v>
      </c>
      <c r="CF41" s="110" t="n">
        <f aca="false">IFERROR(CF40/CF38,0)</f>
        <v>0.871145564322647</v>
      </c>
      <c r="CG41" s="110" t="n">
        <f aca="false">IFERROR(CG40/CG38,0)</f>
        <v>0.871145564322647</v>
      </c>
      <c r="CH41" s="110" t="n">
        <f aca="false">IFERROR(CH40/CH38,0)</f>
        <v>0.871145564322647</v>
      </c>
    </row>
    <row r="42" customFormat="false" ht="13.5" hidden="false" customHeight="true" outlineLevel="0" collapsed="false">
      <c r="A42" s="6" t="s">
        <v>519</v>
      </c>
      <c r="C42" s="100" t="n">
        <f aca="false">-Hipótesis!$E$36</f>
        <v>-1800</v>
      </c>
      <c r="D42" s="100" t="n">
        <f aca="false">-Hipótesis!$E$36</f>
        <v>-1800</v>
      </c>
      <c r="E42" s="100" t="n">
        <f aca="false">-Hipótesis!$E$36</f>
        <v>-1800</v>
      </c>
      <c r="F42" s="100" t="n">
        <f aca="false">-Hipótesis!$E$36</f>
        <v>-1800</v>
      </c>
      <c r="G42" s="100" t="n">
        <f aca="false">-Hipótesis!$E$36</f>
        <v>-1800</v>
      </c>
      <c r="H42" s="100" t="n">
        <f aca="false">-Hipótesis!$E$36</f>
        <v>-1800</v>
      </c>
      <c r="I42" s="100" t="n">
        <f aca="false">-Hipótesis!$E$36</f>
        <v>-1800</v>
      </c>
      <c r="J42" s="100" t="n">
        <f aca="false">-Hipótesis!$E$36</f>
        <v>-1800</v>
      </c>
      <c r="K42" s="100" t="n">
        <f aca="false">-Hipótesis!$E$36</f>
        <v>-1800</v>
      </c>
      <c r="L42" s="100" t="n">
        <f aca="false">-Hipótesis!$E$36</f>
        <v>-1800</v>
      </c>
      <c r="M42" s="100" t="n">
        <f aca="false">-Hipótesis!$E$36</f>
        <v>-1800</v>
      </c>
      <c r="N42" s="100" t="n">
        <f aca="false">-Hipótesis!$E$36</f>
        <v>-1800</v>
      </c>
      <c r="O42" s="100" t="n">
        <f aca="false">-Hipótesis!$E$36</f>
        <v>-1800</v>
      </c>
      <c r="P42" s="100" t="n">
        <f aca="false">-Hipótesis!$E$36</f>
        <v>-1800</v>
      </c>
      <c r="Q42" s="100" t="n">
        <f aca="false">-Hipótesis!$E$36</f>
        <v>-1800</v>
      </c>
      <c r="R42" s="100" t="n">
        <f aca="false">-Hipótesis!$E$36</f>
        <v>-1800</v>
      </c>
      <c r="S42" s="100" t="n">
        <f aca="false">-Hipótesis!$E$36</f>
        <v>-1800</v>
      </c>
      <c r="T42" s="100" t="n">
        <f aca="false">-Hipótesis!$E$36</f>
        <v>-1800</v>
      </c>
      <c r="U42" s="100" t="n">
        <f aca="false">-Hipótesis!$E$36</f>
        <v>-1800</v>
      </c>
      <c r="V42" s="100" t="n">
        <f aca="false">-Hipótesis!$E$36</f>
        <v>-1800</v>
      </c>
      <c r="W42" s="100" t="n">
        <f aca="false">-Hipótesis!$E$36</f>
        <v>-1800</v>
      </c>
      <c r="X42" s="100" t="n">
        <f aca="false">-Hipótesis!$E$36</f>
        <v>-1800</v>
      </c>
      <c r="Y42" s="100" t="n">
        <f aca="false">-Hipótesis!$E$36</f>
        <v>-1800</v>
      </c>
      <c r="Z42" s="100" t="n">
        <f aca="false">-Hipótesis!$E$36</f>
        <v>-1800</v>
      </c>
      <c r="AA42" s="100" t="n">
        <f aca="false">-Hipótesis!$E$36</f>
        <v>-1800</v>
      </c>
      <c r="AB42" s="100" t="n">
        <f aca="false">-Hipótesis!$E$36</f>
        <v>-1800</v>
      </c>
      <c r="AC42" s="100" t="n">
        <f aca="false">-Hipótesis!$E$36</f>
        <v>-1800</v>
      </c>
      <c r="AD42" s="100" t="n">
        <f aca="false">-Hipótesis!$E$36</f>
        <v>-1800</v>
      </c>
      <c r="AE42" s="100" t="n">
        <f aca="false">-Hipótesis!$E$36</f>
        <v>-1800</v>
      </c>
      <c r="AF42" s="100" t="n">
        <f aca="false">-Hipótesis!$E$36</f>
        <v>-1800</v>
      </c>
      <c r="AG42" s="100" t="n">
        <f aca="false">-Hipótesis!$E$36</f>
        <v>-1800</v>
      </c>
      <c r="AH42" s="100" t="n">
        <f aca="false">-Hipótesis!$E$36</f>
        <v>-1800</v>
      </c>
      <c r="AI42" s="100" t="n">
        <f aca="false">-Hipótesis!$E$36</f>
        <v>-1800</v>
      </c>
      <c r="AJ42" s="100" t="n">
        <f aca="false">-Hipótesis!$E$36</f>
        <v>-1800</v>
      </c>
      <c r="AK42" s="100" t="n">
        <f aca="false">-Hipótesis!$E$36</f>
        <v>-1800</v>
      </c>
      <c r="AL42" s="100" t="n">
        <f aca="false">-Hipótesis!$E$36</f>
        <v>-1800</v>
      </c>
      <c r="AM42" s="100" t="n">
        <f aca="false">-Hipótesis!$E$36</f>
        <v>-1800</v>
      </c>
      <c r="AN42" s="100" t="n">
        <f aca="false">-Hipótesis!$E$36</f>
        <v>-1800</v>
      </c>
      <c r="AO42" s="100" t="n">
        <f aca="false">-Hipótesis!$E$36</f>
        <v>-1800</v>
      </c>
      <c r="AP42" s="100" t="n">
        <f aca="false">-Hipótesis!$E$36</f>
        <v>-1800</v>
      </c>
      <c r="AQ42" s="100" t="n">
        <f aca="false">-Hipótesis!$E$36</f>
        <v>-1800</v>
      </c>
      <c r="AR42" s="100" t="n">
        <f aca="false">-Hipótesis!$E$36</f>
        <v>-1800</v>
      </c>
      <c r="AS42" s="100" t="n">
        <f aca="false">-Hipótesis!$E$36</f>
        <v>-1800</v>
      </c>
      <c r="AT42" s="100" t="n">
        <f aca="false">-Hipótesis!$E$36</f>
        <v>-1800</v>
      </c>
      <c r="AU42" s="100" t="n">
        <f aca="false">-Hipótesis!$E$36</f>
        <v>-1800</v>
      </c>
      <c r="AV42" s="100" t="n">
        <f aca="false">-Hipótesis!$E$36</f>
        <v>-1800</v>
      </c>
      <c r="AW42" s="100" t="n">
        <f aca="false">-Hipótesis!$E$36</f>
        <v>-1800</v>
      </c>
      <c r="AX42" s="100" t="n">
        <f aca="false">-Hipótesis!$E$36</f>
        <v>-1800</v>
      </c>
      <c r="AY42" s="100" t="n">
        <f aca="false">-Hipótesis!$E$36</f>
        <v>-1800</v>
      </c>
      <c r="AZ42" s="100" t="n">
        <f aca="false">-Hipótesis!$E$36</f>
        <v>-1800</v>
      </c>
      <c r="BA42" s="100" t="n">
        <f aca="false">-Hipótesis!$E$36</f>
        <v>-1800</v>
      </c>
      <c r="BB42" s="100" t="n">
        <f aca="false">-Hipótesis!$E$36</f>
        <v>-1800</v>
      </c>
      <c r="BC42" s="100" t="n">
        <f aca="false">-Hipótesis!$E$36</f>
        <v>-1800</v>
      </c>
      <c r="BD42" s="100" t="n">
        <f aca="false">-Hipótesis!$E$36</f>
        <v>-1800</v>
      </c>
      <c r="BE42" s="100" t="n">
        <f aca="false">-Hipótesis!$E$36</f>
        <v>-1800</v>
      </c>
      <c r="BF42" s="100" t="n">
        <f aca="false">-Hipótesis!$E$36</f>
        <v>-1800</v>
      </c>
      <c r="BG42" s="100" t="n">
        <f aca="false">-Hipótesis!$E$36</f>
        <v>-1800</v>
      </c>
      <c r="BH42" s="100" t="n">
        <f aca="false">-Hipótesis!$E$36</f>
        <v>-1800</v>
      </c>
      <c r="BI42" s="100" t="n">
        <f aca="false">-Hipótesis!$E$36</f>
        <v>-1800</v>
      </c>
      <c r="BJ42" s="100" t="n">
        <f aca="false">-Hipótesis!$E$36</f>
        <v>-1800</v>
      </c>
      <c r="BK42" s="100" t="n">
        <f aca="false">-Hipótesis!$E$36</f>
        <v>-1800</v>
      </c>
      <c r="BL42" s="100" t="n">
        <f aca="false">-Hipótesis!$E$36</f>
        <v>-1800</v>
      </c>
      <c r="BM42" s="100" t="n">
        <f aca="false">-Hipótesis!$E$36</f>
        <v>-1800</v>
      </c>
      <c r="BN42" s="100" t="n">
        <f aca="false">-Hipótesis!$E$36</f>
        <v>-1800</v>
      </c>
      <c r="BO42" s="100" t="n">
        <f aca="false">-Hipótesis!$E$36</f>
        <v>-1800</v>
      </c>
      <c r="BP42" s="100" t="n">
        <f aca="false">-Hipótesis!$E$36</f>
        <v>-1800</v>
      </c>
      <c r="BQ42" s="100" t="n">
        <f aca="false">-Hipótesis!$E$36</f>
        <v>-1800</v>
      </c>
      <c r="BR42" s="100" t="n">
        <f aca="false">-Hipótesis!$E$36</f>
        <v>-1800</v>
      </c>
      <c r="BS42" s="100" t="n">
        <f aca="false">-Hipótesis!$E$36</f>
        <v>-1800</v>
      </c>
      <c r="BT42" s="100" t="n">
        <f aca="false">-Hipótesis!$E$36</f>
        <v>-1800</v>
      </c>
      <c r="BU42" s="100" t="n">
        <f aca="false">-Hipótesis!$E$36</f>
        <v>-1800</v>
      </c>
      <c r="BV42" s="100" t="n">
        <f aca="false">-Hipótesis!$E$36</f>
        <v>-1800</v>
      </c>
      <c r="BW42" s="100" t="n">
        <f aca="false">-Hipótesis!$E$36</f>
        <v>-1800</v>
      </c>
      <c r="BX42" s="100" t="n">
        <f aca="false">-Hipótesis!$E$36</f>
        <v>-1800</v>
      </c>
      <c r="BY42" s="100" t="n">
        <f aca="false">-Hipótesis!$E$36</f>
        <v>-1800</v>
      </c>
      <c r="BZ42" s="100" t="n">
        <f aca="false">-Hipótesis!$E$36</f>
        <v>-1800</v>
      </c>
      <c r="CA42" s="100" t="n">
        <f aca="false">-Hipótesis!$E$36</f>
        <v>-1800</v>
      </c>
      <c r="CB42" s="100" t="n">
        <f aca="false">-Hipótesis!$E$36</f>
        <v>-1800</v>
      </c>
      <c r="CC42" s="100" t="n">
        <f aca="false">-Hipótesis!$E$36</f>
        <v>-1800</v>
      </c>
      <c r="CD42" s="100" t="n">
        <f aca="false">-Hipótesis!$E$36</f>
        <v>-1800</v>
      </c>
      <c r="CE42" s="100" t="n">
        <f aca="false">-Hipótesis!$E$36</f>
        <v>-1800</v>
      </c>
      <c r="CF42" s="100" t="n">
        <f aca="false">-Hipótesis!$E$36</f>
        <v>-1800</v>
      </c>
      <c r="CG42" s="100" t="n">
        <f aca="false">-Hipótesis!$E$36</f>
        <v>-1800</v>
      </c>
      <c r="CH42" s="100" t="n">
        <f aca="false">-Hipótesis!$E$36</f>
        <v>-1800</v>
      </c>
    </row>
    <row r="43" customFormat="false" ht="13.5" hidden="false" customHeight="true" outlineLevel="0" collapsed="false">
      <c r="A43" s="6" t="s">
        <v>520</v>
      </c>
      <c r="C43" s="100" t="n">
        <f aca="false">-(Hipótesis!$E$37+C24*Hipótesis!$E$38)</f>
        <v>-322.086000396958</v>
      </c>
      <c r="D43" s="100" t="n">
        <f aca="false">-(Hipótesis!$E$37+D24*Hipótesis!$E$38)</f>
        <v>-345.140927496003</v>
      </c>
      <c r="E43" s="100" t="n">
        <f aca="false">-(Hipótesis!$E$37+E24*Hipótesis!$E$38)</f>
        <v>-384.544057126521</v>
      </c>
      <c r="F43" s="100" t="n">
        <f aca="false">-(Hipótesis!$E$37+F24*Hipótesis!$E$38)</f>
        <v>-401.86118636008</v>
      </c>
      <c r="G43" s="100" t="n">
        <f aca="false">-(Hipótesis!$E$37+G24*Hipótesis!$E$38)</f>
        <v>-418.209388891554</v>
      </c>
      <c r="H43" s="100" t="n">
        <f aca="false">-(Hipótesis!$E$37+H24*Hipótesis!$E$38)</f>
        <v>-445.6598765511</v>
      </c>
      <c r="I43" s="100" t="n">
        <f aca="false">-(Hipótesis!$E$37+I24*Hipótesis!$E$38)</f>
        <v>-497.310364210647</v>
      </c>
      <c r="J43" s="100" t="n">
        <f aca="false">-(Hipótesis!$E$37+J24*Hipótesis!$E$38)</f>
        <v>-548.960851870194</v>
      </c>
      <c r="K43" s="100" t="n">
        <f aca="false">-(Hipótesis!$E$37+K24*Hipótesis!$E$38)</f>
        <v>-600.611339529741</v>
      </c>
      <c r="L43" s="100" t="n">
        <f aca="false">-(Hipótesis!$E$37+L24*Hipótesis!$E$38)</f>
        <v>-652.261827189288</v>
      </c>
      <c r="M43" s="100" t="n">
        <f aca="false">-(Hipótesis!$E$37+M24*Hipótesis!$E$38)</f>
        <v>-687.564112317362</v>
      </c>
      <c r="N43" s="100" t="n">
        <f aca="false">-(Hipótesis!$E$37+N24*Hipótesis!$E$38)</f>
        <v>-739.015175813543</v>
      </c>
      <c r="O43" s="100" t="n">
        <f aca="false">-(Hipótesis!$E$37+O24*Hipótesis!$E$38)</f>
        <v>-790.466239309724</v>
      </c>
      <c r="P43" s="100" t="n">
        <f aca="false">-(Hipótesis!$E$37+P24*Hipótesis!$E$38)</f>
        <v>-837.274529025074</v>
      </c>
      <c r="Q43" s="100" t="n">
        <f aca="false">-(Hipótesis!$E$37+Q24*Hipótesis!$E$38)</f>
        <v>-884.082818740425</v>
      </c>
      <c r="R43" s="100" t="n">
        <f aca="false">-(Hipótesis!$E$37+R24*Hipótesis!$E$38)</f>
        <v>-930.891108455775</v>
      </c>
      <c r="S43" s="100" t="n">
        <f aca="false">-(Hipótesis!$E$37+S24*Hipótesis!$E$38)</f>
        <v>-977.699398171125</v>
      </c>
      <c r="T43" s="100" t="n">
        <f aca="false">-(Hipótesis!$E$37+T24*Hipótesis!$E$38)</f>
        <v>-1024.50768788648</v>
      </c>
      <c r="U43" s="100" t="n">
        <f aca="false">-(Hipótesis!$E$37+U24*Hipótesis!$E$38)</f>
        <v>-1071.31597760183</v>
      </c>
      <c r="V43" s="100" t="n">
        <f aca="false">-(Hipótesis!$E$37+V24*Hipótesis!$E$38)</f>
        <v>-1118.12426731718</v>
      </c>
      <c r="W43" s="100" t="n">
        <f aca="false">-(Hipótesis!$E$37+W24*Hipótesis!$E$38)</f>
        <v>-1164.93255703253</v>
      </c>
      <c r="X43" s="100" t="n">
        <f aca="false">-(Hipótesis!$E$37+X24*Hipótesis!$E$38)</f>
        <v>-1195.59206837977</v>
      </c>
      <c r="Y43" s="100" t="n">
        <f aca="false">-(Hipótesis!$E$37+Y24*Hipótesis!$E$38)</f>
        <v>-1226.25157972701</v>
      </c>
      <c r="Z43" s="100" t="n">
        <f aca="false">-(Hipótesis!$E$37+Z24*Hipótesis!$E$38)</f>
        <v>-1250.45157972701</v>
      </c>
      <c r="AA43" s="100" t="n">
        <f aca="false">-(Hipótesis!$E$37+AA24*Hipótesis!$E$38)</f>
        <v>-1274.65157972701</v>
      </c>
      <c r="AB43" s="100" t="n">
        <f aca="false">-(Hipótesis!$E$37+AB24*Hipótesis!$E$38)</f>
        <v>-1298.85157972701</v>
      </c>
      <c r="AC43" s="100" t="n">
        <f aca="false">-(Hipótesis!$E$37+AC24*Hipótesis!$E$38)</f>
        <v>-1323.05157972701</v>
      </c>
      <c r="AD43" s="100" t="n">
        <f aca="false">-(Hipótesis!$E$37+AD24*Hipótesis!$E$38)</f>
        <v>-1347.25157972701</v>
      </c>
      <c r="AE43" s="100" t="n">
        <f aca="false">-(Hipótesis!$E$37+AE24*Hipótesis!$E$38)</f>
        <v>-1371.45157972701</v>
      </c>
      <c r="AF43" s="100" t="n">
        <f aca="false">-(Hipótesis!$E$37+AF24*Hipótesis!$E$38)</f>
        <v>-1395.65157972701</v>
      </c>
      <c r="AG43" s="100" t="n">
        <f aca="false">-(Hipótesis!$E$37+AG24*Hipótesis!$E$38)</f>
        <v>-1419.85157972701</v>
      </c>
      <c r="AH43" s="100" t="n">
        <f aca="false">-(Hipótesis!$E$37+AH24*Hipótesis!$E$38)</f>
        <v>-1444.05157972701</v>
      </c>
      <c r="AI43" s="100" t="n">
        <f aca="false">-(Hipótesis!$E$37+AI24*Hipótesis!$E$38)</f>
        <v>-1468.25157972701</v>
      </c>
      <c r="AJ43" s="100" t="n">
        <f aca="false">-(Hipótesis!$E$37+AJ24*Hipótesis!$E$38)</f>
        <v>-1492.45157972701</v>
      </c>
      <c r="AK43" s="100" t="n">
        <f aca="false">-(Hipótesis!$E$37+AK24*Hipótesis!$E$38)</f>
        <v>-1516.65157972701</v>
      </c>
      <c r="AL43" s="100" t="n">
        <f aca="false">-(Hipótesis!$E$37+AL24*Hipótesis!$E$38)</f>
        <v>-1540.85157972701</v>
      </c>
      <c r="AM43" s="100" t="n">
        <f aca="false">-(Hipótesis!$E$37+AM24*Hipótesis!$E$38)</f>
        <v>-1565.05157972701</v>
      </c>
      <c r="AN43" s="100" t="n">
        <f aca="false">-(Hipótesis!$E$37+AN24*Hipótesis!$E$38)</f>
        <v>-1589.25157972701</v>
      </c>
      <c r="AO43" s="100" t="n">
        <f aca="false">-(Hipótesis!$E$37+AO24*Hipótesis!$E$38)</f>
        <v>-1613.45157972701</v>
      </c>
      <c r="AP43" s="100" t="n">
        <f aca="false">-(Hipótesis!$E$37+AP24*Hipótesis!$E$38)</f>
        <v>-1637.65157972701</v>
      </c>
      <c r="AQ43" s="100" t="n">
        <f aca="false">-(Hipótesis!$E$37+AQ24*Hipótesis!$E$38)</f>
        <v>-1661.85157972701</v>
      </c>
      <c r="AR43" s="100" t="n">
        <f aca="false">-(Hipótesis!$E$37+AR24*Hipótesis!$E$38)</f>
        <v>-1686.05157972701</v>
      </c>
      <c r="AS43" s="100" t="n">
        <f aca="false">-(Hipótesis!$E$37+AS24*Hipótesis!$E$38)</f>
        <v>-1686.05157972701</v>
      </c>
      <c r="AT43" s="100" t="n">
        <f aca="false">-(Hipótesis!$E$37+AT24*Hipótesis!$E$38)</f>
        <v>-1686.05157972701</v>
      </c>
      <c r="AU43" s="100" t="n">
        <f aca="false">-(Hipótesis!$E$37+AU24*Hipótesis!$E$38)</f>
        <v>-1686.05157972701</v>
      </c>
      <c r="AV43" s="100" t="n">
        <f aca="false">-(Hipótesis!$E$37+AV24*Hipótesis!$E$38)</f>
        <v>-1686.05157972701</v>
      </c>
      <c r="AW43" s="100" t="n">
        <f aca="false">-(Hipótesis!$E$37+AW24*Hipótesis!$E$38)</f>
        <v>-1686.05157972701</v>
      </c>
      <c r="AX43" s="100" t="n">
        <f aca="false">-(Hipótesis!$E$37+AX24*Hipótesis!$E$38)</f>
        <v>-1686.05157972701</v>
      </c>
      <c r="AY43" s="100" t="n">
        <f aca="false">-(Hipótesis!$E$37+AY24*Hipótesis!$E$38)</f>
        <v>-1686.05157972701</v>
      </c>
      <c r="AZ43" s="100" t="n">
        <f aca="false">-(Hipótesis!$E$37+AZ24*Hipótesis!$E$38)</f>
        <v>-1686.05157972701</v>
      </c>
      <c r="BA43" s="100" t="n">
        <f aca="false">-(Hipótesis!$E$37+BA24*Hipótesis!$E$38)</f>
        <v>-1686.05157972701</v>
      </c>
      <c r="BB43" s="100" t="n">
        <f aca="false">-(Hipótesis!$E$37+BB24*Hipótesis!$E$38)</f>
        <v>-1686.05157972701</v>
      </c>
      <c r="BC43" s="100" t="n">
        <f aca="false">-(Hipótesis!$E$37+BC24*Hipótesis!$E$38)</f>
        <v>-1686.05157972701</v>
      </c>
      <c r="BD43" s="100" t="n">
        <f aca="false">-(Hipótesis!$E$37+BD24*Hipótesis!$E$38)</f>
        <v>-1686.05157972701</v>
      </c>
      <c r="BE43" s="100" t="n">
        <f aca="false">-(Hipótesis!$E$37+BE24*Hipótesis!$E$38)</f>
        <v>-1686.05157972701</v>
      </c>
      <c r="BF43" s="100" t="n">
        <f aca="false">-(Hipótesis!$E$37+BF24*Hipótesis!$E$38)</f>
        <v>-1686.05157972701</v>
      </c>
      <c r="BG43" s="100" t="n">
        <f aca="false">-(Hipótesis!$E$37+BG24*Hipótesis!$E$38)</f>
        <v>-1686.05157972701</v>
      </c>
      <c r="BH43" s="100" t="n">
        <f aca="false">-(Hipótesis!$E$37+BH24*Hipótesis!$E$38)</f>
        <v>-1686.05157972701</v>
      </c>
      <c r="BI43" s="100" t="n">
        <f aca="false">-(Hipótesis!$E$37+BI24*Hipótesis!$E$38)</f>
        <v>-1686.05157972701</v>
      </c>
      <c r="BJ43" s="100" t="n">
        <f aca="false">-(Hipótesis!$E$37+BJ24*Hipótesis!$E$38)</f>
        <v>-1686.05157972701</v>
      </c>
      <c r="BK43" s="100" t="n">
        <f aca="false">-(Hipótesis!$E$37+BK24*Hipótesis!$E$38)</f>
        <v>-1686.05157972701</v>
      </c>
      <c r="BL43" s="100" t="n">
        <f aca="false">-(Hipótesis!$E$37+BL24*Hipótesis!$E$38)</f>
        <v>-1686.05157972701</v>
      </c>
      <c r="BM43" s="100" t="n">
        <f aca="false">-(Hipótesis!$E$37+BM24*Hipótesis!$E$38)</f>
        <v>-1686.05157972701</v>
      </c>
      <c r="BN43" s="100" t="n">
        <f aca="false">-(Hipótesis!$E$37+BN24*Hipótesis!$E$38)</f>
        <v>-1686.05157972701</v>
      </c>
      <c r="BO43" s="100" t="n">
        <f aca="false">-(Hipótesis!$E$37+BO24*Hipótesis!$E$38)</f>
        <v>-1686.05157972701</v>
      </c>
      <c r="BP43" s="100" t="n">
        <f aca="false">-(Hipótesis!$E$37+BP24*Hipótesis!$E$38)</f>
        <v>-1686.05157972701</v>
      </c>
      <c r="BQ43" s="100" t="n">
        <f aca="false">-(Hipótesis!$E$37+BQ24*Hipótesis!$E$38)</f>
        <v>-1686.05157972701</v>
      </c>
      <c r="BR43" s="100" t="n">
        <f aca="false">-(Hipótesis!$E$37+BR24*Hipótesis!$E$38)</f>
        <v>-1686.05157972701</v>
      </c>
      <c r="BS43" s="100" t="n">
        <f aca="false">-(Hipótesis!$E$37+BS24*Hipótesis!$E$38)</f>
        <v>-1686.05157972701</v>
      </c>
      <c r="BT43" s="100" t="n">
        <f aca="false">-(Hipótesis!$E$37+BT24*Hipótesis!$E$38)</f>
        <v>-1686.05157972701</v>
      </c>
      <c r="BU43" s="100" t="n">
        <f aca="false">-(Hipótesis!$E$37+BU24*Hipótesis!$E$38)</f>
        <v>-1686.05157972701</v>
      </c>
      <c r="BV43" s="100" t="n">
        <f aca="false">-(Hipótesis!$E$37+BV24*Hipótesis!$E$38)</f>
        <v>-1686.05157972701</v>
      </c>
      <c r="BW43" s="100" t="n">
        <f aca="false">-(Hipótesis!$E$37+BW24*Hipótesis!$E$38)</f>
        <v>-1686.05157972701</v>
      </c>
      <c r="BX43" s="100" t="n">
        <f aca="false">-(Hipótesis!$E$37+BX24*Hipótesis!$E$38)</f>
        <v>-1686.05157972701</v>
      </c>
      <c r="BY43" s="100" t="n">
        <f aca="false">-(Hipótesis!$E$37+BY24*Hipótesis!$E$38)</f>
        <v>-1686.05157972701</v>
      </c>
      <c r="BZ43" s="100" t="n">
        <f aca="false">-(Hipótesis!$E$37+BZ24*Hipótesis!$E$38)</f>
        <v>-1686.05157972701</v>
      </c>
      <c r="CA43" s="100" t="n">
        <f aca="false">-(Hipótesis!$E$37+CA24*Hipótesis!$E$38)</f>
        <v>-1686.05157972701</v>
      </c>
      <c r="CB43" s="100" t="n">
        <f aca="false">-(Hipótesis!$E$37+CB24*Hipótesis!$E$38)</f>
        <v>-1686.05157972701</v>
      </c>
      <c r="CC43" s="100" t="n">
        <f aca="false">-(Hipótesis!$E$37+CC24*Hipótesis!$E$38)</f>
        <v>-1686.05157972701</v>
      </c>
      <c r="CD43" s="100" t="n">
        <f aca="false">-(Hipótesis!$E$37+CD24*Hipótesis!$E$38)</f>
        <v>-1686.05157972701</v>
      </c>
      <c r="CE43" s="100" t="n">
        <f aca="false">-(Hipótesis!$E$37+CE24*Hipótesis!$E$38)</f>
        <v>-1686.05157972701</v>
      </c>
      <c r="CF43" s="100" t="n">
        <f aca="false">-(Hipótesis!$E$37+CF24*Hipótesis!$E$38)</f>
        <v>-1686.05157972701</v>
      </c>
      <c r="CG43" s="100" t="n">
        <f aca="false">-(Hipótesis!$E$37+CG24*Hipótesis!$E$38)</f>
        <v>-1686.05157972701</v>
      </c>
      <c r="CH43" s="100" t="n">
        <f aca="false">-(Hipótesis!$E$37+CH24*Hipótesis!$E$38)</f>
        <v>-1686.05157972701</v>
      </c>
    </row>
    <row r="44" customFormat="false" ht="13.5" hidden="false" customHeight="true" outlineLevel="0" collapsed="false">
      <c r="A44" s="6" t="s">
        <v>521</v>
      </c>
      <c r="C44" s="100" t="n">
        <f aca="false">-IF(AND(1&gt;=Hipótesis!$D$48,Hipótesis!$B$48=1),IF(Hipótesis!$G$48=1,Hipótesis!$C$44,Hipótesis!$C$48*(1+Hipótesis!$D$45)^0)*(1+Hipótesis!$D$42),0)</f>
        <v>-2904</v>
      </c>
      <c r="D44" s="100" t="n">
        <f aca="false">-IF(AND(2&gt;=Hipótesis!$D$48,Hipótesis!$B$48=1),IF(Hipótesis!$G$48=1,Hipótesis!$C$44,Hipótesis!$C$48*(1+Hipótesis!$D$45)^0)*(1+Hipótesis!$D$42),0)</f>
        <v>-2904</v>
      </c>
      <c r="E44" s="100" t="n">
        <f aca="false">-IF(AND(3&gt;=Hipótesis!$D$48,Hipótesis!$B$48=1),IF(Hipótesis!$G$48=1,Hipótesis!$C$44,Hipótesis!$C$48*(1+Hipótesis!$D$45)^0)*(1+Hipótesis!$D$42),0)</f>
        <v>-2904</v>
      </c>
      <c r="F44" s="100" t="n">
        <f aca="false">-IF(AND(4&gt;=Hipótesis!$D$48,Hipótesis!$B$48=1),IF(Hipótesis!$G$48=1,Hipótesis!$C$44,Hipótesis!$C$48*(1+Hipótesis!$D$45)^0)*(1+Hipótesis!$D$42),0)</f>
        <v>-2904</v>
      </c>
      <c r="G44" s="100" t="n">
        <f aca="false">-IF(AND(5&gt;=Hipótesis!$D$48,Hipótesis!$B$48=1),IF(Hipótesis!$G$48=1,Hipótesis!$C$44,Hipótesis!$C$48*(1+Hipótesis!$D$45)^0)*(1+Hipótesis!$D$42),0)</f>
        <v>-2904</v>
      </c>
      <c r="H44" s="100" t="n">
        <f aca="false">-IF(AND(6&gt;=Hipótesis!$D$48,Hipótesis!$B$48=1),IF(Hipótesis!$G$48=1,Hipótesis!$C$44,Hipótesis!$C$48*(1+Hipótesis!$D$45)^0)*(1+Hipótesis!$D$42),0)</f>
        <v>-2904</v>
      </c>
      <c r="I44" s="100" t="n">
        <f aca="false">-IF(AND(7&gt;=Hipótesis!$D$48,Hipótesis!$B$48=1),IF(Hipótesis!$G$48=1,Hipótesis!$C$44,Hipótesis!$C$48*(1+Hipótesis!$D$45)^0)*(1+Hipótesis!$D$42),0)</f>
        <v>-2904</v>
      </c>
      <c r="J44" s="100" t="n">
        <f aca="false">-IF(AND(8&gt;=Hipótesis!$D$48,Hipótesis!$B$48=1),IF(Hipótesis!$G$48=1,Hipótesis!$C$44,Hipótesis!$C$48*(1+Hipótesis!$D$45)^0)*(1+Hipótesis!$D$42),0)</f>
        <v>-2904</v>
      </c>
      <c r="K44" s="100" t="n">
        <f aca="false">-IF(AND(9&gt;=Hipótesis!$D$48,Hipótesis!$B$48=1),IF(Hipótesis!$G$48=1,Hipótesis!$C$44,Hipótesis!$C$48*(1+Hipótesis!$D$45)^0)*(1+Hipótesis!$D$42),0)</f>
        <v>-2904</v>
      </c>
      <c r="L44" s="100" t="n">
        <f aca="false">-IF(AND(10&gt;=Hipótesis!$D$48,Hipótesis!$B$48=1),IF(Hipótesis!$G$48=1,Hipótesis!$C$44,Hipótesis!$C$48*(1+Hipótesis!$D$45)^0)*(1+Hipótesis!$D$42),0)</f>
        <v>-2904</v>
      </c>
      <c r="M44" s="100" t="n">
        <f aca="false">-IF(AND(11&gt;=Hipótesis!$D$48,Hipótesis!$B$48=1),IF(Hipótesis!$G$48=1,Hipótesis!$C$44,Hipótesis!$C$48*(1+Hipótesis!$D$45)^0)*(1+Hipótesis!$D$42),0)</f>
        <v>-2904</v>
      </c>
      <c r="N44" s="100" t="n">
        <f aca="false">-IF(AND(12&gt;=Hipótesis!$D$48,Hipótesis!$B$48=1),IF(Hipótesis!$G$48=1,Hipótesis!$C$44,Hipótesis!$C$48*(1+Hipótesis!$D$45)^0)*(1+Hipótesis!$D$42),0)</f>
        <v>-2904</v>
      </c>
      <c r="O44" s="100" t="n">
        <f aca="false">-IF(AND(13&gt;=Hipótesis!$D$48,Hipótesis!$B$48=1),IF(Hipótesis!$G$48=1,Hipótesis!$D$44,Hipótesis!$C$48*(1+Hipótesis!$D$45)^1)*(1+Hipótesis!$D$42),0)</f>
        <v>-4620</v>
      </c>
      <c r="P44" s="100" t="n">
        <f aca="false">-IF(AND(14&gt;=Hipótesis!$D$48,Hipótesis!$B$48=1),IF(Hipótesis!$G$48=1,Hipótesis!$D$44,Hipótesis!$C$48*(1+Hipótesis!$D$45)^1)*(1+Hipótesis!$D$42),0)</f>
        <v>-4620</v>
      </c>
      <c r="Q44" s="100" t="n">
        <f aca="false">-IF(AND(15&gt;=Hipótesis!$D$48,Hipótesis!$B$48=1),IF(Hipótesis!$G$48=1,Hipótesis!$D$44,Hipótesis!$C$48*(1+Hipótesis!$D$45)^1)*(1+Hipótesis!$D$42),0)</f>
        <v>-4620</v>
      </c>
      <c r="R44" s="100" t="n">
        <f aca="false">-IF(AND(16&gt;=Hipótesis!$D$48,Hipótesis!$B$48=1),IF(Hipótesis!$G$48=1,Hipótesis!$D$44,Hipótesis!$C$48*(1+Hipótesis!$D$45)^1)*(1+Hipótesis!$D$42),0)</f>
        <v>-4620</v>
      </c>
      <c r="S44" s="100" t="n">
        <f aca="false">-IF(AND(17&gt;=Hipótesis!$D$48,Hipótesis!$B$48=1),IF(Hipótesis!$G$48=1,Hipótesis!$D$44,Hipótesis!$C$48*(1+Hipótesis!$D$45)^1)*(1+Hipótesis!$D$42),0)</f>
        <v>-4620</v>
      </c>
      <c r="T44" s="100" t="n">
        <f aca="false">-IF(AND(18&gt;=Hipótesis!$D$48,Hipótesis!$B$48=1),IF(Hipótesis!$G$48=1,Hipótesis!$D$44,Hipótesis!$C$48*(1+Hipótesis!$D$45)^1)*(1+Hipótesis!$D$42),0)</f>
        <v>-4620</v>
      </c>
      <c r="U44" s="100" t="n">
        <f aca="false">-IF(AND(19&gt;=Hipótesis!$D$48,Hipótesis!$B$48=1),IF(Hipótesis!$G$48=1,Hipótesis!$D$44,Hipótesis!$C$48*(1+Hipótesis!$D$45)^1)*(1+Hipótesis!$D$42),0)</f>
        <v>-4620</v>
      </c>
      <c r="V44" s="100" t="n">
        <f aca="false">-IF(AND(20&gt;=Hipótesis!$D$48,Hipótesis!$B$48=1),IF(Hipótesis!$G$48=1,Hipótesis!$D$44,Hipótesis!$C$48*(1+Hipótesis!$D$45)^1)*(1+Hipótesis!$D$42),0)</f>
        <v>-4620</v>
      </c>
      <c r="W44" s="100" t="n">
        <f aca="false">-IF(AND(21&gt;=Hipótesis!$D$48,Hipótesis!$B$48=1),IF(Hipótesis!$G$48=1,Hipótesis!$D$44,Hipótesis!$C$48*(1+Hipótesis!$D$45)^1)*(1+Hipótesis!$D$42),0)</f>
        <v>-4620</v>
      </c>
      <c r="X44" s="100" t="n">
        <f aca="false">-IF(AND(22&gt;=Hipótesis!$D$48,Hipótesis!$B$48=1),IF(Hipótesis!$G$48=1,Hipótesis!$D$44,Hipótesis!$C$48*(1+Hipótesis!$D$45)^1)*(1+Hipótesis!$D$42),0)</f>
        <v>-4620</v>
      </c>
      <c r="Y44" s="100" t="n">
        <f aca="false">-IF(AND(23&gt;=Hipótesis!$D$48,Hipótesis!$B$48=1),IF(Hipótesis!$G$48=1,Hipótesis!$D$44,Hipótesis!$C$48*(1+Hipótesis!$D$45)^1)*(1+Hipótesis!$D$42),0)</f>
        <v>-4620</v>
      </c>
      <c r="Z44" s="100" t="n">
        <f aca="false">-IF(AND(24&gt;=Hipótesis!$D$48,Hipótesis!$B$48=1),IF(Hipótesis!$G$48=1,Hipótesis!$D$44,Hipótesis!$C$48*(1+Hipótesis!$D$45)^1)*(1+Hipótesis!$D$42),0)</f>
        <v>-4620</v>
      </c>
      <c r="AA44" s="100" t="n">
        <f aca="false">-IF(AND(25&gt;=Hipótesis!$D$48,Hipótesis!$B$48=1),IF(Hipótesis!$G$48=1,Hipótesis!$E$44,Hipótesis!$C$48*(1+Hipótesis!$D$45)^2)*(1+Hipótesis!$D$42),0)</f>
        <v>-5280</v>
      </c>
      <c r="AB44" s="100" t="n">
        <f aca="false">-IF(AND(26&gt;=Hipótesis!$D$48,Hipótesis!$B$48=1),IF(Hipótesis!$G$48=1,Hipótesis!$E$44,Hipótesis!$C$48*(1+Hipótesis!$D$45)^2)*(1+Hipótesis!$D$42),0)</f>
        <v>-5280</v>
      </c>
      <c r="AC44" s="100" t="n">
        <f aca="false">-IF(AND(27&gt;=Hipótesis!$D$48,Hipótesis!$B$48=1),IF(Hipótesis!$G$48=1,Hipótesis!$E$44,Hipótesis!$C$48*(1+Hipótesis!$D$45)^2)*(1+Hipótesis!$D$42),0)</f>
        <v>-5280</v>
      </c>
      <c r="AD44" s="100" t="n">
        <f aca="false">-IF(AND(28&gt;=Hipótesis!$D$48,Hipótesis!$B$48=1),IF(Hipótesis!$G$48=1,Hipótesis!$E$44,Hipótesis!$C$48*(1+Hipótesis!$D$45)^2)*(1+Hipótesis!$D$42),0)</f>
        <v>-5280</v>
      </c>
      <c r="AE44" s="100" t="n">
        <f aca="false">-IF(AND(29&gt;=Hipótesis!$D$48,Hipótesis!$B$48=1),IF(Hipótesis!$G$48=1,Hipótesis!$E$44,Hipótesis!$C$48*(1+Hipótesis!$D$45)^2)*(1+Hipótesis!$D$42),0)</f>
        <v>-5280</v>
      </c>
      <c r="AF44" s="100" t="n">
        <f aca="false">-IF(AND(30&gt;=Hipótesis!$D$48,Hipótesis!$B$48=1),IF(Hipótesis!$G$48=1,Hipótesis!$E$44,Hipótesis!$C$48*(1+Hipótesis!$D$45)^2)*(1+Hipótesis!$D$42),0)</f>
        <v>-5280</v>
      </c>
      <c r="AG44" s="100" t="n">
        <f aca="false">-IF(AND(31&gt;=Hipótesis!$D$48,Hipótesis!$B$48=1),IF(Hipótesis!$G$48=1,Hipótesis!$E$44,Hipótesis!$C$48*(1+Hipótesis!$D$45)^2)*(1+Hipótesis!$D$42),0)</f>
        <v>-5280</v>
      </c>
      <c r="AH44" s="100" t="n">
        <f aca="false">-IF(AND(32&gt;=Hipótesis!$D$48,Hipótesis!$B$48=1),IF(Hipótesis!$G$48=1,Hipótesis!$E$44,Hipótesis!$C$48*(1+Hipótesis!$D$45)^2)*(1+Hipótesis!$D$42),0)</f>
        <v>-5280</v>
      </c>
      <c r="AI44" s="100" t="n">
        <f aca="false">-IF(AND(33&gt;=Hipótesis!$D$48,Hipótesis!$B$48=1),IF(Hipótesis!$G$48=1,Hipótesis!$E$44,Hipótesis!$C$48*(1+Hipótesis!$D$45)^2)*(1+Hipótesis!$D$42),0)</f>
        <v>-5280</v>
      </c>
      <c r="AJ44" s="100" t="n">
        <f aca="false">-IF(AND(34&gt;=Hipótesis!$D$48,Hipótesis!$B$48=1),IF(Hipótesis!$G$48=1,Hipótesis!$E$44,Hipótesis!$C$48*(1+Hipótesis!$D$45)^2)*(1+Hipótesis!$D$42),0)</f>
        <v>-5280</v>
      </c>
      <c r="AK44" s="100" t="n">
        <f aca="false">-IF(AND(35&gt;=Hipótesis!$D$48,Hipótesis!$B$48=1),IF(Hipótesis!$G$48=1,Hipótesis!$E$44,Hipótesis!$C$48*(1+Hipótesis!$D$45)^2)*(1+Hipótesis!$D$42),0)</f>
        <v>-5280</v>
      </c>
      <c r="AL44" s="100" t="n">
        <f aca="false">-IF(AND(36&gt;=Hipótesis!$D$48,Hipótesis!$B$48=1),IF(Hipótesis!$G$48=1,Hipótesis!$E$44,Hipótesis!$C$48*(1+Hipótesis!$D$45)^2)*(1+Hipótesis!$D$42),0)</f>
        <v>-5280</v>
      </c>
      <c r="AM44" s="100" t="n">
        <f aca="false">-IF(AND(37&gt;=Hipótesis!$D$48,Hipótesis!$B$48=1),IF(Hipótesis!$G$48=1,Hipótesis!$F$44,Hipótesis!$C$48*(1+Hipótesis!$D$45)^3)*(1+Hipótesis!$D$42),0)</f>
        <v>-5940</v>
      </c>
      <c r="AN44" s="100" t="n">
        <f aca="false">-IF(AND(38&gt;=Hipótesis!$D$48,Hipótesis!$B$48=1),IF(Hipótesis!$G$48=1,Hipótesis!$F$44,Hipótesis!$C$48*(1+Hipótesis!$D$45)^3)*(1+Hipótesis!$D$42),0)</f>
        <v>-5940</v>
      </c>
      <c r="AO44" s="100" t="n">
        <f aca="false">-IF(AND(39&gt;=Hipótesis!$D$48,Hipótesis!$B$48=1),IF(Hipótesis!$G$48=1,Hipótesis!$F$44,Hipótesis!$C$48*(1+Hipótesis!$D$45)^3)*(1+Hipótesis!$D$42),0)</f>
        <v>-5940</v>
      </c>
      <c r="AP44" s="100" t="n">
        <f aca="false">-IF(AND(40&gt;=Hipótesis!$D$48,Hipótesis!$B$48=1),IF(Hipótesis!$G$48=1,Hipótesis!$F$44,Hipótesis!$C$48*(1+Hipótesis!$D$45)^3)*(1+Hipótesis!$D$42),0)</f>
        <v>-5940</v>
      </c>
      <c r="AQ44" s="100" t="n">
        <f aca="false">-IF(AND(41&gt;=Hipótesis!$D$48,Hipótesis!$B$48=1),IF(Hipótesis!$G$48=1,Hipótesis!$F$44,Hipótesis!$C$48*(1+Hipótesis!$D$45)^3)*(1+Hipótesis!$D$42),0)</f>
        <v>-5940</v>
      </c>
      <c r="AR44" s="100" t="n">
        <f aca="false">-IF(AND(42&gt;=Hipótesis!$D$48,Hipótesis!$B$48=1),IF(Hipótesis!$G$48=1,Hipótesis!$F$44,Hipótesis!$C$48*(1+Hipótesis!$D$45)^3)*(1+Hipótesis!$D$42),0)</f>
        <v>-5940</v>
      </c>
      <c r="AS44" s="100" t="n">
        <f aca="false">-IF(AND(43&gt;=Hipótesis!$D$48,Hipótesis!$B$48=1),IF(Hipótesis!$G$48=1,Hipótesis!$F$44,Hipótesis!$C$48*(1+Hipótesis!$D$45)^3)*(1+Hipótesis!$D$42),0)</f>
        <v>-5940</v>
      </c>
      <c r="AT44" s="100" t="n">
        <f aca="false">-IF(AND(44&gt;=Hipótesis!$D$48,Hipótesis!$B$48=1),IF(Hipótesis!$G$48=1,Hipótesis!$F$44,Hipótesis!$C$48*(1+Hipótesis!$D$45)^3)*(1+Hipótesis!$D$42),0)</f>
        <v>-5940</v>
      </c>
      <c r="AU44" s="100" t="n">
        <f aca="false">-IF(AND(45&gt;=Hipótesis!$D$48,Hipótesis!$B$48=1),IF(Hipótesis!$G$48=1,Hipótesis!$F$44,Hipótesis!$C$48*(1+Hipótesis!$D$45)^3)*(1+Hipótesis!$D$42),0)</f>
        <v>-5940</v>
      </c>
      <c r="AV44" s="100" t="n">
        <f aca="false">-IF(AND(46&gt;=Hipótesis!$D$48,Hipótesis!$B$48=1),IF(Hipótesis!$G$48=1,Hipótesis!$F$44,Hipótesis!$C$48*(1+Hipótesis!$D$45)^3)*(1+Hipótesis!$D$42),0)</f>
        <v>-5940</v>
      </c>
      <c r="AW44" s="100" t="n">
        <f aca="false">-IF(AND(47&gt;=Hipótesis!$D$48,Hipótesis!$B$48=1),IF(Hipótesis!$G$48=1,Hipótesis!$F$44,Hipótesis!$C$48*(1+Hipótesis!$D$45)^3)*(1+Hipótesis!$D$42),0)</f>
        <v>-5940</v>
      </c>
      <c r="AX44" s="100" t="n">
        <f aca="false">-IF(AND(48&gt;=Hipótesis!$D$48,Hipótesis!$B$48=1),IF(Hipótesis!$G$48=1,Hipótesis!$F$44,Hipótesis!$C$48*(1+Hipótesis!$D$45)^3)*(1+Hipótesis!$D$42),0)</f>
        <v>-5940</v>
      </c>
      <c r="AY44" s="100" t="n">
        <f aca="false">-IF(AND(49&gt;=Hipótesis!$D$48,Hipótesis!$B$48=1),IF(Hipótesis!$G$48=1,Hipótesis!$G$44,Hipótesis!$C$48*(1+Hipótesis!$D$45)^4)*(1+Hipótesis!$D$42),0)</f>
        <v>-6600</v>
      </c>
      <c r="AZ44" s="100" t="n">
        <f aca="false">-IF(AND(50&gt;=Hipótesis!$D$48,Hipótesis!$B$48=1),IF(Hipótesis!$G$48=1,Hipótesis!$G$44,Hipótesis!$C$48*(1+Hipótesis!$D$45)^4)*(1+Hipótesis!$D$42),0)</f>
        <v>-6600</v>
      </c>
      <c r="BA44" s="100" t="n">
        <f aca="false">-IF(AND(51&gt;=Hipótesis!$D$48,Hipótesis!$B$48=1),IF(Hipótesis!$G$48=1,Hipótesis!$G$44,Hipótesis!$C$48*(1+Hipótesis!$D$45)^4)*(1+Hipótesis!$D$42),0)</f>
        <v>-6600</v>
      </c>
      <c r="BB44" s="100" t="n">
        <f aca="false">-IF(AND(52&gt;=Hipótesis!$D$48,Hipótesis!$B$48=1),IF(Hipótesis!$G$48=1,Hipótesis!$G$44,Hipótesis!$C$48*(1+Hipótesis!$D$45)^4)*(1+Hipótesis!$D$42),0)</f>
        <v>-6600</v>
      </c>
      <c r="BC44" s="100" t="n">
        <f aca="false">-IF(AND(53&gt;=Hipótesis!$D$48,Hipótesis!$B$48=1),IF(Hipótesis!$G$48=1,Hipótesis!$G$44,Hipótesis!$C$48*(1+Hipótesis!$D$45)^4)*(1+Hipótesis!$D$42),0)</f>
        <v>-6600</v>
      </c>
      <c r="BD44" s="100" t="n">
        <f aca="false">-IF(AND(54&gt;=Hipótesis!$D$48,Hipótesis!$B$48=1),IF(Hipótesis!$G$48=1,Hipótesis!$G$44,Hipótesis!$C$48*(1+Hipótesis!$D$45)^4)*(1+Hipótesis!$D$42),0)</f>
        <v>-6600</v>
      </c>
      <c r="BE44" s="100" t="n">
        <f aca="false">-IF(AND(55&gt;=Hipótesis!$D$48,Hipótesis!$B$48=1),IF(Hipótesis!$G$48=1,Hipótesis!$G$44,Hipótesis!$C$48*(1+Hipótesis!$D$45)^4)*(1+Hipótesis!$D$42),0)</f>
        <v>-6600</v>
      </c>
      <c r="BF44" s="100" t="n">
        <f aca="false">-IF(AND(56&gt;=Hipótesis!$D$48,Hipótesis!$B$48=1),IF(Hipótesis!$G$48=1,Hipótesis!$G$44,Hipótesis!$C$48*(1+Hipótesis!$D$45)^4)*(1+Hipótesis!$D$42),0)</f>
        <v>-6600</v>
      </c>
      <c r="BG44" s="100" t="n">
        <f aca="false">-IF(AND(57&gt;=Hipótesis!$D$48,Hipótesis!$B$48=1),IF(Hipótesis!$G$48=1,Hipótesis!$G$44,Hipótesis!$C$48*(1+Hipótesis!$D$45)^4)*(1+Hipótesis!$D$42),0)</f>
        <v>-6600</v>
      </c>
      <c r="BH44" s="100" t="n">
        <f aca="false">-IF(AND(58&gt;=Hipótesis!$D$48,Hipótesis!$B$48=1),IF(Hipótesis!$G$48=1,Hipótesis!$G$44,Hipótesis!$C$48*(1+Hipótesis!$D$45)^4)*(1+Hipótesis!$D$42),0)</f>
        <v>-6600</v>
      </c>
      <c r="BI44" s="100" t="n">
        <f aca="false">-IF(AND(59&gt;=Hipótesis!$D$48,Hipótesis!$B$48=1),IF(Hipótesis!$G$48=1,Hipótesis!$G$44,Hipótesis!$C$48*(1+Hipótesis!$D$45)^4)*(1+Hipótesis!$D$42),0)</f>
        <v>-6600</v>
      </c>
      <c r="BJ44" s="100" t="n">
        <f aca="false">-IF(AND(60&gt;=Hipótesis!$D$48,Hipótesis!$B$48=1),IF(Hipótesis!$G$48=1,Hipótesis!$G$44,Hipótesis!$C$48*(1+Hipótesis!$D$45)^4)*(1+Hipótesis!$D$42),0)</f>
        <v>-6600</v>
      </c>
      <c r="BK44" s="100" t="n">
        <f aca="false">-IF(AND(61&gt;=Hipótesis!$D$48,Hipótesis!$B$48=1),IF(Hipótesis!$G$48=1,Hipótesis!$H$44,Hipótesis!$C$48*(1+Hipótesis!$D$45)^5)*(1+Hipótesis!$D$42),0)</f>
        <v>-7260</v>
      </c>
      <c r="BL44" s="100" t="n">
        <f aca="false">-IF(AND(62&gt;=Hipótesis!$D$48,Hipótesis!$B$48=1),IF(Hipótesis!$G$48=1,Hipótesis!$H$44,Hipótesis!$C$48*(1+Hipótesis!$D$45)^5)*(1+Hipótesis!$D$42),0)</f>
        <v>-7260</v>
      </c>
      <c r="BM44" s="100" t="n">
        <f aca="false">-IF(AND(63&gt;=Hipótesis!$D$48,Hipótesis!$B$48=1),IF(Hipótesis!$G$48=1,Hipótesis!$H$44,Hipótesis!$C$48*(1+Hipótesis!$D$45)^5)*(1+Hipótesis!$D$42),0)</f>
        <v>-7260</v>
      </c>
      <c r="BN44" s="100" t="n">
        <f aca="false">-IF(AND(64&gt;=Hipótesis!$D$48,Hipótesis!$B$48=1),IF(Hipótesis!$G$48=1,Hipótesis!$H$44,Hipótesis!$C$48*(1+Hipótesis!$D$45)^5)*(1+Hipótesis!$D$42),0)</f>
        <v>-7260</v>
      </c>
      <c r="BO44" s="100" t="n">
        <f aca="false">-IF(AND(65&gt;=Hipótesis!$D$48,Hipótesis!$B$48=1),IF(Hipótesis!$G$48=1,Hipótesis!$H$44,Hipótesis!$C$48*(1+Hipótesis!$D$45)^5)*(1+Hipótesis!$D$42),0)</f>
        <v>-7260</v>
      </c>
      <c r="BP44" s="100" t="n">
        <f aca="false">-IF(AND(66&gt;=Hipótesis!$D$48,Hipótesis!$B$48=1),IF(Hipótesis!$G$48=1,Hipótesis!$H$44,Hipótesis!$C$48*(1+Hipótesis!$D$45)^5)*(1+Hipótesis!$D$42),0)</f>
        <v>-7260</v>
      </c>
      <c r="BQ44" s="100" t="n">
        <f aca="false">-IF(AND(67&gt;=Hipótesis!$D$48,Hipótesis!$B$48=1),IF(Hipótesis!$G$48=1,Hipótesis!$H$44,Hipótesis!$C$48*(1+Hipótesis!$D$45)^5)*(1+Hipótesis!$D$42),0)</f>
        <v>-7260</v>
      </c>
      <c r="BR44" s="100" t="n">
        <f aca="false">-IF(AND(68&gt;=Hipótesis!$D$48,Hipótesis!$B$48=1),IF(Hipótesis!$G$48=1,Hipótesis!$H$44,Hipótesis!$C$48*(1+Hipótesis!$D$45)^5)*(1+Hipótesis!$D$42),0)</f>
        <v>-7260</v>
      </c>
      <c r="BS44" s="100" t="n">
        <f aca="false">-IF(AND(69&gt;=Hipótesis!$D$48,Hipótesis!$B$48=1),IF(Hipótesis!$G$48=1,Hipótesis!$H$44,Hipótesis!$C$48*(1+Hipótesis!$D$45)^5)*(1+Hipótesis!$D$42),0)</f>
        <v>-7260</v>
      </c>
      <c r="BT44" s="100" t="n">
        <f aca="false">-IF(AND(70&gt;=Hipótesis!$D$48,Hipótesis!$B$48=1),IF(Hipótesis!$G$48=1,Hipótesis!$H$44,Hipótesis!$C$48*(1+Hipótesis!$D$45)^5)*(1+Hipótesis!$D$42),0)</f>
        <v>-7260</v>
      </c>
      <c r="BU44" s="100" t="n">
        <f aca="false">-IF(AND(71&gt;=Hipótesis!$D$48,Hipótesis!$B$48=1),IF(Hipótesis!$G$48=1,Hipótesis!$H$44,Hipótesis!$C$48*(1+Hipótesis!$D$45)^5)*(1+Hipótesis!$D$42),0)</f>
        <v>-7260</v>
      </c>
      <c r="BV44" s="100" t="n">
        <f aca="false">-IF(AND(72&gt;=Hipótesis!$D$48,Hipótesis!$B$48=1),IF(Hipótesis!$G$48=1,Hipótesis!$H$44,Hipótesis!$C$48*(1+Hipótesis!$D$45)^5)*(1+Hipótesis!$D$42),0)</f>
        <v>-7260</v>
      </c>
      <c r="BW44" s="100" t="n">
        <f aca="false">-IF(AND(73&gt;=Hipótesis!$D$48,Hipótesis!$B$48=1),IF(Hipótesis!$G$48=1,Hipótesis!$I$44,Hipótesis!$C$48*(1+Hipótesis!$D$45)^6)*(1+Hipótesis!$D$42),0)</f>
        <v>-7920</v>
      </c>
      <c r="BX44" s="100" t="n">
        <f aca="false">-IF(AND(74&gt;=Hipótesis!$D$48,Hipótesis!$B$48=1),IF(Hipótesis!$G$48=1,Hipótesis!$I$44,Hipótesis!$C$48*(1+Hipótesis!$D$45)^6)*(1+Hipótesis!$D$42),0)</f>
        <v>-7920</v>
      </c>
      <c r="BY44" s="100" t="n">
        <f aca="false">-IF(AND(75&gt;=Hipótesis!$D$48,Hipótesis!$B$48=1),IF(Hipótesis!$G$48=1,Hipótesis!$I$44,Hipótesis!$C$48*(1+Hipótesis!$D$45)^6)*(1+Hipótesis!$D$42),0)</f>
        <v>-7920</v>
      </c>
      <c r="BZ44" s="100" t="n">
        <f aca="false">-IF(AND(76&gt;=Hipótesis!$D$48,Hipótesis!$B$48=1),IF(Hipótesis!$G$48=1,Hipótesis!$I$44,Hipótesis!$C$48*(1+Hipótesis!$D$45)^6)*(1+Hipótesis!$D$42),0)</f>
        <v>-7920</v>
      </c>
      <c r="CA44" s="100" t="n">
        <f aca="false">-IF(AND(77&gt;=Hipótesis!$D$48,Hipótesis!$B$48=1),IF(Hipótesis!$G$48=1,Hipótesis!$I$44,Hipótesis!$C$48*(1+Hipótesis!$D$45)^6)*(1+Hipótesis!$D$42),0)</f>
        <v>-7920</v>
      </c>
      <c r="CB44" s="100" t="n">
        <f aca="false">-IF(AND(78&gt;=Hipótesis!$D$48,Hipótesis!$B$48=1),IF(Hipótesis!$G$48=1,Hipótesis!$I$44,Hipótesis!$C$48*(1+Hipótesis!$D$45)^6)*(1+Hipótesis!$D$42),0)</f>
        <v>-7920</v>
      </c>
      <c r="CC44" s="100" t="n">
        <f aca="false">-IF(AND(79&gt;=Hipótesis!$D$48,Hipótesis!$B$48=1),IF(Hipótesis!$G$48=1,Hipótesis!$I$44,Hipótesis!$C$48*(1+Hipótesis!$D$45)^6)*(1+Hipótesis!$D$42),0)</f>
        <v>-7920</v>
      </c>
      <c r="CD44" s="100" t="n">
        <f aca="false">-IF(AND(80&gt;=Hipótesis!$D$48,Hipótesis!$B$48=1),IF(Hipótesis!$G$48=1,Hipótesis!$I$44,Hipótesis!$C$48*(1+Hipótesis!$D$45)^6)*(1+Hipótesis!$D$42),0)</f>
        <v>-7920</v>
      </c>
      <c r="CE44" s="100" t="n">
        <f aca="false">-IF(AND(81&gt;=Hipótesis!$D$48,Hipótesis!$B$48=1),IF(Hipótesis!$G$48=1,Hipótesis!$I$44,Hipótesis!$C$48*(1+Hipótesis!$D$45)^6)*(1+Hipótesis!$D$42),0)</f>
        <v>-7920</v>
      </c>
      <c r="CF44" s="100" t="n">
        <f aca="false">-IF(AND(82&gt;=Hipótesis!$D$48,Hipótesis!$B$48=1),IF(Hipótesis!$G$48=1,Hipótesis!$I$44,Hipótesis!$C$48*(1+Hipótesis!$D$45)^6)*(1+Hipótesis!$D$42),0)</f>
        <v>-7920</v>
      </c>
      <c r="CG44" s="100" t="n">
        <f aca="false">-IF(AND(83&gt;=Hipótesis!$D$48,Hipótesis!$B$48=1),IF(Hipótesis!$G$48=1,Hipótesis!$I$44,Hipótesis!$C$48*(1+Hipótesis!$D$45)^6)*(1+Hipótesis!$D$42),0)</f>
        <v>-7920</v>
      </c>
      <c r="CH44" s="100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6" t="s">
        <v>522</v>
      </c>
      <c r="C45" s="100" t="n">
        <f aca="false">-IF(AND(1&gt;=Hipótesis!$D$49,Hipótesis!$B$49=1),IF(Hipótesis!$G$49=1,Hipótesis!$C$44,Hipótesis!$C$49*(1+Hipótesis!$D$45)^0)*(1+Hipótesis!$D$42),0)</f>
        <v>-2904</v>
      </c>
      <c r="D45" s="100" t="n">
        <f aca="false">-IF(AND(2&gt;=Hipótesis!$D$49,Hipótesis!$B$49=1),IF(Hipótesis!$G$49=1,Hipótesis!$C$44,Hipótesis!$C$49*(1+Hipótesis!$D$45)^0)*(1+Hipótesis!$D$42),0)</f>
        <v>-2904</v>
      </c>
      <c r="E45" s="100" t="n">
        <f aca="false">-IF(AND(3&gt;=Hipótesis!$D$49,Hipótesis!$B$49=1),IF(Hipótesis!$G$49=1,Hipótesis!$C$44,Hipótesis!$C$49*(1+Hipótesis!$D$45)^0)*(1+Hipótesis!$D$42),0)</f>
        <v>-2904</v>
      </c>
      <c r="F45" s="100" t="n">
        <f aca="false">-IF(AND(4&gt;=Hipótesis!$D$49,Hipótesis!$B$49=1),IF(Hipótesis!$G$49=1,Hipótesis!$C$44,Hipótesis!$C$49*(1+Hipótesis!$D$45)^0)*(1+Hipótesis!$D$42),0)</f>
        <v>-2904</v>
      </c>
      <c r="G45" s="100" t="n">
        <f aca="false">-IF(AND(5&gt;=Hipótesis!$D$49,Hipótesis!$B$49=1),IF(Hipótesis!$G$49=1,Hipótesis!$C$44,Hipótesis!$C$49*(1+Hipótesis!$D$45)^0)*(1+Hipótesis!$D$42),0)</f>
        <v>-2904</v>
      </c>
      <c r="H45" s="100" t="n">
        <f aca="false">-IF(AND(6&gt;=Hipótesis!$D$49,Hipótesis!$B$49=1),IF(Hipótesis!$G$49=1,Hipótesis!$C$44,Hipótesis!$C$49*(1+Hipótesis!$D$45)^0)*(1+Hipótesis!$D$42),0)</f>
        <v>-2904</v>
      </c>
      <c r="I45" s="100" t="n">
        <f aca="false">-IF(AND(7&gt;=Hipótesis!$D$49,Hipótesis!$B$49=1),IF(Hipótesis!$G$49=1,Hipótesis!$C$44,Hipótesis!$C$49*(1+Hipótesis!$D$45)^0)*(1+Hipótesis!$D$42),0)</f>
        <v>-2904</v>
      </c>
      <c r="J45" s="100" t="n">
        <f aca="false">-IF(AND(8&gt;=Hipótesis!$D$49,Hipótesis!$B$49=1),IF(Hipótesis!$G$49=1,Hipótesis!$C$44,Hipótesis!$C$49*(1+Hipótesis!$D$45)^0)*(1+Hipótesis!$D$42),0)</f>
        <v>-2904</v>
      </c>
      <c r="K45" s="100" t="n">
        <f aca="false">-IF(AND(9&gt;=Hipótesis!$D$49,Hipótesis!$B$49=1),IF(Hipótesis!$G$49=1,Hipótesis!$C$44,Hipótesis!$C$49*(1+Hipótesis!$D$45)^0)*(1+Hipótesis!$D$42),0)</f>
        <v>-2904</v>
      </c>
      <c r="L45" s="100" t="n">
        <f aca="false">-IF(AND(10&gt;=Hipótesis!$D$49,Hipótesis!$B$49=1),IF(Hipótesis!$G$49=1,Hipótesis!$C$44,Hipótesis!$C$49*(1+Hipótesis!$D$45)^0)*(1+Hipótesis!$D$42),0)</f>
        <v>-2904</v>
      </c>
      <c r="M45" s="100" t="n">
        <f aca="false">-IF(AND(11&gt;=Hipótesis!$D$49,Hipótesis!$B$49=1),IF(Hipótesis!$G$49=1,Hipótesis!$C$44,Hipótesis!$C$49*(1+Hipótesis!$D$45)^0)*(1+Hipótesis!$D$42),0)</f>
        <v>-2904</v>
      </c>
      <c r="N45" s="100" t="n">
        <f aca="false">-IF(AND(12&gt;=Hipótesis!$D$49,Hipótesis!$B$49=1),IF(Hipótesis!$G$49=1,Hipótesis!$C$44,Hipótesis!$C$49*(1+Hipótesis!$D$45)^0)*(1+Hipótesis!$D$42),0)</f>
        <v>-2904</v>
      </c>
      <c r="O45" s="100" t="n">
        <f aca="false">-IF(AND(13&gt;=Hipótesis!$D$49,Hipótesis!$B$49=1),IF(Hipótesis!$G$49=1,Hipótesis!$D$44,Hipótesis!$C$49*(1+Hipótesis!$D$45)^1)*(1+Hipótesis!$D$42),0)</f>
        <v>-4620</v>
      </c>
      <c r="P45" s="100" t="n">
        <f aca="false">-IF(AND(14&gt;=Hipótesis!$D$49,Hipótesis!$B$49=1),IF(Hipótesis!$G$49=1,Hipótesis!$D$44,Hipótesis!$C$49*(1+Hipótesis!$D$45)^1)*(1+Hipótesis!$D$42),0)</f>
        <v>-4620</v>
      </c>
      <c r="Q45" s="100" t="n">
        <f aca="false">-IF(AND(15&gt;=Hipótesis!$D$49,Hipótesis!$B$49=1),IF(Hipótesis!$G$49=1,Hipótesis!$D$44,Hipótesis!$C$49*(1+Hipótesis!$D$45)^1)*(1+Hipótesis!$D$42),0)</f>
        <v>-4620</v>
      </c>
      <c r="R45" s="100" t="n">
        <f aca="false">-IF(AND(16&gt;=Hipótesis!$D$49,Hipótesis!$B$49=1),IF(Hipótesis!$G$49=1,Hipótesis!$D$44,Hipótesis!$C$49*(1+Hipótesis!$D$45)^1)*(1+Hipótesis!$D$42),0)</f>
        <v>-4620</v>
      </c>
      <c r="S45" s="100" t="n">
        <f aca="false">-IF(AND(17&gt;=Hipótesis!$D$49,Hipótesis!$B$49=1),IF(Hipótesis!$G$49=1,Hipótesis!$D$44,Hipótesis!$C$49*(1+Hipótesis!$D$45)^1)*(1+Hipótesis!$D$42),0)</f>
        <v>-4620</v>
      </c>
      <c r="T45" s="100" t="n">
        <f aca="false">-IF(AND(18&gt;=Hipótesis!$D$49,Hipótesis!$B$49=1),IF(Hipótesis!$G$49=1,Hipótesis!$D$44,Hipótesis!$C$49*(1+Hipótesis!$D$45)^1)*(1+Hipótesis!$D$42),0)</f>
        <v>-4620</v>
      </c>
      <c r="U45" s="100" t="n">
        <f aca="false">-IF(AND(19&gt;=Hipótesis!$D$49,Hipótesis!$B$49=1),IF(Hipótesis!$G$49=1,Hipótesis!$D$44,Hipótesis!$C$49*(1+Hipótesis!$D$45)^1)*(1+Hipótesis!$D$42),0)</f>
        <v>-4620</v>
      </c>
      <c r="V45" s="100" t="n">
        <f aca="false">-IF(AND(20&gt;=Hipótesis!$D$49,Hipótesis!$B$49=1),IF(Hipótesis!$G$49=1,Hipótesis!$D$44,Hipótesis!$C$49*(1+Hipótesis!$D$45)^1)*(1+Hipótesis!$D$42),0)</f>
        <v>-4620</v>
      </c>
      <c r="W45" s="100" t="n">
        <f aca="false">-IF(AND(21&gt;=Hipótesis!$D$49,Hipótesis!$B$49=1),IF(Hipótesis!$G$49=1,Hipótesis!$D$44,Hipótesis!$C$49*(1+Hipótesis!$D$45)^1)*(1+Hipótesis!$D$42),0)</f>
        <v>-4620</v>
      </c>
      <c r="X45" s="100" t="n">
        <f aca="false">-IF(AND(22&gt;=Hipótesis!$D$49,Hipótesis!$B$49=1),IF(Hipótesis!$G$49=1,Hipótesis!$D$44,Hipótesis!$C$49*(1+Hipótesis!$D$45)^1)*(1+Hipótesis!$D$42),0)</f>
        <v>-4620</v>
      </c>
      <c r="Y45" s="100" t="n">
        <f aca="false">-IF(AND(23&gt;=Hipótesis!$D$49,Hipótesis!$B$49=1),IF(Hipótesis!$G$49=1,Hipótesis!$D$44,Hipótesis!$C$49*(1+Hipótesis!$D$45)^1)*(1+Hipótesis!$D$42),0)</f>
        <v>-4620</v>
      </c>
      <c r="Z45" s="100" t="n">
        <f aca="false">-IF(AND(24&gt;=Hipótesis!$D$49,Hipótesis!$B$49=1),IF(Hipótesis!$G$49=1,Hipótesis!$D$44,Hipótesis!$C$49*(1+Hipótesis!$D$45)^1)*(1+Hipótesis!$D$42),0)</f>
        <v>-4620</v>
      </c>
      <c r="AA45" s="100" t="n">
        <f aca="false">-IF(AND(25&gt;=Hipótesis!$D$49,Hipótesis!$B$49=1),IF(Hipótesis!$G$49=1,Hipótesis!$E$44,Hipótesis!$C$49*(1+Hipótesis!$D$45)^2)*(1+Hipótesis!$D$42),0)</f>
        <v>-5280</v>
      </c>
      <c r="AB45" s="100" t="n">
        <f aca="false">-IF(AND(26&gt;=Hipótesis!$D$49,Hipótesis!$B$49=1),IF(Hipótesis!$G$49=1,Hipótesis!$E$44,Hipótesis!$C$49*(1+Hipótesis!$D$45)^2)*(1+Hipótesis!$D$42),0)</f>
        <v>-5280</v>
      </c>
      <c r="AC45" s="100" t="n">
        <f aca="false">-IF(AND(27&gt;=Hipótesis!$D$49,Hipótesis!$B$49=1),IF(Hipótesis!$G$49=1,Hipótesis!$E$44,Hipótesis!$C$49*(1+Hipótesis!$D$45)^2)*(1+Hipótesis!$D$42),0)</f>
        <v>-5280</v>
      </c>
      <c r="AD45" s="100" t="n">
        <f aca="false">-IF(AND(28&gt;=Hipótesis!$D$49,Hipótesis!$B$49=1),IF(Hipótesis!$G$49=1,Hipótesis!$E$44,Hipótesis!$C$49*(1+Hipótesis!$D$45)^2)*(1+Hipótesis!$D$42),0)</f>
        <v>-5280</v>
      </c>
      <c r="AE45" s="100" t="n">
        <f aca="false">-IF(AND(29&gt;=Hipótesis!$D$49,Hipótesis!$B$49=1),IF(Hipótesis!$G$49=1,Hipótesis!$E$44,Hipótesis!$C$49*(1+Hipótesis!$D$45)^2)*(1+Hipótesis!$D$42),0)</f>
        <v>-5280</v>
      </c>
      <c r="AF45" s="100" t="n">
        <f aca="false">-IF(AND(30&gt;=Hipótesis!$D$49,Hipótesis!$B$49=1),IF(Hipótesis!$G$49=1,Hipótesis!$E$44,Hipótesis!$C$49*(1+Hipótesis!$D$45)^2)*(1+Hipótesis!$D$42),0)</f>
        <v>-5280</v>
      </c>
      <c r="AG45" s="100" t="n">
        <f aca="false">-IF(AND(31&gt;=Hipótesis!$D$49,Hipótesis!$B$49=1),IF(Hipótesis!$G$49=1,Hipótesis!$E$44,Hipótesis!$C$49*(1+Hipótesis!$D$45)^2)*(1+Hipótesis!$D$42),0)</f>
        <v>-5280</v>
      </c>
      <c r="AH45" s="100" t="n">
        <f aca="false">-IF(AND(32&gt;=Hipótesis!$D$49,Hipótesis!$B$49=1),IF(Hipótesis!$G$49=1,Hipótesis!$E$44,Hipótesis!$C$49*(1+Hipótesis!$D$45)^2)*(1+Hipótesis!$D$42),0)</f>
        <v>-5280</v>
      </c>
      <c r="AI45" s="100" t="n">
        <f aca="false">-IF(AND(33&gt;=Hipótesis!$D$49,Hipótesis!$B$49=1),IF(Hipótesis!$G$49=1,Hipótesis!$E$44,Hipótesis!$C$49*(1+Hipótesis!$D$45)^2)*(1+Hipótesis!$D$42),0)</f>
        <v>-5280</v>
      </c>
      <c r="AJ45" s="100" t="n">
        <f aca="false">-IF(AND(34&gt;=Hipótesis!$D$49,Hipótesis!$B$49=1),IF(Hipótesis!$G$49=1,Hipótesis!$E$44,Hipótesis!$C$49*(1+Hipótesis!$D$45)^2)*(1+Hipótesis!$D$42),0)</f>
        <v>-5280</v>
      </c>
      <c r="AK45" s="100" t="n">
        <f aca="false">-IF(AND(35&gt;=Hipótesis!$D$49,Hipótesis!$B$49=1),IF(Hipótesis!$G$49=1,Hipótesis!$E$44,Hipótesis!$C$49*(1+Hipótesis!$D$45)^2)*(1+Hipótesis!$D$42),0)</f>
        <v>-5280</v>
      </c>
      <c r="AL45" s="100" t="n">
        <f aca="false">-IF(AND(36&gt;=Hipótesis!$D$49,Hipótesis!$B$49=1),IF(Hipótesis!$G$49=1,Hipótesis!$E$44,Hipótesis!$C$49*(1+Hipótesis!$D$45)^2)*(1+Hipótesis!$D$42),0)</f>
        <v>-5280</v>
      </c>
      <c r="AM45" s="100" t="n">
        <f aca="false">-IF(AND(37&gt;=Hipótesis!$D$49,Hipótesis!$B$49=1),IF(Hipótesis!$G$49=1,Hipótesis!$F$44,Hipótesis!$C$49*(1+Hipótesis!$D$45)^3)*(1+Hipótesis!$D$42),0)</f>
        <v>-5940</v>
      </c>
      <c r="AN45" s="100" t="n">
        <f aca="false">-IF(AND(38&gt;=Hipótesis!$D$49,Hipótesis!$B$49=1),IF(Hipótesis!$G$49=1,Hipótesis!$F$44,Hipótesis!$C$49*(1+Hipótesis!$D$45)^3)*(1+Hipótesis!$D$42),0)</f>
        <v>-5940</v>
      </c>
      <c r="AO45" s="100" t="n">
        <f aca="false">-IF(AND(39&gt;=Hipótesis!$D$49,Hipótesis!$B$49=1),IF(Hipótesis!$G$49=1,Hipótesis!$F$44,Hipótesis!$C$49*(1+Hipótesis!$D$45)^3)*(1+Hipótesis!$D$42),0)</f>
        <v>-5940</v>
      </c>
      <c r="AP45" s="100" t="n">
        <f aca="false">-IF(AND(40&gt;=Hipótesis!$D$49,Hipótesis!$B$49=1),IF(Hipótesis!$G$49=1,Hipótesis!$F$44,Hipótesis!$C$49*(1+Hipótesis!$D$45)^3)*(1+Hipótesis!$D$42),0)</f>
        <v>-5940</v>
      </c>
      <c r="AQ45" s="100" t="n">
        <f aca="false">-IF(AND(41&gt;=Hipótesis!$D$49,Hipótesis!$B$49=1),IF(Hipótesis!$G$49=1,Hipótesis!$F$44,Hipótesis!$C$49*(1+Hipótesis!$D$45)^3)*(1+Hipótesis!$D$42),0)</f>
        <v>-5940</v>
      </c>
      <c r="AR45" s="100" t="n">
        <f aca="false">-IF(AND(42&gt;=Hipótesis!$D$49,Hipótesis!$B$49=1),IF(Hipótesis!$G$49=1,Hipótesis!$F$44,Hipótesis!$C$49*(1+Hipótesis!$D$45)^3)*(1+Hipótesis!$D$42),0)</f>
        <v>-5940</v>
      </c>
      <c r="AS45" s="100" t="n">
        <f aca="false">-IF(AND(43&gt;=Hipótesis!$D$49,Hipótesis!$B$49=1),IF(Hipótesis!$G$49=1,Hipótesis!$F$44,Hipótesis!$C$49*(1+Hipótesis!$D$45)^3)*(1+Hipótesis!$D$42),0)</f>
        <v>-5940</v>
      </c>
      <c r="AT45" s="100" t="n">
        <f aca="false">-IF(AND(44&gt;=Hipótesis!$D$49,Hipótesis!$B$49=1),IF(Hipótesis!$G$49=1,Hipótesis!$F$44,Hipótesis!$C$49*(1+Hipótesis!$D$45)^3)*(1+Hipótesis!$D$42),0)</f>
        <v>-5940</v>
      </c>
      <c r="AU45" s="100" t="n">
        <f aca="false">-IF(AND(45&gt;=Hipótesis!$D$49,Hipótesis!$B$49=1),IF(Hipótesis!$G$49=1,Hipótesis!$F$44,Hipótesis!$C$49*(1+Hipótesis!$D$45)^3)*(1+Hipótesis!$D$42),0)</f>
        <v>-5940</v>
      </c>
      <c r="AV45" s="100" t="n">
        <f aca="false">-IF(AND(46&gt;=Hipótesis!$D$49,Hipótesis!$B$49=1),IF(Hipótesis!$G$49=1,Hipótesis!$F$44,Hipótesis!$C$49*(1+Hipótesis!$D$45)^3)*(1+Hipótesis!$D$42),0)</f>
        <v>-5940</v>
      </c>
      <c r="AW45" s="100" t="n">
        <f aca="false">-IF(AND(47&gt;=Hipótesis!$D$49,Hipótesis!$B$49=1),IF(Hipótesis!$G$49=1,Hipótesis!$F$44,Hipótesis!$C$49*(1+Hipótesis!$D$45)^3)*(1+Hipótesis!$D$42),0)</f>
        <v>-5940</v>
      </c>
      <c r="AX45" s="100" t="n">
        <f aca="false">-IF(AND(48&gt;=Hipótesis!$D$49,Hipótesis!$B$49=1),IF(Hipótesis!$G$49=1,Hipótesis!$F$44,Hipótesis!$C$49*(1+Hipótesis!$D$45)^3)*(1+Hipótesis!$D$42),0)</f>
        <v>-5940</v>
      </c>
      <c r="AY45" s="100" t="n">
        <f aca="false">-IF(AND(49&gt;=Hipótesis!$D$49,Hipótesis!$B$49=1),IF(Hipótesis!$G$49=1,Hipótesis!$G$44,Hipótesis!$C$49*(1+Hipótesis!$D$45)^4)*(1+Hipótesis!$D$42),0)</f>
        <v>-6600</v>
      </c>
      <c r="AZ45" s="100" t="n">
        <f aca="false">-IF(AND(50&gt;=Hipótesis!$D$49,Hipótesis!$B$49=1),IF(Hipótesis!$G$49=1,Hipótesis!$G$44,Hipótesis!$C$49*(1+Hipótesis!$D$45)^4)*(1+Hipótesis!$D$42),0)</f>
        <v>-6600</v>
      </c>
      <c r="BA45" s="100" t="n">
        <f aca="false">-IF(AND(51&gt;=Hipótesis!$D$49,Hipótesis!$B$49=1),IF(Hipótesis!$G$49=1,Hipótesis!$G$44,Hipótesis!$C$49*(1+Hipótesis!$D$45)^4)*(1+Hipótesis!$D$42),0)</f>
        <v>-6600</v>
      </c>
      <c r="BB45" s="100" t="n">
        <f aca="false">-IF(AND(52&gt;=Hipótesis!$D$49,Hipótesis!$B$49=1),IF(Hipótesis!$G$49=1,Hipótesis!$G$44,Hipótesis!$C$49*(1+Hipótesis!$D$45)^4)*(1+Hipótesis!$D$42),0)</f>
        <v>-6600</v>
      </c>
      <c r="BC45" s="100" t="n">
        <f aca="false">-IF(AND(53&gt;=Hipótesis!$D$49,Hipótesis!$B$49=1),IF(Hipótesis!$G$49=1,Hipótesis!$G$44,Hipótesis!$C$49*(1+Hipótesis!$D$45)^4)*(1+Hipótesis!$D$42),0)</f>
        <v>-6600</v>
      </c>
      <c r="BD45" s="100" t="n">
        <f aca="false">-IF(AND(54&gt;=Hipótesis!$D$49,Hipótesis!$B$49=1),IF(Hipótesis!$G$49=1,Hipótesis!$G$44,Hipótesis!$C$49*(1+Hipótesis!$D$45)^4)*(1+Hipótesis!$D$42),0)</f>
        <v>-6600</v>
      </c>
      <c r="BE45" s="100" t="n">
        <f aca="false">-IF(AND(55&gt;=Hipótesis!$D$49,Hipótesis!$B$49=1),IF(Hipótesis!$G$49=1,Hipótesis!$G$44,Hipótesis!$C$49*(1+Hipótesis!$D$45)^4)*(1+Hipótesis!$D$42),0)</f>
        <v>-6600</v>
      </c>
      <c r="BF45" s="100" t="n">
        <f aca="false">-IF(AND(56&gt;=Hipótesis!$D$49,Hipótesis!$B$49=1),IF(Hipótesis!$G$49=1,Hipótesis!$G$44,Hipótesis!$C$49*(1+Hipótesis!$D$45)^4)*(1+Hipótesis!$D$42),0)</f>
        <v>-6600</v>
      </c>
      <c r="BG45" s="100" t="n">
        <f aca="false">-IF(AND(57&gt;=Hipótesis!$D$49,Hipótesis!$B$49=1),IF(Hipótesis!$G$49=1,Hipótesis!$G$44,Hipótesis!$C$49*(1+Hipótesis!$D$45)^4)*(1+Hipótesis!$D$42),0)</f>
        <v>-6600</v>
      </c>
      <c r="BH45" s="100" t="n">
        <f aca="false">-IF(AND(58&gt;=Hipótesis!$D$49,Hipótesis!$B$49=1),IF(Hipótesis!$G$49=1,Hipótesis!$G$44,Hipótesis!$C$49*(1+Hipótesis!$D$45)^4)*(1+Hipótesis!$D$42),0)</f>
        <v>-6600</v>
      </c>
      <c r="BI45" s="100" t="n">
        <f aca="false">-IF(AND(59&gt;=Hipótesis!$D$49,Hipótesis!$B$49=1),IF(Hipótesis!$G$49=1,Hipótesis!$G$44,Hipótesis!$C$49*(1+Hipótesis!$D$45)^4)*(1+Hipótesis!$D$42),0)</f>
        <v>-6600</v>
      </c>
      <c r="BJ45" s="100" t="n">
        <f aca="false">-IF(AND(60&gt;=Hipótesis!$D$49,Hipótesis!$B$49=1),IF(Hipótesis!$G$49=1,Hipótesis!$G$44,Hipótesis!$C$49*(1+Hipótesis!$D$45)^4)*(1+Hipótesis!$D$42),0)</f>
        <v>-6600</v>
      </c>
      <c r="BK45" s="100" t="n">
        <f aca="false">-IF(AND(61&gt;=Hipótesis!$D$49,Hipótesis!$B$49=1),IF(Hipótesis!$G$49=1,Hipótesis!$H$44,Hipótesis!$C$49*(1+Hipótesis!$D$45)^5)*(1+Hipótesis!$D$42),0)</f>
        <v>-7260</v>
      </c>
      <c r="BL45" s="100" t="n">
        <f aca="false">-IF(AND(62&gt;=Hipótesis!$D$49,Hipótesis!$B$49=1),IF(Hipótesis!$G$49=1,Hipótesis!$H$44,Hipótesis!$C$49*(1+Hipótesis!$D$45)^5)*(1+Hipótesis!$D$42),0)</f>
        <v>-7260</v>
      </c>
      <c r="BM45" s="100" t="n">
        <f aca="false">-IF(AND(63&gt;=Hipótesis!$D$49,Hipótesis!$B$49=1),IF(Hipótesis!$G$49=1,Hipótesis!$H$44,Hipótesis!$C$49*(1+Hipótesis!$D$45)^5)*(1+Hipótesis!$D$42),0)</f>
        <v>-7260</v>
      </c>
      <c r="BN45" s="100" t="n">
        <f aca="false">-IF(AND(64&gt;=Hipótesis!$D$49,Hipótesis!$B$49=1),IF(Hipótesis!$G$49=1,Hipótesis!$H$44,Hipótesis!$C$49*(1+Hipótesis!$D$45)^5)*(1+Hipótesis!$D$42),0)</f>
        <v>-7260</v>
      </c>
      <c r="BO45" s="100" t="n">
        <f aca="false">-IF(AND(65&gt;=Hipótesis!$D$49,Hipótesis!$B$49=1),IF(Hipótesis!$G$49=1,Hipótesis!$H$44,Hipótesis!$C$49*(1+Hipótesis!$D$45)^5)*(1+Hipótesis!$D$42),0)</f>
        <v>-7260</v>
      </c>
      <c r="BP45" s="100" t="n">
        <f aca="false">-IF(AND(66&gt;=Hipótesis!$D$49,Hipótesis!$B$49=1),IF(Hipótesis!$G$49=1,Hipótesis!$H$44,Hipótesis!$C$49*(1+Hipótesis!$D$45)^5)*(1+Hipótesis!$D$42),0)</f>
        <v>-7260</v>
      </c>
      <c r="BQ45" s="100" t="n">
        <f aca="false">-IF(AND(67&gt;=Hipótesis!$D$49,Hipótesis!$B$49=1),IF(Hipótesis!$G$49=1,Hipótesis!$H$44,Hipótesis!$C$49*(1+Hipótesis!$D$45)^5)*(1+Hipótesis!$D$42),0)</f>
        <v>-7260</v>
      </c>
      <c r="BR45" s="100" t="n">
        <f aca="false">-IF(AND(68&gt;=Hipótesis!$D$49,Hipótesis!$B$49=1),IF(Hipótesis!$G$49=1,Hipótesis!$H$44,Hipótesis!$C$49*(1+Hipótesis!$D$45)^5)*(1+Hipótesis!$D$42),0)</f>
        <v>-7260</v>
      </c>
      <c r="BS45" s="100" t="n">
        <f aca="false">-IF(AND(69&gt;=Hipótesis!$D$49,Hipótesis!$B$49=1),IF(Hipótesis!$G$49=1,Hipótesis!$H$44,Hipótesis!$C$49*(1+Hipótesis!$D$45)^5)*(1+Hipótesis!$D$42),0)</f>
        <v>-7260</v>
      </c>
      <c r="BT45" s="100" t="n">
        <f aca="false">-IF(AND(70&gt;=Hipótesis!$D$49,Hipótesis!$B$49=1),IF(Hipótesis!$G$49=1,Hipótesis!$H$44,Hipótesis!$C$49*(1+Hipótesis!$D$45)^5)*(1+Hipótesis!$D$42),0)</f>
        <v>-7260</v>
      </c>
      <c r="BU45" s="100" t="n">
        <f aca="false">-IF(AND(71&gt;=Hipótesis!$D$49,Hipótesis!$B$49=1),IF(Hipótesis!$G$49=1,Hipótesis!$H$44,Hipótesis!$C$49*(1+Hipótesis!$D$45)^5)*(1+Hipótesis!$D$42),0)</f>
        <v>-7260</v>
      </c>
      <c r="BV45" s="100" t="n">
        <f aca="false">-IF(AND(72&gt;=Hipótesis!$D$49,Hipótesis!$B$49=1),IF(Hipótesis!$G$49=1,Hipótesis!$H$44,Hipótesis!$C$49*(1+Hipótesis!$D$45)^5)*(1+Hipótesis!$D$42),0)</f>
        <v>-7260</v>
      </c>
      <c r="BW45" s="100" t="n">
        <f aca="false">-IF(AND(73&gt;=Hipótesis!$D$49,Hipótesis!$B$49=1),IF(Hipótesis!$G$49=1,Hipótesis!$I$44,Hipótesis!$C$49*(1+Hipótesis!$D$45)^6)*(1+Hipótesis!$D$42),0)</f>
        <v>-7920</v>
      </c>
      <c r="BX45" s="100" t="n">
        <f aca="false">-IF(AND(74&gt;=Hipótesis!$D$49,Hipótesis!$B$49=1),IF(Hipótesis!$G$49=1,Hipótesis!$I$44,Hipótesis!$C$49*(1+Hipótesis!$D$45)^6)*(1+Hipótesis!$D$42),0)</f>
        <v>-7920</v>
      </c>
      <c r="BY45" s="100" t="n">
        <f aca="false">-IF(AND(75&gt;=Hipótesis!$D$49,Hipótesis!$B$49=1),IF(Hipótesis!$G$49=1,Hipótesis!$I$44,Hipótesis!$C$49*(1+Hipótesis!$D$45)^6)*(1+Hipótesis!$D$42),0)</f>
        <v>-7920</v>
      </c>
      <c r="BZ45" s="100" t="n">
        <f aca="false">-IF(AND(76&gt;=Hipótesis!$D$49,Hipótesis!$B$49=1),IF(Hipótesis!$G$49=1,Hipótesis!$I$44,Hipótesis!$C$49*(1+Hipótesis!$D$45)^6)*(1+Hipótesis!$D$42),0)</f>
        <v>-7920</v>
      </c>
      <c r="CA45" s="100" t="n">
        <f aca="false">-IF(AND(77&gt;=Hipótesis!$D$49,Hipótesis!$B$49=1),IF(Hipótesis!$G$49=1,Hipótesis!$I$44,Hipótesis!$C$49*(1+Hipótesis!$D$45)^6)*(1+Hipótesis!$D$42),0)</f>
        <v>-7920</v>
      </c>
      <c r="CB45" s="100" t="n">
        <f aca="false">-IF(AND(78&gt;=Hipótesis!$D$49,Hipótesis!$B$49=1),IF(Hipótesis!$G$49=1,Hipótesis!$I$44,Hipótesis!$C$49*(1+Hipótesis!$D$45)^6)*(1+Hipótesis!$D$42),0)</f>
        <v>-7920</v>
      </c>
      <c r="CC45" s="100" t="n">
        <f aca="false">-IF(AND(79&gt;=Hipótesis!$D$49,Hipótesis!$B$49=1),IF(Hipótesis!$G$49=1,Hipótesis!$I$44,Hipótesis!$C$49*(1+Hipótesis!$D$45)^6)*(1+Hipótesis!$D$42),0)</f>
        <v>-7920</v>
      </c>
      <c r="CD45" s="100" t="n">
        <f aca="false">-IF(AND(80&gt;=Hipótesis!$D$49,Hipótesis!$B$49=1),IF(Hipótesis!$G$49=1,Hipótesis!$I$44,Hipótesis!$C$49*(1+Hipótesis!$D$45)^6)*(1+Hipótesis!$D$42),0)</f>
        <v>-7920</v>
      </c>
      <c r="CE45" s="100" t="n">
        <f aca="false">-IF(AND(81&gt;=Hipótesis!$D$49,Hipótesis!$B$49=1),IF(Hipótesis!$G$49=1,Hipótesis!$I$44,Hipótesis!$C$49*(1+Hipótesis!$D$45)^6)*(1+Hipótesis!$D$42),0)</f>
        <v>-7920</v>
      </c>
      <c r="CF45" s="100" t="n">
        <f aca="false">-IF(AND(82&gt;=Hipótesis!$D$49,Hipótesis!$B$49=1),IF(Hipótesis!$G$49=1,Hipótesis!$I$44,Hipótesis!$C$49*(1+Hipótesis!$D$45)^6)*(1+Hipótesis!$D$42),0)</f>
        <v>-7920</v>
      </c>
      <c r="CG45" s="100" t="n">
        <f aca="false">-IF(AND(83&gt;=Hipótesis!$D$49,Hipótesis!$B$49=1),IF(Hipótesis!$G$49=1,Hipótesis!$I$44,Hipótesis!$C$49*(1+Hipótesis!$D$45)^6)*(1+Hipótesis!$D$42),0)</f>
        <v>-7920</v>
      </c>
      <c r="CH45" s="100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6" t="s">
        <v>523</v>
      </c>
      <c r="C46" s="100" t="n">
        <f aca="false">-IF(AND(1&gt;=Hipótesis!$D$50,Hipótesis!$B$50=1),IF(Hipótesis!$G$50=1,Hipótesis!$C$44,Hipótesis!$C$50*(1+Hipótesis!$D$45)^0)*(1+Hipótesis!$D$42),0)</f>
        <v>-2904</v>
      </c>
      <c r="D46" s="100" t="n">
        <f aca="false">-IF(AND(2&gt;=Hipótesis!$D$50,Hipótesis!$B$50=1),IF(Hipótesis!$G$50=1,Hipótesis!$C$44,Hipótesis!$C$50*(1+Hipótesis!$D$45)^0)*(1+Hipótesis!$D$42),0)</f>
        <v>-2904</v>
      </c>
      <c r="E46" s="100" t="n">
        <f aca="false">-IF(AND(3&gt;=Hipótesis!$D$50,Hipótesis!$B$50=1),IF(Hipótesis!$G$50=1,Hipótesis!$C$44,Hipótesis!$C$50*(1+Hipótesis!$D$45)^0)*(1+Hipótesis!$D$42),0)</f>
        <v>-2904</v>
      </c>
      <c r="F46" s="100" t="n">
        <f aca="false">-IF(AND(4&gt;=Hipótesis!$D$50,Hipótesis!$B$50=1),IF(Hipótesis!$G$50=1,Hipótesis!$C$44,Hipótesis!$C$50*(1+Hipótesis!$D$45)^0)*(1+Hipótesis!$D$42),0)</f>
        <v>-2904</v>
      </c>
      <c r="G46" s="100" t="n">
        <f aca="false">-IF(AND(5&gt;=Hipótesis!$D$50,Hipótesis!$B$50=1),IF(Hipótesis!$G$50=1,Hipótesis!$C$44,Hipótesis!$C$50*(1+Hipótesis!$D$45)^0)*(1+Hipótesis!$D$42),0)</f>
        <v>-2904</v>
      </c>
      <c r="H46" s="100" t="n">
        <f aca="false">-IF(AND(6&gt;=Hipótesis!$D$50,Hipótesis!$B$50=1),IF(Hipótesis!$G$50=1,Hipótesis!$C$44,Hipótesis!$C$50*(1+Hipótesis!$D$45)^0)*(1+Hipótesis!$D$42),0)</f>
        <v>-2904</v>
      </c>
      <c r="I46" s="100" t="n">
        <f aca="false">-IF(AND(7&gt;=Hipótesis!$D$50,Hipótesis!$B$50=1),IF(Hipótesis!$G$50=1,Hipótesis!$C$44,Hipótesis!$C$50*(1+Hipótesis!$D$45)^0)*(1+Hipótesis!$D$42),0)</f>
        <v>-2904</v>
      </c>
      <c r="J46" s="100" t="n">
        <f aca="false">-IF(AND(8&gt;=Hipótesis!$D$50,Hipótesis!$B$50=1),IF(Hipótesis!$G$50=1,Hipótesis!$C$44,Hipótesis!$C$50*(1+Hipótesis!$D$45)^0)*(1+Hipótesis!$D$42),0)</f>
        <v>-2904</v>
      </c>
      <c r="K46" s="100" t="n">
        <f aca="false">-IF(AND(9&gt;=Hipótesis!$D$50,Hipótesis!$B$50=1),IF(Hipótesis!$G$50=1,Hipótesis!$C$44,Hipótesis!$C$50*(1+Hipótesis!$D$45)^0)*(1+Hipótesis!$D$42),0)</f>
        <v>-2904</v>
      </c>
      <c r="L46" s="100" t="n">
        <f aca="false">-IF(AND(10&gt;=Hipótesis!$D$50,Hipótesis!$B$50=1),IF(Hipótesis!$G$50=1,Hipótesis!$C$44,Hipótesis!$C$50*(1+Hipótesis!$D$45)^0)*(1+Hipótesis!$D$42),0)</f>
        <v>-2904</v>
      </c>
      <c r="M46" s="100" t="n">
        <f aca="false">-IF(AND(11&gt;=Hipótesis!$D$50,Hipótesis!$B$50=1),IF(Hipótesis!$G$50=1,Hipótesis!$C$44,Hipótesis!$C$50*(1+Hipótesis!$D$45)^0)*(1+Hipótesis!$D$42),0)</f>
        <v>-2904</v>
      </c>
      <c r="N46" s="100" t="n">
        <f aca="false">-IF(AND(12&gt;=Hipótesis!$D$50,Hipótesis!$B$50=1),IF(Hipótesis!$G$50=1,Hipótesis!$C$44,Hipótesis!$C$50*(1+Hipótesis!$D$45)^0)*(1+Hipótesis!$D$42),0)</f>
        <v>-2904</v>
      </c>
      <c r="O46" s="100" t="n">
        <f aca="false">-IF(AND(13&gt;=Hipótesis!$D$50,Hipótesis!$B$50=1),IF(Hipótesis!$G$50=1,Hipótesis!$D$44,Hipótesis!$C$50*(1+Hipótesis!$D$45)^1)*(1+Hipótesis!$D$42),0)</f>
        <v>-4620</v>
      </c>
      <c r="P46" s="100" t="n">
        <f aca="false">-IF(AND(14&gt;=Hipótesis!$D$50,Hipótesis!$B$50=1),IF(Hipótesis!$G$50=1,Hipótesis!$D$44,Hipótesis!$C$50*(1+Hipótesis!$D$45)^1)*(1+Hipótesis!$D$42),0)</f>
        <v>-4620</v>
      </c>
      <c r="Q46" s="100" t="n">
        <f aca="false">-IF(AND(15&gt;=Hipótesis!$D$50,Hipótesis!$B$50=1),IF(Hipótesis!$G$50=1,Hipótesis!$D$44,Hipótesis!$C$50*(1+Hipótesis!$D$45)^1)*(1+Hipótesis!$D$42),0)</f>
        <v>-4620</v>
      </c>
      <c r="R46" s="100" t="n">
        <f aca="false">-IF(AND(16&gt;=Hipótesis!$D$50,Hipótesis!$B$50=1),IF(Hipótesis!$G$50=1,Hipótesis!$D$44,Hipótesis!$C$50*(1+Hipótesis!$D$45)^1)*(1+Hipótesis!$D$42),0)</f>
        <v>-4620</v>
      </c>
      <c r="S46" s="100" t="n">
        <f aca="false">-IF(AND(17&gt;=Hipótesis!$D$50,Hipótesis!$B$50=1),IF(Hipótesis!$G$50=1,Hipótesis!$D$44,Hipótesis!$C$50*(1+Hipótesis!$D$45)^1)*(1+Hipótesis!$D$42),0)</f>
        <v>-4620</v>
      </c>
      <c r="T46" s="100" t="n">
        <f aca="false">-IF(AND(18&gt;=Hipótesis!$D$50,Hipótesis!$B$50=1),IF(Hipótesis!$G$50=1,Hipótesis!$D$44,Hipótesis!$C$50*(1+Hipótesis!$D$45)^1)*(1+Hipótesis!$D$42),0)</f>
        <v>-4620</v>
      </c>
      <c r="U46" s="100" t="n">
        <f aca="false">-IF(AND(19&gt;=Hipótesis!$D$50,Hipótesis!$B$50=1),IF(Hipótesis!$G$50=1,Hipótesis!$D$44,Hipótesis!$C$50*(1+Hipótesis!$D$45)^1)*(1+Hipótesis!$D$42),0)</f>
        <v>-4620</v>
      </c>
      <c r="V46" s="100" t="n">
        <f aca="false">-IF(AND(20&gt;=Hipótesis!$D$50,Hipótesis!$B$50=1),IF(Hipótesis!$G$50=1,Hipótesis!$D$44,Hipótesis!$C$50*(1+Hipótesis!$D$45)^1)*(1+Hipótesis!$D$42),0)</f>
        <v>-4620</v>
      </c>
      <c r="W46" s="100" t="n">
        <f aca="false">-IF(AND(21&gt;=Hipótesis!$D$50,Hipótesis!$B$50=1),IF(Hipótesis!$G$50=1,Hipótesis!$D$44,Hipótesis!$C$50*(1+Hipótesis!$D$45)^1)*(1+Hipótesis!$D$42),0)</f>
        <v>-4620</v>
      </c>
      <c r="X46" s="100" t="n">
        <f aca="false">-IF(AND(22&gt;=Hipótesis!$D$50,Hipótesis!$B$50=1),IF(Hipótesis!$G$50=1,Hipótesis!$D$44,Hipótesis!$C$50*(1+Hipótesis!$D$45)^1)*(1+Hipótesis!$D$42),0)</f>
        <v>-4620</v>
      </c>
      <c r="Y46" s="100" t="n">
        <f aca="false">-IF(AND(23&gt;=Hipótesis!$D$50,Hipótesis!$B$50=1),IF(Hipótesis!$G$50=1,Hipótesis!$D$44,Hipótesis!$C$50*(1+Hipótesis!$D$45)^1)*(1+Hipótesis!$D$42),0)</f>
        <v>-4620</v>
      </c>
      <c r="Z46" s="100" t="n">
        <f aca="false">-IF(AND(24&gt;=Hipótesis!$D$50,Hipótesis!$B$50=1),IF(Hipótesis!$G$50=1,Hipótesis!$D$44,Hipótesis!$C$50*(1+Hipótesis!$D$45)^1)*(1+Hipótesis!$D$42),0)</f>
        <v>-4620</v>
      </c>
      <c r="AA46" s="100" t="n">
        <f aca="false">-IF(AND(25&gt;=Hipótesis!$D$50,Hipótesis!$B$50=1),IF(Hipótesis!$G$50=1,Hipótesis!$E$44,Hipótesis!$C$50*(1+Hipótesis!$D$45)^2)*(1+Hipótesis!$D$42),0)</f>
        <v>-5280</v>
      </c>
      <c r="AB46" s="100" t="n">
        <f aca="false">-IF(AND(26&gt;=Hipótesis!$D$50,Hipótesis!$B$50=1),IF(Hipótesis!$G$50=1,Hipótesis!$E$44,Hipótesis!$C$50*(1+Hipótesis!$D$45)^2)*(1+Hipótesis!$D$42),0)</f>
        <v>-5280</v>
      </c>
      <c r="AC46" s="100" t="n">
        <f aca="false">-IF(AND(27&gt;=Hipótesis!$D$50,Hipótesis!$B$50=1),IF(Hipótesis!$G$50=1,Hipótesis!$E$44,Hipótesis!$C$50*(1+Hipótesis!$D$45)^2)*(1+Hipótesis!$D$42),0)</f>
        <v>-5280</v>
      </c>
      <c r="AD46" s="100" t="n">
        <f aca="false">-IF(AND(28&gt;=Hipótesis!$D$50,Hipótesis!$B$50=1),IF(Hipótesis!$G$50=1,Hipótesis!$E$44,Hipótesis!$C$50*(1+Hipótesis!$D$45)^2)*(1+Hipótesis!$D$42),0)</f>
        <v>-5280</v>
      </c>
      <c r="AE46" s="100" t="n">
        <f aca="false">-IF(AND(29&gt;=Hipótesis!$D$50,Hipótesis!$B$50=1),IF(Hipótesis!$G$50=1,Hipótesis!$E$44,Hipótesis!$C$50*(1+Hipótesis!$D$45)^2)*(1+Hipótesis!$D$42),0)</f>
        <v>-5280</v>
      </c>
      <c r="AF46" s="100" t="n">
        <f aca="false">-IF(AND(30&gt;=Hipótesis!$D$50,Hipótesis!$B$50=1),IF(Hipótesis!$G$50=1,Hipótesis!$E$44,Hipótesis!$C$50*(1+Hipótesis!$D$45)^2)*(1+Hipótesis!$D$42),0)</f>
        <v>-5280</v>
      </c>
      <c r="AG46" s="100" t="n">
        <f aca="false">-IF(AND(31&gt;=Hipótesis!$D$50,Hipótesis!$B$50=1),IF(Hipótesis!$G$50=1,Hipótesis!$E$44,Hipótesis!$C$50*(1+Hipótesis!$D$45)^2)*(1+Hipótesis!$D$42),0)</f>
        <v>-5280</v>
      </c>
      <c r="AH46" s="100" t="n">
        <f aca="false">-IF(AND(32&gt;=Hipótesis!$D$50,Hipótesis!$B$50=1),IF(Hipótesis!$G$50=1,Hipótesis!$E$44,Hipótesis!$C$50*(1+Hipótesis!$D$45)^2)*(1+Hipótesis!$D$42),0)</f>
        <v>-5280</v>
      </c>
      <c r="AI46" s="100" t="n">
        <f aca="false">-IF(AND(33&gt;=Hipótesis!$D$50,Hipótesis!$B$50=1),IF(Hipótesis!$G$50=1,Hipótesis!$E$44,Hipótesis!$C$50*(1+Hipótesis!$D$45)^2)*(1+Hipótesis!$D$42),0)</f>
        <v>-5280</v>
      </c>
      <c r="AJ46" s="100" t="n">
        <f aca="false">-IF(AND(34&gt;=Hipótesis!$D$50,Hipótesis!$B$50=1),IF(Hipótesis!$G$50=1,Hipótesis!$E$44,Hipótesis!$C$50*(1+Hipótesis!$D$45)^2)*(1+Hipótesis!$D$42),0)</f>
        <v>-5280</v>
      </c>
      <c r="AK46" s="100" t="n">
        <f aca="false">-IF(AND(35&gt;=Hipótesis!$D$50,Hipótesis!$B$50=1),IF(Hipótesis!$G$50=1,Hipótesis!$E$44,Hipótesis!$C$50*(1+Hipótesis!$D$45)^2)*(1+Hipótesis!$D$42),0)</f>
        <v>-5280</v>
      </c>
      <c r="AL46" s="100" t="n">
        <f aca="false">-IF(AND(36&gt;=Hipótesis!$D$50,Hipótesis!$B$50=1),IF(Hipótesis!$G$50=1,Hipótesis!$E$44,Hipótesis!$C$50*(1+Hipótesis!$D$45)^2)*(1+Hipótesis!$D$42),0)</f>
        <v>-5280</v>
      </c>
      <c r="AM46" s="100" t="n">
        <f aca="false">-IF(AND(37&gt;=Hipótesis!$D$50,Hipótesis!$B$50=1),IF(Hipótesis!$G$50=1,Hipótesis!$F$44,Hipótesis!$C$50*(1+Hipótesis!$D$45)^3)*(1+Hipótesis!$D$42),0)</f>
        <v>-5940</v>
      </c>
      <c r="AN46" s="100" t="n">
        <f aca="false">-IF(AND(38&gt;=Hipótesis!$D$50,Hipótesis!$B$50=1),IF(Hipótesis!$G$50=1,Hipótesis!$F$44,Hipótesis!$C$50*(1+Hipótesis!$D$45)^3)*(1+Hipótesis!$D$42),0)</f>
        <v>-5940</v>
      </c>
      <c r="AO46" s="100" t="n">
        <f aca="false">-IF(AND(39&gt;=Hipótesis!$D$50,Hipótesis!$B$50=1),IF(Hipótesis!$G$50=1,Hipótesis!$F$44,Hipótesis!$C$50*(1+Hipótesis!$D$45)^3)*(1+Hipótesis!$D$42),0)</f>
        <v>-5940</v>
      </c>
      <c r="AP46" s="100" t="n">
        <f aca="false">-IF(AND(40&gt;=Hipótesis!$D$50,Hipótesis!$B$50=1),IF(Hipótesis!$G$50=1,Hipótesis!$F$44,Hipótesis!$C$50*(1+Hipótesis!$D$45)^3)*(1+Hipótesis!$D$42),0)</f>
        <v>-5940</v>
      </c>
      <c r="AQ46" s="100" t="n">
        <f aca="false">-IF(AND(41&gt;=Hipótesis!$D$50,Hipótesis!$B$50=1),IF(Hipótesis!$G$50=1,Hipótesis!$F$44,Hipótesis!$C$50*(1+Hipótesis!$D$45)^3)*(1+Hipótesis!$D$42),0)</f>
        <v>-5940</v>
      </c>
      <c r="AR46" s="100" t="n">
        <f aca="false">-IF(AND(42&gt;=Hipótesis!$D$50,Hipótesis!$B$50=1),IF(Hipótesis!$G$50=1,Hipótesis!$F$44,Hipótesis!$C$50*(1+Hipótesis!$D$45)^3)*(1+Hipótesis!$D$42),0)</f>
        <v>-5940</v>
      </c>
      <c r="AS46" s="100" t="n">
        <f aca="false">-IF(AND(43&gt;=Hipótesis!$D$50,Hipótesis!$B$50=1),IF(Hipótesis!$G$50=1,Hipótesis!$F$44,Hipótesis!$C$50*(1+Hipótesis!$D$45)^3)*(1+Hipótesis!$D$42),0)</f>
        <v>-5940</v>
      </c>
      <c r="AT46" s="100" t="n">
        <f aca="false">-IF(AND(44&gt;=Hipótesis!$D$50,Hipótesis!$B$50=1),IF(Hipótesis!$G$50=1,Hipótesis!$F$44,Hipótesis!$C$50*(1+Hipótesis!$D$45)^3)*(1+Hipótesis!$D$42),0)</f>
        <v>-5940</v>
      </c>
      <c r="AU46" s="100" t="n">
        <f aca="false">-IF(AND(45&gt;=Hipótesis!$D$50,Hipótesis!$B$50=1),IF(Hipótesis!$G$50=1,Hipótesis!$F$44,Hipótesis!$C$50*(1+Hipótesis!$D$45)^3)*(1+Hipótesis!$D$42),0)</f>
        <v>-5940</v>
      </c>
      <c r="AV46" s="100" t="n">
        <f aca="false">-IF(AND(46&gt;=Hipótesis!$D$50,Hipótesis!$B$50=1),IF(Hipótesis!$G$50=1,Hipótesis!$F$44,Hipótesis!$C$50*(1+Hipótesis!$D$45)^3)*(1+Hipótesis!$D$42),0)</f>
        <v>-5940</v>
      </c>
      <c r="AW46" s="100" t="n">
        <f aca="false">-IF(AND(47&gt;=Hipótesis!$D$50,Hipótesis!$B$50=1),IF(Hipótesis!$G$50=1,Hipótesis!$F$44,Hipótesis!$C$50*(1+Hipótesis!$D$45)^3)*(1+Hipótesis!$D$42),0)</f>
        <v>-5940</v>
      </c>
      <c r="AX46" s="100" t="n">
        <f aca="false">-IF(AND(48&gt;=Hipótesis!$D$50,Hipótesis!$B$50=1),IF(Hipótesis!$G$50=1,Hipótesis!$F$44,Hipótesis!$C$50*(1+Hipótesis!$D$45)^3)*(1+Hipótesis!$D$42),0)</f>
        <v>-5940</v>
      </c>
      <c r="AY46" s="100" t="n">
        <f aca="false">-IF(AND(49&gt;=Hipótesis!$D$50,Hipótesis!$B$50=1),IF(Hipótesis!$G$50=1,Hipótesis!$G$44,Hipótesis!$C$50*(1+Hipótesis!$D$45)^4)*(1+Hipótesis!$D$42),0)</f>
        <v>-6600</v>
      </c>
      <c r="AZ46" s="100" t="n">
        <f aca="false">-IF(AND(50&gt;=Hipótesis!$D$50,Hipótesis!$B$50=1),IF(Hipótesis!$G$50=1,Hipótesis!$G$44,Hipótesis!$C$50*(1+Hipótesis!$D$45)^4)*(1+Hipótesis!$D$42),0)</f>
        <v>-6600</v>
      </c>
      <c r="BA46" s="100" t="n">
        <f aca="false">-IF(AND(51&gt;=Hipótesis!$D$50,Hipótesis!$B$50=1),IF(Hipótesis!$G$50=1,Hipótesis!$G$44,Hipótesis!$C$50*(1+Hipótesis!$D$45)^4)*(1+Hipótesis!$D$42),0)</f>
        <v>-6600</v>
      </c>
      <c r="BB46" s="100" t="n">
        <f aca="false">-IF(AND(52&gt;=Hipótesis!$D$50,Hipótesis!$B$50=1),IF(Hipótesis!$G$50=1,Hipótesis!$G$44,Hipótesis!$C$50*(1+Hipótesis!$D$45)^4)*(1+Hipótesis!$D$42),0)</f>
        <v>-6600</v>
      </c>
      <c r="BC46" s="100" t="n">
        <f aca="false">-IF(AND(53&gt;=Hipótesis!$D$50,Hipótesis!$B$50=1),IF(Hipótesis!$G$50=1,Hipótesis!$G$44,Hipótesis!$C$50*(1+Hipótesis!$D$45)^4)*(1+Hipótesis!$D$42),0)</f>
        <v>-6600</v>
      </c>
      <c r="BD46" s="100" t="n">
        <f aca="false">-IF(AND(54&gt;=Hipótesis!$D$50,Hipótesis!$B$50=1),IF(Hipótesis!$G$50=1,Hipótesis!$G$44,Hipótesis!$C$50*(1+Hipótesis!$D$45)^4)*(1+Hipótesis!$D$42),0)</f>
        <v>-6600</v>
      </c>
      <c r="BE46" s="100" t="n">
        <f aca="false">-IF(AND(55&gt;=Hipótesis!$D$50,Hipótesis!$B$50=1),IF(Hipótesis!$G$50=1,Hipótesis!$G$44,Hipótesis!$C$50*(1+Hipótesis!$D$45)^4)*(1+Hipótesis!$D$42),0)</f>
        <v>-6600</v>
      </c>
      <c r="BF46" s="100" t="n">
        <f aca="false">-IF(AND(56&gt;=Hipótesis!$D$50,Hipótesis!$B$50=1),IF(Hipótesis!$G$50=1,Hipótesis!$G$44,Hipótesis!$C$50*(1+Hipótesis!$D$45)^4)*(1+Hipótesis!$D$42),0)</f>
        <v>-6600</v>
      </c>
      <c r="BG46" s="100" t="n">
        <f aca="false">-IF(AND(57&gt;=Hipótesis!$D$50,Hipótesis!$B$50=1),IF(Hipótesis!$G$50=1,Hipótesis!$G$44,Hipótesis!$C$50*(1+Hipótesis!$D$45)^4)*(1+Hipótesis!$D$42),0)</f>
        <v>-6600</v>
      </c>
      <c r="BH46" s="100" t="n">
        <f aca="false">-IF(AND(58&gt;=Hipótesis!$D$50,Hipótesis!$B$50=1),IF(Hipótesis!$G$50=1,Hipótesis!$G$44,Hipótesis!$C$50*(1+Hipótesis!$D$45)^4)*(1+Hipótesis!$D$42),0)</f>
        <v>-6600</v>
      </c>
      <c r="BI46" s="100" t="n">
        <f aca="false">-IF(AND(59&gt;=Hipótesis!$D$50,Hipótesis!$B$50=1),IF(Hipótesis!$G$50=1,Hipótesis!$G$44,Hipótesis!$C$50*(1+Hipótesis!$D$45)^4)*(1+Hipótesis!$D$42),0)</f>
        <v>-6600</v>
      </c>
      <c r="BJ46" s="100" t="n">
        <f aca="false">-IF(AND(60&gt;=Hipótesis!$D$50,Hipótesis!$B$50=1),IF(Hipótesis!$G$50=1,Hipótesis!$G$44,Hipótesis!$C$50*(1+Hipótesis!$D$45)^4)*(1+Hipótesis!$D$42),0)</f>
        <v>-6600</v>
      </c>
      <c r="BK46" s="100" t="n">
        <f aca="false">-IF(AND(61&gt;=Hipótesis!$D$50,Hipótesis!$B$50=1),IF(Hipótesis!$G$50=1,Hipótesis!$H$44,Hipótesis!$C$50*(1+Hipótesis!$D$45)^5)*(1+Hipótesis!$D$42),0)</f>
        <v>-7260</v>
      </c>
      <c r="BL46" s="100" t="n">
        <f aca="false">-IF(AND(62&gt;=Hipótesis!$D$50,Hipótesis!$B$50=1),IF(Hipótesis!$G$50=1,Hipótesis!$H$44,Hipótesis!$C$50*(1+Hipótesis!$D$45)^5)*(1+Hipótesis!$D$42),0)</f>
        <v>-7260</v>
      </c>
      <c r="BM46" s="100" t="n">
        <f aca="false">-IF(AND(63&gt;=Hipótesis!$D$50,Hipótesis!$B$50=1),IF(Hipótesis!$G$50=1,Hipótesis!$H$44,Hipótesis!$C$50*(1+Hipótesis!$D$45)^5)*(1+Hipótesis!$D$42),0)</f>
        <v>-7260</v>
      </c>
      <c r="BN46" s="100" t="n">
        <f aca="false">-IF(AND(64&gt;=Hipótesis!$D$50,Hipótesis!$B$50=1),IF(Hipótesis!$G$50=1,Hipótesis!$H$44,Hipótesis!$C$50*(1+Hipótesis!$D$45)^5)*(1+Hipótesis!$D$42),0)</f>
        <v>-7260</v>
      </c>
      <c r="BO46" s="100" t="n">
        <f aca="false">-IF(AND(65&gt;=Hipótesis!$D$50,Hipótesis!$B$50=1),IF(Hipótesis!$G$50=1,Hipótesis!$H$44,Hipótesis!$C$50*(1+Hipótesis!$D$45)^5)*(1+Hipótesis!$D$42),0)</f>
        <v>-7260</v>
      </c>
      <c r="BP46" s="100" t="n">
        <f aca="false">-IF(AND(66&gt;=Hipótesis!$D$50,Hipótesis!$B$50=1),IF(Hipótesis!$G$50=1,Hipótesis!$H$44,Hipótesis!$C$50*(1+Hipótesis!$D$45)^5)*(1+Hipótesis!$D$42),0)</f>
        <v>-7260</v>
      </c>
      <c r="BQ46" s="100" t="n">
        <f aca="false">-IF(AND(67&gt;=Hipótesis!$D$50,Hipótesis!$B$50=1),IF(Hipótesis!$G$50=1,Hipótesis!$H$44,Hipótesis!$C$50*(1+Hipótesis!$D$45)^5)*(1+Hipótesis!$D$42),0)</f>
        <v>-7260</v>
      </c>
      <c r="BR46" s="100" t="n">
        <f aca="false">-IF(AND(68&gt;=Hipótesis!$D$50,Hipótesis!$B$50=1),IF(Hipótesis!$G$50=1,Hipótesis!$H$44,Hipótesis!$C$50*(1+Hipótesis!$D$45)^5)*(1+Hipótesis!$D$42),0)</f>
        <v>-7260</v>
      </c>
      <c r="BS46" s="100" t="n">
        <f aca="false">-IF(AND(69&gt;=Hipótesis!$D$50,Hipótesis!$B$50=1),IF(Hipótesis!$G$50=1,Hipótesis!$H$44,Hipótesis!$C$50*(1+Hipótesis!$D$45)^5)*(1+Hipótesis!$D$42),0)</f>
        <v>-7260</v>
      </c>
      <c r="BT46" s="100" t="n">
        <f aca="false">-IF(AND(70&gt;=Hipótesis!$D$50,Hipótesis!$B$50=1),IF(Hipótesis!$G$50=1,Hipótesis!$H$44,Hipótesis!$C$50*(1+Hipótesis!$D$45)^5)*(1+Hipótesis!$D$42),0)</f>
        <v>-7260</v>
      </c>
      <c r="BU46" s="100" t="n">
        <f aca="false">-IF(AND(71&gt;=Hipótesis!$D$50,Hipótesis!$B$50=1),IF(Hipótesis!$G$50=1,Hipótesis!$H$44,Hipótesis!$C$50*(1+Hipótesis!$D$45)^5)*(1+Hipótesis!$D$42),0)</f>
        <v>-7260</v>
      </c>
      <c r="BV46" s="100" t="n">
        <f aca="false">-IF(AND(72&gt;=Hipótesis!$D$50,Hipótesis!$B$50=1),IF(Hipótesis!$G$50=1,Hipótesis!$H$44,Hipótesis!$C$50*(1+Hipótesis!$D$45)^5)*(1+Hipótesis!$D$42),0)</f>
        <v>-7260</v>
      </c>
      <c r="BW46" s="100" t="n">
        <f aca="false">-IF(AND(73&gt;=Hipótesis!$D$50,Hipótesis!$B$50=1),IF(Hipótesis!$G$50=1,Hipótesis!$I$44,Hipótesis!$C$50*(1+Hipótesis!$D$45)^6)*(1+Hipótesis!$D$42),0)</f>
        <v>-7920</v>
      </c>
      <c r="BX46" s="100" t="n">
        <f aca="false">-IF(AND(74&gt;=Hipótesis!$D$50,Hipótesis!$B$50=1),IF(Hipótesis!$G$50=1,Hipótesis!$I$44,Hipótesis!$C$50*(1+Hipótesis!$D$45)^6)*(1+Hipótesis!$D$42),0)</f>
        <v>-7920</v>
      </c>
      <c r="BY46" s="100" t="n">
        <f aca="false">-IF(AND(75&gt;=Hipótesis!$D$50,Hipótesis!$B$50=1),IF(Hipótesis!$G$50=1,Hipótesis!$I$44,Hipótesis!$C$50*(1+Hipótesis!$D$45)^6)*(1+Hipótesis!$D$42),0)</f>
        <v>-7920</v>
      </c>
      <c r="BZ46" s="100" t="n">
        <f aca="false">-IF(AND(76&gt;=Hipótesis!$D$50,Hipótesis!$B$50=1),IF(Hipótesis!$G$50=1,Hipótesis!$I$44,Hipótesis!$C$50*(1+Hipótesis!$D$45)^6)*(1+Hipótesis!$D$42),0)</f>
        <v>-7920</v>
      </c>
      <c r="CA46" s="100" t="n">
        <f aca="false">-IF(AND(77&gt;=Hipótesis!$D$50,Hipótesis!$B$50=1),IF(Hipótesis!$G$50=1,Hipótesis!$I$44,Hipótesis!$C$50*(1+Hipótesis!$D$45)^6)*(1+Hipótesis!$D$42),0)</f>
        <v>-7920</v>
      </c>
      <c r="CB46" s="100" t="n">
        <f aca="false">-IF(AND(78&gt;=Hipótesis!$D$50,Hipótesis!$B$50=1),IF(Hipótesis!$G$50=1,Hipótesis!$I$44,Hipótesis!$C$50*(1+Hipótesis!$D$45)^6)*(1+Hipótesis!$D$42),0)</f>
        <v>-7920</v>
      </c>
      <c r="CC46" s="100" t="n">
        <f aca="false">-IF(AND(79&gt;=Hipótesis!$D$50,Hipótesis!$B$50=1),IF(Hipótesis!$G$50=1,Hipótesis!$I$44,Hipótesis!$C$50*(1+Hipótesis!$D$45)^6)*(1+Hipótesis!$D$42),0)</f>
        <v>-7920</v>
      </c>
      <c r="CD46" s="100" t="n">
        <f aca="false">-IF(AND(80&gt;=Hipótesis!$D$50,Hipótesis!$B$50=1),IF(Hipótesis!$G$50=1,Hipótesis!$I$44,Hipótesis!$C$50*(1+Hipótesis!$D$45)^6)*(1+Hipótesis!$D$42),0)</f>
        <v>-7920</v>
      </c>
      <c r="CE46" s="100" t="n">
        <f aca="false">-IF(AND(81&gt;=Hipótesis!$D$50,Hipótesis!$B$50=1),IF(Hipótesis!$G$50=1,Hipótesis!$I$44,Hipótesis!$C$50*(1+Hipótesis!$D$45)^6)*(1+Hipótesis!$D$42),0)</f>
        <v>-7920</v>
      </c>
      <c r="CF46" s="100" t="n">
        <f aca="false">-IF(AND(82&gt;=Hipótesis!$D$50,Hipótesis!$B$50=1),IF(Hipótesis!$G$50=1,Hipótesis!$I$44,Hipótesis!$C$50*(1+Hipótesis!$D$45)^6)*(1+Hipótesis!$D$42),0)</f>
        <v>-7920</v>
      </c>
      <c r="CG46" s="100" t="n">
        <f aca="false">-IF(AND(83&gt;=Hipótesis!$D$50,Hipótesis!$B$50=1),IF(Hipótesis!$G$50=1,Hipótesis!$I$44,Hipótesis!$C$50*(1+Hipótesis!$D$45)^6)*(1+Hipótesis!$D$42),0)</f>
        <v>-7920</v>
      </c>
      <c r="CH46" s="100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6" t="s">
        <v>524</v>
      </c>
      <c r="C47" s="100" t="n">
        <f aca="false">-IF(AND(1&gt;=Hipótesis!$D$51,Hipótesis!$B$51=1),IF(Hipótesis!$G$51=1,Hipótesis!$C$44,Hipótesis!$C$51*(1+Hipótesis!$D$45)^0)*(1+Hipótesis!$D$42),0)</f>
        <v>-2640</v>
      </c>
      <c r="D47" s="100" t="n">
        <f aca="false">-IF(AND(2&gt;=Hipótesis!$D$51,Hipótesis!$B$51=1),IF(Hipótesis!$G$51=1,Hipótesis!$C$44,Hipótesis!$C$51*(1+Hipótesis!$D$45)^0)*(1+Hipótesis!$D$42),0)</f>
        <v>-2640</v>
      </c>
      <c r="E47" s="100" t="n">
        <f aca="false">-IF(AND(3&gt;=Hipótesis!$D$51,Hipótesis!$B$51=1),IF(Hipótesis!$G$51=1,Hipótesis!$C$44,Hipótesis!$C$51*(1+Hipótesis!$D$45)^0)*(1+Hipótesis!$D$42),0)</f>
        <v>-2640</v>
      </c>
      <c r="F47" s="100" t="n">
        <f aca="false">-IF(AND(4&gt;=Hipótesis!$D$51,Hipótesis!$B$51=1),IF(Hipótesis!$G$51=1,Hipótesis!$C$44,Hipótesis!$C$51*(1+Hipótesis!$D$45)^0)*(1+Hipótesis!$D$42),0)</f>
        <v>-2640</v>
      </c>
      <c r="G47" s="100" t="n">
        <f aca="false">-IF(AND(5&gt;=Hipótesis!$D$51,Hipótesis!$B$51=1),IF(Hipótesis!$G$51=1,Hipótesis!$C$44,Hipótesis!$C$51*(1+Hipótesis!$D$45)^0)*(1+Hipótesis!$D$42),0)</f>
        <v>-2640</v>
      </c>
      <c r="H47" s="100" t="n">
        <f aca="false">-IF(AND(6&gt;=Hipótesis!$D$51,Hipótesis!$B$51=1),IF(Hipótesis!$G$51=1,Hipótesis!$C$44,Hipótesis!$C$51*(1+Hipótesis!$D$45)^0)*(1+Hipótesis!$D$42),0)</f>
        <v>-2640</v>
      </c>
      <c r="I47" s="100" t="n">
        <f aca="false">-IF(AND(7&gt;=Hipótesis!$D$51,Hipótesis!$B$51=1),IF(Hipótesis!$G$51=1,Hipótesis!$C$44,Hipótesis!$C$51*(1+Hipótesis!$D$45)^0)*(1+Hipótesis!$D$42),0)</f>
        <v>-2640</v>
      </c>
      <c r="J47" s="100" t="n">
        <f aca="false">-IF(AND(8&gt;=Hipótesis!$D$51,Hipótesis!$B$51=1),IF(Hipótesis!$G$51=1,Hipótesis!$C$44,Hipótesis!$C$51*(1+Hipótesis!$D$45)^0)*(1+Hipótesis!$D$42),0)</f>
        <v>-2640</v>
      </c>
      <c r="K47" s="100" t="n">
        <f aca="false">-IF(AND(9&gt;=Hipótesis!$D$51,Hipótesis!$B$51=1),IF(Hipótesis!$G$51=1,Hipótesis!$C$44,Hipótesis!$C$51*(1+Hipótesis!$D$45)^0)*(1+Hipótesis!$D$42),0)</f>
        <v>-2640</v>
      </c>
      <c r="L47" s="100" t="n">
        <f aca="false">-IF(AND(10&gt;=Hipótesis!$D$51,Hipótesis!$B$51=1),IF(Hipótesis!$G$51=1,Hipótesis!$C$44,Hipótesis!$C$51*(1+Hipótesis!$D$45)^0)*(1+Hipótesis!$D$42),0)</f>
        <v>-2640</v>
      </c>
      <c r="M47" s="100" t="n">
        <f aca="false">-IF(AND(11&gt;=Hipótesis!$D$51,Hipótesis!$B$51=1),IF(Hipótesis!$G$51=1,Hipótesis!$C$44,Hipótesis!$C$51*(1+Hipótesis!$D$45)^0)*(1+Hipótesis!$D$42),0)</f>
        <v>-2640</v>
      </c>
      <c r="N47" s="100" t="n">
        <f aca="false">-IF(AND(12&gt;=Hipótesis!$D$51,Hipótesis!$B$51=1),IF(Hipótesis!$G$51=1,Hipótesis!$C$44,Hipótesis!$C$51*(1+Hipótesis!$D$45)^0)*(1+Hipótesis!$D$42),0)</f>
        <v>-2640</v>
      </c>
      <c r="O47" s="100" t="n">
        <f aca="false">-IF(AND(13&gt;=Hipótesis!$D$51,Hipótesis!$B$51=1),IF(Hipótesis!$G$51=1,Hipótesis!$D$44,Hipótesis!$C$51*(1+Hipótesis!$D$45)^1)*(1+Hipótesis!$D$42),0)</f>
        <v>-2719.2</v>
      </c>
      <c r="P47" s="100" t="n">
        <f aca="false">-IF(AND(14&gt;=Hipótesis!$D$51,Hipótesis!$B$51=1),IF(Hipótesis!$G$51=1,Hipótesis!$D$44,Hipótesis!$C$51*(1+Hipótesis!$D$45)^1)*(1+Hipótesis!$D$42),0)</f>
        <v>-2719.2</v>
      </c>
      <c r="Q47" s="100" t="n">
        <f aca="false">-IF(AND(15&gt;=Hipótesis!$D$51,Hipótesis!$B$51=1),IF(Hipótesis!$G$51=1,Hipótesis!$D$44,Hipótesis!$C$51*(1+Hipótesis!$D$45)^1)*(1+Hipótesis!$D$42),0)</f>
        <v>-2719.2</v>
      </c>
      <c r="R47" s="100" t="n">
        <f aca="false">-IF(AND(16&gt;=Hipótesis!$D$51,Hipótesis!$B$51=1),IF(Hipótesis!$G$51=1,Hipótesis!$D$44,Hipótesis!$C$51*(1+Hipótesis!$D$45)^1)*(1+Hipótesis!$D$42),0)</f>
        <v>-2719.2</v>
      </c>
      <c r="S47" s="100" t="n">
        <f aca="false">-IF(AND(17&gt;=Hipótesis!$D$51,Hipótesis!$B$51=1),IF(Hipótesis!$G$51=1,Hipótesis!$D$44,Hipótesis!$C$51*(1+Hipótesis!$D$45)^1)*(1+Hipótesis!$D$42),0)</f>
        <v>-2719.2</v>
      </c>
      <c r="T47" s="100" t="n">
        <f aca="false">-IF(AND(18&gt;=Hipótesis!$D$51,Hipótesis!$B$51=1),IF(Hipótesis!$G$51=1,Hipótesis!$D$44,Hipótesis!$C$51*(1+Hipótesis!$D$45)^1)*(1+Hipótesis!$D$42),0)</f>
        <v>-2719.2</v>
      </c>
      <c r="U47" s="100" t="n">
        <f aca="false">-IF(AND(19&gt;=Hipótesis!$D$51,Hipótesis!$B$51=1),IF(Hipótesis!$G$51=1,Hipótesis!$D$44,Hipótesis!$C$51*(1+Hipótesis!$D$45)^1)*(1+Hipótesis!$D$42),0)</f>
        <v>-2719.2</v>
      </c>
      <c r="V47" s="100" t="n">
        <f aca="false">-IF(AND(20&gt;=Hipótesis!$D$51,Hipótesis!$B$51=1),IF(Hipótesis!$G$51=1,Hipótesis!$D$44,Hipótesis!$C$51*(1+Hipótesis!$D$45)^1)*(1+Hipótesis!$D$42),0)</f>
        <v>-2719.2</v>
      </c>
      <c r="W47" s="100" t="n">
        <f aca="false">-IF(AND(21&gt;=Hipótesis!$D$51,Hipótesis!$B$51=1),IF(Hipótesis!$G$51=1,Hipótesis!$D$44,Hipótesis!$C$51*(1+Hipótesis!$D$45)^1)*(1+Hipótesis!$D$42),0)</f>
        <v>-2719.2</v>
      </c>
      <c r="X47" s="100" t="n">
        <f aca="false">-IF(AND(22&gt;=Hipótesis!$D$51,Hipótesis!$B$51=1),IF(Hipótesis!$G$51=1,Hipótesis!$D$44,Hipótesis!$C$51*(1+Hipótesis!$D$45)^1)*(1+Hipótesis!$D$42),0)</f>
        <v>-2719.2</v>
      </c>
      <c r="Y47" s="100" t="n">
        <f aca="false">-IF(AND(23&gt;=Hipótesis!$D$51,Hipótesis!$B$51=1),IF(Hipótesis!$G$51=1,Hipótesis!$D$44,Hipótesis!$C$51*(1+Hipótesis!$D$45)^1)*(1+Hipótesis!$D$42),0)</f>
        <v>-2719.2</v>
      </c>
      <c r="Z47" s="100" t="n">
        <f aca="false">-IF(AND(24&gt;=Hipótesis!$D$51,Hipótesis!$B$51=1),IF(Hipótesis!$G$51=1,Hipótesis!$D$44,Hipótesis!$C$51*(1+Hipótesis!$D$45)^1)*(1+Hipótesis!$D$42),0)</f>
        <v>-2719.2</v>
      </c>
      <c r="AA47" s="100" t="n">
        <f aca="false">-IF(AND(25&gt;=Hipótesis!$D$51,Hipótesis!$B$51=1),IF(Hipótesis!$G$51=1,Hipótesis!$E$44,Hipótesis!$C$51*(1+Hipótesis!$D$45)^2)*(1+Hipótesis!$D$42),0)</f>
        <v>-2800.776</v>
      </c>
      <c r="AB47" s="100" t="n">
        <f aca="false">-IF(AND(26&gt;=Hipótesis!$D$51,Hipótesis!$B$51=1),IF(Hipótesis!$G$51=1,Hipótesis!$E$44,Hipótesis!$C$51*(1+Hipótesis!$D$45)^2)*(1+Hipótesis!$D$42),0)</f>
        <v>-2800.776</v>
      </c>
      <c r="AC47" s="100" t="n">
        <f aca="false">-IF(AND(27&gt;=Hipótesis!$D$51,Hipótesis!$B$51=1),IF(Hipótesis!$G$51=1,Hipótesis!$E$44,Hipótesis!$C$51*(1+Hipótesis!$D$45)^2)*(1+Hipótesis!$D$42),0)</f>
        <v>-2800.776</v>
      </c>
      <c r="AD47" s="100" t="n">
        <f aca="false">-IF(AND(28&gt;=Hipótesis!$D$51,Hipótesis!$B$51=1),IF(Hipótesis!$G$51=1,Hipótesis!$E$44,Hipótesis!$C$51*(1+Hipótesis!$D$45)^2)*(1+Hipótesis!$D$42),0)</f>
        <v>-2800.776</v>
      </c>
      <c r="AE47" s="100" t="n">
        <f aca="false">-IF(AND(29&gt;=Hipótesis!$D$51,Hipótesis!$B$51=1),IF(Hipótesis!$G$51=1,Hipótesis!$E$44,Hipótesis!$C$51*(1+Hipótesis!$D$45)^2)*(1+Hipótesis!$D$42),0)</f>
        <v>-2800.776</v>
      </c>
      <c r="AF47" s="100" t="n">
        <f aca="false">-IF(AND(30&gt;=Hipótesis!$D$51,Hipótesis!$B$51=1),IF(Hipótesis!$G$51=1,Hipótesis!$E$44,Hipótesis!$C$51*(1+Hipótesis!$D$45)^2)*(1+Hipótesis!$D$42),0)</f>
        <v>-2800.776</v>
      </c>
      <c r="AG47" s="100" t="n">
        <f aca="false">-IF(AND(31&gt;=Hipótesis!$D$51,Hipótesis!$B$51=1),IF(Hipótesis!$G$51=1,Hipótesis!$E$44,Hipótesis!$C$51*(1+Hipótesis!$D$45)^2)*(1+Hipótesis!$D$42),0)</f>
        <v>-2800.776</v>
      </c>
      <c r="AH47" s="100" t="n">
        <f aca="false">-IF(AND(32&gt;=Hipótesis!$D$51,Hipótesis!$B$51=1),IF(Hipótesis!$G$51=1,Hipótesis!$E$44,Hipótesis!$C$51*(1+Hipótesis!$D$45)^2)*(1+Hipótesis!$D$42),0)</f>
        <v>-2800.776</v>
      </c>
      <c r="AI47" s="100" t="n">
        <f aca="false">-IF(AND(33&gt;=Hipótesis!$D$51,Hipótesis!$B$51=1),IF(Hipótesis!$G$51=1,Hipótesis!$E$44,Hipótesis!$C$51*(1+Hipótesis!$D$45)^2)*(1+Hipótesis!$D$42),0)</f>
        <v>-2800.776</v>
      </c>
      <c r="AJ47" s="100" t="n">
        <f aca="false">-IF(AND(34&gt;=Hipótesis!$D$51,Hipótesis!$B$51=1),IF(Hipótesis!$G$51=1,Hipótesis!$E$44,Hipótesis!$C$51*(1+Hipótesis!$D$45)^2)*(1+Hipótesis!$D$42),0)</f>
        <v>-2800.776</v>
      </c>
      <c r="AK47" s="100" t="n">
        <f aca="false">-IF(AND(35&gt;=Hipótesis!$D$51,Hipótesis!$B$51=1),IF(Hipótesis!$G$51=1,Hipótesis!$E$44,Hipótesis!$C$51*(1+Hipótesis!$D$45)^2)*(1+Hipótesis!$D$42),0)</f>
        <v>-2800.776</v>
      </c>
      <c r="AL47" s="100" t="n">
        <f aca="false">-IF(AND(36&gt;=Hipótesis!$D$51,Hipótesis!$B$51=1),IF(Hipótesis!$G$51=1,Hipótesis!$E$44,Hipótesis!$C$51*(1+Hipótesis!$D$45)^2)*(1+Hipótesis!$D$42),0)</f>
        <v>-2800.776</v>
      </c>
      <c r="AM47" s="100" t="n">
        <f aca="false">-IF(AND(37&gt;=Hipótesis!$D$51,Hipótesis!$B$51=1),IF(Hipótesis!$G$51=1,Hipótesis!$F$44,Hipótesis!$C$51*(1+Hipótesis!$D$45)^3)*(1+Hipótesis!$D$42),0)</f>
        <v>-2884.79928</v>
      </c>
      <c r="AN47" s="100" t="n">
        <f aca="false">-IF(AND(38&gt;=Hipótesis!$D$51,Hipótesis!$B$51=1),IF(Hipótesis!$G$51=1,Hipótesis!$F$44,Hipótesis!$C$51*(1+Hipótesis!$D$45)^3)*(1+Hipótesis!$D$42),0)</f>
        <v>-2884.79928</v>
      </c>
      <c r="AO47" s="100" t="n">
        <f aca="false">-IF(AND(39&gt;=Hipótesis!$D$51,Hipótesis!$B$51=1),IF(Hipótesis!$G$51=1,Hipótesis!$F$44,Hipótesis!$C$51*(1+Hipótesis!$D$45)^3)*(1+Hipótesis!$D$42),0)</f>
        <v>-2884.79928</v>
      </c>
      <c r="AP47" s="100" t="n">
        <f aca="false">-IF(AND(40&gt;=Hipótesis!$D$51,Hipótesis!$B$51=1),IF(Hipótesis!$G$51=1,Hipótesis!$F$44,Hipótesis!$C$51*(1+Hipótesis!$D$45)^3)*(1+Hipótesis!$D$42),0)</f>
        <v>-2884.79928</v>
      </c>
      <c r="AQ47" s="100" t="n">
        <f aca="false">-IF(AND(41&gt;=Hipótesis!$D$51,Hipótesis!$B$51=1),IF(Hipótesis!$G$51=1,Hipótesis!$F$44,Hipótesis!$C$51*(1+Hipótesis!$D$45)^3)*(1+Hipótesis!$D$42),0)</f>
        <v>-2884.79928</v>
      </c>
      <c r="AR47" s="100" t="n">
        <f aca="false">-IF(AND(42&gt;=Hipótesis!$D$51,Hipótesis!$B$51=1),IF(Hipótesis!$G$51=1,Hipótesis!$F$44,Hipótesis!$C$51*(1+Hipótesis!$D$45)^3)*(1+Hipótesis!$D$42),0)</f>
        <v>-2884.79928</v>
      </c>
      <c r="AS47" s="100" t="n">
        <f aca="false">-IF(AND(43&gt;=Hipótesis!$D$51,Hipótesis!$B$51=1),IF(Hipótesis!$G$51=1,Hipótesis!$F$44,Hipótesis!$C$51*(1+Hipótesis!$D$45)^3)*(1+Hipótesis!$D$42),0)</f>
        <v>-2884.79928</v>
      </c>
      <c r="AT47" s="100" t="n">
        <f aca="false">-IF(AND(44&gt;=Hipótesis!$D$51,Hipótesis!$B$51=1),IF(Hipótesis!$G$51=1,Hipótesis!$F$44,Hipótesis!$C$51*(1+Hipótesis!$D$45)^3)*(1+Hipótesis!$D$42),0)</f>
        <v>-2884.79928</v>
      </c>
      <c r="AU47" s="100" t="n">
        <f aca="false">-IF(AND(45&gt;=Hipótesis!$D$51,Hipótesis!$B$51=1),IF(Hipótesis!$G$51=1,Hipótesis!$F$44,Hipótesis!$C$51*(1+Hipótesis!$D$45)^3)*(1+Hipótesis!$D$42),0)</f>
        <v>-2884.79928</v>
      </c>
      <c r="AV47" s="100" t="n">
        <f aca="false">-IF(AND(46&gt;=Hipótesis!$D$51,Hipótesis!$B$51=1),IF(Hipótesis!$G$51=1,Hipótesis!$F$44,Hipótesis!$C$51*(1+Hipótesis!$D$45)^3)*(1+Hipótesis!$D$42),0)</f>
        <v>-2884.79928</v>
      </c>
      <c r="AW47" s="100" t="n">
        <f aca="false">-IF(AND(47&gt;=Hipótesis!$D$51,Hipótesis!$B$51=1),IF(Hipótesis!$G$51=1,Hipótesis!$F$44,Hipótesis!$C$51*(1+Hipótesis!$D$45)^3)*(1+Hipótesis!$D$42),0)</f>
        <v>-2884.79928</v>
      </c>
      <c r="AX47" s="100" t="n">
        <f aca="false">-IF(AND(48&gt;=Hipótesis!$D$51,Hipótesis!$B$51=1),IF(Hipótesis!$G$51=1,Hipótesis!$F$44,Hipótesis!$C$51*(1+Hipótesis!$D$45)^3)*(1+Hipótesis!$D$42),0)</f>
        <v>-2884.79928</v>
      </c>
      <c r="AY47" s="100" t="n">
        <f aca="false">-IF(AND(49&gt;=Hipótesis!$D$51,Hipótesis!$B$51=1),IF(Hipótesis!$G$51=1,Hipótesis!$G$44,Hipótesis!$C$51*(1+Hipótesis!$D$45)^4)*(1+Hipótesis!$D$42),0)</f>
        <v>-2971.3432584</v>
      </c>
      <c r="AZ47" s="100" t="n">
        <f aca="false">-IF(AND(50&gt;=Hipótesis!$D$51,Hipótesis!$B$51=1),IF(Hipótesis!$G$51=1,Hipótesis!$G$44,Hipótesis!$C$51*(1+Hipótesis!$D$45)^4)*(1+Hipótesis!$D$42),0)</f>
        <v>-2971.3432584</v>
      </c>
      <c r="BA47" s="100" t="n">
        <f aca="false">-IF(AND(51&gt;=Hipótesis!$D$51,Hipótesis!$B$51=1),IF(Hipótesis!$G$51=1,Hipótesis!$G$44,Hipótesis!$C$51*(1+Hipótesis!$D$45)^4)*(1+Hipótesis!$D$42),0)</f>
        <v>-2971.3432584</v>
      </c>
      <c r="BB47" s="100" t="n">
        <f aca="false">-IF(AND(52&gt;=Hipótesis!$D$51,Hipótesis!$B$51=1),IF(Hipótesis!$G$51=1,Hipótesis!$G$44,Hipótesis!$C$51*(1+Hipótesis!$D$45)^4)*(1+Hipótesis!$D$42),0)</f>
        <v>-2971.3432584</v>
      </c>
      <c r="BC47" s="100" t="n">
        <f aca="false">-IF(AND(53&gt;=Hipótesis!$D$51,Hipótesis!$B$51=1),IF(Hipótesis!$G$51=1,Hipótesis!$G$44,Hipótesis!$C$51*(1+Hipótesis!$D$45)^4)*(1+Hipótesis!$D$42),0)</f>
        <v>-2971.3432584</v>
      </c>
      <c r="BD47" s="100" t="n">
        <f aca="false">-IF(AND(54&gt;=Hipótesis!$D$51,Hipótesis!$B$51=1),IF(Hipótesis!$G$51=1,Hipótesis!$G$44,Hipótesis!$C$51*(1+Hipótesis!$D$45)^4)*(1+Hipótesis!$D$42),0)</f>
        <v>-2971.3432584</v>
      </c>
      <c r="BE47" s="100" t="n">
        <f aca="false">-IF(AND(55&gt;=Hipótesis!$D$51,Hipótesis!$B$51=1),IF(Hipótesis!$G$51=1,Hipótesis!$G$44,Hipótesis!$C$51*(1+Hipótesis!$D$45)^4)*(1+Hipótesis!$D$42),0)</f>
        <v>-2971.3432584</v>
      </c>
      <c r="BF47" s="100" t="n">
        <f aca="false">-IF(AND(56&gt;=Hipótesis!$D$51,Hipótesis!$B$51=1),IF(Hipótesis!$G$51=1,Hipótesis!$G$44,Hipótesis!$C$51*(1+Hipótesis!$D$45)^4)*(1+Hipótesis!$D$42),0)</f>
        <v>-2971.3432584</v>
      </c>
      <c r="BG47" s="100" t="n">
        <f aca="false">-IF(AND(57&gt;=Hipótesis!$D$51,Hipótesis!$B$51=1),IF(Hipótesis!$G$51=1,Hipótesis!$G$44,Hipótesis!$C$51*(1+Hipótesis!$D$45)^4)*(1+Hipótesis!$D$42),0)</f>
        <v>-2971.3432584</v>
      </c>
      <c r="BH47" s="100" t="n">
        <f aca="false">-IF(AND(58&gt;=Hipótesis!$D$51,Hipótesis!$B$51=1),IF(Hipótesis!$G$51=1,Hipótesis!$G$44,Hipótesis!$C$51*(1+Hipótesis!$D$45)^4)*(1+Hipótesis!$D$42),0)</f>
        <v>-2971.3432584</v>
      </c>
      <c r="BI47" s="100" t="n">
        <f aca="false">-IF(AND(59&gt;=Hipótesis!$D$51,Hipótesis!$B$51=1),IF(Hipótesis!$G$51=1,Hipótesis!$G$44,Hipótesis!$C$51*(1+Hipótesis!$D$45)^4)*(1+Hipótesis!$D$42),0)</f>
        <v>-2971.3432584</v>
      </c>
      <c r="BJ47" s="100" t="n">
        <f aca="false">-IF(AND(60&gt;=Hipótesis!$D$51,Hipótesis!$B$51=1),IF(Hipótesis!$G$51=1,Hipótesis!$G$44,Hipótesis!$C$51*(1+Hipótesis!$D$45)^4)*(1+Hipótesis!$D$42),0)</f>
        <v>-2971.3432584</v>
      </c>
      <c r="BK47" s="100" t="n">
        <f aca="false">-IF(AND(61&gt;=Hipótesis!$D$51,Hipótesis!$B$51=1),IF(Hipótesis!$G$51=1,Hipótesis!$H$44,Hipótesis!$C$51*(1+Hipótesis!$D$45)^5)*(1+Hipótesis!$D$42),0)</f>
        <v>-3060.483556152</v>
      </c>
      <c r="BL47" s="100" t="n">
        <f aca="false">-IF(AND(62&gt;=Hipótesis!$D$51,Hipótesis!$B$51=1),IF(Hipótesis!$G$51=1,Hipótesis!$H$44,Hipótesis!$C$51*(1+Hipótesis!$D$45)^5)*(1+Hipótesis!$D$42),0)</f>
        <v>-3060.483556152</v>
      </c>
      <c r="BM47" s="100" t="n">
        <f aca="false">-IF(AND(63&gt;=Hipótesis!$D$51,Hipótesis!$B$51=1),IF(Hipótesis!$G$51=1,Hipótesis!$H$44,Hipótesis!$C$51*(1+Hipótesis!$D$45)^5)*(1+Hipótesis!$D$42),0)</f>
        <v>-3060.483556152</v>
      </c>
      <c r="BN47" s="100" t="n">
        <f aca="false">-IF(AND(64&gt;=Hipótesis!$D$51,Hipótesis!$B$51=1),IF(Hipótesis!$G$51=1,Hipótesis!$H$44,Hipótesis!$C$51*(1+Hipótesis!$D$45)^5)*(1+Hipótesis!$D$42),0)</f>
        <v>-3060.483556152</v>
      </c>
      <c r="BO47" s="100" t="n">
        <f aca="false">-IF(AND(65&gt;=Hipótesis!$D$51,Hipótesis!$B$51=1),IF(Hipótesis!$G$51=1,Hipótesis!$H$44,Hipótesis!$C$51*(1+Hipótesis!$D$45)^5)*(1+Hipótesis!$D$42),0)</f>
        <v>-3060.483556152</v>
      </c>
      <c r="BP47" s="100" t="n">
        <f aca="false">-IF(AND(66&gt;=Hipótesis!$D$51,Hipótesis!$B$51=1),IF(Hipótesis!$G$51=1,Hipótesis!$H$44,Hipótesis!$C$51*(1+Hipótesis!$D$45)^5)*(1+Hipótesis!$D$42),0)</f>
        <v>-3060.483556152</v>
      </c>
      <c r="BQ47" s="100" t="n">
        <f aca="false">-IF(AND(67&gt;=Hipótesis!$D$51,Hipótesis!$B$51=1),IF(Hipótesis!$G$51=1,Hipótesis!$H$44,Hipótesis!$C$51*(1+Hipótesis!$D$45)^5)*(1+Hipótesis!$D$42),0)</f>
        <v>-3060.483556152</v>
      </c>
      <c r="BR47" s="100" t="n">
        <f aca="false">-IF(AND(68&gt;=Hipótesis!$D$51,Hipótesis!$B$51=1),IF(Hipótesis!$G$51=1,Hipótesis!$H$44,Hipótesis!$C$51*(1+Hipótesis!$D$45)^5)*(1+Hipótesis!$D$42),0)</f>
        <v>-3060.483556152</v>
      </c>
      <c r="BS47" s="100" t="n">
        <f aca="false">-IF(AND(69&gt;=Hipótesis!$D$51,Hipótesis!$B$51=1),IF(Hipótesis!$G$51=1,Hipótesis!$H$44,Hipótesis!$C$51*(1+Hipótesis!$D$45)^5)*(1+Hipótesis!$D$42),0)</f>
        <v>-3060.483556152</v>
      </c>
      <c r="BT47" s="100" t="n">
        <f aca="false">-IF(AND(70&gt;=Hipótesis!$D$51,Hipótesis!$B$51=1),IF(Hipótesis!$G$51=1,Hipótesis!$H$44,Hipótesis!$C$51*(1+Hipótesis!$D$45)^5)*(1+Hipótesis!$D$42),0)</f>
        <v>-3060.483556152</v>
      </c>
      <c r="BU47" s="100" t="n">
        <f aca="false">-IF(AND(71&gt;=Hipótesis!$D$51,Hipótesis!$B$51=1),IF(Hipótesis!$G$51=1,Hipótesis!$H$44,Hipótesis!$C$51*(1+Hipótesis!$D$45)^5)*(1+Hipótesis!$D$42),0)</f>
        <v>-3060.483556152</v>
      </c>
      <c r="BV47" s="100" t="n">
        <f aca="false">-IF(AND(72&gt;=Hipótesis!$D$51,Hipótesis!$B$51=1),IF(Hipótesis!$G$51=1,Hipótesis!$H$44,Hipótesis!$C$51*(1+Hipótesis!$D$45)^5)*(1+Hipótesis!$D$42),0)</f>
        <v>-3060.483556152</v>
      </c>
      <c r="BW47" s="100" t="n">
        <f aca="false">-IF(AND(73&gt;=Hipótesis!$D$51,Hipótesis!$B$51=1),IF(Hipótesis!$G$51=1,Hipótesis!$I$44,Hipótesis!$C$51*(1+Hipótesis!$D$45)^6)*(1+Hipótesis!$D$42),0)</f>
        <v>-3152.29806283656</v>
      </c>
      <c r="BX47" s="100" t="n">
        <f aca="false">-IF(AND(74&gt;=Hipótesis!$D$51,Hipótesis!$B$51=1),IF(Hipótesis!$G$51=1,Hipótesis!$I$44,Hipótesis!$C$51*(1+Hipótesis!$D$45)^6)*(1+Hipótesis!$D$42),0)</f>
        <v>-3152.29806283656</v>
      </c>
      <c r="BY47" s="100" t="n">
        <f aca="false">-IF(AND(75&gt;=Hipótesis!$D$51,Hipótesis!$B$51=1),IF(Hipótesis!$G$51=1,Hipótesis!$I$44,Hipótesis!$C$51*(1+Hipótesis!$D$45)^6)*(1+Hipótesis!$D$42),0)</f>
        <v>-3152.29806283656</v>
      </c>
      <c r="BZ47" s="100" t="n">
        <f aca="false">-IF(AND(76&gt;=Hipótesis!$D$51,Hipótesis!$B$51=1),IF(Hipótesis!$G$51=1,Hipótesis!$I$44,Hipótesis!$C$51*(1+Hipótesis!$D$45)^6)*(1+Hipótesis!$D$42),0)</f>
        <v>-3152.29806283656</v>
      </c>
      <c r="CA47" s="100" t="n">
        <f aca="false">-IF(AND(77&gt;=Hipótesis!$D$51,Hipótesis!$B$51=1),IF(Hipótesis!$G$51=1,Hipótesis!$I$44,Hipótesis!$C$51*(1+Hipótesis!$D$45)^6)*(1+Hipótesis!$D$42),0)</f>
        <v>-3152.29806283656</v>
      </c>
      <c r="CB47" s="100" t="n">
        <f aca="false">-IF(AND(78&gt;=Hipótesis!$D$51,Hipótesis!$B$51=1),IF(Hipótesis!$G$51=1,Hipótesis!$I$44,Hipótesis!$C$51*(1+Hipótesis!$D$45)^6)*(1+Hipótesis!$D$42),0)</f>
        <v>-3152.29806283656</v>
      </c>
      <c r="CC47" s="100" t="n">
        <f aca="false">-IF(AND(79&gt;=Hipótesis!$D$51,Hipótesis!$B$51=1),IF(Hipótesis!$G$51=1,Hipótesis!$I$44,Hipótesis!$C$51*(1+Hipótesis!$D$45)^6)*(1+Hipótesis!$D$42),0)</f>
        <v>-3152.29806283656</v>
      </c>
      <c r="CD47" s="100" t="n">
        <f aca="false">-IF(AND(80&gt;=Hipótesis!$D$51,Hipótesis!$B$51=1),IF(Hipótesis!$G$51=1,Hipótesis!$I$44,Hipótesis!$C$51*(1+Hipótesis!$D$45)^6)*(1+Hipótesis!$D$42),0)</f>
        <v>-3152.29806283656</v>
      </c>
      <c r="CE47" s="100" t="n">
        <f aca="false">-IF(AND(81&gt;=Hipótesis!$D$51,Hipótesis!$B$51=1),IF(Hipótesis!$G$51=1,Hipótesis!$I$44,Hipótesis!$C$51*(1+Hipótesis!$D$45)^6)*(1+Hipótesis!$D$42),0)</f>
        <v>-3152.29806283656</v>
      </c>
      <c r="CF47" s="100" t="n">
        <f aca="false">-IF(AND(82&gt;=Hipótesis!$D$51,Hipótesis!$B$51=1),IF(Hipótesis!$G$51=1,Hipótesis!$I$44,Hipótesis!$C$51*(1+Hipótesis!$D$45)^6)*(1+Hipótesis!$D$42),0)</f>
        <v>-3152.29806283656</v>
      </c>
      <c r="CG47" s="100" t="n">
        <f aca="false">-IF(AND(83&gt;=Hipótesis!$D$51,Hipótesis!$B$51=1),IF(Hipótesis!$G$51=1,Hipótesis!$I$44,Hipótesis!$C$51*(1+Hipótesis!$D$45)^6)*(1+Hipótesis!$D$42),0)</f>
        <v>-3152.29806283656</v>
      </c>
      <c r="CH47" s="100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6" t="s">
        <v>525</v>
      </c>
      <c r="C48" s="100" t="n">
        <f aca="false">-IF(AND(1&gt;=Hipótesis!$D$52,Hipótesis!$B$52=1),IF(Hipótesis!$G$52=1,Hipótesis!$C$44,Hipótesis!$C$52*(1+Hipótesis!$D$45)^0)*(1+Hipótesis!$D$42),0)</f>
        <v>-0</v>
      </c>
      <c r="D48" s="100" t="n">
        <f aca="false">-IF(AND(2&gt;=Hipótesis!$D$52,Hipótesis!$B$52=1),IF(Hipótesis!$G$52=1,Hipótesis!$C$44,Hipótesis!$C$52*(1+Hipótesis!$D$45)^0)*(1+Hipótesis!$D$42),0)</f>
        <v>-0</v>
      </c>
      <c r="E48" s="100" t="n">
        <f aca="false">-IF(AND(3&gt;=Hipótesis!$D$52,Hipótesis!$B$52=1),IF(Hipótesis!$G$52=1,Hipótesis!$C$44,Hipótesis!$C$52*(1+Hipótesis!$D$45)^0)*(1+Hipótesis!$D$42),0)</f>
        <v>-0</v>
      </c>
      <c r="F48" s="100" t="n">
        <f aca="false">-IF(AND(4&gt;=Hipótesis!$D$52,Hipótesis!$B$52=1),IF(Hipótesis!$G$52=1,Hipótesis!$C$44,Hipótesis!$C$52*(1+Hipótesis!$D$45)^0)*(1+Hipótesis!$D$42),0)</f>
        <v>-0</v>
      </c>
      <c r="G48" s="100" t="n">
        <f aca="false">-IF(AND(5&gt;=Hipótesis!$D$52,Hipótesis!$B$52=1),IF(Hipótesis!$G$52=1,Hipótesis!$C$44,Hipótesis!$C$52*(1+Hipótesis!$D$45)^0)*(1+Hipótesis!$D$42),0)</f>
        <v>-0</v>
      </c>
      <c r="H48" s="100" t="n">
        <f aca="false">-IF(AND(6&gt;=Hipótesis!$D$52,Hipótesis!$B$52=1),IF(Hipótesis!$G$52=1,Hipótesis!$C$44,Hipótesis!$C$52*(1+Hipótesis!$D$45)^0)*(1+Hipótesis!$D$42),0)</f>
        <v>-0</v>
      </c>
      <c r="I48" s="100" t="n">
        <f aca="false">-IF(AND(7&gt;=Hipótesis!$D$52,Hipótesis!$B$52=1),IF(Hipótesis!$G$52=1,Hipótesis!$C$44,Hipótesis!$C$52*(1+Hipótesis!$D$45)^0)*(1+Hipótesis!$D$42),0)</f>
        <v>-0</v>
      </c>
      <c r="J48" s="100" t="n">
        <f aca="false">-IF(AND(8&gt;=Hipótesis!$D$52,Hipótesis!$B$52=1),IF(Hipótesis!$G$52=1,Hipótesis!$C$44,Hipótesis!$C$52*(1+Hipótesis!$D$45)^0)*(1+Hipótesis!$D$42),0)</f>
        <v>-0</v>
      </c>
      <c r="K48" s="100" t="n">
        <f aca="false">-IF(AND(9&gt;=Hipótesis!$D$52,Hipótesis!$B$52=1),IF(Hipótesis!$G$52=1,Hipótesis!$C$44,Hipótesis!$C$52*(1+Hipótesis!$D$45)^0)*(1+Hipótesis!$D$42),0)</f>
        <v>-0</v>
      </c>
      <c r="L48" s="100" t="n">
        <f aca="false">-IF(AND(10&gt;=Hipótesis!$D$52,Hipótesis!$B$52=1),IF(Hipótesis!$G$52=1,Hipótesis!$C$44,Hipótesis!$C$52*(1+Hipótesis!$D$45)^0)*(1+Hipótesis!$D$42),0)</f>
        <v>-0</v>
      </c>
      <c r="M48" s="100" t="n">
        <f aca="false">-IF(AND(11&gt;=Hipótesis!$D$52,Hipótesis!$B$52=1),IF(Hipótesis!$G$52=1,Hipótesis!$C$44,Hipótesis!$C$52*(1+Hipótesis!$D$45)^0)*(1+Hipótesis!$D$42),0)</f>
        <v>-0</v>
      </c>
      <c r="N48" s="100" t="n">
        <f aca="false">-IF(AND(12&gt;=Hipótesis!$D$52,Hipótesis!$B$52=1),IF(Hipótesis!$G$52=1,Hipótesis!$C$44,Hipótesis!$C$52*(1+Hipótesis!$D$45)^0)*(1+Hipótesis!$D$42),0)</f>
        <v>-0</v>
      </c>
      <c r="O48" s="100" t="n">
        <f aca="false">-IF(AND(13&gt;=Hipótesis!$D$52,Hipótesis!$B$52=1),IF(Hipótesis!$G$52=1,Hipótesis!$D$44,Hipótesis!$C$52*(1+Hipótesis!$D$45)^1)*(1+Hipótesis!$D$42),0)</f>
        <v>-0</v>
      </c>
      <c r="P48" s="100" t="n">
        <f aca="false">-IF(AND(14&gt;=Hipótesis!$D$52,Hipótesis!$B$52=1),IF(Hipótesis!$G$52=1,Hipótesis!$D$44,Hipótesis!$C$52*(1+Hipótesis!$D$45)^1)*(1+Hipótesis!$D$42),0)</f>
        <v>-0</v>
      </c>
      <c r="Q48" s="100" t="n">
        <f aca="false">-IF(AND(15&gt;=Hipótesis!$D$52,Hipótesis!$B$52=1),IF(Hipótesis!$G$52=1,Hipótesis!$D$44,Hipótesis!$C$52*(1+Hipótesis!$D$45)^1)*(1+Hipótesis!$D$42),0)</f>
        <v>-0</v>
      </c>
      <c r="R48" s="100" t="n">
        <f aca="false">-IF(AND(16&gt;=Hipótesis!$D$52,Hipótesis!$B$52=1),IF(Hipótesis!$G$52=1,Hipótesis!$D$44,Hipótesis!$C$52*(1+Hipótesis!$D$45)^1)*(1+Hipótesis!$D$42),0)</f>
        <v>-0</v>
      </c>
      <c r="S48" s="100" t="n">
        <f aca="false">-IF(AND(17&gt;=Hipótesis!$D$52,Hipótesis!$B$52=1),IF(Hipótesis!$G$52=1,Hipótesis!$D$44,Hipótesis!$C$52*(1+Hipótesis!$D$45)^1)*(1+Hipótesis!$D$42),0)</f>
        <v>-0</v>
      </c>
      <c r="T48" s="100" t="n">
        <f aca="false">-IF(AND(18&gt;=Hipótesis!$D$52,Hipótesis!$B$52=1),IF(Hipótesis!$G$52=1,Hipótesis!$D$44,Hipótesis!$C$52*(1+Hipótesis!$D$45)^1)*(1+Hipótesis!$D$42),0)</f>
        <v>-0</v>
      </c>
      <c r="U48" s="100" t="n">
        <f aca="false">-IF(AND(19&gt;=Hipótesis!$D$52,Hipótesis!$B$52=1),IF(Hipótesis!$G$52=1,Hipótesis!$D$44,Hipótesis!$C$52*(1+Hipótesis!$D$45)^1)*(1+Hipótesis!$D$42),0)</f>
        <v>-0</v>
      </c>
      <c r="V48" s="100" t="n">
        <f aca="false">-IF(AND(20&gt;=Hipótesis!$D$52,Hipótesis!$B$52=1),IF(Hipótesis!$G$52=1,Hipótesis!$D$44,Hipótesis!$C$52*(1+Hipótesis!$D$45)^1)*(1+Hipótesis!$D$42),0)</f>
        <v>-2719.2</v>
      </c>
      <c r="W48" s="100" t="n">
        <f aca="false">-IF(AND(21&gt;=Hipótesis!$D$52,Hipótesis!$B$52=1),IF(Hipótesis!$G$52=1,Hipótesis!$D$44,Hipótesis!$C$52*(1+Hipótesis!$D$45)^1)*(1+Hipótesis!$D$42),0)</f>
        <v>-2719.2</v>
      </c>
      <c r="X48" s="100" t="n">
        <f aca="false">-IF(AND(22&gt;=Hipótesis!$D$52,Hipótesis!$B$52=1),IF(Hipótesis!$G$52=1,Hipótesis!$D$44,Hipótesis!$C$52*(1+Hipótesis!$D$45)^1)*(1+Hipótesis!$D$42),0)</f>
        <v>-2719.2</v>
      </c>
      <c r="Y48" s="100" t="n">
        <f aca="false">-IF(AND(23&gt;=Hipótesis!$D$52,Hipótesis!$B$52=1),IF(Hipótesis!$G$52=1,Hipótesis!$D$44,Hipótesis!$C$52*(1+Hipótesis!$D$45)^1)*(1+Hipótesis!$D$42),0)</f>
        <v>-2719.2</v>
      </c>
      <c r="Z48" s="100" t="n">
        <f aca="false">-IF(AND(24&gt;=Hipótesis!$D$52,Hipótesis!$B$52=1),IF(Hipótesis!$G$52=1,Hipótesis!$D$44,Hipótesis!$C$52*(1+Hipótesis!$D$45)^1)*(1+Hipótesis!$D$42),0)</f>
        <v>-2719.2</v>
      </c>
      <c r="AA48" s="100" t="n">
        <f aca="false">-IF(AND(25&gt;=Hipótesis!$D$52,Hipótesis!$B$52=1),IF(Hipótesis!$G$52=1,Hipótesis!$E$44,Hipótesis!$C$52*(1+Hipótesis!$D$45)^2)*(1+Hipótesis!$D$42),0)</f>
        <v>-2800.776</v>
      </c>
      <c r="AB48" s="100" t="n">
        <f aca="false">-IF(AND(26&gt;=Hipótesis!$D$52,Hipótesis!$B$52=1),IF(Hipótesis!$G$52=1,Hipótesis!$E$44,Hipótesis!$C$52*(1+Hipótesis!$D$45)^2)*(1+Hipótesis!$D$42),0)</f>
        <v>-2800.776</v>
      </c>
      <c r="AC48" s="100" t="n">
        <f aca="false">-IF(AND(27&gt;=Hipótesis!$D$52,Hipótesis!$B$52=1),IF(Hipótesis!$G$52=1,Hipótesis!$E$44,Hipótesis!$C$52*(1+Hipótesis!$D$45)^2)*(1+Hipótesis!$D$42),0)</f>
        <v>-2800.776</v>
      </c>
      <c r="AD48" s="100" t="n">
        <f aca="false">-IF(AND(28&gt;=Hipótesis!$D$52,Hipótesis!$B$52=1),IF(Hipótesis!$G$52=1,Hipótesis!$E$44,Hipótesis!$C$52*(1+Hipótesis!$D$45)^2)*(1+Hipótesis!$D$42),0)</f>
        <v>-2800.776</v>
      </c>
      <c r="AE48" s="100" t="n">
        <f aca="false">-IF(AND(29&gt;=Hipótesis!$D$52,Hipótesis!$B$52=1),IF(Hipótesis!$G$52=1,Hipótesis!$E$44,Hipótesis!$C$52*(1+Hipótesis!$D$45)^2)*(1+Hipótesis!$D$42),0)</f>
        <v>-2800.776</v>
      </c>
      <c r="AF48" s="100" t="n">
        <f aca="false">-IF(AND(30&gt;=Hipótesis!$D$52,Hipótesis!$B$52=1),IF(Hipótesis!$G$52=1,Hipótesis!$E$44,Hipótesis!$C$52*(1+Hipótesis!$D$45)^2)*(1+Hipótesis!$D$42),0)</f>
        <v>-2800.776</v>
      </c>
      <c r="AG48" s="100" t="n">
        <f aca="false">-IF(AND(31&gt;=Hipótesis!$D$52,Hipótesis!$B$52=1),IF(Hipótesis!$G$52=1,Hipótesis!$E$44,Hipótesis!$C$52*(1+Hipótesis!$D$45)^2)*(1+Hipótesis!$D$42),0)</f>
        <v>-2800.776</v>
      </c>
      <c r="AH48" s="100" t="n">
        <f aca="false">-IF(AND(32&gt;=Hipótesis!$D$52,Hipótesis!$B$52=1),IF(Hipótesis!$G$52=1,Hipótesis!$E$44,Hipótesis!$C$52*(1+Hipótesis!$D$45)^2)*(1+Hipótesis!$D$42),0)</f>
        <v>-2800.776</v>
      </c>
      <c r="AI48" s="100" t="n">
        <f aca="false">-IF(AND(33&gt;=Hipótesis!$D$52,Hipótesis!$B$52=1),IF(Hipótesis!$G$52=1,Hipótesis!$E$44,Hipótesis!$C$52*(1+Hipótesis!$D$45)^2)*(1+Hipótesis!$D$42),0)</f>
        <v>-2800.776</v>
      </c>
      <c r="AJ48" s="100" t="n">
        <f aca="false">-IF(AND(34&gt;=Hipótesis!$D$52,Hipótesis!$B$52=1),IF(Hipótesis!$G$52=1,Hipótesis!$E$44,Hipótesis!$C$52*(1+Hipótesis!$D$45)^2)*(1+Hipótesis!$D$42),0)</f>
        <v>-2800.776</v>
      </c>
      <c r="AK48" s="100" t="n">
        <f aca="false">-IF(AND(35&gt;=Hipótesis!$D$52,Hipótesis!$B$52=1),IF(Hipótesis!$G$52=1,Hipótesis!$E$44,Hipótesis!$C$52*(1+Hipótesis!$D$45)^2)*(1+Hipótesis!$D$42),0)</f>
        <v>-2800.776</v>
      </c>
      <c r="AL48" s="100" t="n">
        <f aca="false">-IF(AND(36&gt;=Hipótesis!$D$52,Hipótesis!$B$52=1),IF(Hipótesis!$G$52=1,Hipótesis!$E$44,Hipótesis!$C$52*(1+Hipótesis!$D$45)^2)*(1+Hipótesis!$D$42),0)</f>
        <v>-2800.776</v>
      </c>
      <c r="AM48" s="100" t="n">
        <f aca="false">-IF(AND(37&gt;=Hipótesis!$D$52,Hipótesis!$B$52=1),IF(Hipótesis!$G$52=1,Hipótesis!$F$44,Hipótesis!$C$52*(1+Hipótesis!$D$45)^3)*(1+Hipótesis!$D$42),0)</f>
        <v>-2884.79928</v>
      </c>
      <c r="AN48" s="100" t="n">
        <f aca="false">-IF(AND(38&gt;=Hipótesis!$D$52,Hipótesis!$B$52=1),IF(Hipótesis!$G$52=1,Hipótesis!$F$44,Hipótesis!$C$52*(1+Hipótesis!$D$45)^3)*(1+Hipótesis!$D$42),0)</f>
        <v>-2884.79928</v>
      </c>
      <c r="AO48" s="100" t="n">
        <f aca="false">-IF(AND(39&gt;=Hipótesis!$D$52,Hipótesis!$B$52=1),IF(Hipótesis!$G$52=1,Hipótesis!$F$44,Hipótesis!$C$52*(1+Hipótesis!$D$45)^3)*(1+Hipótesis!$D$42),0)</f>
        <v>-2884.79928</v>
      </c>
      <c r="AP48" s="100" t="n">
        <f aca="false">-IF(AND(40&gt;=Hipótesis!$D$52,Hipótesis!$B$52=1),IF(Hipótesis!$G$52=1,Hipótesis!$F$44,Hipótesis!$C$52*(1+Hipótesis!$D$45)^3)*(1+Hipótesis!$D$42),0)</f>
        <v>-2884.79928</v>
      </c>
      <c r="AQ48" s="100" t="n">
        <f aca="false">-IF(AND(41&gt;=Hipótesis!$D$52,Hipótesis!$B$52=1),IF(Hipótesis!$G$52=1,Hipótesis!$F$44,Hipótesis!$C$52*(1+Hipótesis!$D$45)^3)*(1+Hipótesis!$D$42),0)</f>
        <v>-2884.79928</v>
      </c>
      <c r="AR48" s="100" t="n">
        <f aca="false">-IF(AND(42&gt;=Hipótesis!$D$52,Hipótesis!$B$52=1),IF(Hipótesis!$G$52=1,Hipótesis!$F$44,Hipótesis!$C$52*(1+Hipótesis!$D$45)^3)*(1+Hipótesis!$D$42),0)</f>
        <v>-2884.79928</v>
      </c>
      <c r="AS48" s="100" t="n">
        <f aca="false">-IF(AND(43&gt;=Hipótesis!$D$52,Hipótesis!$B$52=1),IF(Hipótesis!$G$52=1,Hipótesis!$F$44,Hipótesis!$C$52*(1+Hipótesis!$D$45)^3)*(1+Hipótesis!$D$42),0)</f>
        <v>-2884.79928</v>
      </c>
      <c r="AT48" s="100" t="n">
        <f aca="false">-IF(AND(44&gt;=Hipótesis!$D$52,Hipótesis!$B$52=1),IF(Hipótesis!$G$52=1,Hipótesis!$F$44,Hipótesis!$C$52*(1+Hipótesis!$D$45)^3)*(1+Hipótesis!$D$42),0)</f>
        <v>-2884.79928</v>
      </c>
      <c r="AU48" s="100" t="n">
        <f aca="false">-IF(AND(45&gt;=Hipótesis!$D$52,Hipótesis!$B$52=1),IF(Hipótesis!$G$52=1,Hipótesis!$F$44,Hipótesis!$C$52*(1+Hipótesis!$D$45)^3)*(1+Hipótesis!$D$42),0)</f>
        <v>-2884.79928</v>
      </c>
      <c r="AV48" s="100" t="n">
        <f aca="false">-IF(AND(46&gt;=Hipótesis!$D$52,Hipótesis!$B$52=1),IF(Hipótesis!$G$52=1,Hipótesis!$F$44,Hipótesis!$C$52*(1+Hipótesis!$D$45)^3)*(1+Hipótesis!$D$42),0)</f>
        <v>-2884.79928</v>
      </c>
      <c r="AW48" s="100" t="n">
        <f aca="false">-IF(AND(47&gt;=Hipótesis!$D$52,Hipótesis!$B$52=1),IF(Hipótesis!$G$52=1,Hipótesis!$F$44,Hipótesis!$C$52*(1+Hipótesis!$D$45)^3)*(1+Hipótesis!$D$42),0)</f>
        <v>-2884.79928</v>
      </c>
      <c r="AX48" s="100" t="n">
        <f aca="false">-IF(AND(48&gt;=Hipótesis!$D$52,Hipótesis!$B$52=1),IF(Hipótesis!$G$52=1,Hipótesis!$F$44,Hipótesis!$C$52*(1+Hipótesis!$D$45)^3)*(1+Hipótesis!$D$42),0)</f>
        <v>-2884.79928</v>
      </c>
      <c r="AY48" s="100" t="n">
        <f aca="false">-IF(AND(49&gt;=Hipótesis!$D$52,Hipótesis!$B$52=1),IF(Hipótesis!$G$52=1,Hipótesis!$G$44,Hipótesis!$C$52*(1+Hipótesis!$D$45)^4)*(1+Hipótesis!$D$42),0)</f>
        <v>-2971.3432584</v>
      </c>
      <c r="AZ48" s="100" t="n">
        <f aca="false">-IF(AND(50&gt;=Hipótesis!$D$52,Hipótesis!$B$52=1),IF(Hipótesis!$G$52=1,Hipótesis!$G$44,Hipótesis!$C$52*(1+Hipótesis!$D$45)^4)*(1+Hipótesis!$D$42),0)</f>
        <v>-2971.3432584</v>
      </c>
      <c r="BA48" s="100" t="n">
        <f aca="false">-IF(AND(51&gt;=Hipótesis!$D$52,Hipótesis!$B$52=1),IF(Hipótesis!$G$52=1,Hipótesis!$G$44,Hipótesis!$C$52*(1+Hipótesis!$D$45)^4)*(1+Hipótesis!$D$42),0)</f>
        <v>-2971.3432584</v>
      </c>
      <c r="BB48" s="100" t="n">
        <f aca="false">-IF(AND(52&gt;=Hipótesis!$D$52,Hipótesis!$B$52=1),IF(Hipótesis!$G$52=1,Hipótesis!$G$44,Hipótesis!$C$52*(1+Hipótesis!$D$45)^4)*(1+Hipótesis!$D$42),0)</f>
        <v>-2971.3432584</v>
      </c>
      <c r="BC48" s="100" t="n">
        <f aca="false">-IF(AND(53&gt;=Hipótesis!$D$52,Hipótesis!$B$52=1),IF(Hipótesis!$G$52=1,Hipótesis!$G$44,Hipótesis!$C$52*(1+Hipótesis!$D$45)^4)*(1+Hipótesis!$D$42),0)</f>
        <v>-2971.3432584</v>
      </c>
      <c r="BD48" s="100" t="n">
        <f aca="false">-IF(AND(54&gt;=Hipótesis!$D$52,Hipótesis!$B$52=1),IF(Hipótesis!$G$52=1,Hipótesis!$G$44,Hipótesis!$C$52*(1+Hipótesis!$D$45)^4)*(1+Hipótesis!$D$42),0)</f>
        <v>-2971.3432584</v>
      </c>
      <c r="BE48" s="100" t="n">
        <f aca="false">-IF(AND(55&gt;=Hipótesis!$D$52,Hipótesis!$B$52=1),IF(Hipótesis!$G$52=1,Hipótesis!$G$44,Hipótesis!$C$52*(1+Hipótesis!$D$45)^4)*(1+Hipótesis!$D$42),0)</f>
        <v>-2971.3432584</v>
      </c>
      <c r="BF48" s="100" t="n">
        <f aca="false">-IF(AND(56&gt;=Hipótesis!$D$52,Hipótesis!$B$52=1),IF(Hipótesis!$G$52=1,Hipótesis!$G$44,Hipótesis!$C$52*(1+Hipótesis!$D$45)^4)*(1+Hipótesis!$D$42),0)</f>
        <v>-2971.3432584</v>
      </c>
      <c r="BG48" s="100" t="n">
        <f aca="false">-IF(AND(57&gt;=Hipótesis!$D$52,Hipótesis!$B$52=1),IF(Hipótesis!$G$52=1,Hipótesis!$G$44,Hipótesis!$C$52*(1+Hipótesis!$D$45)^4)*(1+Hipótesis!$D$42),0)</f>
        <v>-2971.3432584</v>
      </c>
      <c r="BH48" s="100" t="n">
        <f aca="false">-IF(AND(58&gt;=Hipótesis!$D$52,Hipótesis!$B$52=1),IF(Hipótesis!$G$52=1,Hipótesis!$G$44,Hipótesis!$C$52*(1+Hipótesis!$D$45)^4)*(1+Hipótesis!$D$42),0)</f>
        <v>-2971.3432584</v>
      </c>
      <c r="BI48" s="100" t="n">
        <f aca="false">-IF(AND(59&gt;=Hipótesis!$D$52,Hipótesis!$B$52=1),IF(Hipótesis!$G$52=1,Hipótesis!$G$44,Hipótesis!$C$52*(1+Hipótesis!$D$45)^4)*(1+Hipótesis!$D$42),0)</f>
        <v>-2971.3432584</v>
      </c>
      <c r="BJ48" s="100" t="n">
        <f aca="false">-IF(AND(60&gt;=Hipótesis!$D$52,Hipótesis!$B$52=1),IF(Hipótesis!$G$52=1,Hipótesis!$G$44,Hipótesis!$C$52*(1+Hipótesis!$D$45)^4)*(1+Hipótesis!$D$42),0)</f>
        <v>-2971.3432584</v>
      </c>
      <c r="BK48" s="100" t="n">
        <f aca="false">-IF(AND(61&gt;=Hipótesis!$D$52,Hipótesis!$B$52=1),IF(Hipótesis!$G$52=1,Hipótesis!$H$44,Hipótesis!$C$52*(1+Hipótesis!$D$45)^5)*(1+Hipótesis!$D$42),0)</f>
        <v>-3060.483556152</v>
      </c>
      <c r="BL48" s="100" t="n">
        <f aca="false">-IF(AND(62&gt;=Hipótesis!$D$52,Hipótesis!$B$52=1),IF(Hipótesis!$G$52=1,Hipótesis!$H$44,Hipótesis!$C$52*(1+Hipótesis!$D$45)^5)*(1+Hipótesis!$D$42),0)</f>
        <v>-3060.483556152</v>
      </c>
      <c r="BM48" s="100" t="n">
        <f aca="false">-IF(AND(63&gt;=Hipótesis!$D$52,Hipótesis!$B$52=1),IF(Hipótesis!$G$52=1,Hipótesis!$H$44,Hipótesis!$C$52*(1+Hipótesis!$D$45)^5)*(1+Hipótesis!$D$42),0)</f>
        <v>-3060.483556152</v>
      </c>
      <c r="BN48" s="100" t="n">
        <f aca="false">-IF(AND(64&gt;=Hipótesis!$D$52,Hipótesis!$B$52=1),IF(Hipótesis!$G$52=1,Hipótesis!$H$44,Hipótesis!$C$52*(1+Hipótesis!$D$45)^5)*(1+Hipótesis!$D$42),0)</f>
        <v>-3060.483556152</v>
      </c>
      <c r="BO48" s="100" t="n">
        <f aca="false">-IF(AND(65&gt;=Hipótesis!$D$52,Hipótesis!$B$52=1),IF(Hipótesis!$G$52=1,Hipótesis!$H$44,Hipótesis!$C$52*(1+Hipótesis!$D$45)^5)*(1+Hipótesis!$D$42),0)</f>
        <v>-3060.483556152</v>
      </c>
      <c r="BP48" s="100" t="n">
        <f aca="false">-IF(AND(66&gt;=Hipótesis!$D$52,Hipótesis!$B$52=1),IF(Hipótesis!$G$52=1,Hipótesis!$H$44,Hipótesis!$C$52*(1+Hipótesis!$D$45)^5)*(1+Hipótesis!$D$42),0)</f>
        <v>-3060.483556152</v>
      </c>
      <c r="BQ48" s="100" t="n">
        <f aca="false">-IF(AND(67&gt;=Hipótesis!$D$52,Hipótesis!$B$52=1),IF(Hipótesis!$G$52=1,Hipótesis!$H$44,Hipótesis!$C$52*(1+Hipótesis!$D$45)^5)*(1+Hipótesis!$D$42),0)</f>
        <v>-3060.483556152</v>
      </c>
      <c r="BR48" s="100" t="n">
        <f aca="false">-IF(AND(68&gt;=Hipótesis!$D$52,Hipótesis!$B$52=1),IF(Hipótesis!$G$52=1,Hipótesis!$H$44,Hipótesis!$C$52*(1+Hipótesis!$D$45)^5)*(1+Hipótesis!$D$42),0)</f>
        <v>-3060.483556152</v>
      </c>
      <c r="BS48" s="100" t="n">
        <f aca="false">-IF(AND(69&gt;=Hipótesis!$D$52,Hipótesis!$B$52=1),IF(Hipótesis!$G$52=1,Hipótesis!$H$44,Hipótesis!$C$52*(1+Hipótesis!$D$45)^5)*(1+Hipótesis!$D$42),0)</f>
        <v>-3060.483556152</v>
      </c>
      <c r="BT48" s="100" t="n">
        <f aca="false">-IF(AND(70&gt;=Hipótesis!$D$52,Hipótesis!$B$52=1),IF(Hipótesis!$G$52=1,Hipótesis!$H$44,Hipótesis!$C$52*(1+Hipótesis!$D$45)^5)*(1+Hipótesis!$D$42),0)</f>
        <v>-3060.483556152</v>
      </c>
      <c r="BU48" s="100" t="n">
        <f aca="false">-IF(AND(71&gt;=Hipótesis!$D$52,Hipótesis!$B$52=1),IF(Hipótesis!$G$52=1,Hipótesis!$H$44,Hipótesis!$C$52*(1+Hipótesis!$D$45)^5)*(1+Hipótesis!$D$42),0)</f>
        <v>-3060.483556152</v>
      </c>
      <c r="BV48" s="100" t="n">
        <f aca="false">-IF(AND(72&gt;=Hipótesis!$D$52,Hipótesis!$B$52=1),IF(Hipótesis!$G$52=1,Hipótesis!$H$44,Hipótesis!$C$52*(1+Hipótesis!$D$45)^5)*(1+Hipótesis!$D$42),0)</f>
        <v>-3060.483556152</v>
      </c>
      <c r="BW48" s="100" t="n">
        <f aca="false">-IF(AND(73&gt;=Hipótesis!$D$52,Hipótesis!$B$52=1),IF(Hipótesis!$G$52=1,Hipótesis!$I$44,Hipótesis!$C$52*(1+Hipótesis!$D$45)^6)*(1+Hipótesis!$D$42),0)</f>
        <v>-3152.29806283656</v>
      </c>
      <c r="BX48" s="100" t="n">
        <f aca="false">-IF(AND(74&gt;=Hipótesis!$D$52,Hipótesis!$B$52=1),IF(Hipótesis!$G$52=1,Hipótesis!$I$44,Hipótesis!$C$52*(1+Hipótesis!$D$45)^6)*(1+Hipótesis!$D$42),0)</f>
        <v>-3152.29806283656</v>
      </c>
      <c r="BY48" s="100" t="n">
        <f aca="false">-IF(AND(75&gt;=Hipótesis!$D$52,Hipótesis!$B$52=1),IF(Hipótesis!$G$52=1,Hipótesis!$I$44,Hipótesis!$C$52*(1+Hipótesis!$D$45)^6)*(1+Hipótesis!$D$42),0)</f>
        <v>-3152.29806283656</v>
      </c>
      <c r="BZ48" s="100" t="n">
        <f aca="false">-IF(AND(76&gt;=Hipótesis!$D$52,Hipótesis!$B$52=1),IF(Hipótesis!$G$52=1,Hipótesis!$I$44,Hipótesis!$C$52*(1+Hipótesis!$D$45)^6)*(1+Hipótesis!$D$42),0)</f>
        <v>-3152.29806283656</v>
      </c>
      <c r="CA48" s="100" t="n">
        <f aca="false">-IF(AND(77&gt;=Hipótesis!$D$52,Hipótesis!$B$52=1),IF(Hipótesis!$G$52=1,Hipótesis!$I$44,Hipótesis!$C$52*(1+Hipótesis!$D$45)^6)*(1+Hipótesis!$D$42),0)</f>
        <v>-3152.29806283656</v>
      </c>
      <c r="CB48" s="100" t="n">
        <f aca="false">-IF(AND(78&gt;=Hipótesis!$D$52,Hipótesis!$B$52=1),IF(Hipótesis!$G$52=1,Hipótesis!$I$44,Hipótesis!$C$52*(1+Hipótesis!$D$45)^6)*(1+Hipótesis!$D$42),0)</f>
        <v>-3152.29806283656</v>
      </c>
      <c r="CC48" s="100" t="n">
        <f aca="false">-IF(AND(79&gt;=Hipótesis!$D$52,Hipótesis!$B$52=1),IF(Hipótesis!$G$52=1,Hipótesis!$I$44,Hipótesis!$C$52*(1+Hipótesis!$D$45)^6)*(1+Hipótesis!$D$42),0)</f>
        <v>-3152.29806283656</v>
      </c>
      <c r="CD48" s="100" t="n">
        <f aca="false">-IF(AND(80&gt;=Hipótesis!$D$52,Hipótesis!$B$52=1),IF(Hipótesis!$G$52=1,Hipótesis!$I$44,Hipótesis!$C$52*(1+Hipótesis!$D$45)^6)*(1+Hipótesis!$D$42),0)</f>
        <v>-3152.29806283656</v>
      </c>
      <c r="CE48" s="100" t="n">
        <f aca="false">-IF(AND(81&gt;=Hipótesis!$D$52,Hipótesis!$B$52=1),IF(Hipótesis!$G$52=1,Hipótesis!$I$44,Hipótesis!$C$52*(1+Hipótesis!$D$45)^6)*(1+Hipótesis!$D$42),0)</f>
        <v>-3152.29806283656</v>
      </c>
      <c r="CF48" s="100" t="n">
        <f aca="false">-IF(AND(82&gt;=Hipótesis!$D$52,Hipótesis!$B$52=1),IF(Hipótesis!$G$52=1,Hipótesis!$I$44,Hipótesis!$C$52*(1+Hipótesis!$D$45)^6)*(1+Hipótesis!$D$42),0)</f>
        <v>-3152.29806283656</v>
      </c>
      <c r="CG48" s="100" t="n">
        <f aca="false">-IF(AND(83&gt;=Hipótesis!$D$52,Hipótesis!$B$52=1),IF(Hipótesis!$G$52=1,Hipótesis!$I$44,Hipótesis!$C$52*(1+Hipótesis!$D$45)^6)*(1+Hipótesis!$D$42),0)</f>
        <v>-3152.29806283656</v>
      </c>
      <c r="CH48" s="100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6" t="s">
        <v>526</v>
      </c>
      <c r="C49" s="100" t="n">
        <f aca="false">-IF(AND(1&gt;=Hipótesis!$D$53,Hipótesis!$B$53=1),IF(Hipótesis!$G$53=1,Hipótesis!$C$44,Hipótesis!$C$53*(1+Hipótesis!$D$45)^0)*(1+Hipótesis!$D$42),0)</f>
        <v>-0</v>
      </c>
      <c r="D49" s="100" t="n">
        <f aca="false">-IF(AND(2&gt;=Hipótesis!$D$53,Hipótesis!$B$53=1),IF(Hipótesis!$G$53=1,Hipótesis!$C$44,Hipótesis!$C$53*(1+Hipótesis!$D$45)^0)*(1+Hipótesis!$D$42),0)</f>
        <v>-0</v>
      </c>
      <c r="E49" s="100" t="n">
        <f aca="false">-IF(AND(3&gt;=Hipótesis!$D$53,Hipótesis!$B$53=1),IF(Hipótesis!$G$53=1,Hipótesis!$C$44,Hipótesis!$C$53*(1+Hipótesis!$D$45)^0)*(1+Hipótesis!$D$42),0)</f>
        <v>-0</v>
      </c>
      <c r="F49" s="100" t="n">
        <f aca="false">-IF(AND(4&gt;=Hipótesis!$D$53,Hipótesis!$B$53=1),IF(Hipótesis!$G$53=1,Hipótesis!$C$44,Hipótesis!$C$53*(1+Hipótesis!$D$45)^0)*(1+Hipótesis!$D$42),0)</f>
        <v>-0</v>
      </c>
      <c r="G49" s="100" t="n">
        <f aca="false">-IF(AND(5&gt;=Hipótesis!$D$53,Hipótesis!$B$53=1),IF(Hipótesis!$G$53=1,Hipótesis!$C$44,Hipótesis!$C$53*(1+Hipótesis!$D$45)^0)*(1+Hipótesis!$D$42),0)</f>
        <v>-0</v>
      </c>
      <c r="H49" s="100" t="n">
        <f aca="false">-IF(AND(6&gt;=Hipótesis!$D$53,Hipótesis!$B$53=1),IF(Hipótesis!$G$53=1,Hipótesis!$C$44,Hipótesis!$C$53*(1+Hipótesis!$D$45)^0)*(1+Hipótesis!$D$42),0)</f>
        <v>-0</v>
      </c>
      <c r="I49" s="100" t="n">
        <f aca="false">-IF(AND(7&gt;=Hipótesis!$D$53,Hipótesis!$B$53=1),IF(Hipótesis!$G$53=1,Hipótesis!$C$44,Hipótesis!$C$53*(1+Hipótesis!$D$45)^0)*(1+Hipótesis!$D$42),0)</f>
        <v>-0</v>
      </c>
      <c r="J49" s="100" t="n">
        <f aca="false">-IF(AND(8&gt;=Hipótesis!$D$53,Hipótesis!$B$53=1),IF(Hipótesis!$G$53=1,Hipótesis!$C$44,Hipótesis!$C$53*(1+Hipótesis!$D$45)^0)*(1+Hipótesis!$D$42),0)</f>
        <v>-0</v>
      </c>
      <c r="K49" s="100" t="n">
        <f aca="false">-IF(AND(9&gt;=Hipótesis!$D$53,Hipótesis!$B$53=1),IF(Hipótesis!$G$53=1,Hipótesis!$C$44,Hipótesis!$C$53*(1+Hipótesis!$D$45)^0)*(1+Hipótesis!$D$42),0)</f>
        <v>-0</v>
      </c>
      <c r="L49" s="100" t="n">
        <f aca="false">-IF(AND(10&gt;=Hipótesis!$D$53,Hipótesis!$B$53=1),IF(Hipótesis!$G$53=1,Hipótesis!$C$44,Hipótesis!$C$53*(1+Hipótesis!$D$45)^0)*(1+Hipótesis!$D$42),0)</f>
        <v>-0</v>
      </c>
      <c r="M49" s="100" t="n">
        <f aca="false">-IF(AND(11&gt;=Hipótesis!$D$53,Hipótesis!$B$53=1),IF(Hipótesis!$G$53=1,Hipótesis!$C$44,Hipótesis!$C$53*(1+Hipótesis!$D$45)^0)*(1+Hipótesis!$D$42),0)</f>
        <v>-0</v>
      </c>
      <c r="N49" s="100" t="n">
        <f aca="false">-IF(AND(12&gt;=Hipótesis!$D$53,Hipótesis!$B$53=1),IF(Hipótesis!$G$53=1,Hipótesis!$C$44,Hipótesis!$C$53*(1+Hipótesis!$D$45)^0)*(1+Hipótesis!$D$42),0)</f>
        <v>-0</v>
      </c>
      <c r="O49" s="100" t="n">
        <f aca="false">-IF(AND(13&gt;=Hipótesis!$D$53,Hipótesis!$B$53=1),IF(Hipótesis!$G$53=1,Hipótesis!$D$44,Hipótesis!$C$53*(1+Hipótesis!$D$45)^1)*(1+Hipótesis!$D$42),0)</f>
        <v>-0</v>
      </c>
      <c r="P49" s="100" t="n">
        <f aca="false">-IF(AND(14&gt;=Hipótesis!$D$53,Hipótesis!$B$53=1),IF(Hipótesis!$G$53=1,Hipótesis!$D$44,Hipótesis!$C$53*(1+Hipótesis!$D$45)^1)*(1+Hipótesis!$D$42),0)</f>
        <v>-0</v>
      </c>
      <c r="Q49" s="100" t="n">
        <f aca="false">-IF(AND(15&gt;=Hipótesis!$D$53,Hipótesis!$B$53=1),IF(Hipótesis!$G$53=1,Hipótesis!$D$44,Hipótesis!$C$53*(1+Hipótesis!$D$45)^1)*(1+Hipótesis!$D$42),0)</f>
        <v>-0</v>
      </c>
      <c r="R49" s="100" t="n">
        <f aca="false">-IF(AND(16&gt;=Hipótesis!$D$53,Hipótesis!$B$53=1),IF(Hipótesis!$G$53=1,Hipótesis!$D$44,Hipótesis!$C$53*(1+Hipótesis!$D$45)^1)*(1+Hipótesis!$D$42),0)</f>
        <v>-0</v>
      </c>
      <c r="S49" s="100" t="n">
        <f aca="false">-IF(AND(17&gt;=Hipótesis!$D$53,Hipótesis!$B$53=1),IF(Hipótesis!$G$53=1,Hipótesis!$D$44,Hipótesis!$C$53*(1+Hipótesis!$D$45)^1)*(1+Hipótesis!$D$42),0)</f>
        <v>-0</v>
      </c>
      <c r="T49" s="100" t="n">
        <f aca="false">-IF(AND(18&gt;=Hipótesis!$D$53,Hipótesis!$B$53=1),IF(Hipótesis!$G$53=1,Hipótesis!$D$44,Hipótesis!$C$53*(1+Hipótesis!$D$45)^1)*(1+Hipótesis!$D$42),0)</f>
        <v>-0</v>
      </c>
      <c r="U49" s="100" t="n">
        <f aca="false">-IF(AND(19&gt;=Hipótesis!$D$53,Hipótesis!$B$53=1),IF(Hipótesis!$G$53=1,Hipótesis!$D$44,Hipótesis!$C$53*(1+Hipótesis!$D$45)^1)*(1+Hipótesis!$D$42),0)</f>
        <v>-0</v>
      </c>
      <c r="V49" s="100" t="n">
        <f aca="false">-IF(AND(20&gt;=Hipótesis!$D$53,Hipótesis!$B$53=1),IF(Hipótesis!$G$53=1,Hipótesis!$D$44,Hipótesis!$C$53*(1+Hipótesis!$D$45)^1)*(1+Hipótesis!$D$42),0)</f>
        <v>-0</v>
      </c>
      <c r="W49" s="100" t="n">
        <f aca="false">-IF(AND(21&gt;=Hipótesis!$D$53,Hipótesis!$B$53=1),IF(Hipótesis!$G$53=1,Hipótesis!$D$44,Hipótesis!$C$53*(1+Hipótesis!$D$45)^1)*(1+Hipótesis!$D$42),0)</f>
        <v>-0</v>
      </c>
      <c r="X49" s="100" t="n">
        <f aca="false">-IF(AND(22&gt;=Hipótesis!$D$53,Hipótesis!$B$53=1),IF(Hipótesis!$G$53=1,Hipótesis!$D$44,Hipótesis!$C$53*(1+Hipótesis!$D$45)^1)*(1+Hipótesis!$D$42),0)</f>
        <v>-0</v>
      </c>
      <c r="Y49" s="100" t="n">
        <f aca="false">-IF(AND(23&gt;=Hipótesis!$D$53,Hipótesis!$B$53=1),IF(Hipótesis!$G$53=1,Hipótesis!$D$44,Hipótesis!$C$53*(1+Hipótesis!$D$45)^1)*(1+Hipótesis!$D$42),0)</f>
        <v>-0</v>
      </c>
      <c r="Z49" s="100" t="n">
        <f aca="false">-IF(AND(24&gt;=Hipótesis!$D$53,Hipótesis!$B$53=1),IF(Hipótesis!$G$53=1,Hipótesis!$D$44,Hipótesis!$C$53*(1+Hipótesis!$D$45)^1)*(1+Hipótesis!$D$42),0)</f>
        <v>-0</v>
      </c>
      <c r="AA49" s="100" t="n">
        <f aca="false">-IF(AND(25&gt;=Hipótesis!$D$53,Hipótesis!$B$53=1),IF(Hipótesis!$G$53=1,Hipótesis!$E$44,Hipótesis!$C$53*(1+Hipótesis!$D$45)^2)*(1+Hipótesis!$D$42),0)</f>
        <v>-0</v>
      </c>
      <c r="AB49" s="100" t="n">
        <f aca="false">-IF(AND(26&gt;=Hipótesis!$D$53,Hipótesis!$B$53=1),IF(Hipótesis!$G$53=1,Hipótesis!$E$44,Hipótesis!$C$53*(1+Hipótesis!$D$45)^2)*(1+Hipótesis!$D$42),0)</f>
        <v>-0</v>
      </c>
      <c r="AC49" s="100" t="n">
        <f aca="false">-IF(AND(27&gt;=Hipótesis!$D$53,Hipótesis!$B$53=1),IF(Hipótesis!$G$53=1,Hipótesis!$E$44,Hipótesis!$C$53*(1+Hipótesis!$D$45)^2)*(1+Hipótesis!$D$42),0)</f>
        <v>-0</v>
      </c>
      <c r="AD49" s="100" t="n">
        <f aca="false">-IF(AND(28&gt;=Hipótesis!$D$53,Hipótesis!$B$53=1),IF(Hipótesis!$G$53=1,Hipótesis!$E$44,Hipótesis!$C$53*(1+Hipótesis!$D$45)^2)*(1+Hipótesis!$D$42),0)</f>
        <v>-0</v>
      </c>
      <c r="AE49" s="100" t="n">
        <f aca="false">-IF(AND(29&gt;=Hipótesis!$D$53,Hipótesis!$B$53=1),IF(Hipótesis!$G$53=1,Hipótesis!$E$44,Hipótesis!$C$53*(1+Hipótesis!$D$45)^2)*(1+Hipótesis!$D$42),0)</f>
        <v>-0</v>
      </c>
      <c r="AF49" s="100" t="n">
        <f aca="false">-IF(AND(30&gt;=Hipótesis!$D$53,Hipótesis!$B$53=1),IF(Hipótesis!$G$53=1,Hipótesis!$E$44,Hipótesis!$C$53*(1+Hipótesis!$D$45)^2)*(1+Hipótesis!$D$42),0)</f>
        <v>-0</v>
      </c>
      <c r="AG49" s="100" t="n">
        <f aca="false">-IF(AND(31&gt;=Hipótesis!$D$53,Hipótesis!$B$53=1),IF(Hipótesis!$G$53=1,Hipótesis!$E$44,Hipótesis!$C$53*(1+Hipótesis!$D$45)^2)*(1+Hipótesis!$D$42),0)</f>
        <v>-0</v>
      </c>
      <c r="AH49" s="100" t="n">
        <f aca="false">-IF(AND(32&gt;=Hipótesis!$D$53,Hipótesis!$B$53=1),IF(Hipótesis!$G$53=1,Hipótesis!$E$44,Hipótesis!$C$53*(1+Hipótesis!$D$45)^2)*(1+Hipótesis!$D$42),0)</f>
        <v>-0</v>
      </c>
      <c r="AI49" s="100" t="n">
        <f aca="false">-IF(AND(33&gt;=Hipótesis!$D$53,Hipótesis!$B$53=1),IF(Hipótesis!$G$53=1,Hipótesis!$E$44,Hipótesis!$C$53*(1+Hipótesis!$D$45)^2)*(1+Hipótesis!$D$42),0)</f>
        <v>-0</v>
      </c>
      <c r="AJ49" s="100" t="n">
        <f aca="false">-IF(AND(34&gt;=Hipótesis!$D$53,Hipótesis!$B$53=1),IF(Hipótesis!$G$53=1,Hipótesis!$E$44,Hipótesis!$C$53*(1+Hipótesis!$D$45)^2)*(1+Hipótesis!$D$42),0)</f>
        <v>-0</v>
      </c>
      <c r="AK49" s="100" t="n">
        <f aca="false">-IF(AND(35&gt;=Hipótesis!$D$53,Hipótesis!$B$53=1),IF(Hipótesis!$G$53=1,Hipótesis!$E$44,Hipótesis!$C$53*(1+Hipótesis!$D$45)^2)*(1+Hipótesis!$D$42),0)</f>
        <v>-0</v>
      </c>
      <c r="AL49" s="100" t="n">
        <f aca="false">-IF(AND(36&gt;=Hipótesis!$D$53,Hipótesis!$B$53=1),IF(Hipótesis!$G$53=1,Hipótesis!$E$44,Hipótesis!$C$53*(1+Hipótesis!$D$45)^2)*(1+Hipótesis!$D$42),0)</f>
        <v>-0</v>
      </c>
      <c r="AM49" s="100" t="n">
        <f aca="false">-IF(AND(37&gt;=Hipótesis!$D$53,Hipótesis!$B$53=1),IF(Hipótesis!$G$53=1,Hipótesis!$F$44,Hipótesis!$C$53*(1+Hipótesis!$D$45)^3)*(1+Hipótesis!$D$42),0)</f>
        <v>-0</v>
      </c>
      <c r="AN49" s="100" t="n">
        <f aca="false">-IF(AND(38&gt;=Hipótesis!$D$53,Hipótesis!$B$53=1),IF(Hipótesis!$G$53=1,Hipótesis!$F$44,Hipótesis!$C$53*(1+Hipótesis!$D$45)^3)*(1+Hipótesis!$D$42),0)</f>
        <v>-0</v>
      </c>
      <c r="AO49" s="100" t="n">
        <f aca="false">-IF(AND(39&gt;=Hipótesis!$D$53,Hipótesis!$B$53=1),IF(Hipótesis!$G$53=1,Hipótesis!$F$44,Hipótesis!$C$53*(1+Hipótesis!$D$45)^3)*(1+Hipótesis!$D$42),0)</f>
        <v>-0</v>
      </c>
      <c r="AP49" s="100" t="n">
        <f aca="false">-IF(AND(40&gt;=Hipótesis!$D$53,Hipótesis!$B$53=1),IF(Hipótesis!$G$53=1,Hipótesis!$F$44,Hipótesis!$C$53*(1+Hipótesis!$D$45)^3)*(1+Hipótesis!$D$42),0)</f>
        <v>-0</v>
      </c>
      <c r="AQ49" s="100" t="n">
        <f aca="false">-IF(AND(41&gt;=Hipótesis!$D$53,Hipótesis!$B$53=1),IF(Hipótesis!$G$53=1,Hipótesis!$F$44,Hipótesis!$C$53*(1+Hipótesis!$D$45)^3)*(1+Hipótesis!$D$42),0)</f>
        <v>-0</v>
      </c>
      <c r="AR49" s="100" t="n">
        <f aca="false">-IF(AND(42&gt;=Hipótesis!$D$53,Hipótesis!$B$53=1),IF(Hipótesis!$G$53=1,Hipótesis!$F$44,Hipótesis!$C$53*(1+Hipótesis!$D$45)^3)*(1+Hipótesis!$D$42),0)</f>
        <v>-0</v>
      </c>
      <c r="AS49" s="100" t="n">
        <f aca="false">-IF(AND(43&gt;=Hipótesis!$D$53,Hipótesis!$B$53=1),IF(Hipótesis!$G$53=1,Hipótesis!$F$44,Hipótesis!$C$53*(1+Hipótesis!$D$45)^3)*(1+Hipótesis!$D$42),0)</f>
        <v>-0</v>
      </c>
      <c r="AT49" s="100" t="n">
        <f aca="false">-IF(AND(44&gt;=Hipótesis!$D$53,Hipótesis!$B$53=1),IF(Hipótesis!$G$53=1,Hipótesis!$F$44,Hipótesis!$C$53*(1+Hipótesis!$D$45)^3)*(1+Hipótesis!$D$42),0)</f>
        <v>-0</v>
      </c>
      <c r="AU49" s="100" t="n">
        <f aca="false">-IF(AND(45&gt;=Hipótesis!$D$53,Hipótesis!$B$53=1),IF(Hipótesis!$G$53=1,Hipótesis!$F$44,Hipótesis!$C$53*(1+Hipótesis!$D$45)^3)*(1+Hipótesis!$D$42),0)</f>
        <v>-0</v>
      </c>
      <c r="AV49" s="100" t="n">
        <f aca="false">-IF(AND(46&gt;=Hipótesis!$D$53,Hipótesis!$B$53=1),IF(Hipótesis!$G$53=1,Hipótesis!$F$44,Hipótesis!$C$53*(1+Hipótesis!$D$45)^3)*(1+Hipótesis!$D$42),0)</f>
        <v>-0</v>
      </c>
      <c r="AW49" s="100" t="n">
        <f aca="false">-IF(AND(47&gt;=Hipótesis!$D$53,Hipótesis!$B$53=1),IF(Hipótesis!$G$53=1,Hipótesis!$F$44,Hipótesis!$C$53*(1+Hipótesis!$D$45)^3)*(1+Hipótesis!$D$42),0)</f>
        <v>-0</v>
      </c>
      <c r="AX49" s="100" t="n">
        <f aca="false">-IF(AND(48&gt;=Hipótesis!$D$53,Hipótesis!$B$53=1),IF(Hipótesis!$G$53=1,Hipótesis!$F$44,Hipótesis!$C$53*(1+Hipótesis!$D$45)^3)*(1+Hipótesis!$D$42),0)</f>
        <v>-0</v>
      </c>
      <c r="AY49" s="100" t="n">
        <f aca="false">-IF(AND(49&gt;=Hipótesis!$D$53,Hipótesis!$B$53=1),IF(Hipótesis!$G$53=1,Hipótesis!$G$44,Hipótesis!$C$53*(1+Hipótesis!$D$45)^4)*(1+Hipótesis!$D$42),0)</f>
        <v>-0</v>
      </c>
      <c r="AZ49" s="100" t="n">
        <f aca="false">-IF(AND(50&gt;=Hipótesis!$D$53,Hipótesis!$B$53=1),IF(Hipótesis!$G$53=1,Hipótesis!$G$44,Hipótesis!$C$53*(1+Hipótesis!$D$45)^4)*(1+Hipótesis!$D$42),0)</f>
        <v>-0</v>
      </c>
      <c r="BA49" s="100" t="n">
        <f aca="false">-IF(AND(51&gt;=Hipótesis!$D$53,Hipótesis!$B$53=1),IF(Hipótesis!$G$53=1,Hipótesis!$G$44,Hipótesis!$C$53*(1+Hipótesis!$D$45)^4)*(1+Hipótesis!$D$42),0)</f>
        <v>-0</v>
      </c>
      <c r="BB49" s="100" t="n">
        <f aca="false">-IF(AND(52&gt;=Hipótesis!$D$53,Hipótesis!$B$53=1),IF(Hipótesis!$G$53=1,Hipótesis!$G$44,Hipótesis!$C$53*(1+Hipótesis!$D$45)^4)*(1+Hipótesis!$D$42),0)</f>
        <v>-0</v>
      </c>
      <c r="BC49" s="100" t="n">
        <f aca="false">-IF(AND(53&gt;=Hipótesis!$D$53,Hipótesis!$B$53=1),IF(Hipótesis!$G$53=1,Hipótesis!$G$44,Hipótesis!$C$53*(1+Hipótesis!$D$45)^4)*(1+Hipótesis!$D$42),0)</f>
        <v>-0</v>
      </c>
      <c r="BD49" s="100" t="n">
        <f aca="false">-IF(AND(54&gt;=Hipótesis!$D$53,Hipótesis!$B$53=1),IF(Hipótesis!$G$53=1,Hipótesis!$G$44,Hipótesis!$C$53*(1+Hipótesis!$D$45)^4)*(1+Hipótesis!$D$42),0)</f>
        <v>-0</v>
      </c>
      <c r="BE49" s="100" t="n">
        <f aca="false">-IF(AND(55&gt;=Hipótesis!$D$53,Hipótesis!$B$53=1),IF(Hipótesis!$G$53=1,Hipótesis!$G$44,Hipótesis!$C$53*(1+Hipótesis!$D$45)^4)*(1+Hipótesis!$D$42),0)</f>
        <v>-0</v>
      </c>
      <c r="BF49" s="100" t="n">
        <f aca="false">-IF(AND(56&gt;=Hipótesis!$D$53,Hipótesis!$B$53=1),IF(Hipótesis!$G$53=1,Hipótesis!$G$44,Hipótesis!$C$53*(1+Hipótesis!$D$45)^4)*(1+Hipótesis!$D$42),0)</f>
        <v>-0</v>
      </c>
      <c r="BG49" s="100" t="n">
        <f aca="false">-IF(AND(57&gt;=Hipótesis!$D$53,Hipótesis!$B$53=1),IF(Hipótesis!$G$53=1,Hipótesis!$G$44,Hipótesis!$C$53*(1+Hipótesis!$D$45)^4)*(1+Hipótesis!$D$42),0)</f>
        <v>-0</v>
      </c>
      <c r="BH49" s="100" t="n">
        <f aca="false">-IF(AND(58&gt;=Hipótesis!$D$53,Hipótesis!$B$53=1),IF(Hipótesis!$G$53=1,Hipótesis!$G$44,Hipótesis!$C$53*(1+Hipótesis!$D$45)^4)*(1+Hipótesis!$D$42),0)</f>
        <v>-0</v>
      </c>
      <c r="BI49" s="100" t="n">
        <f aca="false">-IF(AND(59&gt;=Hipótesis!$D$53,Hipótesis!$B$53=1),IF(Hipótesis!$G$53=1,Hipótesis!$G$44,Hipótesis!$C$53*(1+Hipótesis!$D$45)^4)*(1+Hipótesis!$D$42),0)</f>
        <v>-0</v>
      </c>
      <c r="BJ49" s="100" t="n">
        <f aca="false">-IF(AND(60&gt;=Hipótesis!$D$53,Hipótesis!$B$53=1),IF(Hipótesis!$G$53=1,Hipótesis!$G$44,Hipótesis!$C$53*(1+Hipótesis!$D$45)^4)*(1+Hipótesis!$D$42),0)</f>
        <v>-0</v>
      </c>
      <c r="BK49" s="100" t="n">
        <f aca="false">-IF(AND(61&gt;=Hipótesis!$D$53,Hipótesis!$B$53=1),IF(Hipótesis!$G$53=1,Hipótesis!$H$44,Hipótesis!$C$53*(1+Hipótesis!$D$45)^5)*(1+Hipótesis!$D$42),0)</f>
        <v>-0</v>
      </c>
      <c r="BL49" s="100" t="n">
        <f aca="false">-IF(AND(62&gt;=Hipótesis!$D$53,Hipótesis!$B$53=1),IF(Hipótesis!$G$53=1,Hipótesis!$H$44,Hipótesis!$C$53*(1+Hipótesis!$D$45)^5)*(1+Hipótesis!$D$42),0)</f>
        <v>-0</v>
      </c>
      <c r="BM49" s="100" t="n">
        <f aca="false">-IF(AND(63&gt;=Hipótesis!$D$53,Hipótesis!$B$53=1),IF(Hipótesis!$G$53=1,Hipótesis!$H$44,Hipótesis!$C$53*(1+Hipótesis!$D$45)^5)*(1+Hipótesis!$D$42),0)</f>
        <v>-0</v>
      </c>
      <c r="BN49" s="100" t="n">
        <f aca="false">-IF(AND(64&gt;=Hipótesis!$D$53,Hipótesis!$B$53=1),IF(Hipótesis!$G$53=1,Hipótesis!$H$44,Hipótesis!$C$53*(1+Hipótesis!$D$45)^5)*(1+Hipótesis!$D$42),0)</f>
        <v>-0</v>
      </c>
      <c r="BO49" s="100" t="n">
        <f aca="false">-IF(AND(65&gt;=Hipótesis!$D$53,Hipótesis!$B$53=1),IF(Hipótesis!$G$53=1,Hipótesis!$H$44,Hipótesis!$C$53*(1+Hipótesis!$D$45)^5)*(1+Hipótesis!$D$42),0)</f>
        <v>-0</v>
      </c>
      <c r="BP49" s="100" t="n">
        <f aca="false">-IF(AND(66&gt;=Hipótesis!$D$53,Hipótesis!$B$53=1),IF(Hipótesis!$G$53=1,Hipótesis!$H$44,Hipótesis!$C$53*(1+Hipótesis!$D$45)^5)*(1+Hipótesis!$D$42),0)</f>
        <v>-0</v>
      </c>
      <c r="BQ49" s="100" t="n">
        <f aca="false">-IF(AND(67&gt;=Hipótesis!$D$53,Hipótesis!$B$53=1),IF(Hipótesis!$G$53=1,Hipótesis!$H$44,Hipótesis!$C$53*(1+Hipótesis!$D$45)^5)*(1+Hipótesis!$D$42),0)</f>
        <v>-0</v>
      </c>
      <c r="BR49" s="100" t="n">
        <f aca="false">-IF(AND(68&gt;=Hipótesis!$D$53,Hipótesis!$B$53=1),IF(Hipótesis!$G$53=1,Hipótesis!$H$44,Hipótesis!$C$53*(1+Hipótesis!$D$45)^5)*(1+Hipótesis!$D$42),0)</f>
        <v>-0</v>
      </c>
      <c r="BS49" s="100" t="n">
        <f aca="false">-IF(AND(69&gt;=Hipótesis!$D$53,Hipótesis!$B$53=1),IF(Hipótesis!$G$53=1,Hipótesis!$H$44,Hipótesis!$C$53*(1+Hipótesis!$D$45)^5)*(1+Hipótesis!$D$42),0)</f>
        <v>-0</v>
      </c>
      <c r="BT49" s="100" t="n">
        <f aca="false">-IF(AND(70&gt;=Hipótesis!$D$53,Hipótesis!$B$53=1),IF(Hipótesis!$G$53=1,Hipótesis!$H$44,Hipótesis!$C$53*(1+Hipótesis!$D$45)^5)*(1+Hipótesis!$D$42),0)</f>
        <v>-0</v>
      </c>
      <c r="BU49" s="100" t="n">
        <f aca="false">-IF(AND(71&gt;=Hipótesis!$D$53,Hipótesis!$B$53=1),IF(Hipótesis!$G$53=1,Hipótesis!$H$44,Hipótesis!$C$53*(1+Hipótesis!$D$45)^5)*(1+Hipótesis!$D$42),0)</f>
        <v>-0</v>
      </c>
      <c r="BV49" s="100" t="n">
        <f aca="false">-IF(AND(72&gt;=Hipótesis!$D$53,Hipótesis!$B$53=1),IF(Hipótesis!$G$53=1,Hipótesis!$H$44,Hipótesis!$C$53*(1+Hipótesis!$D$45)^5)*(1+Hipótesis!$D$42),0)</f>
        <v>-0</v>
      </c>
      <c r="BW49" s="100" t="n">
        <f aca="false">-IF(AND(73&gt;=Hipótesis!$D$53,Hipótesis!$B$53=1),IF(Hipótesis!$G$53=1,Hipótesis!$I$44,Hipótesis!$C$53*(1+Hipótesis!$D$45)^6)*(1+Hipótesis!$D$42),0)</f>
        <v>-0</v>
      </c>
      <c r="BX49" s="100" t="n">
        <f aca="false">-IF(AND(74&gt;=Hipótesis!$D$53,Hipótesis!$B$53=1),IF(Hipótesis!$G$53=1,Hipótesis!$I$44,Hipótesis!$C$53*(1+Hipótesis!$D$45)^6)*(1+Hipótesis!$D$42),0)</f>
        <v>-0</v>
      </c>
      <c r="BY49" s="100" t="n">
        <f aca="false">-IF(AND(75&gt;=Hipótesis!$D$53,Hipótesis!$B$53=1),IF(Hipótesis!$G$53=1,Hipótesis!$I$44,Hipótesis!$C$53*(1+Hipótesis!$D$45)^6)*(1+Hipótesis!$D$42),0)</f>
        <v>-0</v>
      </c>
      <c r="BZ49" s="100" t="n">
        <f aca="false">-IF(AND(76&gt;=Hipótesis!$D$53,Hipótesis!$B$53=1),IF(Hipótesis!$G$53=1,Hipótesis!$I$44,Hipótesis!$C$53*(1+Hipótesis!$D$45)^6)*(1+Hipótesis!$D$42),0)</f>
        <v>-0</v>
      </c>
      <c r="CA49" s="100" t="n">
        <f aca="false">-IF(AND(77&gt;=Hipótesis!$D$53,Hipótesis!$B$53=1),IF(Hipótesis!$G$53=1,Hipótesis!$I$44,Hipótesis!$C$53*(1+Hipótesis!$D$45)^6)*(1+Hipótesis!$D$42),0)</f>
        <v>-0</v>
      </c>
      <c r="CB49" s="100" t="n">
        <f aca="false">-IF(AND(78&gt;=Hipótesis!$D$53,Hipótesis!$B$53=1),IF(Hipótesis!$G$53=1,Hipótesis!$I$44,Hipótesis!$C$53*(1+Hipótesis!$D$45)^6)*(1+Hipótesis!$D$42),0)</f>
        <v>-0</v>
      </c>
      <c r="CC49" s="100" t="n">
        <f aca="false">-IF(AND(79&gt;=Hipótesis!$D$53,Hipótesis!$B$53=1),IF(Hipótesis!$G$53=1,Hipótesis!$I$44,Hipótesis!$C$53*(1+Hipótesis!$D$45)^6)*(1+Hipótesis!$D$42),0)</f>
        <v>-0</v>
      </c>
      <c r="CD49" s="100" t="n">
        <f aca="false">-IF(AND(80&gt;=Hipótesis!$D$53,Hipótesis!$B$53=1),IF(Hipótesis!$G$53=1,Hipótesis!$I$44,Hipótesis!$C$53*(1+Hipótesis!$D$45)^6)*(1+Hipótesis!$D$42),0)</f>
        <v>-0</v>
      </c>
      <c r="CE49" s="100" t="n">
        <f aca="false">-IF(AND(81&gt;=Hipótesis!$D$53,Hipótesis!$B$53=1),IF(Hipótesis!$G$53=1,Hipótesis!$I$44,Hipótesis!$C$53*(1+Hipótesis!$D$45)^6)*(1+Hipótesis!$D$42),0)</f>
        <v>-0</v>
      </c>
      <c r="CF49" s="100" t="n">
        <f aca="false">-IF(AND(82&gt;=Hipótesis!$D$53,Hipótesis!$B$53=1),IF(Hipótesis!$G$53=1,Hipótesis!$I$44,Hipótesis!$C$53*(1+Hipótesis!$D$45)^6)*(1+Hipótesis!$D$42),0)</f>
        <v>-0</v>
      </c>
      <c r="CG49" s="100" t="n">
        <f aca="false">-IF(AND(83&gt;=Hipótesis!$D$53,Hipótesis!$B$53=1),IF(Hipótesis!$G$53=1,Hipótesis!$I$44,Hipótesis!$C$53*(1+Hipótesis!$D$45)^6)*(1+Hipótesis!$D$42),0)</f>
        <v>-0</v>
      </c>
      <c r="CH49" s="100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22" t="s">
        <v>527</v>
      </c>
      <c r="C50" s="100" t="n">
        <f aca="false">-C30*Hipótesis!$D$61*(1+Hipótesis!$D$45)^0*(1+Hipótesis!$D$42)</f>
        <v>-0</v>
      </c>
      <c r="D50" s="100" t="n">
        <f aca="false">-D30*Hipótesis!$D$61*(1+Hipótesis!$D$45)^0*(1+Hipótesis!$D$42)</f>
        <v>-0</v>
      </c>
      <c r="E50" s="100" t="n">
        <f aca="false">-E30*Hipótesis!$D$61*(1+Hipótesis!$D$45)^0*(1+Hipótesis!$D$42)</f>
        <v>-0</v>
      </c>
      <c r="F50" s="100" t="n">
        <f aca="false">-F30*Hipótesis!$D$61*(1+Hipótesis!$D$45)^0*(1+Hipótesis!$D$42)</f>
        <v>-0</v>
      </c>
      <c r="G50" s="100" t="n">
        <f aca="false">-G30*Hipótesis!$D$61*(1+Hipótesis!$D$45)^0*(1+Hipótesis!$D$42)</f>
        <v>-0</v>
      </c>
      <c r="H50" s="100" t="n">
        <f aca="false">-H30*Hipótesis!$D$61*(1+Hipótesis!$D$45)^0*(1+Hipótesis!$D$42)</f>
        <v>-0</v>
      </c>
      <c r="I50" s="100" t="n">
        <f aca="false">-I30*Hipótesis!$D$61*(1+Hipótesis!$D$45)^0*(1+Hipótesis!$D$42)</f>
        <v>-0</v>
      </c>
      <c r="J50" s="100" t="n">
        <f aca="false">-J30*Hipótesis!$D$61*(1+Hipótesis!$D$45)^0*(1+Hipótesis!$D$42)</f>
        <v>-0</v>
      </c>
      <c r="K50" s="100" t="n">
        <f aca="false">-K30*Hipótesis!$D$61*(1+Hipótesis!$D$45)^0*(1+Hipótesis!$D$42)</f>
        <v>-0</v>
      </c>
      <c r="L50" s="100" t="n">
        <f aca="false">-L30*Hipótesis!$D$61*(1+Hipótesis!$D$45)^0*(1+Hipótesis!$D$42)</f>
        <v>-0</v>
      </c>
      <c r="M50" s="100" t="n">
        <f aca="false">-M30*Hipótesis!$D$61*(1+Hipótesis!$D$45)^0*(1+Hipótesis!$D$42)</f>
        <v>-0</v>
      </c>
      <c r="N50" s="100" t="n">
        <f aca="false">-N30*Hipótesis!$D$61*(1+Hipótesis!$D$45)^0*(1+Hipótesis!$D$42)</f>
        <v>-0</v>
      </c>
      <c r="O50" s="100" t="n">
        <f aca="false">-O30*Hipótesis!$D$61*(1+Hipótesis!$D$45)^1*(1+Hipótesis!$D$42)</f>
        <v>-0</v>
      </c>
      <c r="P50" s="100" t="n">
        <f aca="false">-P30*Hipótesis!$D$61*(1+Hipótesis!$D$45)^1*(1+Hipótesis!$D$42)</f>
        <v>-0</v>
      </c>
      <c r="Q50" s="100" t="n">
        <f aca="false">-Q30*Hipótesis!$D$61*(1+Hipótesis!$D$45)^1*(1+Hipótesis!$D$42)</f>
        <v>-0</v>
      </c>
      <c r="R50" s="100" t="n">
        <f aca="false">-R30*Hipótesis!$D$61*(1+Hipótesis!$D$45)^1*(1+Hipótesis!$D$42)</f>
        <v>-0</v>
      </c>
      <c r="S50" s="100" t="n">
        <f aca="false">-S30*Hipótesis!$D$61*(1+Hipótesis!$D$45)^1*(1+Hipótesis!$D$42)</f>
        <v>-0</v>
      </c>
      <c r="T50" s="100" t="n">
        <f aca="false">-T30*Hipótesis!$D$61*(1+Hipótesis!$D$45)^1*(1+Hipótesis!$D$42)</f>
        <v>-0</v>
      </c>
      <c r="U50" s="100" t="n">
        <f aca="false">-U30*Hipótesis!$D$61*(1+Hipótesis!$D$45)^1*(1+Hipótesis!$D$42)</f>
        <v>-2311.32</v>
      </c>
      <c r="V50" s="100" t="n">
        <f aca="false">-V30*Hipótesis!$D$61*(1+Hipótesis!$D$45)^1*(1+Hipótesis!$D$42)</f>
        <v>-2311.32</v>
      </c>
      <c r="W50" s="100" t="n">
        <f aca="false">-W30*Hipótesis!$D$61*(1+Hipótesis!$D$45)^1*(1+Hipótesis!$D$42)</f>
        <v>-2311.32</v>
      </c>
      <c r="X50" s="100" t="n">
        <f aca="false">-X30*Hipótesis!$D$61*(1+Hipótesis!$D$45)^1*(1+Hipótesis!$D$42)</f>
        <v>-2311.32</v>
      </c>
      <c r="Y50" s="100" t="n">
        <f aca="false">-Y30*Hipótesis!$D$61*(1+Hipótesis!$D$45)^1*(1+Hipótesis!$D$42)</f>
        <v>-2311.32</v>
      </c>
      <c r="Z50" s="100" t="n">
        <f aca="false">-Z30*Hipótesis!$D$61*(1+Hipótesis!$D$45)^1*(1+Hipótesis!$D$42)</f>
        <v>-2311.32</v>
      </c>
      <c r="AA50" s="100" t="n">
        <f aca="false">-AA30*Hipótesis!$D$61*(1+Hipótesis!$D$45)^2*(1+Hipótesis!$D$42)</f>
        <v>-2380.6596</v>
      </c>
      <c r="AB50" s="100" t="n">
        <f aca="false">-AB30*Hipótesis!$D$61*(1+Hipótesis!$D$45)^2*(1+Hipótesis!$D$42)</f>
        <v>-2380.6596</v>
      </c>
      <c r="AC50" s="100" t="n">
        <f aca="false">-AC30*Hipótesis!$D$61*(1+Hipótesis!$D$45)^2*(1+Hipótesis!$D$42)</f>
        <v>-2380.6596</v>
      </c>
      <c r="AD50" s="100" t="n">
        <f aca="false">-AD30*Hipótesis!$D$61*(1+Hipótesis!$D$45)^2*(1+Hipótesis!$D$42)</f>
        <v>-2380.6596</v>
      </c>
      <c r="AE50" s="100" t="n">
        <f aca="false">-AE30*Hipótesis!$D$61*(1+Hipótesis!$D$45)^2*(1+Hipótesis!$D$42)</f>
        <v>-2380.6596</v>
      </c>
      <c r="AF50" s="100" t="n">
        <f aca="false">-AF30*Hipótesis!$D$61*(1+Hipótesis!$D$45)^2*(1+Hipótesis!$D$42)</f>
        <v>-2380.6596</v>
      </c>
      <c r="AG50" s="100" t="n">
        <f aca="false">-AG30*Hipótesis!$D$61*(1+Hipótesis!$D$45)^2*(1+Hipótesis!$D$42)</f>
        <v>-2380.6596</v>
      </c>
      <c r="AH50" s="100" t="n">
        <f aca="false">-AH30*Hipótesis!$D$61*(1+Hipótesis!$D$45)^2*(1+Hipótesis!$D$42)</f>
        <v>-4761.3192</v>
      </c>
      <c r="AI50" s="100" t="n">
        <f aca="false">-AI30*Hipótesis!$D$61*(1+Hipótesis!$D$45)^2*(1+Hipótesis!$D$42)</f>
        <v>-4761.3192</v>
      </c>
      <c r="AJ50" s="100" t="n">
        <f aca="false">-AJ30*Hipótesis!$D$61*(1+Hipótesis!$D$45)^2*(1+Hipótesis!$D$42)</f>
        <v>-4761.3192</v>
      </c>
      <c r="AK50" s="100" t="n">
        <f aca="false">-AK30*Hipótesis!$D$61*(1+Hipótesis!$D$45)^2*(1+Hipótesis!$D$42)</f>
        <v>-4761.3192</v>
      </c>
      <c r="AL50" s="100" t="n">
        <f aca="false">-AL30*Hipótesis!$D$61*(1+Hipótesis!$D$45)^2*(1+Hipótesis!$D$42)</f>
        <v>-4761.3192</v>
      </c>
      <c r="AM50" s="100" t="n">
        <f aca="false">-AM30*Hipótesis!$D$61*(1+Hipótesis!$D$45)^3*(1+Hipótesis!$D$42)</f>
        <v>-4904.158776</v>
      </c>
      <c r="AN50" s="100" t="n">
        <f aca="false">-AN30*Hipótesis!$D$61*(1+Hipótesis!$D$45)^3*(1+Hipótesis!$D$42)</f>
        <v>-4904.158776</v>
      </c>
      <c r="AO50" s="100" t="n">
        <f aca="false">-AO30*Hipótesis!$D$61*(1+Hipótesis!$D$45)^3*(1+Hipótesis!$D$42)</f>
        <v>-4904.158776</v>
      </c>
      <c r="AP50" s="100" t="n">
        <f aca="false">-AP30*Hipótesis!$D$61*(1+Hipótesis!$D$45)^3*(1+Hipótesis!$D$42)</f>
        <v>-4904.158776</v>
      </c>
      <c r="AQ50" s="100" t="n">
        <f aca="false">-AQ30*Hipótesis!$D$61*(1+Hipótesis!$D$45)^3*(1+Hipótesis!$D$42)</f>
        <v>-4904.158776</v>
      </c>
      <c r="AR50" s="100" t="n">
        <f aca="false">-AR30*Hipótesis!$D$61*(1+Hipótesis!$D$45)^3*(1+Hipótesis!$D$42)</f>
        <v>-4904.158776</v>
      </c>
      <c r="AS50" s="100" t="n">
        <f aca="false">-AS30*Hipótesis!$D$61*(1+Hipótesis!$D$45)^3*(1+Hipótesis!$D$42)</f>
        <v>-4904.158776</v>
      </c>
      <c r="AT50" s="100" t="n">
        <f aca="false">-AT30*Hipótesis!$D$61*(1+Hipótesis!$D$45)^3*(1+Hipótesis!$D$42)</f>
        <v>-4904.158776</v>
      </c>
      <c r="AU50" s="100" t="n">
        <f aca="false">-AU30*Hipótesis!$D$61*(1+Hipótesis!$D$45)^3*(1+Hipótesis!$D$42)</f>
        <v>-4904.158776</v>
      </c>
      <c r="AV50" s="100" t="n">
        <f aca="false">-AV30*Hipótesis!$D$61*(1+Hipótesis!$D$45)^3*(1+Hipótesis!$D$42)</f>
        <v>-4904.158776</v>
      </c>
      <c r="AW50" s="100" t="n">
        <f aca="false">-AW30*Hipótesis!$D$61*(1+Hipótesis!$D$45)^3*(1+Hipótesis!$D$42)</f>
        <v>-4904.158776</v>
      </c>
      <c r="AX50" s="100" t="n">
        <f aca="false">-AX30*Hipótesis!$D$61*(1+Hipótesis!$D$45)^3*(1+Hipótesis!$D$42)</f>
        <v>-4904.158776</v>
      </c>
      <c r="AY50" s="100" t="n">
        <f aca="false">-AY30*Hipótesis!$D$61*(1+Hipótesis!$D$45)^4*(1+Hipótesis!$D$42)</f>
        <v>-5051.28353928</v>
      </c>
      <c r="AZ50" s="100" t="n">
        <f aca="false">-AZ30*Hipótesis!$D$61*(1+Hipótesis!$D$45)^4*(1+Hipótesis!$D$42)</f>
        <v>-5051.28353928</v>
      </c>
      <c r="BA50" s="100" t="n">
        <f aca="false">-BA30*Hipótesis!$D$61*(1+Hipótesis!$D$45)^4*(1+Hipótesis!$D$42)</f>
        <v>-5051.28353928</v>
      </c>
      <c r="BB50" s="100" t="n">
        <f aca="false">-BB30*Hipótesis!$D$61*(1+Hipótesis!$D$45)^4*(1+Hipótesis!$D$42)</f>
        <v>-5051.28353928</v>
      </c>
      <c r="BC50" s="100" t="n">
        <f aca="false">-BC30*Hipótesis!$D$61*(1+Hipótesis!$D$45)^4*(1+Hipótesis!$D$42)</f>
        <v>-5051.28353928</v>
      </c>
      <c r="BD50" s="100" t="n">
        <f aca="false">-BD30*Hipótesis!$D$61*(1+Hipótesis!$D$45)^4*(1+Hipótesis!$D$42)</f>
        <v>-5051.28353928</v>
      </c>
      <c r="BE50" s="100" t="n">
        <f aca="false">-BE30*Hipótesis!$D$61*(1+Hipótesis!$D$45)^4*(1+Hipótesis!$D$42)</f>
        <v>-5051.28353928</v>
      </c>
      <c r="BF50" s="100" t="n">
        <f aca="false">-BF30*Hipótesis!$D$61*(1+Hipótesis!$D$45)^4*(1+Hipótesis!$D$42)</f>
        <v>-5051.28353928</v>
      </c>
      <c r="BG50" s="100" t="n">
        <f aca="false">-BG30*Hipótesis!$D$61*(1+Hipótesis!$D$45)^4*(1+Hipótesis!$D$42)</f>
        <v>-5051.28353928</v>
      </c>
      <c r="BH50" s="100" t="n">
        <f aca="false">-BH30*Hipótesis!$D$61*(1+Hipótesis!$D$45)^4*(1+Hipótesis!$D$42)</f>
        <v>-5051.28353928</v>
      </c>
      <c r="BI50" s="100" t="n">
        <f aca="false">-BI30*Hipótesis!$D$61*(1+Hipótesis!$D$45)^4*(1+Hipótesis!$D$42)</f>
        <v>-5051.28353928</v>
      </c>
      <c r="BJ50" s="100" t="n">
        <f aca="false">-BJ30*Hipótesis!$D$61*(1+Hipótesis!$D$45)^4*(1+Hipótesis!$D$42)</f>
        <v>-5051.28353928</v>
      </c>
      <c r="BK50" s="100" t="n">
        <f aca="false">-BK30*Hipótesis!$D$61*(1+Hipótesis!$D$45)^5*(1+Hipótesis!$D$42)</f>
        <v>-5202.8220454584</v>
      </c>
      <c r="BL50" s="100" t="n">
        <f aca="false">-BL30*Hipótesis!$D$61*(1+Hipótesis!$D$45)^5*(1+Hipótesis!$D$42)</f>
        <v>-5202.8220454584</v>
      </c>
      <c r="BM50" s="100" t="n">
        <f aca="false">-BM30*Hipótesis!$D$61*(1+Hipótesis!$D$45)^5*(1+Hipótesis!$D$42)</f>
        <v>-5202.8220454584</v>
      </c>
      <c r="BN50" s="100" t="n">
        <f aca="false">-BN30*Hipótesis!$D$61*(1+Hipótesis!$D$45)^5*(1+Hipótesis!$D$42)</f>
        <v>-5202.8220454584</v>
      </c>
      <c r="BO50" s="100" t="n">
        <f aca="false">-BO30*Hipótesis!$D$61*(1+Hipótesis!$D$45)^5*(1+Hipótesis!$D$42)</f>
        <v>-5202.8220454584</v>
      </c>
      <c r="BP50" s="100" t="n">
        <f aca="false">-BP30*Hipótesis!$D$61*(1+Hipótesis!$D$45)^5*(1+Hipótesis!$D$42)</f>
        <v>-5202.8220454584</v>
      </c>
      <c r="BQ50" s="100" t="n">
        <f aca="false">-BQ30*Hipótesis!$D$61*(1+Hipótesis!$D$45)^5*(1+Hipótesis!$D$42)</f>
        <v>-5202.8220454584</v>
      </c>
      <c r="BR50" s="100" t="n">
        <f aca="false">-BR30*Hipótesis!$D$61*(1+Hipótesis!$D$45)^5*(1+Hipótesis!$D$42)</f>
        <v>-5202.8220454584</v>
      </c>
      <c r="BS50" s="100" t="n">
        <f aca="false">-BS30*Hipótesis!$D$61*(1+Hipótesis!$D$45)^5*(1+Hipótesis!$D$42)</f>
        <v>-5202.8220454584</v>
      </c>
      <c r="BT50" s="100" t="n">
        <f aca="false">-BT30*Hipótesis!$D$61*(1+Hipótesis!$D$45)^5*(1+Hipótesis!$D$42)</f>
        <v>-5202.8220454584</v>
      </c>
      <c r="BU50" s="100" t="n">
        <f aca="false">-BU30*Hipótesis!$D$61*(1+Hipótesis!$D$45)^5*(1+Hipótesis!$D$42)</f>
        <v>-5202.8220454584</v>
      </c>
      <c r="BV50" s="100" t="n">
        <f aca="false">-BV30*Hipótesis!$D$61*(1+Hipótesis!$D$45)^5*(1+Hipótesis!$D$42)</f>
        <v>-5202.8220454584</v>
      </c>
      <c r="BW50" s="100" t="n">
        <f aca="false">-BW30*Hipótesis!$D$61*(1+Hipótesis!$D$45)^6*(1+Hipótesis!$D$42)</f>
        <v>-5358.90670682215</v>
      </c>
      <c r="BX50" s="100" t="n">
        <f aca="false">-BX30*Hipótesis!$D$61*(1+Hipótesis!$D$45)^6*(1+Hipótesis!$D$42)</f>
        <v>-5358.90670682215</v>
      </c>
      <c r="BY50" s="100" t="n">
        <f aca="false">-BY30*Hipótesis!$D$61*(1+Hipótesis!$D$45)^6*(1+Hipótesis!$D$42)</f>
        <v>-5358.90670682215</v>
      </c>
      <c r="BZ50" s="100" t="n">
        <f aca="false">-BZ30*Hipótesis!$D$61*(1+Hipótesis!$D$45)^6*(1+Hipótesis!$D$42)</f>
        <v>-5358.90670682215</v>
      </c>
      <c r="CA50" s="100" t="n">
        <f aca="false">-CA30*Hipótesis!$D$61*(1+Hipótesis!$D$45)^6*(1+Hipótesis!$D$42)</f>
        <v>-5358.90670682215</v>
      </c>
      <c r="CB50" s="100" t="n">
        <f aca="false">-CB30*Hipótesis!$D$61*(1+Hipótesis!$D$45)^6*(1+Hipótesis!$D$42)</f>
        <v>-5358.90670682215</v>
      </c>
      <c r="CC50" s="100" t="n">
        <f aca="false">-CC30*Hipótesis!$D$61*(1+Hipótesis!$D$45)^6*(1+Hipótesis!$D$42)</f>
        <v>-5358.90670682215</v>
      </c>
      <c r="CD50" s="100" t="n">
        <f aca="false">-CD30*Hipótesis!$D$61*(1+Hipótesis!$D$45)^6*(1+Hipótesis!$D$42)</f>
        <v>-5358.90670682215</v>
      </c>
      <c r="CE50" s="100" t="n">
        <f aca="false">-CE30*Hipótesis!$D$61*(1+Hipótesis!$D$45)^6*(1+Hipótesis!$D$42)</f>
        <v>-5358.90670682215</v>
      </c>
      <c r="CF50" s="100" t="n">
        <f aca="false">-CF30*Hipótesis!$D$61*(1+Hipótesis!$D$45)^6*(1+Hipótesis!$D$42)</f>
        <v>-5358.90670682215</v>
      </c>
      <c r="CG50" s="100" t="n">
        <f aca="false">-CG30*Hipótesis!$D$61*(1+Hipótesis!$D$45)^6*(1+Hipótesis!$D$42)</f>
        <v>-5358.90670682215</v>
      </c>
      <c r="CH50" s="100" t="n">
        <f aca="false">-CH30*Hipótesis!$D$61*(1+Hipótesis!$D$45)^6*(1+Hipótesis!$D$42)</f>
        <v>-5358.90670682215</v>
      </c>
    </row>
    <row r="51" customFormat="false" ht="13.5" hidden="false" customHeight="true" outlineLevel="0" collapsed="false">
      <c r="A51" s="22" t="s">
        <v>528</v>
      </c>
      <c r="C51" s="100" t="n">
        <f aca="false">SUM(C44:C49)+C50</f>
        <v>-11352</v>
      </c>
      <c r="D51" s="100" t="n">
        <f aca="false">SUM(D44:D49)+D50</f>
        <v>-11352</v>
      </c>
      <c r="E51" s="100" t="n">
        <f aca="false">SUM(E44:E49)+E50</f>
        <v>-11352</v>
      </c>
      <c r="F51" s="100" t="n">
        <f aca="false">SUM(F44:F49)+F50</f>
        <v>-11352</v>
      </c>
      <c r="G51" s="100" t="n">
        <f aca="false">SUM(G44:G49)+G50</f>
        <v>-11352</v>
      </c>
      <c r="H51" s="100" t="n">
        <f aca="false">SUM(H44:H49)+H50</f>
        <v>-11352</v>
      </c>
      <c r="I51" s="100" t="n">
        <f aca="false">SUM(I44:I49)+I50</f>
        <v>-11352</v>
      </c>
      <c r="J51" s="100" t="n">
        <f aca="false">SUM(J44:J49)+J50</f>
        <v>-11352</v>
      </c>
      <c r="K51" s="100" t="n">
        <f aca="false">SUM(K44:K49)+K50</f>
        <v>-11352</v>
      </c>
      <c r="L51" s="100" t="n">
        <f aca="false">SUM(L44:L49)+L50</f>
        <v>-11352</v>
      </c>
      <c r="M51" s="100" t="n">
        <f aca="false">SUM(M44:M49)+M50</f>
        <v>-11352</v>
      </c>
      <c r="N51" s="100" t="n">
        <f aca="false">SUM(N44:N49)+N50</f>
        <v>-11352</v>
      </c>
      <c r="O51" s="100" t="n">
        <f aca="false">SUM(O44:O49)+O50</f>
        <v>-16579.2</v>
      </c>
      <c r="P51" s="100" t="n">
        <f aca="false">SUM(P44:P49)+P50</f>
        <v>-16579.2</v>
      </c>
      <c r="Q51" s="100" t="n">
        <f aca="false">SUM(Q44:Q49)+Q50</f>
        <v>-16579.2</v>
      </c>
      <c r="R51" s="100" t="n">
        <f aca="false">SUM(R44:R49)+R50</f>
        <v>-16579.2</v>
      </c>
      <c r="S51" s="100" t="n">
        <f aca="false">SUM(S44:S49)+S50</f>
        <v>-16579.2</v>
      </c>
      <c r="T51" s="100" t="n">
        <f aca="false">SUM(T44:T49)+T50</f>
        <v>-16579.2</v>
      </c>
      <c r="U51" s="100" t="n">
        <f aca="false">SUM(U44:U49)+U50</f>
        <v>-18890.52</v>
      </c>
      <c r="V51" s="100" t="n">
        <f aca="false">SUM(V44:V49)+V50</f>
        <v>-21609.72</v>
      </c>
      <c r="W51" s="100" t="n">
        <f aca="false">SUM(W44:W49)+W50</f>
        <v>-21609.72</v>
      </c>
      <c r="X51" s="100" t="n">
        <f aca="false">SUM(X44:X49)+X50</f>
        <v>-21609.72</v>
      </c>
      <c r="Y51" s="100" t="n">
        <f aca="false">SUM(Y44:Y49)+Y50</f>
        <v>-21609.72</v>
      </c>
      <c r="Z51" s="100" t="n">
        <f aca="false">SUM(Z44:Z49)+Z50</f>
        <v>-21609.72</v>
      </c>
      <c r="AA51" s="100" t="n">
        <f aca="false">SUM(AA44:AA49)+AA50</f>
        <v>-23822.2116</v>
      </c>
      <c r="AB51" s="100" t="n">
        <f aca="false">SUM(AB44:AB49)+AB50</f>
        <v>-23822.2116</v>
      </c>
      <c r="AC51" s="100" t="n">
        <f aca="false">SUM(AC44:AC49)+AC50</f>
        <v>-23822.2116</v>
      </c>
      <c r="AD51" s="100" t="n">
        <f aca="false">SUM(AD44:AD49)+AD50</f>
        <v>-23822.2116</v>
      </c>
      <c r="AE51" s="100" t="n">
        <f aca="false">SUM(AE44:AE49)+AE50</f>
        <v>-23822.2116</v>
      </c>
      <c r="AF51" s="100" t="n">
        <f aca="false">SUM(AF44:AF49)+AF50</f>
        <v>-23822.2116</v>
      </c>
      <c r="AG51" s="100" t="n">
        <f aca="false">SUM(AG44:AG49)+AG50</f>
        <v>-23822.2116</v>
      </c>
      <c r="AH51" s="100" t="n">
        <f aca="false">SUM(AH44:AH49)+AH50</f>
        <v>-26202.8712</v>
      </c>
      <c r="AI51" s="100" t="n">
        <f aca="false">SUM(AI44:AI49)+AI50</f>
        <v>-26202.8712</v>
      </c>
      <c r="AJ51" s="100" t="n">
        <f aca="false">SUM(AJ44:AJ49)+AJ50</f>
        <v>-26202.8712</v>
      </c>
      <c r="AK51" s="100" t="n">
        <f aca="false">SUM(AK44:AK49)+AK50</f>
        <v>-26202.8712</v>
      </c>
      <c r="AL51" s="100" t="n">
        <f aca="false">SUM(AL44:AL49)+AL50</f>
        <v>-26202.8712</v>
      </c>
      <c r="AM51" s="100" t="n">
        <f aca="false">SUM(AM44:AM49)+AM50</f>
        <v>-28493.757336</v>
      </c>
      <c r="AN51" s="100" t="n">
        <f aca="false">SUM(AN44:AN49)+AN50</f>
        <v>-28493.757336</v>
      </c>
      <c r="AO51" s="100" t="n">
        <f aca="false">SUM(AO44:AO49)+AO50</f>
        <v>-28493.757336</v>
      </c>
      <c r="AP51" s="100" t="n">
        <f aca="false">SUM(AP44:AP49)+AP50</f>
        <v>-28493.757336</v>
      </c>
      <c r="AQ51" s="100" t="n">
        <f aca="false">SUM(AQ44:AQ49)+AQ50</f>
        <v>-28493.757336</v>
      </c>
      <c r="AR51" s="100" t="n">
        <f aca="false">SUM(AR44:AR49)+AR50</f>
        <v>-28493.757336</v>
      </c>
      <c r="AS51" s="100" t="n">
        <f aca="false">SUM(AS44:AS49)+AS50</f>
        <v>-28493.757336</v>
      </c>
      <c r="AT51" s="100" t="n">
        <f aca="false">SUM(AT44:AT49)+AT50</f>
        <v>-28493.757336</v>
      </c>
      <c r="AU51" s="100" t="n">
        <f aca="false">SUM(AU44:AU49)+AU50</f>
        <v>-28493.757336</v>
      </c>
      <c r="AV51" s="100" t="n">
        <f aca="false">SUM(AV44:AV49)+AV50</f>
        <v>-28493.757336</v>
      </c>
      <c r="AW51" s="100" t="n">
        <f aca="false">SUM(AW44:AW49)+AW50</f>
        <v>-28493.757336</v>
      </c>
      <c r="AX51" s="100" t="n">
        <f aca="false">SUM(AX44:AX49)+AX50</f>
        <v>-28493.757336</v>
      </c>
      <c r="AY51" s="100" t="n">
        <f aca="false">SUM(AY44:AY49)+AY50</f>
        <v>-30793.97005608</v>
      </c>
      <c r="AZ51" s="100" t="n">
        <f aca="false">SUM(AZ44:AZ49)+AZ50</f>
        <v>-30793.97005608</v>
      </c>
      <c r="BA51" s="100" t="n">
        <f aca="false">SUM(BA44:BA49)+BA50</f>
        <v>-30793.97005608</v>
      </c>
      <c r="BB51" s="100" t="n">
        <f aca="false">SUM(BB44:BB49)+BB50</f>
        <v>-30793.97005608</v>
      </c>
      <c r="BC51" s="100" t="n">
        <f aca="false">SUM(BC44:BC49)+BC50</f>
        <v>-30793.97005608</v>
      </c>
      <c r="BD51" s="100" t="n">
        <f aca="false">SUM(BD44:BD49)+BD50</f>
        <v>-30793.97005608</v>
      </c>
      <c r="BE51" s="100" t="n">
        <f aca="false">SUM(BE44:BE49)+BE50</f>
        <v>-30793.97005608</v>
      </c>
      <c r="BF51" s="100" t="n">
        <f aca="false">SUM(BF44:BF49)+BF50</f>
        <v>-30793.97005608</v>
      </c>
      <c r="BG51" s="100" t="n">
        <f aca="false">SUM(BG44:BG49)+BG50</f>
        <v>-30793.97005608</v>
      </c>
      <c r="BH51" s="100" t="n">
        <f aca="false">SUM(BH44:BH49)+BH50</f>
        <v>-30793.97005608</v>
      </c>
      <c r="BI51" s="100" t="n">
        <f aca="false">SUM(BI44:BI49)+BI50</f>
        <v>-30793.97005608</v>
      </c>
      <c r="BJ51" s="100" t="n">
        <f aca="false">SUM(BJ44:BJ49)+BJ50</f>
        <v>-30793.97005608</v>
      </c>
      <c r="BK51" s="100" t="n">
        <f aca="false">SUM(BK44:BK49)+BK50</f>
        <v>-33103.7891577624</v>
      </c>
      <c r="BL51" s="100" t="n">
        <f aca="false">SUM(BL44:BL49)+BL50</f>
        <v>-33103.7891577624</v>
      </c>
      <c r="BM51" s="100" t="n">
        <f aca="false">SUM(BM44:BM49)+BM50</f>
        <v>-33103.7891577624</v>
      </c>
      <c r="BN51" s="100" t="n">
        <f aca="false">SUM(BN44:BN49)+BN50</f>
        <v>-33103.7891577624</v>
      </c>
      <c r="BO51" s="100" t="n">
        <f aca="false">SUM(BO44:BO49)+BO50</f>
        <v>-33103.7891577624</v>
      </c>
      <c r="BP51" s="100" t="n">
        <f aca="false">SUM(BP44:BP49)+BP50</f>
        <v>-33103.7891577624</v>
      </c>
      <c r="BQ51" s="100" t="n">
        <f aca="false">SUM(BQ44:BQ49)+BQ50</f>
        <v>-33103.7891577624</v>
      </c>
      <c r="BR51" s="100" t="n">
        <f aca="false">SUM(BR44:BR49)+BR50</f>
        <v>-33103.7891577624</v>
      </c>
      <c r="BS51" s="100" t="n">
        <f aca="false">SUM(BS44:BS49)+BS50</f>
        <v>-33103.7891577624</v>
      </c>
      <c r="BT51" s="100" t="n">
        <f aca="false">SUM(BT44:BT49)+BT50</f>
        <v>-33103.7891577624</v>
      </c>
      <c r="BU51" s="100" t="n">
        <f aca="false">SUM(BU44:BU49)+BU50</f>
        <v>-33103.7891577624</v>
      </c>
      <c r="BV51" s="100" t="n">
        <f aca="false">SUM(BV44:BV49)+BV50</f>
        <v>-33103.7891577624</v>
      </c>
      <c r="BW51" s="100" t="n">
        <f aca="false">SUM(BW44:BW49)+BW50</f>
        <v>-35423.5028324953</v>
      </c>
      <c r="BX51" s="100" t="n">
        <f aca="false">SUM(BX44:BX49)+BX50</f>
        <v>-35423.5028324953</v>
      </c>
      <c r="BY51" s="100" t="n">
        <f aca="false">SUM(BY44:BY49)+BY50</f>
        <v>-35423.5028324953</v>
      </c>
      <c r="BZ51" s="100" t="n">
        <f aca="false">SUM(BZ44:BZ49)+BZ50</f>
        <v>-35423.5028324953</v>
      </c>
      <c r="CA51" s="100" t="n">
        <f aca="false">SUM(CA44:CA49)+CA50</f>
        <v>-35423.5028324953</v>
      </c>
      <c r="CB51" s="100" t="n">
        <f aca="false">SUM(CB44:CB49)+CB50</f>
        <v>-35423.5028324953</v>
      </c>
      <c r="CC51" s="100" t="n">
        <f aca="false">SUM(CC44:CC49)+CC50</f>
        <v>-35423.5028324953</v>
      </c>
      <c r="CD51" s="100" t="n">
        <f aca="false">SUM(CD44:CD49)+CD50</f>
        <v>-35423.5028324953</v>
      </c>
      <c r="CE51" s="100" t="n">
        <f aca="false">SUM(CE44:CE49)+CE50</f>
        <v>-35423.5028324953</v>
      </c>
      <c r="CF51" s="100" t="n">
        <f aca="false">SUM(CF44:CF49)+CF50</f>
        <v>-35423.5028324953</v>
      </c>
      <c r="CG51" s="100" t="n">
        <f aca="false">SUM(CG44:CG49)+CG50</f>
        <v>-35423.5028324953</v>
      </c>
      <c r="CH51" s="100" t="n">
        <f aca="false">SUM(CH44:CH49)+CH50</f>
        <v>-35423.5028324953</v>
      </c>
    </row>
    <row r="52" customFormat="false" ht="13.5" hidden="false" customHeight="true" outlineLevel="0" collapsed="false">
      <c r="A52" s="6" t="s">
        <v>529</v>
      </c>
      <c r="C52" s="100" t="n">
        <f aca="false">-(C26*(1-Logistica!$B$5)*Logistica!$B$7+C26*Logistica!$B$5*Logistica!$B$39)</f>
        <v>-4.78047324930469</v>
      </c>
      <c r="D52" s="100" t="n">
        <f aca="false">-(D26*(1-Logistica!$B$5)*Logistica!$B$7+D26*Logistica!$B$5*Logistica!$B$39)</f>
        <v>-10.5673619195156</v>
      </c>
      <c r="E52" s="100" t="n">
        <f aca="false">-(E26*(1-Logistica!$B$5)*Logistica!$B$7+E26*Logistica!$B$5*Logistica!$B$39)</f>
        <v>-29.1860472062813</v>
      </c>
      <c r="F52" s="100" t="n">
        <f aca="false">-(F26*(1-Logistica!$B$5)*Logistica!$B$7+F26*Logistica!$B$5*Logistica!$B$39)</f>
        <v>-43.0242592437422</v>
      </c>
      <c r="G52" s="100" t="n">
        <f aca="false">-(G26*(1-Logistica!$B$5)*Logistica!$B$7+G26*Logistica!$B$5*Logistica!$B$39)</f>
        <v>-55.8560558602969</v>
      </c>
      <c r="H52" s="100" t="n">
        <f aca="false">-(H26*(1-Logistica!$B$5)*Logistica!$B$7+H26*Logistica!$B$5*Logistica!$B$39)</f>
        <v>-80.2196958414023</v>
      </c>
      <c r="I52" s="100" t="n">
        <f aca="false">-(I26*(1-Logistica!$B$5)*Logistica!$B$7+I26*Logistica!$B$5*Logistica!$B$39)</f>
        <v>-124.771109111477</v>
      </c>
      <c r="J52" s="100" t="n">
        <f aca="false">-(J26*(1-Logistica!$B$5)*Logistica!$B$7+J26*Logistica!$B$5*Logistica!$B$39)</f>
        <v>-169.322522381552</v>
      </c>
      <c r="K52" s="100" t="n">
        <f aca="false">-(K26*(1-Logistica!$B$5)*Logistica!$B$7+K26*Logistica!$B$5*Logistica!$B$39)</f>
        <v>-213.873935651626</v>
      </c>
      <c r="L52" s="100" t="n">
        <f aca="false">-(L26*(1-Logistica!$B$5)*Logistica!$B$7+L26*Logistica!$B$5*Logistica!$B$39)</f>
        <v>-258.425348921701</v>
      </c>
      <c r="M52" s="100" t="n">
        <f aca="false">-(M26*(1-Logistica!$B$5)*Logistica!$B$7+M26*Logistica!$B$5*Logistica!$B$39)</f>
        <v>-290.144965575221</v>
      </c>
      <c r="N52" s="100" t="n">
        <f aca="false">-(N26*(1-Logistica!$B$5)*Logistica!$B$7+N26*Logistica!$B$5*Logistica!$B$39)</f>
        <v>-338.638172577178</v>
      </c>
      <c r="O52" s="100" t="n">
        <f aca="false">-(O26*(1-Logistica!$B$5)*Logistica!$B$7+O26*Logistica!$B$5*Logistica!$B$39)</f>
        <v>-387.131379579135</v>
      </c>
      <c r="P52" s="100" t="n">
        <f aca="false">-(P26*(1-Logistica!$B$5)*Logistica!$B$7+P26*Logistica!$B$5*Logistica!$B$39)</f>
        <v>-430.802179355917</v>
      </c>
      <c r="Q52" s="100" t="n">
        <f aca="false">-(Q26*(1-Logistica!$B$5)*Logistica!$B$7+Q26*Logistica!$B$5*Logistica!$B$39)</f>
        <v>-474.472979132698</v>
      </c>
      <c r="R52" s="100" t="n">
        <f aca="false">-(R26*(1-Logistica!$B$5)*Logistica!$B$7+R26*Logistica!$B$5*Logistica!$B$39)</f>
        <v>-518.14377890948</v>
      </c>
      <c r="S52" s="100" t="n">
        <f aca="false">-(S26*(1-Logistica!$B$5)*Logistica!$B$7+S26*Logistica!$B$5*Logistica!$B$39)</f>
        <v>-561.814578686262</v>
      </c>
      <c r="T52" s="100" t="n">
        <f aca="false">-(T26*(1-Logistica!$B$5)*Logistica!$B$7+T26*Logistica!$B$5*Logistica!$B$39)</f>
        <v>-605.485378463043</v>
      </c>
      <c r="U52" s="100" t="n">
        <f aca="false">-(U26*(1-Logistica!$B$5)*Logistica!$B$7+U26*Logistica!$B$5*Logistica!$B$39)</f>
        <v>-649.156178239825</v>
      </c>
      <c r="V52" s="100" t="n">
        <f aca="false">-(V26*(1-Logistica!$B$5)*Logistica!$B$7+V26*Logistica!$B$5*Logistica!$B$39)</f>
        <v>-692.826978016606</v>
      </c>
      <c r="W52" s="100" t="n">
        <f aca="false">-(W26*(1-Logistica!$B$5)*Logistica!$B$7+W26*Logistica!$B$5*Logistica!$B$39)</f>
        <v>-736.497777793388</v>
      </c>
      <c r="X52" s="100" t="n">
        <f aca="false">-(X26*(1-Logistica!$B$5)*Logistica!$B$7+X26*Logistica!$B$5*Logistica!$B$39)</f>
        <v>-763.394987221732</v>
      </c>
      <c r="Y52" s="100" t="n">
        <f aca="false">-(Y26*(1-Logistica!$B$5)*Logistica!$B$7+Y26*Logistica!$B$5*Logistica!$B$39)</f>
        <v>-790.292196650076</v>
      </c>
      <c r="Z52" s="100" t="n">
        <f aca="false">-(Z26*(1-Logistica!$B$5)*Logistica!$B$7+Z26*Logistica!$B$5*Logistica!$B$39)</f>
        <v>-810.479969939046</v>
      </c>
      <c r="AA52" s="100" t="n">
        <f aca="false">-(AA26*(1-Logistica!$B$5)*Logistica!$B$7+AA26*Logistica!$B$5*Logistica!$B$39)</f>
        <v>-830.667743228015</v>
      </c>
      <c r="AB52" s="100" t="n">
        <f aca="false">-(AB26*(1-Logistica!$B$5)*Logistica!$B$7+AB26*Logistica!$B$5*Logistica!$B$39)</f>
        <v>-850.855516516984</v>
      </c>
      <c r="AC52" s="100" t="n">
        <f aca="false">-(AC26*(1-Logistica!$B$5)*Logistica!$B$7+AC26*Logistica!$B$5*Logistica!$B$39)</f>
        <v>-871.043289805953</v>
      </c>
      <c r="AD52" s="100" t="n">
        <f aca="false">-(AD26*(1-Logistica!$B$5)*Logistica!$B$7+AD26*Logistica!$B$5*Logistica!$B$39)</f>
        <v>-891.231063094922</v>
      </c>
      <c r="AE52" s="100" t="n">
        <f aca="false">-(AE26*(1-Logistica!$B$5)*Logistica!$B$7+AE26*Logistica!$B$5*Logistica!$B$39)</f>
        <v>-911.418836383891</v>
      </c>
      <c r="AF52" s="100" t="n">
        <f aca="false">-(AF26*(1-Logistica!$B$5)*Logistica!$B$7+AF26*Logistica!$B$5*Logistica!$B$39)</f>
        <v>-931.60660967286</v>
      </c>
      <c r="AG52" s="100" t="n">
        <f aca="false">-(AG26*(1-Logistica!$B$5)*Logistica!$B$7+AG26*Logistica!$B$5*Logistica!$B$39)</f>
        <v>-951.794382961829</v>
      </c>
      <c r="AH52" s="100" t="n">
        <f aca="false">-(AH26*(1-Logistica!$B$5)*Logistica!$B$7+AH26*Logistica!$B$5*Logistica!$B$39)</f>
        <v>-971.982156250798</v>
      </c>
      <c r="AI52" s="100" t="n">
        <f aca="false">-(AI26*(1-Logistica!$B$5)*Logistica!$B$7+AI26*Logistica!$B$5*Logistica!$B$39)</f>
        <v>-992.169929539767</v>
      </c>
      <c r="AJ52" s="100" t="n">
        <f aca="false">-(AJ26*(1-Logistica!$B$5)*Logistica!$B$7+AJ26*Logistica!$B$5*Logistica!$B$39)</f>
        <v>-1012.35770282874</v>
      </c>
      <c r="AK52" s="100" t="n">
        <f aca="false">-(AK26*(1-Logistica!$B$5)*Logistica!$B$7+AK26*Logistica!$B$5*Logistica!$B$39)</f>
        <v>-1032.54547611771</v>
      </c>
      <c r="AL52" s="100" t="n">
        <f aca="false">-(AL26*(1-Logistica!$B$5)*Logistica!$B$7+AL26*Logistica!$B$5*Logistica!$B$39)</f>
        <v>-1052.73324940667</v>
      </c>
      <c r="AM52" s="100" t="n">
        <f aca="false">-(AM26*(1-Logistica!$B$5)*Logistica!$B$7+AM26*Logistica!$B$5*Logistica!$B$39)</f>
        <v>-1072.92102269564</v>
      </c>
      <c r="AN52" s="100" t="n">
        <f aca="false">-(AN26*(1-Logistica!$B$5)*Logistica!$B$7+AN26*Logistica!$B$5*Logistica!$B$39)</f>
        <v>-1093.10879598461</v>
      </c>
      <c r="AO52" s="100" t="n">
        <f aca="false">-(AO26*(1-Logistica!$B$5)*Logistica!$B$7+AO26*Logistica!$B$5*Logistica!$B$39)</f>
        <v>-1113.29656927358</v>
      </c>
      <c r="AP52" s="100" t="n">
        <f aca="false">-(AP26*(1-Logistica!$B$5)*Logistica!$B$7+AP26*Logistica!$B$5*Logistica!$B$39)</f>
        <v>-1133.48434256255</v>
      </c>
      <c r="AQ52" s="100" t="n">
        <f aca="false">-(AQ26*(1-Logistica!$B$5)*Logistica!$B$7+AQ26*Logistica!$B$5*Logistica!$B$39)</f>
        <v>-1153.67211585152</v>
      </c>
      <c r="AR52" s="100" t="n">
        <f aca="false">-(AR26*(1-Logistica!$B$5)*Logistica!$B$7+AR26*Logistica!$B$5*Logistica!$B$39)</f>
        <v>-1173.85988914049</v>
      </c>
      <c r="AS52" s="100" t="n">
        <f aca="false">-(AS26*(1-Logistica!$B$5)*Logistica!$B$7+AS26*Logistica!$B$5*Logistica!$B$39)</f>
        <v>-1173.85988914049</v>
      </c>
      <c r="AT52" s="100" t="n">
        <f aca="false">-(AT26*(1-Logistica!$B$5)*Logistica!$B$7+AT26*Logistica!$B$5*Logistica!$B$39)</f>
        <v>-1173.85988914049</v>
      </c>
      <c r="AU52" s="100" t="n">
        <f aca="false">-(AU26*(1-Logistica!$B$5)*Logistica!$B$7+AU26*Logistica!$B$5*Logistica!$B$39)</f>
        <v>-1173.85988914049</v>
      </c>
      <c r="AV52" s="100" t="n">
        <f aca="false">-(AV26*(1-Logistica!$B$5)*Logistica!$B$7+AV26*Logistica!$B$5*Logistica!$B$39)</f>
        <v>-1173.85988914049</v>
      </c>
      <c r="AW52" s="100" t="n">
        <f aca="false">-(AW26*(1-Logistica!$B$5)*Logistica!$B$7+AW26*Logistica!$B$5*Logistica!$B$39)</f>
        <v>-1173.85988914049</v>
      </c>
      <c r="AX52" s="100" t="n">
        <f aca="false">-(AX26*(1-Logistica!$B$5)*Logistica!$B$7+AX26*Logistica!$B$5*Logistica!$B$39)</f>
        <v>-1173.85988914049</v>
      </c>
      <c r="AY52" s="100" t="n">
        <f aca="false">-(AY26*(1-Logistica!$B$5)*Logistica!$B$7+AY26*Logistica!$B$5*Logistica!$B$39)</f>
        <v>-1173.85988914049</v>
      </c>
      <c r="AZ52" s="100" t="n">
        <f aca="false">-(AZ26*(1-Logistica!$B$5)*Logistica!$B$7+AZ26*Logistica!$B$5*Logistica!$B$39)</f>
        <v>-1173.85988914049</v>
      </c>
      <c r="BA52" s="100" t="n">
        <f aca="false">-(BA26*(1-Logistica!$B$5)*Logistica!$B$7+BA26*Logistica!$B$5*Logistica!$B$39)</f>
        <v>-1173.85988914049</v>
      </c>
      <c r="BB52" s="100" t="n">
        <f aca="false">-(BB26*(1-Logistica!$B$5)*Logistica!$B$7+BB26*Logistica!$B$5*Logistica!$B$39)</f>
        <v>-1173.85988914049</v>
      </c>
      <c r="BC52" s="100" t="n">
        <f aca="false">-(BC26*(1-Logistica!$B$5)*Logistica!$B$7+BC26*Logistica!$B$5*Logistica!$B$39)</f>
        <v>-1173.85988914049</v>
      </c>
      <c r="BD52" s="100" t="n">
        <f aca="false">-(BD26*(1-Logistica!$B$5)*Logistica!$B$7+BD26*Logistica!$B$5*Logistica!$B$39)</f>
        <v>-1173.85988914049</v>
      </c>
      <c r="BE52" s="100" t="n">
        <f aca="false">-(BE26*(1-Logistica!$B$5)*Logistica!$B$7+BE26*Logistica!$B$5*Logistica!$B$39)</f>
        <v>-1173.85988914049</v>
      </c>
      <c r="BF52" s="100" t="n">
        <f aca="false">-(BF26*(1-Logistica!$B$5)*Logistica!$B$7+BF26*Logistica!$B$5*Logistica!$B$39)</f>
        <v>-1173.85988914049</v>
      </c>
      <c r="BG52" s="100" t="n">
        <f aca="false">-(BG26*(1-Logistica!$B$5)*Logistica!$B$7+BG26*Logistica!$B$5*Logistica!$B$39)</f>
        <v>-1173.85988914049</v>
      </c>
      <c r="BH52" s="100" t="n">
        <f aca="false">-(BH26*(1-Logistica!$B$5)*Logistica!$B$7+BH26*Logistica!$B$5*Logistica!$B$39)</f>
        <v>-1173.85988914049</v>
      </c>
      <c r="BI52" s="100" t="n">
        <f aca="false">-(BI26*(1-Logistica!$B$5)*Logistica!$B$7+BI26*Logistica!$B$5*Logistica!$B$39)</f>
        <v>-1173.85988914049</v>
      </c>
      <c r="BJ52" s="100" t="n">
        <f aca="false">-(BJ26*(1-Logistica!$B$5)*Logistica!$B$7+BJ26*Logistica!$B$5*Logistica!$B$39)</f>
        <v>-1173.85988914049</v>
      </c>
      <c r="BK52" s="100" t="n">
        <f aca="false">-(BK26*(1-Logistica!$B$5)*Logistica!$B$7+BK26*Logistica!$B$5*Logistica!$B$39)</f>
        <v>-1173.85988914049</v>
      </c>
      <c r="BL52" s="100" t="n">
        <f aca="false">-(BL26*(1-Logistica!$B$5)*Logistica!$B$7+BL26*Logistica!$B$5*Logistica!$B$39)</f>
        <v>-1173.85988914049</v>
      </c>
      <c r="BM52" s="100" t="n">
        <f aca="false">-(BM26*(1-Logistica!$B$5)*Logistica!$B$7+BM26*Logistica!$B$5*Logistica!$B$39)</f>
        <v>-1173.85988914049</v>
      </c>
      <c r="BN52" s="100" t="n">
        <f aca="false">-(BN26*(1-Logistica!$B$5)*Logistica!$B$7+BN26*Logistica!$B$5*Logistica!$B$39)</f>
        <v>-1173.85988914049</v>
      </c>
      <c r="BO52" s="100" t="n">
        <f aca="false">-(BO26*(1-Logistica!$B$5)*Logistica!$B$7+BO26*Logistica!$B$5*Logistica!$B$39)</f>
        <v>-1173.85988914049</v>
      </c>
      <c r="BP52" s="100" t="n">
        <f aca="false">-(BP26*(1-Logistica!$B$5)*Logistica!$B$7+BP26*Logistica!$B$5*Logistica!$B$39)</f>
        <v>-1173.85988914049</v>
      </c>
      <c r="BQ52" s="100" t="n">
        <f aca="false">-(BQ26*(1-Logistica!$B$5)*Logistica!$B$7+BQ26*Logistica!$B$5*Logistica!$B$39)</f>
        <v>-1173.85988914049</v>
      </c>
      <c r="BR52" s="100" t="n">
        <f aca="false">-(BR26*(1-Logistica!$B$5)*Logistica!$B$7+BR26*Logistica!$B$5*Logistica!$B$39)</f>
        <v>-1173.85988914049</v>
      </c>
      <c r="BS52" s="100" t="n">
        <f aca="false">-(BS26*(1-Logistica!$B$5)*Logistica!$B$7+BS26*Logistica!$B$5*Logistica!$B$39)</f>
        <v>-1173.85988914049</v>
      </c>
      <c r="BT52" s="100" t="n">
        <f aca="false">-(BT26*(1-Logistica!$B$5)*Logistica!$B$7+BT26*Logistica!$B$5*Logistica!$B$39)</f>
        <v>-1173.85988914049</v>
      </c>
      <c r="BU52" s="100" t="n">
        <f aca="false">-(BU26*(1-Logistica!$B$5)*Logistica!$B$7+BU26*Logistica!$B$5*Logistica!$B$39)</f>
        <v>-1173.85988914049</v>
      </c>
      <c r="BV52" s="100" t="n">
        <f aca="false">-(BV26*(1-Logistica!$B$5)*Logistica!$B$7+BV26*Logistica!$B$5*Logistica!$B$39)</f>
        <v>-1173.85988914049</v>
      </c>
      <c r="BW52" s="100" t="n">
        <f aca="false">-(BW26*(1-Logistica!$B$5)*Logistica!$B$7+BW26*Logistica!$B$5*Logistica!$B$39)</f>
        <v>-1173.85988914049</v>
      </c>
      <c r="BX52" s="100" t="n">
        <f aca="false">-(BX26*(1-Logistica!$B$5)*Logistica!$B$7+BX26*Logistica!$B$5*Logistica!$B$39)</f>
        <v>-1173.85988914049</v>
      </c>
      <c r="BY52" s="100" t="n">
        <f aca="false">-(BY26*(1-Logistica!$B$5)*Logistica!$B$7+BY26*Logistica!$B$5*Logistica!$B$39)</f>
        <v>-1173.85988914049</v>
      </c>
      <c r="BZ52" s="100" t="n">
        <f aca="false">-(BZ26*(1-Logistica!$B$5)*Logistica!$B$7+BZ26*Logistica!$B$5*Logistica!$B$39)</f>
        <v>-1173.85988914049</v>
      </c>
      <c r="CA52" s="100" t="n">
        <f aca="false">-(CA26*(1-Logistica!$B$5)*Logistica!$B$7+CA26*Logistica!$B$5*Logistica!$B$39)</f>
        <v>-1173.85988914049</v>
      </c>
      <c r="CB52" s="100" t="n">
        <f aca="false">-(CB26*(1-Logistica!$B$5)*Logistica!$B$7+CB26*Logistica!$B$5*Logistica!$B$39)</f>
        <v>-1173.85988914049</v>
      </c>
      <c r="CC52" s="100" t="n">
        <f aca="false">-(CC26*(1-Logistica!$B$5)*Logistica!$B$7+CC26*Logistica!$B$5*Logistica!$B$39)</f>
        <v>-1173.85988914049</v>
      </c>
      <c r="CD52" s="100" t="n">
        <f aca="false">-(CD26*(1-Logistica!$B$5)*Logistica!$B$7+CD26*Logistica!$B$5*Logistica!$B$39)</f>
        <v>-1173.85988914049</v>
      </c>
      <c r="CE52" s="100" t="n">
        <f aca="false">-(CE26*(1-Logistica!$B$5)*Logistica!$B$7+CE26*Logistica!$B$5*Logistica!$B$39)</f>
        <v>-1173.85988914049</v>
      </c>
      <c r="CF52" s="100" t="n">
        <f aca="false">-(CF26*(1-Logistica!$B$5)*Logistica!$B$7+CF26*Logistica!$B$5*Logistica!$B$39)</f>
        <v>-1173.85988914049</v>
      </c>
      <c r="CG52" s="100" t="n">
        <f aca="false">-(CG26*(1-Logistica!$B$5)*Logistica!$B$7+CG26*Logistica!$B$5*Logistica!$B$39)</f>
        <v>-1173.85988914049</v>
      </c>
      <c r="CH52" s="100" t="n">
        <f aca="false">-(CH26*(1-Logistica!$B$5)*Logistica!$B$7+CH26*Logistica!$B$5*Logistica!$B$39)</f>
        <v>-1173.85988914049</v>
      </c>
    </row>
    <row r="53" customFormat="false" ht="13.5" hidden="false" customHeight="true" outlineLevel="0" collapsed="false">
      <c r="A53" s="6" t="s">
        <v>530</v>
      </c>
      <c r="C53" s="100" t="n">
        <f aca="false">-Hipótesis!$E$39</f>
        <v>-500</v>
      </c>
      <c r="D53" s="100" t="n">
        <f aca="false">-Hipótesis!$E$39</f>
        <v>-500</v>
      </c>
      <c r="E53" s="100" t="n">
        <f aca="false">-Hipótesis!$E$39</f>
        <v>-500</v>
      </c>
      <c r="F53" s="100" t="n">
        <f aca="false">-Hipótesis!$E$39</f>
        <v>-500</v>
      </c>
      <c r="G53" s="100" t="n">
        <f aca="false">-Hipótesis!$E$39</f>
        <v>-500</v>
      </c>
      <c r="H53" s="100" t="n">
        <f aca="false">-Hipótesis!$E$39</f>
        <v>-500</v>
      </c>
      <c r="I53" s="100" t="n">
        <f aca="false">-Hipótesis!$E$39</f>
        <v>-500</v>
      </c>
      <c r="J53" s="100" t="n">
        <f aca="false">-Hipótesis!$E$39</f>
        <v>-500</v>
      </c>
      <c r="K53" s="100" t="n">
        <f aca="false">-Hipótesis!$E$39</f>
        <v>-500</v>
      </c>
      <c r="L53" s="100" t="n">
        <f aca="false">-Hipótesis!$E$39</f>
        <v>-500</v>
      </c>
      <c r="M53" s="100" t="n">
        <f aca="false">-Hipótesis!$E$39</f>
        <v>-500</v>
      </c>
      <c r="N53" s="100" t="n">
        <f aca="false">-Hipótesis!$E$39</f>
        <v>-500</v>
      </c>
      <c r="O53" s="100" t="n">
        <f aca="false">-Hipótesis!$E$39</f>
        <v>-500</v>
      </c>
      <c r="P53" s="100" t="n">
        <f aca="false">-Hipótesis!$E$39</f>
        <v>-500</v>
      </c>
      <c r="Q53" s="100" t="n">
        <f aca="false">-Hipótesis!$E$39</f>
        <v>-500</v>
      </c>
      <c r="R53" s="100" t="n">
        <f aca="false">-Hipótesis!$E$39</f>
        <v>-500</v>
      </c>
      <c r="S53" s="100" t="n">
        <f aca="false">-Hipótesis!$E$39</f>
        <v>-500</v>
      </c>
      <c r="T53" s="100" t="n">
        <f aca="false">-Hipótesis!$E$39</f>
        <v>-500</v>
      </c>
      <c r="U53" s="100" t="n">
        <f aca="false">-Hipótesis!$E$39</f>
        <v>-500</v>
      </c>
      <c r="V53" s="100" t="n">
        <f aca="false">-Hipótesis!$E$39</f>
        <v>-500</v>
      </c>
      <c r="W53" s="100" t="n">
        <f aca="false">-Hipótesis!$E$39</f>
        <v>-500</v>
      </c>
      <c r="X53" s="100" t="n">
        <f aca="false">-Hipótesis!$E$39</f>
        <v>-500</v>
      </c>
      <c r="Y53" s="100" t="n">
        <f aca="false">-Hipótesis!$E$39</f>
        <v>-500</v>
      </c>
      <c r="Z53" s="100" t="n">
        <f aca="false">-Hipótesis!$E$39</f>
        <v>-500</v>
      </c>
      <c r="AA53" s="100" t="n">
        <f aca="false">-Hipótesis!$E$39</f>
        <v>-500</v>
      </c>
      <c r="AB53" s="100" t="n">
        <f aca="false">-Hipótesis!$E$39</f>
        <v>-500</v>
      </c>
      <c r="AC53" s="100" t="n">
        <f aca="false">-Hipótesis!$E$39</f>
        <v>-500</v>
      </c>
      <c r="AD53" s="100" t="n">
        <f aca="false">-Hipótesis!$E$39</f>
        <v>-500</v>
      </c>
      <c r="AE53" s="100" t="n">
        <f aca="false">-Hipótesis!$E$39</f>
        <v>-500</v>
      </c>
      <c r="AF53" s="100" t="n">
        <f aca="false">-Hipótesis!$E$39</f>
        <v>-500</v>
      </c>
      <c r="AG53" s="100" t="n">
        <f aca="false">-Hipótesis!$E$39</f>
        <v>-500</v>
      </c>
      <c r="AH53" s="100" t="n">
        <f aca="false">-Hipótesis!$E$39</f>
        <v>-500</v>
      </c>
      <c r="AI53" s="100" t="n">
        <f aca="false">-Hipótesis!$E$39</f>
        <v>-500</v>
      </c>
      <c r="AJ53" s="100" t="n">
        <f aca="false">-Hipótesis!$E$39</f>
        <v>-500</v>
      </c>
      <c r="AK53" s="100" t="n">
        <f aca="false">-Hipótesis!$E$39</f>
        <v>-500</v>
      </c>
      <c r="AL53" s="100" t="n">
        <f aca="false">-Hipótesis!$E$39</f>
        <v>-500</v>
      </c>
      <c r="AM53" s="100" t="n">
        <f aca="false">-Hipótesis!$E$39</f>
        <v>-500</v>
      </c>
      <c r="AN53" s="100" t="n">
        <f aca="false">-Hipótesis!$E$39</f>
        <v>-500</v>
      </c>
      <c r="AO53" s="100" t="n">
        <f aca="false">-Hipótesis!$E$39</f>
        <v>-500</v>
      </c>
      <c r="AP53" s="100" t="n">
        <f aca="false">-Hipótesis!$E$39</f>
        <v>-500</v>
      </c>
      <c r="AQ53" s="100" t="n">
        <f aca="false">-Hipótesis!$E$39</f>
        <v>-500</v>
      </c>
      <c r="AR53" s="100" t="n">
        <f aca="false">-Hipótesis!$E$39</f>
        <v>-500</v>
      </c>
      <c r="AS53" s="100" t="n">
        <f aca="false">-Hipótesis!$E$39</f>
        <v>-500</v>
      </c>
      <c r="AT53" s="100" t="n">
        <f aca="false">-Hipótesis!$E$39</f>
        <v>-500</v>
      </c>
      <c r="AU53" s="100" t="n">
        <f aca="false">-Hipótesis!$E$39</f>
        <v>-500</v>
      </c>
      <c r="AV53" s="100" t="n">
        <f aca="false">-Hipótesis!$E$39</f>
        <v>-500</v>
      </c>
      <c r="AW53" s="100" t="n">
        <f aca="false">-Hipótesis!$E$39</f>
        <v>-500</v>
      </c>
      <c r="AX53" s="100" t="n">
        <f aca="false">-Hipótesis!$E$39</f>
        <v>-500</v>
      </c>
      <c r="AY53" s="100" t="n">
        <f aca="false">-Hipótesis!$E$39</f>
        <v>-500</v>
      </c>
      <c r="AZ53" s="100" t="n">
        <f aca="false">-Hipótesis!$E$39</f>
        <v>-500</v>
      </c>
      <c r="BA53" s="100" t="n">
        <f aca="false">-Hipótesis!$E$39</f>
        <v>-500</v>
      </c>
      <c r="BB53" s="100" t="n">
        <f aca="false">-Hipótesis!$E$39</f>
        <v>-500</v>
      </c>
      <c r="BC53" s="100" t="n">
        <f aca="false">-Hipótesis!$E$39</f>
        <v>-500</v>
      </c>
      <c r="BD53" s="100" t="n">
        <f aca="false">-Hipótesis!$E$39</f>
        <v>-500</v>
      </c>
      <c r="BE53" s="100" t="n">
        <f aca="false">-Hipótesis!$E$39</f>
        <v>-500</v>
      </c>
      <c r="BF53" s="100" t="n">
        <f aca="false">-Hipótesis!$E$39</f>
        <v>-500</v>
      </c>
      <c r="BG53" s="100" t="n">
        <f aca="false">-Hipótesis!$E$39</f>
        <v>-500</v>
      </c>
      <c r="BH53" s="100" t="n">
        <f aca="false">-Hipótesis!$E$39</f>
        <v>-500</v>
      </c>
      <c r="BI53" s="100" t="n">
        <f aca="false">-Hipótesis!$E$39</f>
        <v>-500</v>
      </c>
      <c r="BJ53" s="100" t="n">
        <f aca="false">-Hipótesis!$E$39</f>
        <v>-500</v>
      </c>
      <c r="BK53" s="100" t="n">
        <f aca="false">-Hipótesis!$E$39</f>
        <v>-500</v>
      </c>
      <c r="BL53" s="100" t="n">
        <f aca="false">-Hipótesis!$E$39</f>
        <v>-500</v>
      </c>
      <c r="BM53" s="100" t="n">
        <f aca="false">-Hipótesis!$E$39</f>
        <v>-500</v>
      </c>
      <c r="BN53" s="100" t="n">
        <f aca="false">-Hipótesis!$E$39</f>
        <v>-500</v>
      </c>
      <c r="BO53" s="100" t="n">
        <f aca="false">-Hipótesis!$E$39</f>
        <v>-500</v>
      </c>
      <c r="BP53" s="100" t="n">
        <f aca="false">-Hipótesis!$E$39</f>
        <v>-500</v>
      </c>
      <c r="BQ53" s="100" t="n">
        <f aca="false">-Hipótesis!$E$39</f>
        <v>-500</v>
      </c>
      <c r="BR53" s="100" t="n">
        <f aca="false">-Hipótesis!$E$39</f>
        <v>-500</v>
      </c>
      <c r="BS53" s="100" t="n">
        <f aca="false">-Hipótesis!$E$39</f>
        <v>-500</v>
      </c>
      <c r="BT53" s="100" t="n">
        <f aca="false">-Hipótesis!$E$39</f>
        <v>-500</v>
      </c>
      <c r="BU53" s="100" t="n">
        <f aca="false">-Hipótesis!$E$39</f>
        <v>-500</v>
      </c>
      <c r="BV53" s="100" t="n">
        <f aca="false">-Hipótesis!$E$39</f>
        <v>-500</v>
      </c>
      <c r="BW53" s="100" t="n">
        <f aca="false">-Hipótesis!$E$39</f>
        <v>-500</v>
      </c>
      <c r="BX53" s="100" t="n">
        <f aca="false">-Hipótesis!$E$39</f>
        <v>-500</v>
      </c>
      <c r="BY53" s="100" t="n">
        <f aca="false">-Hipótesis!$E$39</f>
        <v>-500</v>
      </c>
      <c r="BZ53" s="100" t="n">
        <f aca="false">-Hipótesis!$E$39</f>
        <v>-500</v>
      </c>
      <c r="CA53" s="100" t="n">
        <f aca="false">-Hipótesis!$E$39</f>
        <v>-500</v>
      </c>
      <c r="CB53" s="100" t="n">
        <f aca="false">-Hipótesis!$E$39</f>
        <v>-500</v>
      </c>
      <c r="CC53" s="100" t="n">
        <f aca="false">-Hipótesis!$E$39</f>
        <v>-500</v>
      </c>
      <c r="CD53" s="100" t="n">
        <f aca="false">-Hipótesis!$E$39</f>
        <v>-500</v>
      </c>
      <c r="CE53" s="100" t="n">
        <f aca="false">-Hipótesis!$E$39</f>
        <v>-500</v>
      </c>
      <c r="CF53" s="100" t="n">
        <f aca="false">-Hipótesis!$E$39</f>
        <v>-500</v>
      </c>
      <c r="CG53" s="100" t="n">
        <f aca="false">-Hipótesis!$E$39</f>
        <v>-500</v>
      </c>
      <c r="CH53" s="100" t="n">
        <f aca="false">-Hipótesis!$E$39</f>
        <v>-500</v>
      </c>
    </row>
    <row r="54" customFormat="false" ht="13.5" hidden="false" customHeight="true" outlineLevel="0" collapsed="false">
      <c r="A54" s="6" t="s">
        <v>531</v>
      </c>
      <c r="C54" s="100" t="n">
        <f aca="false">-Hipótesis!$E$40</f>
        <v>-500</v>
      </c>
      <c r="D54" s="100" t="n">
        <f aca="false">-Hipótesis!$E$40</f>
        <v>-500</v>
      </c>
      <c r="E54" s="100" t="n">
        <f aca="false">-Hipótesis!$E$40</f>
        <v>-500</v>
      </c>
      <c r="F54" s="100" t="n">
        <f aca="false">-Hipótesis!$E$40</f>
        <v>-500</v>
      </c>
      <c r="G54" s="100" t="n">
        <f aca="false">-Hipótesis!$E$40</f>
        <v>-500</v>
      </c>
      <c r="H54" s="100" t="n">
        <f aca="false">-Hipótesis!$E$40</f>
        <v>-500</v>
      </c>
      <c r="I54" s="100" t="n">
        <f aca="false">-Hipótesis!$E$40</f>
        <v>-500</v>
      </c>
      <c r="J54" s="100" t="n">
        <f aca="false">-Hipótesis!$E$40</f>
        <v>-500</v>
      </c>
      <c r="K54" s="100" t="n">
        <f aca="false">-Hipótesis!$E$40</f>
        <v>-500</v>
      </c>
      <c r="L54" s="100" t="n">
        <f aca="false">-Hipótesis!$E$40</f>
        <v>-500</v>
      </c>
      <c r="M54" s="100" t="n">
        <f aca="false">-Hipótesis!$E$40</f>
        <v>-500</v>
      </c>
      <c r="N54" s="100" t="n">
        <f aca="false">-Hipótesis!$E$40</f>
        <v>-500</v>
      </c>
      <c r="O54" s="100" t="n">
        <f aca="false">-Hipótesis!$E$40</f>
        <v>-500</v>
      </c>
      <c r="P54" s="100" t="n">
        <f aca="false">-Hipótesis!$E$40</f>
        <v>-500</v>
      </c>
      <c r="Q54" s="100" t="n">
        <f aca="false">-Hipótesis!$E$40</f>
        <v>-500</v>
      </c>
      <c r="R54" s="100" t="n">
        <f aca="false">-Hipótesis!$E$40</f>
        <v>-500</v>
      </c>
      <c r="S54" s="100" t="n">
        <f aca="false">-Hipótesis!$E$40</f>
        <v>-500</v>
      </c>
      <c r="T54" s="100" t="n">
        <f aca="false">-Hipótesis!$E$40</f>
        <v>-500</v>
      </c>
      <c r="U54" s="100" t="n">
        <f aca="false">-Hipótesis!$E$40</f>
        <v>-500</v>
      </c>
      <c r="V54" s="100" t="n">
        <f aca="false">-Hipótesis!$E$40</f>
        <v>-500</v>
      </c>
      <c r="W54" s="100" t="n">
        <f aca="false">-Hipótesis!$E$40</f>
        <v>-500</v>
      </c>
      <c r="X54" s="100" t="n">
        <f aca="false">-Hipótesis!$E$40</f>
        <v>-500</v>
      </c>
      <c r="Y54" s="100" t="n">
        <f aca="false">-Hipótesis!$E$40</f>
        <v>-500</v>
      </c>
      <c r="Z54" s="100" t="n">
        <f aca="false">-Hipótesis!$E$40</f>
        <v>-500</v>
      </c>
      <c r="AA54" s="100" t="n">
        <f aca="false">-Hipótesis!$E$40</f>
        <v>-500</v>
      </c>
      <c r="AB54" s="100" t="n">
        <f aca="false">-Hipótesis!$E$40</f>
        <v>-500</v>
      </c>
      <c r="AC54" s="100" t="n">
        <f aca="false">-Hipótesis!$E$40</f>
        <v>-500</v>
      </c>
      <c r="AD54" s="100" t="n">
        <f aca="false">-Hipótesis!$E$40</f>
        <v>-500</v>
      </c>
      <c r="AE54" s="100" t="n">
        <f aca="false">-Hipótesis!$E$40</f>
        <v>-500</v>
      </c>
      <c r="AF54" s="100" t="n">
        <f aca="false">-Hipótesis!$E$40</f>
        <v>-500</v>
      </c>
      <c r="AG54" s="100" t="n">
        <f aca="false">-Hipótesis!$E$40</f>
        <v>-500</v>
      </c>
      <c r="AH54" s="100" t="n">
        <f aca="false">-Hipótesis!$E$40</f>
        <v>-500</v>
      </c>
      <c r="AI54" s="100" t="n">
        <f aca="false">-Hipótesis!$E$40</f>
        <v>-500</v>
      </c>
      <c r="AJ54" s="100" t="n">
        <f aca="false">-Hipótesis!$E$40</f>
        <v>-500</v>
      </c>
      <c r="AK54" s="100" t="n">
        <f aca="false">-Hipótesis!$E$40</f>
        <v>-500</v>
      </c>
      <c r="AL54" s="100" t="n">
        <f aca="false">-Hipótesis!$E$40</f>
        <v>-500</v>
      </c>
      <c r="AM54" s="100" t="n">
        <f aca="false">-Hipótesis!$E$40</f>
        <v>-500</v>
      </c>
      <c r="AN54" s="100" t="n">
        <f aca="false">-Hipótesis!$E$40</f>
        <v>-500</v>
      </c>
      <c r="AO54" s="100" t="n">
        <f aca="false">-Hipótesis!$E$40</f>
        <v>-500</v>
      </c>
      <c r="AP54" s="100" t="n">
        <f aca="false">-Hipótesis!$E$40</f>
        <v>-500</v>
      </c>
      <c r="AQ54" s="100" t="n">
        <f aca="false">-Hipótesis!$E$40</f>
        <v>-500</v>
      </c>
      <c r="AR54" s="100" t="n">
        <f aca="false">-Hipótesis!$E$40</f>
        <v>-500</v>
      </c>
      <c r="AS54" s="100" t="n">
        <f aca="false">-Hipótesis!$E$40</f>
        <v>-500</v>
      </c>
      <c r="AT54" s="100" t="n">
        <f aca="false">-Hipótesis!$E$40</f>
        <v>-500</v>
      </c>
      <c r="AU54" s="100" t="n">
        <f aca="false">-Hipótesis!$E$40</f>
        <v>-500</v>
      </c>
      <c r="AV54" s="100" t="n">
        <f aca="false">-Hipótesis!$E$40</f>
        <v>-500</v>
      </c>
      <c r="AW54" s="100" t="n">
        <f aca="false">-Hipótesis!$E$40</f>
        <v>-500</v>
      </c>
      <c r="AX54" s="100" t="n">
        <f aca="false">-Hipótesis!$E$40</f>
        <v>-500</v>
      </c>
      <c r="AY54" s="100" t="n">
        <f aca="false">-Hipótesis!$E$40</f>
        <v>-500</v>
      </c>
      <c r="AZ54" s="100" t="n">
        <f aca="false">-Hipótesis!$E$40</f>
        <v>-500</v>
      </c>
      <c r="BA54" s="100" t="n">
        <f aca="false">-Hipótesis!$E$40</f>
        <v>-500</v>
      </c>
      <c r="BB54" s="100" t="n">
        <f aca="false">-Hipótesis!$E$40</f>
        <v>-500</v>
      </c>
      <c r="BC54" s="100" t="n">
        <f aca="false">-Hipótesis!$E$40</f>
        <v>-500</v>
      </c>
      <c r="BD54" s="100" t="n">
        <f aca="false">-Hipótesis!$E$40</f>
        <v>-500</v>
      </c>
      <c r="BE54" s="100" t="n">
        <f aca="false">-Hipótesis!$E$40</f>
        <v>-500</v>
      </c>
      <c r="BF54" s="100" t="n">
        <f aca="false">-Hipótesis!$E$40</f>
        <v>-500</v>
      </c>
      <c r="BG54" s="100" t="n">
        <f aca="false">-Hipótesis!$E$40</f>
        <v>-500</v>
      </c>
      <c r="BH54" s="100" t="n">
        <f aca="false">-Hipótesis!$E$40</f>
        <v>-500</v>
      </c>
      <c r="BI54" s="100" t="n">
        <f aca="false">-Hipótesis!$E$40</f>
        <v>-500</v>
      </c>
      <c r="BJ54" s="100" t="n">
        <f aca="false">-Hipótesis!$E$40</f>
        <v>-500</v>
      </c>
      <c r="BK54" s="100" t="n">
        <f aca="false">-Hipótesis!$E$40</f>
        <v>-500</v>
      </c>
      <c r="BL54" s="100" t="n">
        <f aca="false">-Hipótesis!$E$40</f>
        <v>-500</v>
      </c>
      <c r="BM54" s="100" t="n">
        <f aca="false">-Hipótesis!$E$40</f>
        <v>-500</v>
      </c>
      <c r="BN54" s="100" t="n">
        <f aca="false">-Hipótesis!$E$40</f>
        <v>-500</v>
      </c>
      <c r="BO54" s="100" t="n">
        <f aca="false">-Hipótesis!$E$40</f>
        <v>-500</v>
      </c>
      <c r="BP54" s="100" t="n">
        <f aca="false">-Hipótesis!$E$40</f>
        <v>-500</v>
      </c>
      <c r="BQ54" s="100" t="n">
        <f aca="false">-Hipótesis!$E$40</f>
        <v>-500</v>
      </c>
      <c r="BR54" s="100" t="n">
        <f aca="false">-Hipótesis!$E$40</f>
        <v>-500</v>
      </c>
      <c r="BS54" s="100" t="n">
        <f aca="false">-Hipótesis!$E$40</f>
        <v>-500</v>
      </c>
      <c r="BT54" s="100" t="n">
        <f aca="false">-Hipótesis!$E$40</f>
        <v>-500</v>
      </c>
      <c r="BU54" s="100" t="n">
        <f aca="false">-Hipótesis!$E$40</f>
        <v>-500</v>
      </c>
      <c r="BV54" s="100" t="n">
        <f aca="false">-Hipótesis!$E$40</f>
        <v>-500</v>
      </c>
      <c r="BW54" s="100" t="n">
        <f aca="false">-Hipótesis!$E$40</f>
        <v>-500</v>
      </c>
      <c r="BX54" s="100" t="n">
        <f aca="false">-Hipótesis!$E$40</f>
        <v>-500</v>
      </c>
      <c r="BY54" s="100" t="n">
        <f aca="false">-Hipótesis!$E$40</f>
        <v>-500</v>
      </c>
      <c r="BZ54" s="100" t="n">
        <f aca="false">-Hipótesis!$E$40</f>
        <v>-500</v>
      </c>
      <c r="CA54" s="100" t="n">
        <f aca="false">-Hipótesis!$E$40</f>
        <v>-500</v>
      </c>
      <c r="CB54" s="100" t="n">
        <f aca="false">-Hipótesis!$E$40</f>
        <v>-500</v>
      </c>
      <c r="CC54" s="100" t="n">
        <f aca="false">-Hipótesis!$E$40</f>
        <v>-500</v>
      </c>
      <c r="CD54" s="100" t="n">
        <f aca="false">-Hipótesis!$E$40</f>
        <v>-500</v>
      </c>
      <c r="CE54" s="100" t="n">
        <f aca="false">-Hipótesis!$E$40</f>
        <v>-500</v>
      </c>
      <c r="CF54" s="100" t="n">
        <f aca="false">-Hipótesis!$E$40</f>
        <v>-500</v>
      </c>
      <c r="CG54" s="100" t="n">
        <f aca="false">-Hipótesis!$E$40</f>
        <v>-500</v>
      </c>
      <c r="CH54" s="100" t="n">
        <f aca="false">-Hipótesis!$E$40</f>
        <v>-500</v>
      </c>
    </row>
    <row r="55" customFormat="false" ht="13.5" hidden="false" customHeight="true" outlineLevel="0" collapsed="false">
      <c r="A55" s="22" t="s">
        <v>532</v>
      </c>
      <c r="C55" s="100" t="n">
        <f aca="false">C42+C43+C51+C52+C53+C54</f>
        <v>-14478.8664736463</v>
      </c>
      <c r="D55" s="100" t="n">
        <f aca="false">D42+D43+D51+D52+D53+D54</f>
        <v>-14507.7082894155</v>
      </c>
      <c r="E55" s="100" t="n">
        <f aca="false">E42+E43+E51+E52+E53+E54</f>
        <v>-14565.7301043328</v>
      </c>
      <c r="F55" s="100" t="n">
        <f aca="false">F42+F43+F51+F52+F53+F54</f>
        <v>-14596.8854456038</v>
      </c>
      <c r="G55" s="100" t="n">
        <f aca="false">G42+G43+G51+G52+G53+G54</f>
        <v>-14626.0654447519</v>
      </c>
      <c r="H55" s="100" t="n">
        <f aca="false">H42+H43+H51+H52+H53+H54</f>
        <v>-14677.8795723925</v>
      </c>
      <c r="I55" s="100" t="n">
        <f aca="false">I42+I43+I51+I52+I53+I54</f>
        <v>-14774.0814733221</v>
      </c>
      <c r="J55" s="100" t="n">
        <f aca="false">J42+J43+J51+J52+J53+J54</f>
        <v>-14870.2833742517</v>
      </c>
      <c r="K55" s="100" t="n">
        <f aca="false">K42+K43+K51+K52+K53+K54</f>
        <v>-14966.4852751814</v>
      </c>
      <c r="L55" s="100" t="n">
        <f aca="false">L42+L43+L51+L52+L53+L54</f>
        <v>-15062.687176111</v>
      </c>
      <c r="M55" s="100" t="n">
        <f aca="false">M42+M43+M51+M52+M53+M54</f>
        <v>-15129.7090778926</v>
      </c>
      <c r="N55" s="100" t="n">
        <f aca="false">N42+N43+N51+N52+N53+N54</f>
        <v>-15229.6533483907</v>
      </c>
      <c r="O55" s="100" t="n">
        <f aca="false">O42+O43+O51+O52+O53+O54</f>
        <v>-20556.7976188889</v>
      </c>
      <c r="P55" s="100" t="n">
        <f aca="false">P42+P43+P51+P52+P53+P54</f>
        <v>-20647.276708381</v>
      </c>
      <c r="Q55" s="100" t="n">
        <f aca="false">Q42+Q43+Q51+Q52+Q53+Q54</f>
        <v>-20737.7557978731</v>
      </c>
      <c r="R55" s="100" t="n">
        <f aca="false">R42+R43+R51+R52+R53+R54</f>
        <v>-20828.2348873653</v>
      </c>
      <c r="S55" s="100" t="n">
        <f aca="false">S42+S43+S51+S52+S53+S54</f>
        <v>-20918.7139768574</v>
      </c>
      <c r="T55" s="100" t="n">
        <f aca="false">T42+T43+T51+T52+T53+T54</f>
        <v>-21009.1930663495</v>
      </c>
      <c r="U55" s="100" t="n">
        <f aca="false">U42+U43+U51+U52+U53+U54</f>
        <v>-23410.9921558417</v>
      </c>
      <c r="V55" s="100" t="n">
        <f aca="false">V42+V43+V51+V52+V53+V54</f>
        <v>-26220.6712453338</v>
      </c>
      <c r="W55" s="100" t="n">
        <f aca="false">W42+W43+W51+W52+W53+W54</f>
        <v>-26311.1503348259</v>
      </c>
      <c r="X55" s="100" t="n">
        <f aca="false">X42+X43+X51+X52+X53+X54</f>
        <v>-26368.7070556015</v>
      </c>
      <c r="Y55" s="100" t="n">
        <f aca="false">Y42+Y43+Y51+Y52+Y53+Y54</f>
        <v>-26426.2637763771</v>
      </c>
      <c r="Z55" s="100" t="n">
        <f aca="false">Z42+Z43+Z51+Z52+Z53+Z54</f>
        <v>-26470.6515496661</v>
      </c>
      <c r="AA55" s="100" t="n">
        <f aca="false">AA42+AA43+AA51+AA52+AA53+AA54</f>
        <v>-28727.530922955</v>
      </c>
      <c r="AB55" s="100" t="n">
        <f aca="false">AB42+AB43+AB51+AB52+AB53+AB54</f>
        <v>-28771.918696244</v>
      </c>
      <c r="AC55" s="100" t="n">
        <f aca="false">AC42+AC43+AC51+AC52+AC53+AC54</f>
        <v>-28816.306469533</v>
      </c>
      <c r="AD55" s="100" t="n">
        <f aca="false">AD42+AD43+AD51+AD52+AD53+AD54</f>
        <v>-28860.6942428219</v>
      </c>
      <c r="AE55" s="100" t="n">
        <f aca="false">AE42+AE43+AE51+AE52+AE53+AE54</f>
        <v>-28905.0820161109</v>
      </c>
      <c r="AF55" s="100" t="n">
        <f aca="false">AF42+AF43+AF51+AF52+AF53+AF54</f>
        <v>-28949.4697893999</v>
      </c>
      <c r="AG55" s="100" t="n">
        <f aca="false">AG42+AG43+AG51+AG52+AG53+AG54</f>
        <v>-28993.8575626888</v>
      </c>
      <c r="AH55" s="100" t="n">
        <f aca="false">AH42+AH43+AH51+AH52+AH53+AH54</f>
        <v>-31418.9049359778</v>
      </c>
      <c r="AI55" s="100" t="n">
        <f aca="false">AI42+AI43+AI51+AI52+AI53+AI54</f>
        <v>-31463.2927092668</v>
      </c>
      <c r="AJ55" s="100" t="n">
        <f aca="false">AJ42+AJ43+AJ51+AJ52+AJ53+AJ54</f>
        <v>-31507.6804825557</v>
      </c>
      <c r="AK55" s="100" t="n">
        <f aca="false">AK42+AK43+AK51+AK52+AK53+AK54</f>
        <v>-31552.0682558447</v>
      </c>
      <c r="AL55" s="100" t="n">
        <f aca="false">AL42+AL43+AL51+AL52+AL53+AL54</f>
        <v>-31596.4560291337</v>
      </c>
      <c r="AM55" s="100" t="n">
        <f aca="false">AM42+AM43+AM51+AM52+AM53+AM54</f>
        <v>-33931.7299384227</v>
      </c>
      <c r="AN55" s="100" t="n">
        <f aca="false">AN42+AN43+AN51+AN52+AN53+AN54</f>
        <v>-33976.1177117116</v>
      </c>
      <c r="AO55" s="100" t="n">
        <f aca="false">AO42+AO43+AO51+AO52+AO53+AO54</f>
        <v>-34020.5054850006</v>
      </c>
      <c r="AP55" s="100" t="n">
        <f aca="false">AP42+AP43+AP51+AP52+AP53+AP54</f>
        <v>-34064.8932582896</v>
      </c>
      <c r="AQ55" s="100" t="n">
        <f aca="false">AQ42+AQ43+AQ51+AQ52+AQ53+AQ54</f>
        <v>-34109.2810315785</v>
      </c>
      <c r="AR55" s="100" t="n">
        <f aca="false">AR42+AR43+AR51+AR52+AR53+AR54</f>
        <v>-34153.6688048675</v>
      </c>
      <c r="AS55" s="100" t="n">
        <f aca="false">AS42+AS43+AS51+AS52+AS53+AS54</f>
        <v>-34153.6688048675</v>
      </c>
      <c r="AT55" s="100" t="n">
        <f aca="false">AT42+AT43+AT51+AT52+AT53+AT54</f>
        <v>-34153.6688048675</v>
      </c>
      <c r="AU55" s="100" t="n">
        <f aca="false">AU42+AU43+AU51+AU52+AU53+AU54</f>
        <v>-34153.6688048675</v>
      </c>
      <c r="AV55" s="100" t="n">
        <f aca="false">AV42+AV43+AV51+AV52+AV53+AV54</f>
        <v>-34153.6688048675</v>
      </c>
      <c r="AW55" s="100" t="n">
        <f aca="false">AW42+AW43+AW51+AW52+AW53+AW54</f>
        <v>-34153.6688048675</v>
      </c>
      <c r="AX55" s="100" t="n">
        <f aca="false">AX42+AX43+AX51+AX52+AX53+AX54</f>
        <v>-34153.6688048675</v>
      </c>
      <c r="AY55" s="100" t="n">
        <f aca="false">AY42+AY43+AY51+AY52+AY53+AY54</f>
        <v>-36453.8815249475</v>
      </c>
      <c r="AZ55" s="100" t="n">
        <f aca="false">AZ42+AZ43+AZ51+AZ52+AZ53+AZ54</f>
        <v>-36453.8815249475</v>
      </c>
      <c r="BA55" s="100" t="n">
        <f aca="false">BA42+BA43+BA51+BA52+BA53+BA54</f>
        <v>-36453.8815249475</v>
      </c>
      <c r="BB55" s="100" t="n">
        <f aca="false">BB42+BB43+BB51+BB52+BB53+BB54</f>
        <v>-36453.8815249475</v>
      </c>
      <c r="BC55" s="100" t="n">
        <f aca="false">BC42+BC43+BC51+BC52+BC53+BC54</f>
        <v>-36453.8815249475</v>
      </c>
      <c r="BD55" s="100" t="n">
        <f aca="false">BD42+BD43+BD51+BD52+BD53+BD54</f>
        <v>-36453.8815249475</v>
      </c>
      <c r="BE55" s="100" t="n">
        <f aca="false">BE42+BE43+BE51+BE52+BE53+BE54</f>
        <v>-36453.8815249475</v>
      </c>
      <c r="BF55" s="100" t="n">
        <f aca="false">BF42+BF43+BF51+BF52+BF53+BF54</f>
        <v>-36453.8815249475</v>
      </c>
      <c r="BG55" s="100" t="n">
        <f aca="false">BG42+BG43+BG51+BG52+BG53+BG54</f>
        <v>-36453.8815249475</v>
      </c>
      <c r="BH55" s="100" t="n">
        <f aca="false">BH42+BH43+BH51+BH52+BH53+BH54</f>
        <v>-36453.8815249475</v>
      </c>
      <c r="BI55" s="100" t="n">
        <f aca="false">BI42+BI43+BI51+BI52+BI53+BI54</f>
        <v>-36453.8815249475</v>
      </c>
      <c r="BJ55" s="100" t="n">
        <f aca="false">BJ42+BJ43+BJ51+BJ52+BJ53+BJ54</f>
        <v>-36453.8815249475</v>
      </c>
      <c r="BK55" s="100" t="n">
        <f aca="false">BK42+BK43+BK51+BK52+BK53+BK54</f>
        <v>-38763.7006266299</v>
      </c>
      <c r="BL55" s="100" t="n">
        <f aca="false">BL42+BL43+BL51+BL52+BL53+BL54</f>
        <v>-38763.7006266299</v>
      </c>
      <c r="BM55" s="100" t="n">
        <f aca="false">BM42+BM43+BM51+BM52+BM53+BM54</f>
        <v>-38763.7006266299</v>
      </c>
      <c r="BN55" s="100" t="n">
        <f aca="false">BN42+BN43+BN51+BN52+BN53+BN54</f>
        <v>-38763.7006266299</v>
      </c>
      <c r="BO55" s="100" t="n">
        <f aca="false">BO42+BO43+BO51+BO52+BO53+BO54</f>
        <v>-38763.7006266299</v>
      </c>
      <c r="BP55" s="100" t="n">
        <f aca="false">BP42+BP43+BP51+BP52+BP53+BP54</f>
        <v>-38763.7006266299</v>
      </c>
      <c r="BQ55" s="100" t="n">
        <f aca="false">BQ42+BQ43+BQ51+BQ52+BQ53+BQ54</f>
        <v>-38763.7006266299</v>
      </c>
      <c r="BR55" s="100" t="n">
        <f aca="false">BR42+BR43+BR51+BR52+BR53+BR54</f>
        <v>-38763.7006266299</v>
      </c>
      <c r="BS55" s="100" t="n">
        <f aca="false">BS42+BS43+BS51+BS52+BS53+BS54</f>
        <v>-38763.7006266299</v>
      </c>
      <c r="BT55" s="100" t="n">
        <f aca="false">BT42+BT43+BT51+BT52+BT53+BT54</f>
        <v>-38763.7006266299</v>
      </c>
      <c r="BU55" s="100" t="n">
        <f aca="false">BU42+BU43+BU51+BU52+BU53+BU54</f>
        <v>-38763.7006266299</v>
      </c>
      <c r="BV55" s="100" t="n">
        <f aca="false">BV42+BV43+BV51+BV52+BV53+BV54</f>
        <v>-38763.7006266299</v>
      </c>
      <c r="BW55" s="100" t="n">
        <f aca="false">BW42+BW43+BW51+BW52+BW53+BW54</f>
        <v>-41083.4143013628</v>
      </c>
      <c r="BX55" s="100" t="n">
        <f aca="false">BX42+BX43+BX51+BX52+BX53+BX54</f>
        <v>-41083.4143013628</v>
      </c>
      <c r="BY55" s="100" t="n">
        <f aca="false">BY42+BY43+BY51+BY52+BY53+BY54</f>
        <v>-41083.4143013628</v>
      </c>
      <c r="BZ55" s="100" t="n">
        <f aca="false">BZ42+BZ43+BZ51+BZ52+BZ53+BZ54</f>
        <v>-41083.4143013628</v>
      </c>
      <c r="CA55" s="100" t="n">
        <f aca="false">CA42+CA43+CA51+CA52+CA53+CA54</f>
        <v>-41083.4143013628</v>
      </c>
      <c r="CB55" s="100" t="n">
        <f aca="false">CB42+CB43+CB51+CB52+CB53+CB54</f>
        <v>-41083.4143013628</v>
      </c>
      <c r="CC55" s="100" t="n">
        <f aca="false">CC42+CC43+CC51+CC52+CC53+CC54</f>
        <v>-41083.4143013628</v>
      </c>
      <c r="CD55" s="100" t="n">
        <f aca="false">CD42+CD43+CD51+CD52+CD53+CD54</f>
        <v>-41083.4143013628</v>
      </c>
      <c r="CE55" s="100" t="n">
        <f aca="false">CE42+CE43+CE51+CE52+CE53+CE54</f>
        <v>-41083.4143013628</v>
      </c>
      <c r="CF55" s="100" t="n">
        <f aca="false">CF42+CF43+CF51+CF52+CF53+CF54</f>
        <v>-41083.4143013628</v>
      </c>
      <c r="CG55" s="100" t="n">
        <f aca="false">CG42+CG43+CG51+CG52+CG53+CG54</f>
        <v>-41083.4143013628</v>
      </c>
      <c r="CH55" s="100" t="n">
        <f aca="false">CH42+CH43+CH51+CH52+CH53+CH54</f>
        <v>-41083.4143013628</v>
      </c>
    </row>
    <row r="56" customFormat="false" ht="13.5" hidden="false" customHeight="true" outlineLevel="0" collapsed="false">
      <c r="A56" s="46" t="s">
        <v>533</v>
      </c>
      <c r="C56" s="63" t="n">
        <f aca="false">C40+C55</f>
        <v>-13338.9163486463</v>
      </c>
      <c r="D56" s="63" t="n">
        <f aca="false">D40+D55</f>
        <v>-12144.9942747096</v>
      </c>
      <c r="E56" s="63" t="n">
        <f aca="false">E40+E55</f>
        <v>-9712.55917871568</v>
      </c>
      <c r="F56" s="63" t="n">
        <f aca="false">F40+F55</f>
        <v>-8393.20773407546</v>
      </c>
      <c r="G56" s="63" t="n">
        <f aca="false">G40+G55</f>
        <v>-7154.69471201813</v>
      </c>
      <c r="H56" s="63" t="n">
        <f aca="false">H40+H55</f>
        <v>-5207.92466036519</v>
      </c>
      <c r="I56" s="63" t="n">
        <f aca="false">I40+I55</f>
        <v>-1461.57807502551</v>
      </c>
      <c r="J56" s="63" t="n">
        <f aca="false">J40+J55</f>
        <v>2284.76851031417</v>
      </c>
      <c r="K56" s="63" t="n">
        <f aca="false">K40+K55</f>
        <v>6031.11509565385</v>
      </c>
      <c r="L56" s="63" t="n">
        <f aca="false">L40+L55</f>
        <v>9777.46168099353</v>
      </c>
      <c r="M56" s="63" t="n">
        <f aca="false">M40+M55</f>
        <v>12285.2952442759</v>
      </c>
      <c r="N56" s="63" t="n">
        <f aca="false">N40+N55</f>
        <v>15744.0421006064</v>
      </c>
      <c r="O56" s="63" t="n">
        <f aca="false">O40+O55</f>
        <v>13975.5889569369</v>
      </c>
      <c r="P56" s="63" t="n">
        <f aca="false">P40+P55</f>
        <v>17074.7326008911</v>
      </c>
      <c r="Q56" s="63" t="n">
        <f aca="false">Q40+Q55</f>
        <v>20173.8762448452</v>
      </c>
      <c r="R56" s="63" t="n">
        <f aca="false">R40+R55</f>
        <v>23273.0198887994</v>
      </c>
      <c r="S56" s="63" t="n">
        <f aca="false">S40+S55</f>
        <v>26372.1635327536</v>
      </c>
      <c r="T56" s="63" t="n">
        <f aca="false">T40+T55</f>
        <v>29471.3071767077</v>
      </c>
      <c r="U56" s="63" t="n">
        <f aca="false">U40+U55</f>
        <v>30259.1308206619</v>
      </c>
      <c r="V56" s="63" t="n">
        <f aca="false">V40+V55</f>
        <v>30639.0744646161</v>
      </c>
      <c r="W56" s="63" t="n">
        <f aca="false">W40+W55</f>
        <v>33738.2181085702</v>
      </c>
      <c r="X56" s="63" t="n">
        <f aca="false">X40+X55</f>
        <v>35886.4484594762</v>
      </c>
      <c r="Y56" s="63" t="n">
        <f aca="false">Y40+Y55</f>
        <v>38034.6788103822</v>
      </c>
      <c r="Z56" s="63" t="n">
        <f aca="false">Z40+Z55</f>
        <v>39834.255344069</v>
      </c>
      <c r="AA56" s="63" t="n">
        <f aca="false">AA40+AA55</f>
        <v>39421.3402777557</v>
      </c>
      <c r="AB56" s="63" t="n">
        <f aca="false">AB40+AB55</f>
        <v>41220.9168114425</v>
      </c>
      <c r="AC56" s="63" t="n">
        <f aca="false">AC40+AC55</f>
        <v>43020.4933451292</v>
      </c>
      <c r="AD56" s="63" t="n">
        <f aca="false">AD40+AD55</f>
        <v>44820.0698788159</v>
      </c>
      <c r="AE56" s="63" t="n">
        <f aca="false">AE40+AE55</f>
        <v>46619.6464125027</v>
      </c>
      <c r="AF56" s="63" t="n">
        <f aca="false">AF40+AF55</f>
        <v>48419.2229461894</v>
      </c>
      <c r="AG56" s="63" t="n">
        <f aca="false">AG40+AG55</f>
        <v>50218.7994798761</v>
      </c>
      <c r="AH56" s="63" t="n">
        <f aca="false">AH40+AH55</f>
        <v>49637.7164135629</v>
      </c>
      <c r="AI56" s="63" t="n">
        <f aca="false">AI40+AI55</f>
        <v>51437.2929472496</v>
      </c>
      <c r="AJ56" s="63" t="n">
        <f aca="false">AJ40+AJ55</f>
        <v>53236.8694809364</v>
      </c>
      <c r="AK56" s="63" t="n">
        <f aca="false">AK40+AK55</f>
        <v>55036.4460146231</v>
      </c>
      <c r="AL56" s="63" t="n">
        <f aca="false">AL40+AL55</f>
        <v>56836.0225483098</v>
      </c>
      <c r="AM56" s="63" t="n">
        <f aca="false">AM40+AM55</f>
        <v>56344.7129459966</v>
      </c>
      <c r="AN56" s="63" t="n">
        <f aca="false">AN40+AN55</f>
        <v>58144.2894796833</v>
      </c>
      <c r="AO56" s="63" t="n">
        <f aca="false">AO40+AO55</f>
        <v>59943.8660133701</v>
      </c>
      <c r="AP56" s="63" t="n">
        <f aca="false">AP40+AP55</f>
        <v>61743.4425470568</v>
      </c>
      <c r="AQ56" s="63" t="n">
        <f aca="false">AQ40+AQ55</f>
        <v>63543.0190807435</v>
      </c>
      <c r="AR56" s="63" t="n">
        <f aca="false">AR40+AR55</f>
        <v>65342.5956144303</v>
      </c>
      <c r="AS56" s="63" t="n">
        <f aca="false">AS40+AS55</f>
        <v>65342.5956144303</v>
      </c>
      <c r="AT56" s="63" t="n">
        <f aca="false">AT40+AT55</f>
        <v>65342.5956144303</v>
      </c>
      <c r="AU56" s="63" t="n">
        <f aca="false">AU40+AU55</f>
        <v>65342.5956144303</v>
      </c>
      <c r="AV56" s="63" t="n">
        <f aca="false">AV40+AV55</f>
        <v>65342.5956144303</v>
      </c>
      <c r="AW56" s="63" t="n">
        <f aca="false">AW40+AW55</f>
        <v>65342.5956144303</v>
      </c>
      <c r="AX56" s="63" t="n">
        <f aca="false">AX40+AX55</f>
        <v>65342.5956144303</v>
      </c>
      <c r="AY56" s="63" t="n">
        <f aca="false">AY40+AY55</f>
        <v>63042.3828943503</v>
      </c>
      <c r="AZ56" s="63" t="n">
        <f aca="false">AZ40+AZ55</f>
        <v>63042.3828943503</v>
      </c>
      <c r="BA56" s="63" t="n">
        <f aca="false">BA40+BA55</f>
        <v>63042.3828943503</v>
      </c>
      <c r="BB56" s="63" t="n">
        <f aca="false">BB40+BB55</f>
        <v>63042.3828943503</v>
      </c>
      <c r="BC56" s="63" t="n">
        <f aca="false">BC40+BC55</f>
        <v>63042.3828943503</v>
      </c>
      <c r="BD56" s="63" t="n">
        <f aca="false">BD40+BD55</f>
        <v>63042.3828943503</v>
      </c>
      <c r="BE56" s="63" t="n">
        <f aca="false">BE40+BE55</f>
        <v>63042.3828943503</v>
      </c>
      <c r="BF56" s="63" t="n">
        <f aca="false">BF40+BF55</f>
        <v>63042.3828943503</v>
      </c>
      <c r="BG56" s="63" t="n">
        <f aca="false">BG40+BG55</f>
        <v>63042.3828943503</v>
      </c>
      <c r="BH56" s="63" t="n">
        <f aca="false">BH40+BH55</f>
        <v>63042.3828943503</v>
      </c>
      <c r="BI56" s="63" t="n">
        <f aca="false">BI40+BI55</f>
        <v>63042.3828943503</v>
      </c>
      <c r="BJ56" s="63" t="n">
        <f aca="false">BJ40+BJ55</f>
        <v>63042.3828943503</v>
      </c>
      <c r="BK56" s="63" t="n">
        <f aca="false">BK40+BK55</f>
        <v>60732.5637926679</v>
      </c>
      <c r="BL56" s="63" t="n">
        <f aca="false">BL40+BL55</f>
        <v>60732.5637926679</v>
      </c>
      <c r="BM56" s="63" t="n">
        <f aca="false">BM40+BM55</f>
        <v>60732.5637926679</v>
      </c>
      <c r="BN56" s="63" t="n">
        <f aca="false">BN40+BN55</f>
        <v>60732.5637926679</v>
      </c>
      <c r="BO56" s="63" t="n">
        <f aca="false">BO40+BO55</f>
        <v>60732.5637926679</v>
      </c>
      <c r="BP56" s="63" t="n">
        <f aca="false">BP40+BP55</f>
        <v>60732.5637926679</v>
      </c>
      <c r="BQ56" s="63" t="n">
        <f aca="false">BQ40+BQ55</f>
        <v>60732.5637926679</v>
      </c>
      <c r="BR56" s="63" t="n">
        <f aca="false">BR40+BR55</f>
        <v>60732.5637926679</v>
      </c>
      <c r="BS56" s="63" t="n">
        <f aca="false">BS40+BS55</f>
        <v>60732.5637926679</v>
      </c>
      <c r="BT56" s="63" t="n">
        <f aca="false">BT40+BT55</f>
        <v>60732.5637926679</v>
      </c>
      <c r="BU56" s="63" t="n">
        <f aca="false">BU40+BU55</f>
        <v>60732.5637926679</v>
      </c>
      <c r="BV56" s="63" t="n">
        <f aca="false">BV40+BV55</f>
        <v>60732.5637926679</v>
      </c>
      <c r="BW56" s="63" t="n">
        <f aca="false">BW40+BW55</f>
        <v>58412.850117935</v>
      </c>
      <c r="BX56" s="63" t="n">
        <f aca="false">BX40+BX55</f>
        <v>58412.850117935</v>
      </c>
      <c r="BY56" s="63" t="n">
        <f aca="false">BY40+BY55</f>
        <v>58412.850117935</v>
      </c>
      <c r="BZ56" s="63" t="n">
        <f aca="false">BZ40+BZ55</f>
        <v>58412.850117935</v>
      </c>
      <c r="CA56" s="63" t="n">
        <f aca="false">CA40+CA55</f>
        <v>58412.850117935</v>
      </c>
      <c r="CB56" s="63" t="n">
        <f aca="false">CB40+CB55</f>
        <v>58412.850117935</v>
      </c>
      <c r="CC56" s="63" t="n">
        <f aca="false">CC40+CC55</f>
        <v>58412.850117935</v>
      </c>
      <c r="CD56" s="63" t="n">
        <f aca="false">CD40+CD55</f>
        <v>58412.850117935</v>
      </c>
      <c r="CE56" s="63" t="n">
        <f aca="false">CE40+CE55</f>
        <v>58412.850117935</v>
      </c>
      <c r="CF56" s="63" t="n">
        <f aca="false">CF40+CF55</f>
        <v>58412.850117935</v>
      </c>
      <c r="CG56" s="63" t="n">
        <f aca="false">CG40+CG55</f>
        <v>58412.850117935</v>
      </c>
      <c r="CH56" s="63" t="n">
        <f aca="false">CH40+CH55</f>
        <v>58412.850117935</v>
      </c>
    </row>
    <row r="57" customFormat="false" ht="13.5" hidden="false" customHeight="true" outlineLevel="0" collapsed="false">
      <c r="A57" s="6" t="s">
        <v>49</v>
      </c>
      <c r="C57" s="110" t="n">
        <f aca="false">IFERROR(C56/C38,0)</f>
        <v>-10.9176659863207</v>
      </c>
      <c r="D57" s="110" t="n">
        <f aca="false">IFERROR(D56/D38,0)</f>
        <v>-4.78397667400005</v>
      </c>
      <c r="E57" s="110" t="n">
        <f aca="false">IFERROR(E56/E38,0)</f>
        <v>-1.83686898298218</v>
      </c>
      <c r="F57" s="110" t="n">
        <f aca="false">IFERROR(F56/F38,0)</f>
        <v>-1.23163831796593</v>
      </c>
      <c r="G57" s="110" t="n">
        <f aca="false">IFERROR(G56/G38,0)</f>
        <v>-0.867588895432576</v>
      </c>
      <c r="H57" s="110" t="n">
        <f aca="false">IFERROR(H56/H38,0)</f>
        <v>-0.493610317639429</v>
      </c>
      <c r="I57" s="110" t="n">
        <f aca="false">IFERROR(I56/I38,0)</f>
        <v>-0.0977519672670846</v>
      </c>
      <c r="J57" s="110" t="n">
        <f aca="false">IFERROR(J56/J38,0)</f>
        <v>0.118056804015832</v>
      </c>
      <c r="K57" s="110" t="n">
        <f aca="false">IFERROR(K56/K38,0)</f>
        <v>0.253895155991898</v>
      </c>
      <c r="L57" s="110" t="n">
        <f aca="false">IFERROR(L56/L38,0)</f>
        <v>0.347265542436826</v>
      </c>
      <c r="M57" s="110" t="n">
        <f aca="false">IFERROR(M56/M38,0)</f>
        <v>0.394710454399632</v>
      </c>
      <c r="N57" s="110" t="n">
        <f aca="false">IFERROR(N56/N38,0)</f>
        <v>0.446218444497307</v>
      </c>
      <c r="O57" s="110" t="n">
        <f aca="false">IFERROR(O56/O38,0)</f>
        <v>0.354335408615853</v>
      </c>
      <c r="P57" s="110" t="n">
        <f aca="false">IFERROR(P56/P38,0)</f>
        <v>0.395504581437273</v>
      </c>
      <c r="Q57" s="110" t="n">
        <f aca="false">IFERROR(Q56/Q38,0)</f>
        <v>0.43012506291691</v>
      </c>
      <c r="R57" s="110" t="n">
        <f aca="false">IFERROR(R56/R38,0)</f>
        <v>0.459644264052299</v>
      </c>
      <c r="S57" s="110" t="n">
        <f aca="false">IFERROR(S56/S38,0)</f>
        <v>0.485112317042614</v>
      </c>
      <c r="T57" s="110" t="n">
        <f aca="false">IFERROR(T56/T38,0)</f>
        <v>0.507309626939966</v>
      </c>
      <c r="U57" s="110" t="n">
        <f aca="false">IFERROR(U56/U38,0)</f>
        <v>0.489442559456439</v>
      </c>
      <c r="V57" s="110" t="n">
        <f aca="false">IFERROR(V56/V38,0)</f>
        <v>0.467386883903186</v>
      </c>
      <c r="W57" s="110" t="n">
        <f aca="false">IFERROR(W56/W38,0)</f>
        <v>0.486953179215629</v>
      </c>
      <c r="X57" s="110" t="n">
        <f aca="false">IFERROR(X56/X38,0)</f>
        <v>0.499634072060619</v>
      </c>
      <c r="Y57" s="110" t="n">
        <f aca="false">IFERROR(Y56/Y38,0)</f>
        <v>0.511448339240387</v>
      </c>
      <c r="Z57" s="110" t="n">
        <f aca="false">IFERROR(Z56/Z38,0)</f>
        <v>0.520955773565233</v>
      </c>
      <c r="AA57" s="110" t="n">
        <f aca="false">IFERROR(AA56/AA38,0)</f>
        <v>0.501792876895004</v>
      </c>
      <c r="AB57" s="110" t="n">
        <f aca="false">IFERROR(AB56/AB38,0)</f>
        <v>0.511056958166118</v>
      </c>
      <c r="AC57" s="110" t="n">
        <f aca="false">IFERROR(AC56/AC38,0)</f>
        <v>0.519851498884711</v>
      </c>
      <c r="AD57" s="110" t="n">
        <f aca="false">IFERROR(AD56/AD38,0)</f>
        <v>0.528211314048581</v>
      </c>
      <c r="AE57" s="110" t="n">
        <f aca="false">IFERROR(AE56/AE38,0)</f>
        <v>0.536167859771522</v>
      </c>
      <c r="AF57" s="110" t="n">
        <f aca="false">IFERROR(AF56/AF38,0)</f>
        <v>0.543749628816594</v>
      </c>
      <c r="AG57" s="110" t="n">
        <f aca="false">IFERROR(AG56/AG38,0)</f>
        <v>0.550982491523094</v>
      </c>
      <c r="AH57" s="110" t="n">
        <f aca="false">IFERROR(AH56/AH38,0)</f>
        <v>0.532357741086308</v>
      </c>
      <c r="AI57" s="110" t="n">
        <f aca="false">IFERROR(AI56/AI38,0)</f>
        <v>0.539522987770253</v>
      </c>
      <c r="AJ57" s="110" t="n">
        <f aca="false">IFERROR(AJ56/AJ38,0)</f>
        <v>0.546379787775145</v>
      </c>
      <c r="AK57" s="110" t="n">
        <f aca="false">IFERROR(AK56/AK38,0)</f>
        <v>0.552947638281827</v>
      </c>
      <c r="AL57" s="110" t="n">
        <f aca="false">IFERROR(AL56/AL38,0)</f>
        <v>0.559244427135467</v>
      </c>
      <c r="AM57" s="110" t="n">
        <f aca="false">IFERROR(AM56/AM38,0)</f>
        <v>0.543200913034567</v>
      </c>
      <c r="AN57" s="110" t="n">
        <f aca="false">IFERROR(AN56/AN38,0)</f>
        <v>0.549441284104519</v>
      </c>
      <c r="AO57" s="110" t="n">
        <f aca="false">IFERROR(AO56/AO38,0)</f>
        <v>0.555439123218706</v>
      </c>
      <c r="AP57" s="110" t="n">
        <f aca="false">IFERROR(AP56/AP38,0)</f>
        <v>0.561208299861303</v>
      </c>
      <c r="AQ57" s="110" t="n">
        <f aca="false">IFERROR(AQ56/AQ38,0)</f>
        <v>0.566761645773635</v>
      </c>
      <c r="AR57" s="110" t="n">
        <f aca="false">IFERROR(AR56/AR38,0)</f>
        <v>0.572111050229529</v>
      </c>
      <c r="AS57" s="110" t="n">
        <f aca="false">IFERROR(AS56/AS38,0)</f>
        <v>0.572111050229529</v>
      </c>
      <c r="AT57" s="110" t="n">
        <f aca="false">IFERROR(AT56/AT38,0)</f>
        <v>0.572111050229529</v>
      </c>
      <c r="AU57" s="110" t="n">
        <f aca="false">IFERROR(AU56/AU38,0)</f>
        <v>0.572111050229529</v>
      </c>
      <c r="AV57" s="110" t="n">
        <f aca="false">IFERROR(AV56/AV38,0)</f>
        <v>0.572111050229529</v>
      </c>
      <c r="AW57" s="110" t="n">
        <f aca="false">IFERROR(AW56/AW38,0)</f>
        <v>0.572111050229529</v>
      </c>
      <c r="AX57" s="110" t="n">
        <f aca="false">IFERROR(AX56/AX38,0)</f>
        <v>0.572111050229529</v>
      </c>
      <c r="AY57" s="110" t="n">
        <f aca="false">IFERROR(AY56/AY38,0)</f>
        <v>0.551971398557264</v>
      </c>
      <c r="AZ57" s="110" t="n">
        <f aca="false">IFERROR(AZ56/AZ38,0)</f>
        <v>0.551971398557264</v>
      </c>
      <c r="BA57" s="110" t="n">
        <f aca="false">IFERROR(BA56/BA38,0)</f>
        <v>0.551971398557264</v>
      </c>
      <c r="BB57" s="110" t="n">
        <f aca="false">IFERROR(BB56/BB38,0)</f>
        <v>0.551971398557264</v>
      </c>
      <c r="BC57" s="110" t="n">
        <f aca="false">IFERROR(BC56/BC38,0)</f>
        <v>0.551971398557264</v>
      </c>
      <c r="BD57" s="110" t="n">
        <f aca="false">IFERROR(BD56/BD38,0)</f>
        <v>0.551971398557264</v>
      </c>
      <c r="BE57" s="110" t="n">
        <f aca="false">IFERROR(BE56/BE38,0)</f>
        <v>0.551971398557264</v>
      </c>
      <c r="BF57" s="110" t="n">
        <f aca="false">IFERROR(BF56/BF38,0)</f>
        <v>0.551971398557264</v>
      </c>
      <c r="BG57" s="110" t="n">
        <f aca="false">IFERROR(BG56/BG38,0)</f>
        <v>0.551971398557264</v>
      </c>
      <c r="BH57" s="110" t="n">
        <f aca="false">IFERROR(BH56/BH38,0)</f>
        <v>0.551971398557264</v>
      </c>
      <c r="BI57" s="110" t="n">
        <f aca="false">IFERROR(BI56/BI38,0)</f>
        <v>0.551971398557264</v>
      </c>
      <c r="BJ57" s="110" t="n">
        <f aca="false">IFERROR(BJ56/BJ38,0)</f>
        <v>0.551971398557264</v>
      </c>
      <c r="BK57" s="110" t="n">
        <f aca="false">IFERROR(BK56/BK38,0)</f>
        <v>0.531747637629532</v>
      </c>
      <c r="BL57" s="110" t="n">
        <f aca="false">IFERROR(BL56/BL38,0)</f>
        <v>0.531747637629532</v>
      </c>
      <c r="BM57" s="110" t="n">
        <f aca="false">IFERROR(BM56/BM38,0)</f>
        <v>0.531747637629532</v>
      </c>
      <c r="BN57" s="110" t="n">
        <f aca="false">IFERROR(BN56/BN38,0)</f>
        <v>0.531747637629532</v>
      </c>
      <c r="BO57" s="110" t="n">
        <f aca="false">IFERROR(BO56/BO38,0)</f>
        <v>0.531747637629532</v>
      </c>
      <c r="BP57" s="110" t="n">
        <f aca="false">IFERROR(BP56/BP38,0)</f>
        <v>0.531747637629532</v>
      </c>
      <c r="BQ57" s="110" t="n">
        <f aca="false">IFERROR(BQ56/BQ38,0)</f>
        <v>0.531747637629532</v>
      </c>
      <c r="BR57" s="110" t="n">
        <f aca="false">IFERROR(BR56/BR38,0)</f>
        <v>0.531747637629532</v>
      </c>
      <c r="BS57" s="110" t="n">
        <f aca="false">IFERROR(BS56/BS38,0)</f>
        <v>0.531747637629532</v>
      </c>
      <c r="BT57" s="110" t="n">
        <f aca="false">IFERROR(BT56/BT38,0)</f>
        <v>0.531747637629532</v>
      </c>
      <c r="BU57" s="110" t="n">
        <f aca="false">IFERROR(BU56/BU38,0)</f>
        <v>0.531747637629532</v>
      </c>
      <c r="BV57" s="110" t="n">
        <f aca="false">IFERROR(BV56/BV38,0)</f>
        <v>0.531747637629532</v>
      </c>
      <c r="BW57" s="110" t="n">
        <f aca="false">IFERROR(BW56/BW38,0)</f>
        <v>0.511437244168667</v>
      </c>
      <c r="BX57" s="110" t="n">
        <f aca="false">IFERROR(BX56/BX38,0)</f>
        <v>0.511437244168667</v>
      </c>
      <c r="BY57" s="110" t="n">
        <f aca="false">IFERROR(BY56/BY38,0)</f>
        <v>0.511437244168667</v>
      </c>
      <c r="BZ57" s="110" t="n">
        <f aca="false">IFERROR(BZ56/BZ38,0)</f>
        <v>0.511437244168667</v>
      </c>
      <c r="CA57" s="110" t="n">
        <f aca="false">IFERROR(CA56/CA38,0)</f>
        <v>0.511437244168667</v>
      </c>
      <c r="CB57" s="110" t="n">
        <f aca="false">IFERROR(CB56/CB38,0)</f>
        <v>0.511437244168667</v>
      </c>
      <c r="CC57" s="110" t="n">
        <f aca="false">IFERROR(CC56/CC38,0)</f>
        <v>0.511437244168667</v>
      </c>
      <c r="CD57" s="110" t="n">
        <f aca="false">IFERROR(CD56/CD38,0)</f>
        <v>0.511437244168667</v>
      </c>
      <c r="CE57" s="110" t="n">
        <f aca="false">IFERROR(CE56/CE38,0)</f>
        <v>0.511437244168667</v>
      </c>
      <c r="CF57" s="110" t="n">
        <f aca="false">IFERROR(CF56/CF38,0)</f>
        <v>0.511437244168667</v>
      </c>
      <c r="CG57" s="110" t="n">
        <f aca="false">IFERROR(CG56/CG38,0)</f>
        <v>0.511437244168667</v>
      </c>
      <c r="CH57" s="110" t="n">
        <f aca="false">IFERROR(CH56/CH38,0)</f>
        <v>0.511437244168667</v>
      </c>
    </row>
    <row r="58" customFormat="false" ht="13.5" hidden="false" customHeight="true" outlineLevel="0" collapsed="false">
      <c r="A58" s="6" t="s">
        <v>534</v>
      </c>
      <c r="C58" s="100" t="n">
        <f aca="false">-(CAPEX!$G$22)/(Hipótesis!$E$86*12)</f>
        <v>-1516.90476190476</v>
      </c>
      <c r="D58" s="100" t="n">
        <f aca="false">-(CAPEX!$G$22)/(Hipótesis!$E$86*12)</f>
        <v>-1516.90476190476</v>
      </c>
      <c r="E58" s="100" t="n">
        <f aca="false">-(CAPEX!$G$22)/(Hipótesis!$E$86*12)</f>
        <v>-1516.90476190476</v>
      </c>
      <c r="F58" s="100" t="n">
        <f aca="false">-(CAPEX!$G$22)/(Hipótesis!$E$86*12)</f>
        <v>-1516.90476190476</v>
      </c>
      <c r="G58" s="100" t="n">
        <f aca="false">-(CAPEX!$G$22)/(Hipótesis!$E$86*12)</f>
        <v>-1516.90476190476</v>
      </c>
      <c r="H58" s="100" t="n">
        <f aca="false">-(CAPEX!$G$22)/(Hipótesis!$E$86*12)</f>
        <v>-1516.90476190476</v>
      </c>
      <c r="I58" s="100" t="n">
        <f aca="false">-(CAPEX!$G$22)/(Hipótesis!$E$86*12)</f>
        <v>-1516.90476190476</v>
      </c>
      <c r="J58" s="100" t="n">
        <f aca="false">-(CAPEX!$G$22)/(Hipótesis!$E$86*12)</f>
        <v>-1516.90476190476</v>
      </c>
      <c r="K58" s="100" t="n">
        <f aca="false">-(CAPEX!$G$22)/(Hipótesis!$E$86*12)</f>
        <v>-1516.90476190476</v>
      </c>
      <c r="L58" s="100" t="n">
        <f aca="false">-(CAPEX!$G$22)/(Hipótesis!$E$86*12)</f>
        <v>-1516.90476190476</v>
      </c>
      <c r="M58" s="100" t="n">
        <f aca="false">-(CAPEX!$G$22)/(Hipótesis!$E$86*12)</f>
        <v>-1516.90476190476</v>
      </c>
      <c r="N58" s="100" t="n">
        <f aca="false">-(CAPEX!$G$22)/(Hipótesis!$E$86*12)</f>
        <v>-1516.90476190476</v>
      </c>
      <c r="O58" s="100" t="n">
        <f aca="false">-(CAPEX!$G$22)/(Hipótesis!$E$86*12)</f>
        <v>-1516.90476190476</v>
      </c>
      <c r="P58" s="100" t="n">
        <f aca="false">-(CAPEX!$G$22)/(Hipótesis!$E$86*12)</f>
        <v>-1516.90476190476</v>
      </c>
      <c r="Q58" s="100" t="n">
        <f aca="false">-(CAPEX!$G$22)/(Hipótesis!$E$86*12)</f>
        <v>-1516.90476190476</v>
      </c>
      <c r="R58" s="100" t="n">
        <f aca="false">-(CAPEX!$G$22)/(Hipótesis!$E$86*12)</f>
        <v>-1516.90476190476</v>
      </c>
      <c r="S58" s="100" t="n">
        <f aca="false">-(CAPEX!$G$22)/(Hipótesis!$E$86*12)</f>
        <v>-1516.90476190476</v>
      </c>
      <c r="T58" s="100" t="n">
        <f aca="false">-(CAPEX!$G$22)/(Hipótesis!$E$86*12)</f>
        <v>-1516.90476190476</v>
      </c>
      <c r="U58" s="100" t="n">
        <f aca="false">-(CAPEX!$G$22)/(Hipótesis!$E$86*12)</f>
        <v>-1516.90476190476</v>
      </c>
      <c r="V58" s="100" t="n">
        <f aca="false">-(CAPEX!$G$22)/(Hipótesis!$E$86*12)</f>
        <v>-1516.90476190476</v>
      </c>
      <c r="W58" s="100" t="n">
        <f aca="false">-(CAPEX!$G$22)/(Hipótesis!$E$86*12)</f>
        <v>-1516.90476190476</v>
      </c>
      <c r="X58" s="100" t="n">
        <f aca="false">-(CAPEX!$G$22)/(Hipótesis!$E$86*12)</f>
        <v>-1516.90476190476</v>
      </c>
      <c r="Y58" s="100" t="n">
        <f aca="false">-(CAPEX!$G$22)/(Hipótesis!$E$86*12)</f>
        <v>-1516.90476190476</v>
      </c>
      <c r="Z58" s="100" t="n">
        <f aca="false">-(CAPEX!$G$22)/(Hipótesis!$E$86*12)</f>
        <v>-1516.90476190476</v>
      </c>
      <c r="AA58" s="100" t="n">
        <f aca="false">-(CAPEX!$G$22)/(Hipótesis!$E$86*12)</f>
        <v>-1516.90476190476</v>
      </c>
      <c r="AB58" s="100" t="n">
        <f aca="false">-(CAPEX!$G$22)/(Hipótesis!$E$86*12)</f>
        <v>-1516.90476190476</v>
      </c>
      <c r="AC58" s="100" t="n">
        <f aca="false">-(CAPEX!$G$22)/(Hipótesis!$E$86*12)</f>
        <v>-1516.90476190476</v>
      </c>
      <c r="AD58" s="100" t="n">
        <f aca="false">-(CAPEX!$G$22)/(Hipótesis!$E$86*12)</f>
        <v>-1516.90476190476</v>
      </c>
      <c r="AE58" s="100" t="n">
        <f aca="false">-(CAPEX!$G$22)/(Hipótesis!$E$86*12)</f>
        <v>-1516.90476190476</v>
      </c>
      <c r="AF58" s="100" t="n">
        <f aca="false">-(CAPEX!$G$22)/(Hipótesis!$E$86*12)</f>
        <v>-1516.90476190476</v>
      </c>
      <c r="AG58" s="100" t="n">
        <f aca="false">-(CAPEX!$G$22)/(Hipótesis!$E$86*12)</f>
        <v>-1516.90476190476</v>
      </c>
      <c r="AH58" s="100" t="n">
        <f aca="false">-(CAPEX!$G$22)/(Hipótesis!$E$86*12)</f>
        <v>-1516.90476190476</v>
      </c>
      <c r="AI58" s="100" t="n">
        <f aca="false">-(CAPEX!$G$22)/(Hipótesis!$E$86*12)</f>
        <v>-1516.90476190476</v>
      </c>
      <c r="AJ58" s="100" t="n">
        <f aca="false">-(CAPEX!$G$22)/(Hipótesis!$E$86*12)</f>
        <v>-1516.90476190476</v>
      </c>
      <c r="AK58" s="100" t="n">
        <f aca="false">-(CAPEX!$G$22)/(Hipótesis!$E$86*12)</f>
        <v>-1516.90476190476</v>
      </c>
      <c r="AL58" s="100" t="n">
        <f aca="false">-(CAPEX!$G$22)/(Hipótesis!$E$86*12)</f>
        <v>-1516.90476190476</v>
      </c>
      <c r="AM58" s="100" t="n">
        <f aca="false">-(CAPEX!$G$22)/(Hipótesis!$E$86*12)</f>
        <v>-1516.90476190476</v>
      </c>
      <c r="AN58" s="100" t="n">
        <f aca="false">-(CAPEX!$G$22)/(Hipótesis!$E$86*12)</f>
        <v>-1516.90476190476</v>
      </c>
      <c r="AO58" s="100" t="n">
        <f aca="false">-(CAPEX!$G$22)/(Hipótesis!$E$86*12)</f>
        <v>-1516.90476190476</v>
      </c>
      <c r="AP58" s="100" t="n">
        <f aca="false">-(CAPEX!$G$22)/(Hipótesis!$E$86*12)</f>
        <v>-1516.90476190476</v>
      </c>
      <c r="AQ58" s="100" t="n">
        <f aca="false">-(CAPEX!$G$22)/(Hipótesis!$E$86*12)</f>
        <v>-1516.90476190476</v>
      </c>
      <c r="AR58" s="100" t="n">
        <f aca="false">-(CAPEX!$G$22)/(Hipótesis!$E$86*12)</f>
        <v>-1516.90476190476</v>
      </c>
      <c r="AS58" s="100" t="n">
        <f aca="false">-(CAPEX!$G$22)/(Hipótesis!$E$86*12)</f>
        <v>-1516.90476190476</v>
      </c>
      <c r="AT58" s="100" t="n">
        <f aca="false">-(CAPEX!$G$22)/(Hipótesis!$E$86*12)</f>
        <v>-1516.90476190476</v>
      </c>
      <c r="AU58" s="100" t="n">
        <f aca="false">-(CAPEX!$G$22)/(Hipótesis!$E$86*12)</f>
        <v>-1516.90476190476</v>
      </c>
      <c r="AV58" s="100" t="n">
        <f aca="false">-(CAPEX!$G$22)/(Hipótesis!$E$86*12)</f>
        <v>-1516.90476190476</v>
      </c>
      <c r="AW58" s="100" t="n">
        <f aca="false">-(CAPEX!$G$22)/(Hipótesis!$E$86*12)</f>
        <v>-1516.90476190476</v>
      </c>
      <c r="AX58" s="100" t="n">
        <f aca="false">-(CAPEX!$G$22)/(Hipótesis!$E$86*12)</f>
        <v>-1516.90476190476</v>
      </c>
      <c r="AY58" s="100" t="n">
        <f aca="false">-(CAPEX!$G$22)/(Hipótesis!$E$86*12)</f>
        <v>-1516.90476190476</v>
      </c>
      <c r="AZ58" s="100" t="n">
        <f aca="false">-(CAPEX!$G$22)/(Hipótesis!$E$86*12)</f>
        <v>-1516.90476190476</v>
      </c>
      <c r="BA58" s="100" t="n">
        <f aca="false">-(CAPEX!$G$22)/(Hipótesis!$E$86*12)</f>
        <v>-1516.90476190476</v>
      </c>
      <c r="BB58" s="100" t="n">
        <f aca="false">-(CAPEX!$G$22)/(Hipótesis!$E$86*12)</f>
        <v>-1516.90476190476</v>
      </c>
      <c r="BC58" s="100" t="n">
        <f aca="false">-(CAPEX!$G$22)/(Hipótesis!$E$86*12)</f>
        <v>-1516.90476190476</v>
      </c>
      <c r="BD58" s="100" t="n">
        <f aca="false">-(CAPEX!$G$22)/(Hipótesis!$E$86*12)</f>
        <v>-1516.90476190476</v>
      </c>
      <c r="BE58" s="100" t="n">
        <f aca="false">-(CAPEX!$G$22)/(Hipótesis!$E$86*12)</f>
        <v>-1516.90476190476</v>
      </c>
      <c r="BF58" s="100" t="n">
        <f aca="false">-(CAPEX!$G$22)/(Hipótesis!$E$86*12)</f>
        <v>-1516.90476190476</v>
      </c>
      <c r="BG58" s="100" t="n">
        <f aca="false">-(CAPEX!$G$22)/(Hipótesis!$E$86*12)</f>
        <v>-1516.90476190476</v>
      </c>
      <c r="BH58" s="100" t="n">
        <f aca="false">-(CAPEX!$G$22)/(Hipótesis!$E$86*12)</f>
        <v>-1516.90476190476</v>
      </c>
      <c r="BI58" s="100" t="n">
        <f aca="false">-(CAPEX!$G$22)/(Hipótesis!$E$86*12)</f>
        <v>-1516.90476190476</v>
      </c>
      <c r="BJ58" s="100" t="n">
        <f aca="false">-(CAPEX!$G$22)/(Hipótesis!$E$86*12)</f>
        <v>-1516.90476190476</v>
      </c>
      <c r="BK58" s="100" t="n">
        <f aca="false">-(CAPEX!$G$22)/(Hipótesis!$E$86*12)</f>
        <v>-1516.90476190476</v>
      </c>
      <c r="BL58" s="100" t="n">
        <f aca="false">-(CAPEX!$G$22)/(Hipótesis!$E$86*12)</f>
        <v>-1516.90476190476</v>
      </c>
      <c r="BM58" s="100" t="n">
        <f aca="false">-(CAPEX!$G$22)/(Hipótesis!$E$86*12)</f>
        <v>-1516.90476190476</v>
      </c>
      <c r="BN58" s="100" t="n">
        <f aca="false">-(CAPEX!$G$22)/(Hipótesis!$E$86*12)</f>
        <v>-1516.90476190476</v>
      </c>
      <c r="BO58" s="100" t="n">
        <f aca="false">-(CAPEX!$G$22)/(Hipótesis!$E$86*12)</f>
        <v>-1516.90476190476</v>
      </c>
      <c r="BP58" s="100" t="n">
        <f aca="false">-(CAPEX!$G$22)/(Hipótesis!$E$86*12)</f>
        <v>-1516.90476190476</v>
      </c>
      <c r="BQ58" s="100" t="n">
        <f aca="false">-(CAPEX!$G$22)/(Hipótesis!$E$86*12)</f>
        <v>-1516.90476190476</v>
      </c>
      <c r="BR58" s="100" t="n">
        <f aca="false">-(CAPEX!$G$22)/(Hipótesis!$E$86*12)</f>
        <v>-1516.90476190476</v>
      </c>
      <c r="BS58" s="100" t="n">
        <f aca="false">-(CAPEX!$G$22)/(Hipótesis!$E$86*12)</f>
        <v>-1516.90476190476</v>
      </c>
      <c r="BT58" s="100" t="n">
        <f aca="false">-(CAPEX!$G$22)/(Hipótesis!$E$86*12)</f>
        <v>-1516.90476190476</v>
      </c>
      <c r="BU58" s="100" t="n">
        <f aca="false">-(CAPEX!$G$22)/(Hipótesis!$E$86*12)</f>
        <v>-1516.90476190476</v>
      </c>
      <c r="BV58" s="100" t="n">
        <f aca="false">-(CAPEX!$G$22)/(Hipótesis!$E$86*12)</f>
        <v>-1516.90476190476</v>
      </c>
      <c r="BW58" s="100" t="n">
        <f aca="false">-(CAPEX!$G$22)/(Hipótesis!$E$86*12)</f>
        <v>-1516.90476190476</v>
      </c>
      <c r="BX58" s="100" t="n">
        <f aca="false">-(CAPEX!$G$22)/(Hipótesis!$E$86*12)</f>
        <v>-1516.90476190476</v>
      </c>
      <c r="BY58" s="100" t="n">
        <f aca="false">-(CAPEX!$G$22)/(Hipótesis!$E$86*12)</f>
        <v>-1516.90476190476</v>
      </c>
      <c r="BZ58" s="100" t="n">
        <f aca="false">-(CAPEX!$G$22)/(Hipótesis!$E$86*12)</f>
        <v>-1516.90476190476</v>
      </c>
      <c r="CA58" s="100" t="n">
        <f aca="false">-(CAPEX!$G$22)/(Hipótesis!$E$86*12)</f>
        <v>-1516.90476190476</v>
      </c>
      <c r="CB58" s="100" t="n">
        <f aca="false">-(CAPEX!$G$22)/(Hipótesis!$E$86*12)</f>
        <v>-1516.90476190476</v>
      </c>
      <c r="CC58" s="100" t="n">
        <f aca="false">-(CAPEX!$G$22)/(Hipótesis!$E$86*12)</f>
        <v>-1516.90476190476</v>
      </c>
      <c r="CD58" s="100" t="n">
        <f aca="false">-(CAPEX!$G$22)/(Hipótesis!$E$86*12)</f>
        <v>-1516.90476190476</v>
      </c>
      <c r="CE58" s="100" t="n">
        <f aca="false">-(CAPEX!$G$22)/(Hipótesis!$E$86*12)</f>
        <v>-1516.90476190476</v>
      </c>
      <c r="CF58" s="100" t="n">
        <f aca="false">-(CAPEX!$G$22)/(Hipótesis!$E$86*12)</f>
        <v>-1516.90476190476</v>
      </c>
      <c r="CG58" s="100" t="n">
        <f aca="false">-(CAPEX!$G$22)/(Hipótesis!$E$86*12)</f>
        <v>-1516.90476190476</v>
      </c>
      <c r="CH58" s="100" t="n">
        <f aca="false">-(CAPEX!$G$22)/(Hipótesis!$E$86*12)</f>
        <v>-1516.90476190476</v>
      </c>
    </row>
    <row r="59" customFormat="false" ht="13.5" hidden="false" customHeight="true" outlineLevel="0" collapsed="false">
      <c r="A59" s="22" t="s">
        <v>535</v>
      </c>
      <c r="C59" s="100" t="n">
        <f aca="false">C56+C58</f>
        <v>-14855.821110551</v>
      </c>
      <c r="D59" s="100" t="n">
        <f aca="false">D56+D58</f>
        <v>-13661.8990366144</v>
      </c>
      <c r="E59" s="100" t="n">
        <f aca="false">E56+E58</f>
        <v>-11229.4639406204</v>
      </c>
      <c r="F59" s="100" t="n">
        <f aca="false">F56+F58</f>
        <v>-9910.11249598022</v>
      </c>
      <c r="G59" s="100" t="n">
        <f aca="false">G56+G58</f>
        <v>-8671.59947392289</v>
      </c>
      <c r="H59" s="100" t="n">
        <f aca="false">H56+H58</f>
        <v>-6724.82942226995</v>
      </c>
      <c r="I59" s="100" t="n">
        <f aca="false">I56+I58</f>
        <v>-2978.48283693027</v>
      </c>
      <c r="J59" s="100" t="n">
        <f aca="false">J56+J58</f>
        <v>767.863748409407</v>
      </c>
      <c r="K59" s="100" t="n">
        <f aca="false">K56+K58</f>
        <v>4514.21033374909</v>
      </c>
      <c r="L59" s="100" t="n">
        <f aca="false">L56+L58</f>
        <v>8260.55691908877</v>
      </c>
      <c r="M59" s="100" t="n">
        <f aca="false">M56+M58</f>
        <v>10768.3904823711</v>
      </c>
      <c r="N59" s="100" t="n">
        <f aca="false">N56+N58</f>
        <v>14227.1373387016</v>
      </c>
      <c r="O59" s="100" t="n">
        <f aca="false">O56+O58</f>
        <v>12458.6841950321</v>
      </c>
      <c r="P59" s="100" t="n">
        <f aca="false">P56+P58</f>
        <v>15557.8278389863</v>
      </c>
      <c r="Q59" s="100" t="n">
        <f aca="false">Q56+Q58</f>
        <v>18656.9714829405</v>
      </c>
      <c r="R59" s="100" t="n">
        <f aca="false">R56+R58</f>
        <v>21756.1151268946</v>
      </c>
      <c r="S59" s="100" t="n">
        <f aca="false">S56+S58</f>
        <v>24855.2587708488</v>
      </c>
      <c r="T59" s="100" t="n">
        <f aca="false">T56+T58</f>
        <v>27954.402414803</v>
      </c>
      <c r="U59" s="100" t="n">
        <f aca="false">U56+U58</f>
        <v>28742.2260587571</v>
      </c>
      <c r="V59" s="100" t="n">
        <f aca="false">V56+V58</f>
        <v>29122.1697027113</v>
      </c>
      <c r="W59" s="100" t="n">
        <f aca="false">W56+W58</f>
        <v>32221.3133466654</v>
      </c>
      <c r="X59" s="100" t="n">
        <f aca="false">X56+X58</f>
        <v>34369.5436975715</v>
      </c>
      <c r="Y59" s="100" t="n">
        <f aca="false">Y56+Y58</f>
        <v>36517.7740484775</v>
      </c>
      <c r="Z59" s="100" t="n">
        <f aca="false">Z56+Z58</f>
        <v>38317.3505821642</v>
      </c>
      <c r="AA59" s="100" t="n">
        <f aca="false">AA56+AA58</f>
        <v>37904.4355158509</v>
      </c>
      <c r="AB59" s="100" t="n">
        <f aca="false">AB56+AB58</f>
        <v>39704.0120495377</v>
      </c>
      <c r="AC59" s="100" t="n">
        <f aca="false">AC56+AC58</f>
        <v>41503.5885832244</v>
      </c>
      <c r="AD59" s="100" t="n">
        <f aca="false">AD56+AD58</f>
        <v>43303.1651169112</v>
      </c>
      <c r="AE59" s="100" t="n">
        <f aca="false">AE56+AE58</f>
        <v>45102.7416505979</v>
      </c>
      <c r="AF59" s="100" t="n">
        <f aca="false">AF56+AF58</f>
        <v>46902.3181842846</v>
      </c>
      <c r="AG59" s="100" t="n">
        <f aca="false">AG56+AG58</f>
        <v>48701.8947179714</v>
      </c>
      <c r="AH59" s="100" t="n">
        <f aca="false">AH56+AH58</f>
        <v>48120.8116516581</v>
      </c>
      <c r="AI59" s="100" t="n">
        <f aca="false">AI56+AI58</f>
        <v>49920.3881853449</v>
      </c>
      <c r="AJ59" s="100" t="n">
        <f aca="false">AJ56+AJ58</f>
        <v>51719.9647190316</v>
      </c>
      <c r="AK59" s="100" t="n">
        <f aca="false">AK56+AK58</f>
        <v>53519.5412527183</v>
      </c>
      <c r="AL59" s="100" t="n">
        <f aca="false">AL56+AL58</f>
        <v>55319.1177864051</v>
      </c>
      <c r="AM59" s="100" t="n">
        <f aca="false">AM56+AM58</f>
        <v>54827.8081840918</v>
      </c>
      <c r="AN59" s="100" t="n">
        <f aca="false">AN56+AN58</f>
        <v>56627.3847177786</v>
      </c>
      <c r="AO59" s="100" t="n">
        <f aca="false">AO56+AO58</f>
        <v>58426.9612514653</v>
      </c>
      <c r="AP59" s="100" t="n">
        <f aca="false">AP56+AP58</f>
        <v>60226.537785152</v>
      </c>
      <c r="AQ59" s="100" t="n">
        <f aca="false">AQ56+AQ58</f>
        <v>62026.1143188388</v>
      </c>
      <c r="AR59" s="100" t="n">
        <f aca="false">AR56+AR58</f>
        <v>63825.6908525255</v>
      </c>
      <c r="AS59" s="100" t="n">
        <f aca="false">AS56+AS58</f>
        <v>63825.6908525255</v>
      </c>
      <c r="AT59" s="100" t="n">
        <f aca="false">AT56+AT58</f>
        <v>63825.6908525255</v>
      </c>
      <c r="AU59" s="100" t="n">
        <f aca="false">AU56+AU58</f>
        <v>63825.6908525255</v>
      </c>
      <c r="AV59" s="100" t="n">
        <f aca="false">AV56+AV58</f>
        <v>63825.6908525255</v>
      </c>
      <c r="AW59" s="100" t="n">
        <f aca="false">AW56+AW58</f>
        <v>63825.6908525255</v>
      </c>
      <c r="AX59" s="100" t="n">
        <f aca="false">AX56+AX58</f>
        <v>63825.6908525255</v>
      </c>
      <c r="AY59" s="100" t="n">
        <f aca="false">AY56+AY58</f>
        <v>61525.4781324455</v>
      </c>
      <c r="AZ59" s="100" t="n">
        <f aca="false">AZ56+AZ58</f>
        <v>61525.4781324455</v>
      </c>
      <c r="BA59" s="100" t="n">
        <f aca="false">BA56+BA58</f>
        <v>61525.4781324455</v>
      </c>
      <c r="BB59" s="100" t="n">
        <f aca="false">BB56+BB58</f>
        <v>61525.4781324455</v>
      </c>
      <c r="BC59" s="100" t="n">
        <f aca="false">BC56+BC58</f>
        <v>61525.4781324455</v>
      </c>
      <c r="BD59" s="100" t="n">
        <f aca="false">BD56+BD58</f>
        <v>61525.4781324455</v>
      </c>
      <c r="BE59" s="100" t="n">
        <f aca="false">BE56+BE58</f>
        <v>61525.4781324455</v>
      </c>
      <c r="BF59" s="100" t="n">
        <f aca="false">BF56+BF58</f>
        <v>61525.4781324455</v>
      </c>
      <c r="BG59" s="100" t="n">
        <f aca="false">BG56+BG58</f>
        <v>61525.4781324455</v>
      </c>
      <c r="BH59" s="100" t="n">
        <f aca="false">BH56+BH58</f>
        <v>61525.4781324455</v>
      </c>
      <c r="BI59" s="100" t="n">
        <f aca="false">BI56+BI58</f>
        <v>61525.4781324455</v>
      </c>
      <c r="BJ59" s="100" t="n">
        <f aca="false">BJ56+BJ58</f>
        <v>61525.4781324455</v>
      </c>
      <c r="BK59" s="100" t="n">
        <f aca="false">BK56+BK58</f>
        <v>59215.6590307631</v>
      </c>
      <c r="BL59" s="100" t="n">
        <f aca="false">BL56+BL58</f>
        <v>59215.6590307631</v>
      </c>
      <c r="BM59" s="100" t="n">
        <f aca="false">BM56+BM58</f>
        <v>59215.6590307631</v>
      </c>
      <c r="BN59" s="100" t="n">
        <f aca="false">BN56+BN58</f>
        <v>59215.6590307631</v>
      </c>
      <c r="BO59" s="100" t="n">
        <f aca="false">BO56+BO58</f>
        <v>59215.6590307631</v>
      </c>
      <c r="BP59" s="100" t="n">
        <f aca="false">BP56+BP58</f>
        <v>59215.6590307631</v>
      </c>
      <c r="BQ59" s="100" t="n">
        <f aca="false">BQ56+BQ58</f>
        <v>59215.6590307631</v>
      </c>
      <c r="BR59" s="100" t="n">
        <f aca="false">BR56+BR58</f>
        <v>59215.6590307631</v>
      </c>
      <c r="BS59" s="100" t="n">
        <f aca="false">BS56+BS58</f>
        <v>59215.6590307631</v>
      </c>
      <c r="BT59" s="100" t="n">
        <f aca="false">BT56+BT58</f>
        <v>59215.6590307631</v>
      </c>
      <c r="BU59" s="100" t="n">
        <f aca="false">BU56+BU58</f>
        <v>59215.6590307631</v>
      </c>
      <c r="BV59" s="100" t="n">
        <f aca="false">BV56+BV58</f>
        <v>59215.6590307631</v>
      </c>
      <c r="BW59" s="100" t="n">
        <f aca="false">BW56+BW58</f>
        <v>56895.9453560302</v>
      </c>
      <c r="BX59" s="100" t="n">
        <f aca="false">BX56+BX58</f>
        <v>56895.9453560302</v>
      </c>
      <c r="BY59" s="100" t="n">
        <f aca="false">BY56+BY58</f>
        <v>56895.9453560302</v>
      </c>
      <c r="BZ59" s="100" t="n">
        <f aca="false">BZ56+BZ58</f>
        <v>56895.9453560302</v>
      </c>
      <c r="CA59" s="100" t="n">
        <f aca="false">CA56+CA58</f>
        <v>56895.9453560302</v>
      </c>
      <c r="CB59" s="100" t="n">
        <f aca="false">CB56+CB58</f>
        <v>56895.9453560302</v>
      </c>
      <c r="CC59" s="100" t="n">
        <f aca="false">CC56+CC58</f>
        <v>56895.9453560302</v>
      </c>
      <c r="CD59" s="100" t="n">
        <f aca="false">CD56+CD58</f>
        <v>56895.9453560302</v>
      </c>
      <c r="CE59" s="100" t="n">
        <f aca="false">CE56+CE58</f>
        <v>56895.9453560302</v>
      </c>
      <c r="CF59" s="100" t="n">
        <f aca="false">CF56+CF58</f>
        <v>56895.9453560302</v>
      </c>
      <c r="CG59" s="100" t="n">
        <f aca="false">CG56+CG58</f>
        <v>56895.9453560302</v>
      </c>
      <c r="CH59" s="100" t="n">
        <f aca="false">CH56+CH58</f>
        <v>56895.9453560302</v>
      </c>
    </row>
    <row r="60" customFormat="false" ht="13.5" hidden="false" customHeight="true" outlineLevel="0" collapsed="false">
      <c r="A60" s="6" t="s">
        <v>536</v>
      </c>
      <c r="C60" s="100" t="n">
        <f aca="false">-(C91+C98+C103+C77+C68*Hipótesis!$D$73*Hipótesis!$D$74/12)</f>
        <v>-337.151375911458</v>
      </c>
      <c r="D60" s="100" t="n">
        <f aca="false">-(D91+D98+D103+D77+D68*Hipótesis!$D$73*Hipótesis!$D$74/12)</f>
        <v>-341.266713802083</v>
      </c>
      <c r="E60" s="100" t="n">
        <f aca="false">-(E91+E98+E103+E77+E68*Hipótesis!$D$73*Hipótesis!$D$74/12)</f>
        <v>-349.856965511068</v>
      </c>
      <c r="F60" s="100" t="n">
        <f aca="false">-(F91+F98+F103+F77+F68*Hipótesis!$D$73*Hipótesis!$D$74/12)</f>
        <v>-354.629174641927</v>
      </c>
      <c r="G60" s="100" t="n">
        <f aca="false">-(G91+G98+G103+G77+G68*Hipótesis!$D$73*Hipótesis!$D$74/12)</f>
        <v>-359.104088460286</v>
      </c>
      <c r="H60" s="100" t="n">
        <f aca="false">-(H91+H98+H103+H77+H68*Hipótesis!$D$73*Hipótesis!$D$74/12)</f>
        <v>-366.304209309896</v>
      </c>
      <c r="I60" s="100" t="n">
        <f aca="false">-(I91+I98+I103+I77+I68*Hipótesis!$D$73*Hipótesis!$D$74/12)</f>
        <v>-380.058034760316</v>
      </c>
      <c r="J60" s="100" t="n">
        <f aca="false">-(J91+J98+J103+J77+J68*Hipótesis!$D$73*Hipótesis!$D$74/12)</f>
        <v>-441.37430553455</v>
      </c>
      <c r="K60" s="100" t="n">
        <f aca="false">-(K91+K98+K103+K77+K68*Hipótesis!$D$73*Hipótesis!$D$74/12)</f>
        <v>-555.608206778698</v>
      </c>
      <c r="L60" s="100" t="n">
        <f aca="false">-(L91+L98+L103+L77+L68*Hipótesis!$D$73*Hipótesis!$D$74/12)</f>
        <v>-650.237153487239</v>
      </c>
      <c r="M60" s="100" t="n">
        <f aca="false">-(M91+M98+M103+M77+M68*Hipótesis!$D$73*Hipótesis!$D$74/12)</f>
        <v>-695.939593765288</v>
      </c>
      <c r="N60" s="100" t="n">
        <f aca="false">-(N91+N98+N103+N77+N68*Hipótesis!$D$73*Hipótesis!$D$74/12)</f>
        <v>-758.474367794077</v>
      </c>
      <c r="O60" s="100" t="n">
        <f aca="false">-(O91+O98+O103+O77+O68*Hipótesis!$D$73*Hipótesis!$D$74/12)</f>
        <v>-736.100407958998</v>
      </c>
      <c r="P60" s="100" t="n">
        <f aca="false">-(P91+P98+P103+P77+P68*Hipótesis!$D$73*Hipótesis!$D$74/12)</f>
        <v>-809.740554970142</v>
      </c>
      <c r="Q60" s="100" t="n">
        <f aca="false">-(Q91+Q98+Q103+Q77+Q68*Hipótesis!$D$73*Hipótesis!$D$74/12)</f>
        <v>-883.380701981286</v>
      </c>
      <c r="R60" s="100" t="n">
        <f aca="false">-(R91+R98+R103+R77+R68*Hipótesis!$D$73*Hipótesis!$D$74/12)</f>
        <v>-957.02084899243</v>
      </c>
      <c r="S60" s="100" t="n">
        <f aca="false">-(S91+S98+S103+S77+S68*Hipótesis!$D$73*Hipótesis!$D$74/12)</f>
        <v>-1030.66099600357</v>
      </c>
      <c r="T60" s="100" t="n">
        <f aca="false">-(T91+T98+T103+T77+T68*Hipótesis!$D$73*Hipótesis!$D$74/12)</f>
        <v>-1104.30114301472</v>
      </c>
      <c r="U60" s="100" t="n">
        <f aca="false">-(U91+U98+U103+U77+U68*Hipótesis!$D$73*Hipótesis!$D$74/12)</f>
        <v>-1131.71489002586</v>
      </c>
      <c r="V60" s="100" t="n">
        <f aca="false">-(V91+V98+V103+V77+V68*Hipótesis!$D$73*Hipótesis!$D$74/12)</f>
        <v>-1150.97103703701</v>
      </c>
      <c r="W60" s="100" t="n">
        <f aca="false">-(W91+W98+W103+W77+W68*Hipótesis!$D$73*Hipótesis!$D$74/12)</f>
        <v>-1224.61118404815</v>
      </c>
      <c r="X60" s="100" t="n">
        <f aca="false">-(X91+X98+X103+X77+X68*Hipótesis!$D$73*Hipótesis!$D$74/12)</f>
        <v>-1275.51687379208</v>
      </c>
      <c r="Y60" s="100" t="n">
        <f aca="false">-(Y91+Y98+Y103+Y77+Y68*Hipótesis!$D$73*Hipótesis!$D$74/12)</f>
        <v>-1326.42256353601</v>
      </c>
      <c r="Z60" s="100" t="n">
        <f aca="false">-(Z91+Z98+Z103+Z77+Z68*Hipótesis!$D$73*Hipótesis!$D$74/12)</f>
        <v>-1368.96779881056</v>
      </c>
      <c r="AA60" s="100" t="n">
        <f aca="false">-(AA91+AA98+AA103+AA77+AA68*Hipótesis!$D$73*Hipótesis!$D$74/12)</f>
        <v>-1367.2632020851</v>
      </c>
      <c r="AB60" s="100" t="n">
        <f aca="false">-(AB91+AB98+AB103+AB77+AB68*Hipótesis!$D$73*Hipótesis!$D$74/12)</f>
        <v>-1404.2528818041</v>
      </c>
      <c r="AC60" s="100" t="n">
        <f aca="false">-(AC91+AC98+AC103+AC77+AC68*Hipótesis!$D$73*Hipótesis!$D$74/12)</f>
        <v>-1441.24256152309</v>
      </c>
      <c r="AD60" s="100" t="n">
        <f aca="false">-(AD91+AD98+AD103+AD77+AD68*Hipótesis!$D$73*Hipótesis!$D$74/12)</f>
        <v>-1478.23224124208</v>
      </c>
      <c r="AE60" s="100" t="n">
        <f aca="false">-(AE91+AE98+AE103+AE77+AE68*Hipótesis!$D$73*Hipótesis!$D$74/12)</f>
        <v>-1515.22192096107</v>
      </c>
      <c r="AF60" s="100" t="n">
        <f aca="false">-(AF91+AF98+AF103+AF77+AF68*Hipótesis!$D$73*Hipótesis!$D$74/12)</f>
        <v>-1552.21160068006</v>
      </c>
      <c r="AG60" s="100" t="n">
        <f aca="false">-(AG91+AG98+AG103+AG77+AG68*Hipótesis!$D$73*Hipótesis!$D$74/12)</f>
        <v>-1589.20128039905</v>
      </c>
      <c r="AH60" s="100" t="n">
        <f aca="false">-(AH91+AH98+AH103+AH77+AH68*Hipótesis!$D$73*Hipótesis!$D$74/12)</f>
        <v>-1578.57776811804</v>
      </c>
      <c r="AI60" s="100" t="n">
        <f aca="false">-(AI91+AI98+AI103+AI77+AI68*Hipótesis!$D$73*Hipótesis!$D$74/12)</f>
        <v>-1615.56744783703</v>
      </c>
      <c r="AJ60" s="100" t="n">
        <f aca="false">-(AJ91+AJ98+AJ103+AJ77+AJ68*Hipótesis!$D$73*Hipótesis!$D$74/12)</f>
        <v>-1652.55712755602</v>
      </c>
      <c r="AK60" s="100" t="n">
        <f aca="false">-(AK91+AK98+AK103+AK77+AK68*Hipótesis!$D$73*Hipótesis!$D$74/12)</f>
        <v>-1689.54680727501</v>
      </c>
      <c r="AL60" s="100" t="n">
        <f aca="false">-(AL91+AL98+AL103+AL77+AL68*Hipótesis!$D$73*Hipótesis!$D$74/12)</f>
        <v>-1726.536486994</v>
      </c>
      <c r="AM60" s="100" t="n">
        <f aca="false">-(AM91+AM98+AM103+AM77+AM68*Hipótesis!$D$73*Hipótesis!$D$74/12)</f>
        <v>-1717.70844399299</v>
      </c>
      <c r="AN60" s="100" t="n">
        <f aca="false">-(AN91+AN98+AN103+AN77+AN68*Hipótesis!$D$73*Hipótesis!$D$74/12)</f>
        <v>-1754.69812371198</v>
      </c>
      <c r="AO60" s="100" t="n">
        <f aca="false">-(AO91+AO98+AO103+AO77+AO68*Hipótesis!$D$73*Hipótesis!$D$74/12)</f>
        <v>-1791.68780343097</v>
      </c>
      <c r="AP60" s="100" t="n">
        <f aca="false">-(AP91+AP98+AP103+AP77+AP68*Hipótesis!$D$73*Hipótesis!$D$74/12)</f>
        <v>-1828.67748314996</v>
      </c>
      <c r="AQ60" s="100" t="n">
        <f aca="false">-(AQ91+AQ98+AQ103+AQ77+AQ68*Hipótesis!$D$73*Hipótesis!$D$74/12)</f>
        <v>-1865.66716286895</v>
      </c>
      <c r="AR60" s="100" t="n">
        <f aca="false">-(AR91+AR98+AR103+AR77+AR68*Hipótesis!$D$73*Hipótesis!$D$74/12)</f>
        <v>-1902.65684258794</v>
      </c>
      <c r="AS60" s="100" t="n">
        <f aca="false">-(AS91+AS98+AS103+AS77+AS68*Hipótesis!$D$73*Hipótesis!$D$74/12)</f>
        <v>-1897.10128703238</v>
      </c>
      <c r="AT60" s="100" t="n">
        <f aca="false">-(AT91+AT98+AT103+AT77+AT68*Hipótesis!$D$73*Hipótesis!$D$74/12)</f>
        <v>-1891.54573147683</v>
      </c>
      <c r="AU60" s="100" t="n">
        <f aca="false">-(AU91+AU98+AU103+AU77+AU68*Hipótesis!$D$73*Hipótesis!$D$74/12)</f>
        <v>-1885.99017592127</v>
      </c>
      <c r="AV60" s="100" t="n">
        <f aca="false">-(AV91+AV98+AV103+AV77+AV68*Hipótesis!$D$73*Hipótesis!$D$74/12)</f>
        <v>-1880.43462036571</v>
      </c>
      <c r="AW60" s="100" t="n">
        <f aca="false">-(AW91+AW98+AW103+AW77+AW68*Hipótesis!$D$73*Hipótesis!$D$74/12)</f>
        <v>-1874.87906481016</v>
      </c>
      <c r="AX60" s="100" t="n">
        <f aca="false">-(AX91+AX98+AX103+AX77+AX68*Hipótesis!$D$73*Hipótesis!$D$74/12)</f>
        <v>-1869.3235092546</v>
      </c>
      <c r="AY60" s="100" t="n">
        <f aca="false">-(AY91+AY98+AY103+AY77+AY68*Hipótesis!$D$73*Hipótesis!$D$74/12)</f>
        <v>-1817.76369929745</v>
      </c>
      <c r="AZ60" s="100" t="n">
        <f aca="false">-(AZ91+AZ98+AZ103+AZ77+AZ68*Hipótesis!$D$73*Hipótesis!$D$74/12)</f>
        <v>-1812.20814374189</v>
      </c>
      <c r="BA60" s="100" t="n">
        <f aca="false">-(BA91+BA98+BA103+BA77+BA68*Hipótesis!$D$73*Hipótesis!$D$74/12)</f>
        <v>-1806.65258818634</v>
      </c>
      <c r="BB60" s="100" t="n">
        <f aca="false">-(BB91+BB98+BB103+BB77+BB68*Hipótesis!$D$73*Hipótesis!$D$74/12)</f>
        <v>-1801.09703263078</v>
      </c>
      <c r="BC60" s="100" t="n">
        <f aca="false">-(BC91+BC98+BC103+BC77+BC68*Hipótesis!$D$73*Hipótesis!$D$74/12)</f>
        <v>-1795.54147707523</v>
      </c>
      <c r="BD60" s="100" t="n">
        <f aca="false">-(BD91+BD98+BD103+BD77+BD68*Hipótesis!$D$73*Hipótesis!$D$74/12)</f>
        <v>-1789.98592151967</v>
      </c>
      <c r="BE60" s="100" t="n">
        <f aca="false">-(BE91+BE98+BE103+BE77+BE68*Hipótesis!$D$73*Hipótesis!$D$74/12)</f>
        <v>-1784.43036596411</v>
      </c>
      <c r="BF60" s="100" t="n">
        <f aca="false">-(BF91+BF98+BF103+BF77+BF68*Hipótesis!$D$73*Hipótesis!$D$74/12)</f>
        <v>-1778.87481040856</v>
      </c>
      <c r="BG60" s="100" t="n">
        <f aca="false">-(BG91+BG98+BG103+BG77+BG68*Hipótesis!$D$73*Hipótesis!$D$74/12)</f>
        <v>-1773.319254853</v>
      </c>
      <c r="BH60" s="100" t="n">
        <f aca="false">-(BH91+BH98+BH103+BH77+BH68*Hipótesis!$D$73*Hipótesis!$D$74/12)</f>
        <v>-1767.76369929745</v>
      </c>
      <c r="BI60" s="100" t="n">
        <f aca="false">-(BI91+BI98+BI103+BI77+BI68*Hipótesis!$D$73*Hipótesis!$D$74/12)</f>
        <v>-1762.20814374189</v>
      </c>
      <c r="BJ60" s="100" t="n">
        <f aca="false">-(BJ91+BJ98+BJ103+BJ77+BJ68*Hipótesis!$D$73*Hipótesis!$D$74/12)</f>
        <v>-1756.65258818634</v>
      </c>
      <c r="BK60" s="100" t="n">
        <f aca="false">-(BK91+BK98+BK103+BK77+BK68*Hipótesis!$D$73*Hipótesis!$D$74/12)</f>
        <v>-1704.90065059713</v>
      </c>
      <c r="BL60" s="100" t="n">
        <f aca="false">-(BL91+BL98+BL103+BL77+BL68*Hipótesis!$D$73*Hipótesis!$D$74/12)</f>
        <v>-1699.34509504158</v>
      </c>
      <c r="BM60" s="100" t="n">
        <f aca="false">-(BM91+BM98+BM103+BM77+BM68*Hipótesis!$D$73*Hipótesis!$D$74/12)</f>
        <v>-1693.78953948602</v>
      </c>
      <c r="BN60" s="100" t="n">
        <f aca="false">-(BN91+BN98+BN103+BN77+BN68*Hipótesis!$D$73*Hipótesis!$D$74/12)</f>
        <v>-1688.23398393047</v>
      </c>
      <c r="BO60" s="100" t="n">
        <f aca="false">-(BO91+BO98+BO103+BO77+BO68*Hipótesis!$D$73*Hipótesis!$D$74/12)</f>
        <v>-1682.67842837491</v>
      </c>
      <c r="BP60" s="100" t="n">
        <f aca="false">-(BP91+BP98+BP103+BP77+BP68*Hipótesis!$D$73*Hipótesis!$D$74/12)</f>
        <v>-1677.12287281936</v>
      </c>
      <c r="BQ60" s="100" t="n">
        <f aca="false">-(BQ91+BQ98+BQ103+BQ77+BQ68*Hipótesis!$D$73*Hipótesis!$D$74/12)</f>
        <v>-1671.5673172638</v>
      </c>
      <c r="BR60" s="100" t="n">
        <f aca="false">-(BR91+BR98+BR103+BR77+BR68*Hipótesis!$D$73*Hipótesis!$D$74/12)</f>
        <v>-1666.01176170824</v>
      </c>
      <c r="BS60" s="100" t="n">
        <f aca="false">-(BS91+BS98+BS103+BS77+BS68*Hipótesis!$D$73*Hipótesis!$D$74/12)</f>
        <v>-1660.45620615269</v>
      </c>
      <c r="BT60" s="100" t="n">
        <f aca="false">-(BT91+BT98+BT103+BT77+BT68*Hipótesis!$D$73*Hipótesis!$D$74/12)</f>
        <v>-1654.90065059713</v>
      </c>
      <c r="BU60" s="100" t="n">
        <f aca="false">-(BU91+BU98+BU103+BU77+BU68*Hipótesis!$D$73*Hipótesis!$D$74/12)</f>
        <v>-1649.34509504158</v>
      </c>
      <c r="BV60" s="100" t="n">
        <f aca="false">-(BV91+BV98+BV103+BV77+BV68*Hipótesis!$D$73*Hipótesis!$D$74/12)</f>
        <v>-1643.78953948602</v>
      </c>
      <c r="BW60" s="100" t="n">
        <f aca="false">-(BW91+BW98+BW103+BW77+BW68*Hipótesis!$D$73*Hipótesis!$D$74/12)</f>
        <v>-1591.83971043581</v>
      </c>
      <c r="BX60" s="100" t="n">
        <f aca="false">-(BX91+BX98+BX103+BX77+BX68*Hipótesis!$D$73*Hipótesis!$D$74/12)</f>
        <v>-1586.28415488025</v>
      </c>
      <c r="BY60" s="100" t="n">
        <f aca="false">-(BY91+BY98+BY103+BY77+BY68*Hipótesis!$D$73*Hipótesis!$D$74/12)</f>
        <v>-1580.7285993247</v>
      </c>
      <c r="BZ60" s="100" t="n">
        <f aca="false">-(BZ91+BZ98+BZ103+BZ77+BZ68*Hipótesis!$D$73*Hipótesis!$D$74/12)</f>
        <v>-1575.17304376914</v>
      </c>
      <c r="CA60" s="100" t="n">
        <f aca="false">-(CA91+CA98+CA103+CA77+CA68*Hipótesis!$D$73*Hipótesis!$D$74/12)</f>
        <v>-1569.61748821359</v>
      </c>
      <c r="CB60" s="100" t="n">
        <f aca="false">-(CB91+CB98+CB103+CB77+CB68*Hipótesis!$D$73*Hipótesis!$D$74/12)</f>
        <v>-1564.06193265803</v>
      </c>
      <c r="CC60" s="100" t="n">
        <f aca="false">-(CC91+CC98+CC103+CC77+CC68*Hipótesis!$D$73*Hipótesis!$D$74/12)</f>
        <v>-1558.50637710248</v>
      </c>
      <c r="CD60" s="100" t="n">
        <f aca="false">-(CD91+CD98+CD103+CD77+CD68*Hipótesis!$D$73*Hipótesis!$D$74/12)</f>
        <v>-1552.95082154692</v>
      </c>
      <c r="CE60" s="100" t="n">
        <f aca="false">-(CE91+CE98+CE103+CE77+CE68*Hipótesis!$D$73*Hipótesis!$D$74/12)</f>
        <v>-1547.39526599136</v>
      </c>
      <c r="CF60" s="100" t="n">
        <f aca="false">-(CF91+CF98+CF103+CF77+CF68*Hipótesis!$D$73*Hipótesis!$D$74/12)</f>
        <v>-1541.83971043581</v>
      </c>
      <c r="CG60" s="100" t="n">
        <f aca="false">-(CG91+CG98+CG103+CG77+CG68*Hipótesis!$D$73*Hipótesis!$D$74/12)</f>
        <v>-1536.28415488025</v>
      </c>
      <c r="CH60" s="100" t="n">
        <f aca="false">-(CH91+CH98+CH103+CH77+CH68*Hipótesis!$D$73*Hipótesis!$D$74/12)</f>
        <v>-1530.7285993247</v>
      </c>
    </row>
    <row r="61" customFormat="false" ht="13.5" hidden="false" customHeight="true" outlineLevel="0" collapsed="false">
      <c r="A61" s="22" t="s">
        <v>537</v>
      </c>
      <c r="C61" s="100" t="n">
        <f aca="false">C59+C60</f>
        <v>-15192.9724864625</v>
      </c>
      <c r="D61" s="100" t="n">
        <f aca="false">D59+D60</f>
        <v>-14003.1657504165</v>
      </c>
      <c r="E61" s="100" t="n">
        <f aca="false">E59+E60</f>
        <v>-11579.3209061315</v>
      </c>
      <c r="F61" s="100" t="n">
        <f aca="false">F59+F60</f>
        <v>-10264.7416706221</v>
      </c>
      <c r="G61" s="100" t="n">
        <f aca="false">G59+G60</f>
        <v>-9030.70356238318</v>
      </c>
      <c r="H61" s="100" t="n">
        <f aca="false">H59+H60</f>
        <v>-7091.13363157985</v>
      </c>
      <c r="I61" s="100" t="n">
        <f aca="false">I59+I60</f>
        <v>-3358.54087169059</v>
      </c>
      <c r="J61" s="100" t="n">
        <f aca="false">J59+J60</f>
        <v>326.489442874857</v>
      </c>
      <c r="K61" s="100" t="n">
        <f aca="false">K59+K60</f>
        <v>3958.60212697039</v>
      </c>
      <c r="L61" s="100" t="n">
        <f aca="false">L59+L60</f>
        <v>7610.31976560153</v>
      </c>
      <c r="M61" s="100" t="n">
        <f aca="false">M59+M60</f>
        <v>10072.4508886058</v>
      </c>
      <c r="N61" s="100" t="n">
        <f aca="false">N59+N60</f>
        <v>13468.6629709075</v>
      </c>
      <c r="O61" s="100" t="n">
        <f aca="false">O59+O60</f>
        <v>11722.5837870731</v>
      </c>
      <c r="P61" s="100" t="n">
        <f aca="false">P59+P60</f>
        <v>14748.0872840162</v>
      </c>
      <c r="Q61" s="100" t="n">
        <f aca="false">Q59+Q60</f>
        <v>17773.5907809592</v>
      </c>
      <c r="R61" s="100" t="n">
        <f aca="false">R59+R60</f>
        <v>20799.0942779022</v>
      </c>
      <c r="S61" s="100" t="n">
        <f aca="false">S59+S60</f>
        <v>23824.5977748452</v>
      </c>
      <c r="T61" s="100" t="n">
        <f aca="false">T59+T60</f>
        <v>26850.1012717882</v>
      </c>
      <c r="U61" s="100" t="n">
        <f aca="false">U59+U60</f>
        <v>27610.5111687313</v>
      </c>
      <c r="V61" s="100" t="n">
        <f aca="false">V59+V60</f>
        <v>27971.1986656743</v>
      </c>
      <c r="W61" s="100" t="n">
        <f aca="false">W59+W60</f>
        <v>30996.7021626173</v>
      </c>
      <c r="X61" s="100" t="n">
        <f aca="false">X59+X60</f>
        <v>33094.0268237794</v>
      </c>
      <c r="Y61" s="100" t="n">
        <f aca="false">Y59+Y60</f>
        <v>35191.3514849415</v>
      </c>
      <c r="Z61" s="100" t="n">
        <f aca="false">Z59+Z60</f>
        <v>36948.3827833536</v>
      </c>
      <c r="AA61" s="100" t="n">
        <f aca="false">AA59+AA60</f>
        <v>36537.1723137658</v>
      </c>
      <c r="AB61" s="100" t="n">
        <f aca="false">AB59+AB60</f>
        <v>38299.7591677336</v>
      </c>
      <c r="AC61" s="100" t="n">
        <f aca="false">AC59+AC60</f>
        <v>40062.3460217013</v>
      </c>
      <c r="AD61" s="100" t="n">
        <f aca="false">AD59+AD60</f>
        <v>41824.9328756691</v>
      </c>
      <c r="AE61" s="100" t="n">
        <f aca="false">AE59+AE60</f>
        <v>43587.5197296368</v>
      </c>
      <c r="AF61" s="100" t="n">
        <f aca="false">AF59+AF60</f>
        <v>45350.1065836046</v>
      </c>
      <c r="AG61" s="100" t="n">
        <f aca="false">AG59+AG60</f>
        <v>47112.6934375723</v>
      </c>
      <c r="AH61" s="100" t="n">
        <f aca="false">AH59+AH60</f>
        <v>46542.2338835401</v>
      </c>
      <c r="AI61" s="100" t="n">
        <f aca="false">AI59+AI60</f>
        <v>48304.8207375078</v>
      </c>
      <c r="AJ61" s="100" t="n">
        <f aca="false">AJ59+AJ60</f>
        <v>50067.4075914756</v>
      </c>
      <c r="AK61" s="100" t="n">
        <f aca="false">AK59+AK60</f>
        <v>51829.9944454433</v>
      </c>
      <c r="AL61" s="100" t="n">
        <f aca="false">AL59+AL60</f>
        <v>53592.5812994111</v>
      </c>
      <c r="AM61" s="100" t="n">
        <f aca="false">AM59+AM60</f>
        <v>53110.0997400988</v>
      </c>
      <c r="AN61" s="100" t="n">
        <f aca="false">AN59+AN60</f>
        <v>54872.6865940666</v>
      </c>
      <c r="AO61" s="100" t="n">
        <f aca="false">AO59+AO60</f>
        <v>56635.2734480343</v>
      </c>
      <c r="AP61" s="100" t="n">
        <f aca="false">AP59+AP60</f>
        <v>58397.8603020021</v>
      </c>
      <c r="AQ61" s="100" t="n">
        <f aca="false">AQ59+AQ60</f>
        <v>60160.4471559698</v>
      </c>
      <c r="AR61" s="100" t="n">
        <f aca="false">AR59+AR60</f>
        <v>61923.0340099376</v>
      </c>
      <c r="AS61" s="100" t="n">
        <f aca="false">AS59+AS60</f>
        <v>61928.5895654931</v>
      </c>
      <c r="AT61" s="100" t="n">
        <f aca="false">AT59+AT60</f>
        <v>61934.1451210487</v>
      </c>
      <c r="AU61" s="100" t="n">
        <f aca="false">AU59+AU60</f>
        <v>61939.7006766042</v>
      </c>
      <c r="AV61" s="100" t="n">
        <f aca="false">AV59+AV60</f>
        <v>61945.2562321598</v>
      </c>
      <c r="AW61" s="100" t="n">
        <f aca="false">AW59+AW60</f>
        <v>61950.8117877153</v>
      </c>
      <c r="AX61" s="100" t="n">
        <f aca="false">AX59+AX60</f>
        <v>61956.3673432709</v>
      </c>
      <c r="AY61" s="100" t="n">
        <f aca="false">AY59+AY60</f>
        <v>59707.714433148</v>
      </c>
      <c r="AZ61" s="100" t="n">
        <f aca="false">AZ59+AZ60</f>
        <v>59713.2699887036</v>
      </c>
      <c r="BA61" s="100" t="n">
        <f aca="false">BA59+BA60</f>
        <v>59718.8255442592</v>
      </c>
      <c r="BB61" s="100" t="n">
        <f aca="false">BB59+BB60</f>
        <v>59724.3810998147</v>
      </c>
      <c r="BC61" s="100" t="n">
        <f aca="false">BC59+BC60</f>
        <v>59729.9366553703</v>
      </c>
      <c r="BD61" s="100" t="n">
        <f aca="false">BD59+BD60</f>
        <v>59735.4922109258</v>
      </c>
      <c r="BE61" s="100" t="n">
        <f aca="false">BE59+BE60</f>
        <v>59741.0477664814</v>
      </c>
      <c r="BF61" s="100" t="n">
        <f aca="false">BF59+BF60</f>
        <v>59746.6033220369</v>
      </c>
      <c r="BG61" s="100" t="n">
        <f aca="false">BG59+BG60</f>
        <v>59752.1588775925</v>
      </c>
      <c r="BH61" s="100" t="n">
        <f aca="false">BH59+BH60</f>
        <v>59757.714433148</v>
      </c>
      <c r="BI61" s="100" t="n">
        <f aca="false">BI59+BI60</f>
        <v>59763.2699887036</v>
      </c>
      <c r="BJ61" s="100" t="n">
        <f aca="false">BJ59+BJ60</f>
        <v>59768.8255442592</v>
      </c>
      <c r="BK61" s="100" t="n">
        <f aca="false">BK59+BK60</f>
        <v>57510.758380166</v>
      </c>
      <c r="BL61" s="100" t="n">
        <f aca="false">BL59+BL60</f>
        <v>57516.3139357215</v>
      </c>
      <c r="BM61" s="100" t="n">
        <f aca="false">BM59+BM60</f>
        <v>57521.8694912771</v>
      </c>
      <c r="BN61" s="100" t="n">
        <f aca="false">BN59+BN60</f>
        <v>57527.4250468326</v>
      </c>
      <c r="BO61" s="100" t="n">
        <f aca="false">BO59+BO60</f>
        <v>57532.9806023882</v>
      </c>
      <c r="BP61" s="100" t="n">
        <f aca="false">BP59+BP60</f>
        <v>57538.5361579437</v>
      </c>
      <c r="BQ61" s="100" t="n">
        <f aca="false">BQ59+BQ60</f>
        <v>57544.0917134993</v>
      </c>
      <c r="BR61" s="100" t="n">
        <f aca="false">BR59+BR60</f>
        <v>57549.6472690549</v>
      </c>
      <c r="BS61" s="100" t="n">
        <f aca="false">BS59+BS60</f>
        <v>57555.2028246104</v>
      </c>
      <c r="BT61" s="100" t="n">
        <f aca="false">BT59+BT60</f>
        <v>57560.758380166</v>
      </c>
      <c r="BU61" s="100" t="n">
        <f aca="false">BU59+BU60</f>
        <v>57566.3139357215</v>
      </c>
      <c r="BV61" s="100" t="n">
        <f aca="false">BV59+BV60</f>
        <v>57571.8694912771</v>
      </c>
      <c r="BW61" s="100" t="n">
        <f aca="false">BW59+BW60</f>
        <v>55304.1056455944</v>
      </c>
      <c r="BX61" s="100" t="n">
        <f aca="false">BX59+BX60</f>
        <v>55309.66120115</v>
      </c>
      <c r="BY61" s="100" t="n">
        <f aca="false">BY59+BY60</f>
        <v>55315.2167567055</v>
      </c>
      <c r="BZ61" s="100" t="n">
        <f aca="false">BZ59+BZ60</f>
        <v>55320.7723122611</v>
      </c>
      <c r="CA61" s="100" t="n">
        <f aca="false">CA59+CA60</f>
        <v>55326.3278678166</v>
      </c>
      <c r="CB61" s="100" t="n">
        <f aca="false">CB59+CB60</f>
        <v>55331.8834233722</v>
      </c>
      <c r="CC61" s="100" t="n">
        <f aca="false">CC59+CC60</f>
        <v>55337.4389789277</v>
      </c>
      <c r="CD61" s="100" t="n">
        <f aca="false">CD59+CD60</f>
        <v>55342.9945344833</v>
      </c>
      <c r="CE61" s="100" t="n">
        <f aca="false">CE59+CE60</f>
        <v>55348.5500900389</v>
      </c>
      <c r="CF61" s="100" t="n">
        <f aca="false">CF59+CF60</f>
        <v>55354.1056455944</v>
      </c>
      <c r="CG61" s="100" t="n">
        <f aca="false">CG59+CG60</f>
        <v>55359.66120115</v>
      </c>
      <c r="CH61" s="100" t="n">
        <f aca="false">CH59+CH60</f>
        <v>55365.2167567055</v>
      </c>
    </row>
    <row r="62" customFormat="false" ht="13.5" hidden="false" customHeight="true" outlineLevel="0" collapsed="false">
      <c r="A62" s="6" t="s">
        <v>538</v>
      </c>
      <c r="C62" s="100" t="n">
        <f aca="false">-IF(1&lt;Hipótesis!$D$89,Hipótesis!$E$87,Hipótesis!$E$88)*MAX(0,C61)</f>
        <v>-0</v>
      </c>
      <c r="D62" s="100" t="n">
        <f aca="false">-IF(1&lt;Hipótesis!$D$89,Hipótesis!$E$87,Hipótesis!$E$88)*MAX(0,D61)</f>
        <v>-0</v>
      </c>
      <c r="E62" s="100" t="n">
        <f aca="false">-IF(1&lt;Hipótesis!$D$89,Hipótesis!$E$87,Hipótesis!$E$88)*MAX(0,E61)</f>
        <v>-0</v>
      </c>
      <c r="F62" s="100" t="n">
        <f aca="false">-IF(1&lt;Hipótesis!$D$89,Hipótesis!$E$87,Hipótesis!$E$88)*MAX(0,F61)</f>
        <v>-0</v>
      </c>
      <c r="G62" s="100" t="n">
        <f aca="false">-IF(1&lt;Hipótesis!$D$89,Hipótesis!$E$87,Hipótesis!$E$88)*MAX(0,G61)</f>
        <v>-0</v>
      </c>
      <c r="H62" s="100" t="n">
        <f aca="false">-IF(1&lt;Hipótesis!$D$89,Hipótesis!$E$87,Hipótesis!$E$88)*MAX(0,H61)</f>
        <v>-0</v>
      </c>
      <c r="I62" s="100" t="n">
        <f aca="false">-IF(1&lt;Hipótesis!$D$89,Hipótesis!$E$87,Hipótesis!$E$88)*MAX(0,I61)</f>
        <v>-0</v>
      </c>
      <c r="J62" s="100" t="n">
        <f aca="false">-IF(1&lt;Hipótesis!$D$89,Hipótesis!$E$87,Hipótesis!$E$88)*MAX(0,J61)</f>
        <v>-48.9734164312286</v>
      </c>
      <c r="K62" s="100" t="n">
        <f aca="false">-IF(1&lt;Hipótesis!$D$89,Hipótesis!$E$87,Hipótesis!$E$88)*MAX(0,K61)</f>
        <v>-593.790319045558</v>
      </c>
      <c r="L62" s="100" t="n">
        <f aca="false">-IF(1&lt;Hipótesis!$D$89,Hipótesis!$E$87,Hipótesis!$E$88)*MAX(0,L61)</f>
        <v>-1141.54796484023</v>
      </c>
      <c r="M62" s="100" t="n">
        <f aca="false">-IF(1&lt;Hipótesis!$D$89,Hipótesis!$E$87,Hipótesis!$E$88)*MAX(0,M61)</f>
        <v>-1510.86763329087</v>
      </c>
      <c r="N62" s="100" t="n">
        <f aca="false">-IF(1&lt;Hipótesis!$D$89,Hipótesis!$E$87,Hipótesis!$E$88)*MAX(0,N61)</f>
        <v>-2020.29944563613</v>
      </c>
      <c r="O62" s="100" t="n">
        <f aca="false">-IF(2&lt;Hipótesis!$D$89,Hipótesis!$E$87,Hipótesis!$E$88)*MAX(0,O61)</f>
        <v>-1758.38756806097</v>
      </c>
      <c r="P62" s="100" t="n">
        <f aca="false">-IF(2&lt;Hipótesis!$D$89,Hipótesis!$E$87,Hipótesis!$E$88)*MAX(0,P61)</f>
        <v>-2212.21309260242</v>
      </c>
      <c r="Q62" s="100" t="n">
        <f aca="false">-IF(2&lt;Hipótesis!$D$89,Hipótesis!$E$87,Hipótesis!$E$88)*MAX(0,Q61)</f>
        <v>-2666.03861714388</v>
      </c>
      <c r="R62" s="100" t="n">
        <f aca="false">-IF(2&lt;Hipótesis!$D$89,Hipótesis!$E$87,Hipótesis!$E$88)*MAX(0,R61)</f>
        <v>-3119.86414168533</v>
      </c>
      <c r="S62" s="100" t="n">
        <f aca="false">-IF(2&lt;Hipótesis!$D$89,Hipótesis!$E$87,Hipótesis!$E$88)*MAX(0,S61)</f>
        <v>-3573.68966622678</v>
      </c>
      <c r="T62" s="100" t="n">
        <f aca="false">-IF(2&lt;Hipótesis!$D$89,Hipótesis!$E$87,Hipótesis!$E$88)*MAX(0,T61)</f>
        <v>-4027.51519076824</v>
      </c>
      <c r="U62" s="100" t="n">
        <f aca="false">-IF(2&lt;Hipótesis!$D$89,Hipótesis!$E$87,Hipótesis!$E$88)*MAX(0,U61)</f>
        <v>-4141.57667530969</v>
      </c>
      <c r="V62" s="100" t="n">
        <f aca="false">-IF(2&lt;Hipótesis!$D$89,Hipótesis!$E$87,Hipótesis!$E$88)*MAX(0,V61)</f>
        <v>-4195.67979985114</v>
      </c>
      <c r="W62" s="100" t="n">
        <f aca="false">-IF(2&lt;Hipótesis!$D$89,Hipótesis!$E$87,Hipótesis!$E$88)*MAX(0,W61)</f>
        <v>-4649.50532439259</v>
      </c>
      <c r="X62" s="100" t="n">
        <f aca="false">-IF(2&lt;Hipótesis!$D$89,Hipótesis!$E$87,Hipótesis!$E$88)*MAX(0,X61)</f>
        <v>-4964.10402356691</v>
      </c>
      <c r="Y62" s="100" t="n">
        <f aca="false">-IF(2&lt;Hipótesis!$D$89,Hipótesis!$E$87,Hipótesis!$E$88)*MAX(0,Y61)</f>
        <v>-5278.70272274122</v>
      </c>
      <c r="Z62" s="100" t="n">
        <f aca="false">-IF(2&lt;Hipótesis!$D$89,Hipótesis!$E$87,Hipótesis!$E$88)*MAX(0,Z61)</f>
        <v>-5542.25741750305</v>
      </c>
      <c r="AA62" s="100" t="n">
        <f aca="false">-IF(3&lt;Hipótesis!$D$89,Hipótesis!$E$87,Hipótesis!$E$88)*MAX(0,AA61)</f>
        <v>-5480.57584706488</v>
      </c>
      <c r="AB62" s="100" t="n">
        <f aca="false">-IF(3&lt;Hipótesis!$D$89,Hipótesis!$E$87,Hipótesis!$E$88)*MAX(0,AB61)</f>
        <v>-5744.96387516004</v>
      </c>
      <c r="AC62" s="100" t="n">
        <f aca="false">-IF(3&lt;Hipótesis!$D$89,Hipótesis!$E$87,Hipótesis!$E$88)*MAX(0,AC61)</f>
        <v>-6009.3519032552</v>
      </c>
      <c r="AD62" s="100" t="n">
        <f aca="false">-IF(3&lt;Hipótesis!$D$89,Hipótesis!$E$87,Hipótesis!$E$88)*MAX(0,AD61)</f>
        <v>-6273.73993135036</v>
      </c>
      <c r="AE62" s="100" t="n">
        <f aca="false">-IF(3&lt;Hipótesis!$D$89,Hipótesis!$E$87,Hipótesis!$E$88)*MAX(0,AE61)</f>
        <v>-6538.12795944553</v>
      </c>
      <c r="AF62" s="100" t="n">
        <f aca="false">-IF(3&lt;Hipótesis!$D$89,Hipótesis!$E$87,Hipótesis!$E$88)*MAX(0,AF61)</f>
        <v>-6802.51598754069</v>
      </c>
      <c r="AG62" s="100" t="n">
        <f aca="false">-IF(3&lt;Hipótesis!$D$89,Hipótesis!$E$87,Hipótesis!$E$88)*MAX(0,AG61)</f>
        <v>-7066.90401563585</v>
      </c>
      <c r="AH62" s="100" t="n">
        <f aca="false">-IF(3&lt;Hipótesis!$D$89,Hipótesis!$E$87,Hipótesis!$E$88)*MAX(0,AH61)</f>
        <v>-6981.33508253101</v>
      </c>
      <c r="AI62" s="100" t="n">
        <f aca="false">-IF(3&lt;Hipótesis!$D$89,Hipótesis!$E$87,Hipótesis!$E$88)*MAX(0,AI61)</f>
        <v>-7245.72311062618</v>
      </c>
      <c r="AJ62" s="100" t="n">
        <f aca="false">-IF(3&lt;Hipótesis!$D$89,Hipótesis!$E$87,Hipótesis!$E$88)*MAX(0,AJ61)</f>
        <v>-7510.11113872134</v>
      </c>
      <c r="AK62" s="100" t="n">
        <f aca="false">-IF(3&lt;Hipótesis!$D$89,Hipótesis!$E$87,Hipótesis!$E$88)*MAX(0,AK61)</f>
        <v>-7774.4991668165</v>
      </c>
      <c r="AL62" s="100" t="n">
        <f aca="false">-IF(3&lt;Hipótesis!$D$89,Hipótesis!$E$87,Hipótesis!$E$88)*MAX(0,AL61)</f>
        <v>-8038.88719491166</v>
      </c>
      <c r="AM62" s="100" t="n">
        <f aca="false">-IF(4&lt;Hipótesis!$D$89,Hipótesis!$E$87,Hipótesis!$E$88)*MAX(0,AM61)</f>
        <v>-13277.5249350247</v>
      </c>
      <c r="AN62" s="100" t="n">
        <f aca="false">-IF(4&lt;Hipótesis!$D$89,Hipótesis!$E$87,Hipótesis!$E$88)*MAX(0,AN61)</f>
        <v>-13718.1716485166</v>
      </c>
      <c r="AO62" s="100" t="n">
        <f aca="false">-IF(4&lt;Hipótesis!$D$89,Hipótesis!$E$87,Hipótesis!$E$88)*MAX(0,AO61)</f>
        <v>-14158.8183620086</v>
      </c>
      <c r="AP62" s="100" t="n">
        <f aca="false">-IF(4&lt;Hipótesis!$D$89,Hipótesis!$E$87,Hipótesis!$E$88)*MAX(0,AP61)</f>
        <v>-14599.4650755005</v>
      </c>
      <c r="AQ62" s="100" t="n">
        <f aca="false">-IF(4&lt;Hipótesis!$D$89,Hipótesis!$E$87,Hipótesis!$E$88)*MAX(0,AQ61)</f>
        <v>-15040.1117889925</v>
      </c>
      <c r="AR62" s="100" t="n">
        <f aca="false">-IF(4&lt;Hipótesis!$D$89,Hipótesis!$E$87,Hipótesis!$E$88)*MAX(0,AR61)</f>
        <v>-15480.7585024844</v>
      </c>
      <c r="AS62" s="100" t="n">
        <f aca="false">-IF(4&lt;Hipótesis!$D$89,Hipótesis!$E$87,Hipótesis!$E$88)*MAX(0,AS61)</f>
        <v>-15482.1473913733</v>
      </c>
      <c r="AT62" s="100" t="n">
        <f aca="false">-IF(4&lt;Hipótesis!$D$89,Hipótesis!$E$87,Hipótesis!$E$88)*MAX(0,AT61)</f>
        <v>-15483.5362802622</v>
      </c>
      <c r="AU62" s="100" t="n">
        <f aca="false">-IF(4&lt;Hipótesis!$D$89,Hipótesis!$E$87,Hipótesis!$E$88)*MAX(0,AU61)</f>
        <v>-15484.9251691511</v>
      </c>
      <c r="AV62" s="100" t="n">
        <f aca="false">-IF(4&lt;Hipótesis!$D$89,Hipótesis!$E$87,Hipótesis!$E$88)*MAX(0,AV61)</f>
        <v>-15486.3140580399</v>
      </c>
      <c r="AW62" s="100" t="n">
        <f aca="false">-IF(4&lt;Hipótesis!$D$89,Hipótesis!$E$87,Hipótesis!$E$88)*MAX(0,AW61)</f>
        <v>-15487.7029469288</v>
      </c>
      <c r="AX62" s="100" t="n">
        <f aca="false">-IF(4&lt;Hipótesis!$D$89,Hipótesis!$E$87,Hipótesis!$E$88)*MAX(0,AX61)</f>
        <v>-15489.0918358177</v>
      </c>
      <c r="AY62" s="100" t="n">
        <f aca="false">-IF(5&lt;Hipótesis!$D$89,Hipótesis!$E$87,Hipótesis!$E$88)*MAX(0,AY61)</f>
        <v>-14926.928608287</v>
      </c>
      <c r="AZ62" s="100" t="n">
        <f aca="false">-IF(5&lt;Hipótesis!$D$89,Hipótesis!$E$87,Hipótesis!$E$88)*MAX(0,AZ61)</f>
        <v>-14928.3174971759</v>
      </c>
      <c r="BA62" s="100" t="n">
        <f aca="false">-IF(5&lt;Hipótesis!$D$89,Hipótesis!$E$87,Hipótesis!$E$88)*MAX(0,BA61)</f>
        <v>-14929.7063860648</v>
      </c>
      <c r="BB62" s="100" t="n">
        <f aca="false">-IF(5&lt;Hipótesis!$D$89,Hipótesis!$E$87,Hipótesis!$E$88)*MAX(0,BB61)</f>
        <v>-14931.0952749537</v>
      </c>
      <c r="BC62" s="100" t="n">
        <f aca="false">-IF(5&lt;Hipótesis!$D$89,Hipótesis!$E$87,Hipótesis!$E$88)*MAX(0,BC61)</f>
        <v>-14932.4841638426</v>
      </c>
      <c r="BD62" s="100" t="n">
        <f aca="false">-IF(5&lt;Hipótesis!$D$89,Hipótesis!$E$87,Hipótesis!$E$88)*MAX(0,BD61)</f>
        <v>-14933.8730527315</v>
      </c>
      <c r="BE62" s="100" t="n">
        <f aca="false">-IF(5&lt;Hipótesis!$D$89,Hipótesis!$E$87,Hipótesis!$E$88)*MAX(0,BE61)</f>
        <v>-14935.2619416203</v>
      </c>
      <c r="BF62" s="100" t="n">
        <f aca="false">-IF(5&lt;Hipótesis!$D$89,Hipótesis!$E$87,Hipótesis!$E$88)*MAX(0,BF61)</f>
        <v>-14936.6508305092</v>
      </c>
      <c r="BG62" s="100" t="n">
        <f aca="false">-IF(5&lt;Hipótesis!$D$89,Hipótesis!$E$87,Hipótesis!$E$88)*MAX(0,BG61)</f>
        <v>-14938.0397193981</v>
      </c>
      <c r="BH62" s="100" t="n">
        <f aca="false">-IF(5&lt;Hipótesis!$D$89,Hipótesis!$E$87,Hipótesis!$E$88)*MAX(0,BH61)</f>
        <v>-14939.428608287</v>
      </c>
      <c r="BI62" s="100" t="n">
        <f aca="false">-IF(5&lt;Hipótesis!$D$89,Hipótesis!$E$87,Hipótesis!$E$88)*MAX(0,BI61)</f>
        <v>-14940.8174971759</v>
      </c>
      <c r="BJ62" s="100" t="n">
        <f aca="false">-IF(5&lt;Hipótesis!$D$89,Hipótesis!$E$87,Hipótesis!$E$88)*MAX(0,BJ61)</f>
        <v>-14942.2063860648</v>
      </c>
      <c r="BK62" s="100" t="n">
        <f aca="false">-IF(6&lt;Hipótesis!$D$89,Hipótesis!$E$87,Hipótesis!$E$88)*MAX(0,BK61)</f>
        <v>-14377.6895950415</v>
      </c>
      <c r="BL62" s="100" t="n">
        <f aca="false">-IF(6&lt;Hipótesis!$D$89,Hipótesis!$E$87,Hipótesis!$E$88)*MAX(0,BL61)</f>
        <v>-14379.0784839304</v>
      </c>
      <c r="BM62" s="100" t="n">
        <f aca="false">-IF(6&lt;Hipótesis!$D$89,Hipótesis!$E$87,Hipótesis!$E$88)*MAX(0,BM61)</f>
        <v>-14380.4673728193</v>
      </c>
      <c r="BN62" s="100" t="n">
        <f aca="false">-IF(6&lt;Hipótesis!$D$89,Hipótesis!$E$87,Hipótesis!$E$88)*MAX(0,BN61)</f>
        <v>-14381.8562617082</v>
      </c>
      <c r="BO62" s="100" t="n">
        <f aca="false">-IF(6&lt;Hipótesis!$D$89,Hipótesis!$E$87,Hipótesis!$E$88)*MAX(0,BO61)</f>
        <v>-14383.245150597</v>
      </c>
      <c r="BP62" s="100" t="n">
        <f aca="false">-IF(6&lt;Hipótesis!$D$89,Hipótesis!$E$87,Hipótesis!$E$88)*MAX(0,BP61)</f>
        <v>-14384.6340394859</v>
      </c>
      <c r="BQ62" s="100" t="n">
        <f aca="false">-IF(6&lt;Hipótesis!$D$89,Hipótesis!$E$87,Hipótesis!$E$88)*MAX(0,BQ61)</f>
        <v>-14386.0229283748</v>
      </c>
      <c r="BR62" s="100" t="n">
        <f aca="false">-IF(6&lt;Hipótesis!$D$89,Hipótesis!$E$87,Hipótesis!$E$88)*MAX(0,BR61)</f>
        <v>-14387.4118172637</v>
      </c>
      <c r="BS62" s="100" t="n">
        <f aca="false">-IF(6&lt;Hipótesis!$D$89,Hipótesis!$E$87,Hipótesis!$E$88)*MAX(0,BS61)</f>
        <v>-14388.8007061526</v>
      </c>
      <c r="BT62" s="100" t="n">
        <f aca="false">-IF(6&lt;Hipótesis!$D$89,Hipótesis!$E$87,Hipótesis!$E$88)*MAX(0,BT61)</f>
        <v>-14390.1895950415</v>
      </c>
      <c r="BU62" s="100" t="n">
        <f aca="false">-IF(6&lt;Hipótesis!$D$89,Hipótesis!$E$87,Hipótesis!$E$88)*MAX(0,BU61)</f>
        <v>-14391.5784839304</v>
      </c>
      <c r="BV62" s="100" t="n">
        <f aca="false">-IF(6&lt;Hipótesis!$D$89,Hipótesis!$E$87,Hipótesis!$E$88)*MAX(0,BV61)</f>
        <v>-14392.9673728193</v>
      </c>
      <c r="BW62" s="100" t="n">
        <f aca="false">-IF(7&lt;Hipótesis!$D$89,Hipótesis!$E$87,Hipótesis!$E$88)*MAX(0,BW61)</f>
        <v>-13826.0264113986</v>
      </c>
      <c r="BX62" s="100" t="n">
        <f aca="false">-IF(7&lt;Hipótesis!$D$89,Hipótesis!$E$87,Hipótesis!$E$88)*MAX(0,BX61)</f>
        <v>-13827.4153002875</v>
      </c>
      <c r="BY62" s="100" t="n">
        <f aca="false">-IF(7&lt;Hipótesis!$D$89,Hipótesis!$E$87,Hipótesis!$E$88)*MAX(0,BY61)</f>
        <v>-13828.8041891764</v>
      </c>
      <c r="BZ62" s="100" t="n">
        <f aca="false">-IF(7&lt;Hipótesis!$D$89,Hipótesis!$E$87,Hipótesis!$E$88)*MAX(0,BZ61)</f>
        <v>-13830.1930780653</v>
      </c>
      <c r="CA62" s="100" t="n">
        <f aca="false">-IF(7&lt;Hipótesis!$D$89,Hipótesis!$E$87,Hipótesis!$E$88)*MAX(0,CA61)</f>
        <v>-13831.5819669542</v>
      </c>
      <c r="CB62" s="100" t="n">
        <f aca="false">-IF(7&lt;Hipótesis!$D$89,Hipótesis!$E$87,Hipótesis!$E$88)*MAX(0,CB61)</f>
        <v>-13832.970855843</v>
      </c>
      <c r="CC62" s="100" t="n">
        <f aca="false">-IF(7&lt;Hipótesis!$D$89,Hipótesis!$E$87,Hipótesis!$E$88)*MAX(0,CC61)</f>
        <v>-13834.3597447319</v>
      </c>
      <c r="CD62" s="100" t="n">
        <f aca="false">-IF(7&lt;Hipótesis!$D$89,Hipótesis!$E$87,Hipótesis!$E$88)*MAX(0,CD61)</f>
        <v>-13835.7486336208</v>
      </c>
      <c r="CE62" s="100" t="n">
        <f aca="false">-IF(7&lt;Hipótesis!$D$89,Hipótesis!$E$87,Hipótesis!$E$88)*MAX(0,CE61)</f>
        <v>-13837.1375225097</v>
      </c>
      <c r="CF62" s="100" t="n">
        <f aca="false">-IF(7&lt;Hipótesis!$D$89,Hipótesis!$E$87,Hipótesis!$E$88)*MAX(0,CF61)</f>
        <v>-13838.5264113986</v>
      </c>
      <c r="CG62" s="100" t="n">
        <f aca="false">-IF(7&lt;Hipótesis!$D$89,Hipótesis!$E$87,Hipótesis!$E$88)*MAX(0,CG61)</f>
        <v>-13839.9153002875</v>
      </c>
      <c r="CH62" s="100" t="n">
        <f aca="false">-IF(7&lt;Hipótesis!$D$89,Hipótesis!$E$87,Hipótesis!$E$88)*MAX(0,CH61)</f>
        <v>-13841.3041891764</v>
      </c>
    </row>
    <row r="63" customFormat="false" ht="13.5" hidden="false" customHeight="true" outlineLevel="0" collapsed="false">
      <c r="A63" s="22" t="s">
        <v>539</v>
      </c>
      <c r="C63" s="100" t="n">
        <f aca="false">C61+C62</f>
        <v>-15192.9724864625</v>
      </c>
      <c r="D63" s="100" t="n">
        <f aca="false">D61+D62</f>
        <v>-14003.1657504165</v>
      </c>
      <c r="E63" s="100" t="n">
        <f aca="false">E61+E62</f>
        <v>-11579.3209061315</v>
      </c>
      <c r="F63" s="100" t="n">
        <f aca="false">F61+F62</f>
        <v>-10264.7416706221</v>
      </c>
      <c r="G63" s="100" t="n">
        <f aca="false">G61+G62</f>
        <v>-9030.70356238318</v>
      </c>
      <c r="H63" s="100" t="n">
        <f aca="false">H61+H62</f>
        <v>-7091.13363157985</v>
      </c>
      <c r="I63" s="100" t="n">
        <f aca="false">I61+I62</f>
        <v>-3358.54087169059</v>
      </c>
      <c r="J63" s="100" t="n">
        <f aca="false">J61+J62</f>
        <v>277.516026443629</v>
      </c>
      <c r="K63" s="100" t="n">
        <f aca="false">K61+K62</f>
        <v>3364.81180792483</v>
      </c>
      <c r="L63" s="100" t="n">
        <f aca="false">L61+L62</f>
        <v>6468.7718007613</v>
      </c>
      <c r="M63" s="100" t="n">
        <f aca="false">M61+M62</f>
        <v>8561.58325531495</v>
      </c>
      <c r="N63" s="100" t="n">
        <f aca="false">N61+N62</f>
        <v>11448.3635252714</v>
      </c>
      <c r="O63" s="100" t="n">
        <f aca="false">O61+O62</f>
        <v>9964.19621901217</v>
      </c>
      <c r="P63" s="100" t="n">
        <f aca="false">P61+P62</f>
        <v>12535.8741914137</v>
      </c>
      <c r="Q63" s="100" t="n">
        <f aca="false">Q61+Q62</f>
        <v>15107.5521638153</v>
      </c>
      <c r="R63" s="100" t="n">
        <f aca="false">R61+R62</f>
        <v>17679.2301362169</v>
      </c>
      <c r="S63" s="100" t="n">
        <f aca="false">S61+S62</f>
        <v>20250.9081086184</v>
      </c>
      <c r="T63" s="100" t="n">
        <f aca="false">T61+T62</f>
        <v>22822.58608102</v>
      </c>
      <c r="U63" s="100" t="n">
        <f aca="false">U61+U62</f>
        <v>23468.9344934216</v>
      </c>
      <c r="V63" s="100" t="n">
        <f aca="false">V61+V62</f>
        <v>23775.5188658231</v>
      </c>
      <c r="W63" s="100" t="n">
        <f aca="false">W61+W62</f>
        <v>26347.1968382247</v>
      </c>
      <c r="X63" s="100" t="n">
        <f aca="false">X61+X62</f>
        <v>28129.9228002125</v>
      </c>
      <c r="Y63" s="100" t="n">
        <f aca="false">Y61+Y62</f>
        <v>29912.6487622002</v>
      </c>
      <c r="Z63" s="100" t="n">
        <f aca="false">Z61+Z62</f>
        <v>31406.1253658506</v>
      </c>
      <c r="AA63" s="100" t="n">
        <f aca="false">AA61+AA62</f>
        <v>31056.596466701</v>
      </c>
      <c r="AB63" s="100" t="n">
        <f aca="false">AB61+AB62</f>
        <v>32554.7952925736</v>
      </c>
      <c r="AC63" s="100" t="n">
        <f aca="false">AC61+AC62</f>
        <v>34052.9941184461</v>
      </c>
      <c r="AD63" s="100" t="n">
        <f aca="false">AD61+AD62</f>
        <v>35551.1929443187</v>
      </c>
      <c r="AE63" s="100" t="n">
        <f aca="false">AE61+AE62</f>
        <v>37049.3917701913</v>
      </c>
      <c r="AF63" s="100" t="n">
        <f aca="false">AF61+AF62</f>
        <v>38547.5905960639</v>
      </c>
      <c r="AG63" s="100" t="n">
        <f aca="false">AG61+AG62</f>
        <v>40045.7894219365</v>
      </c>
      <c r="AH63" s="100" t="n">
        <f aca="false">AH61+AH62</f>
        <v>39560.8988010091</v>
      </c>
      <c r="AI63" s="100" t="n">
        <f aca="false">AI61+AI62</f>
        <v>41059.0976268817</v>
      </c>
      <c r="AJ63" s="100" t="n">
        <f aca="false">AJ61+AJ62</f>
        <v>42557.2964527543</v>
      </c>
      <c r="AK63" s="100" t="n">
        <f aca="false">AK61+AK62</f>
        <v>44055.4952786268</v>
      </c>
      <c r="AL63" s="100" t="n">
        <f aca="false">AL61+AL62</f>
        <v>45553.6941044994</v>
      </c>
      <c r="AM63" s="100" t="n">
        <f aca="false">AM61+AM62</f>
        <v>39832.5748050741</v>
      </c>
      <c r="AN63" s="100" t="n">
        <f aca="false">AN61+AN62</f>
        <v>41154.5149455499</v>
      </c>
      <c r="AO63" s="100" t="n">
        <f aca="false">AO61+AO62</f>
        <v>42476.4550860258</v>
      </c>
      <c r="AP63" s="100" t="n">
        <f aca="false">AP61+AP62</f>
        <v>43798.3952265016</v>
      </c>
      <c r="AQ63" s="100" t="n">
        <f aca="false">AQ61+AQ62</f>
        <v>45120.3353669774</v>
      </c>
      <c r="AR63" s="100" t="n">
        <f aca="false">AR61+AR62</f>
        <v>46442.2755074532</v>
      </c>
      <c r="AS63" s="100" t="n">
        <f aca="false">AS61+AS62</f>
        <v>46446.4421741198</v>
      </c>
      <c r="AT63" s="100" t="n">
        <f aca="false">AT61+AT62</f>
        <v>46450.6088407865</v>
      </c>
      <c r="AU63" s="100" t="n">
        <f aca="false">AU61+AU62</f>
        <v>46454.7755074532</v>
      </c>
      <c r="AV63" s="100" t="n">
        <f aca="false">AV61+AV62</f>
        <v>46458.9421741198</v>
      </c>
      <c r="AW63" s="100" t="n">
        <f aca="false">AW61+AW62</f>
        <v>46463.1088407865</v>
      </c>
      <c r="AX63" s="100" t="n">
        <f aca="false">AX61+AX62</f>
        <v>46467.2755074532</v>
      </c>
      <c r="AY63" s="100" t="n">
        <f aca="false">AY61+AY62</f>
        <v>44780.785824861</v>
      </c>
      <c r="AZ63" s="100" t="n">
        <f aca="false">AZ61+AZ62</f>
        <v>44784.9524915277</v>
      </c>
      <c r="BA63" s="100" t="n">
        <f aca="false">BA61+BA62</f>
        <v>44789.1191581944</v>
      </c>
      <c r="BB63" s="100" t="n">
        <f aca="false">BB61+BB62</f>
        <v>44793.285824861</v>
      </c>
      <c r="BC63" s="100" t="n">
        <f aca="false">BC61+BC62</f>
        <v>44797.4524915277</v>
      </c>
      <c r="BD63" s="100" t="n">
        <f aca="false">BD61+BD62</f>
        <v>44801.6191581944</v>
      </c>
      <c r="BE63" s="100" t="n">
        <f aca="false">BE61+BE62</f>
        <v>44805.785824861</v>
      </c>
      <c r="BF63" s="100" t="n">
        <f aca="false">BF61+BF62</f>
        <v>44809.9524915277</v>
      </c>
      <c r="BG63" s="100" t="n">
        <f aca="false">BG61+BG62</f>
        <v>44814.1191581944</v>
      </c>
      <c r="BH63" s="100" t="n">
        <f aca="false">BH61+BH62</f>
        <v>44818.285824861</v>
      </c>
      <c r="BI63" s="100" t="n">
        <f aca="false">BI61+BI62</f>
        <v>44822.4524915277</v>
      </c>
      <c r="BJ63" s="100" t="n">
        <f aca="false">BJ61+BJ62</f>
        <v>44826.6191581944</v>
      </c>
      <c r="BK63" s="100" t="n">
        <f aca="false">BK61+BK62</f>
        <v>43133.0687851245</v>
      </c>
      <c r="BL63" s="100" t="n">
        <f aca="false">BL61+BL62</f>
        <v>43137.2354517911</v>
      </c>
      <c r="BM63" s="100" t="n">
        <f aca="false">BM61+BM62</f>
        <v>43141.4021184578</v>
      </c>
      <c r="BN63" s="100" t="n">
        <f aca="false">BN61+BN62</f>
        <v>43145.5687851245</v>
      </c>
      <c r="BO63" s="100" t="n">
        <f aca="false">BO61+BO62</f>
        <v>43149.7354517911</v>
      </c>
      <c r="BP63" s="100" t="n">
        <f aca="false">BP61+BP62</f>
        <v>43153.9021184578</v>
      </c>
      <c r="BQ63" s="100" t="n">
        <f aca="false">BQ61+BQ62</f>
        <v>43158.0687851245</v>
      </c>
      <c r="BR63" s="100" t="n">
        <f aca="false">BR61+BR62</f>
        <v>43162.2354517911</v>
      </c>
      <c r="BS63" s="100" t="n">
        <f aca="false">BS61+BS62</f>
        <v>43166.4021184578</v>
      </c>
      <c r="BT63" s="100" t="n">
        <f aca="false">BT61+BT62</f>
        <v>43170.5687851245</v>
      </c>
      <c r="BU63" s="100" t="n">
        <f aca="false">BU61+BU62</f>
        <v>43174.7354517911</v>
      </c>
      <c r="BV63" s="100" t="n">
        <f aca="false">BV61+BV62</f>
        <v>43178.9021184578</v>
      </c>
      <c r="BW63" s="100" t="n">
        <f aca="false">BW61+BW62</f>
        <v>41478.0792341958</v>
      </c>
      <c r="BX63" s="100" t="n">
        <f aca="false">BX61+BX62</f>
        <v>41482.2459008625</v>
      </c>
      <c r="BY63" s="100" t="n">
        <f aca="false">BY61+BY62</f>
        <v>41486.4125675291</v>
      </c>
      <c r="BZ63" s="100" t="n">
        <f aca="false">BZ61+BZ62</f>
        <v>41490.5792341958</v>
      </c>
      <c r="CA63" s="100" t="n">
        <f aca="false">CA61+CA62</f>
        <v>41494.7459008625</v>
      </c>
      <c r="CB63" s="100" t="n">
        <f aca="false">CB61+CB62</f>
        <v>41498.9125675291</v>
      </c>
      <c r="CC63" s="100" t="n">
        <f aca="false">CC61+CC62</f>
        <v>41503.0792341958</v>
      </c>
      <c r="CD63" s="100" t="n">
        <f aca="false">CD61+CD62</f>
        <v>41507.2459008625</v>
      </c>
      <c r="CE63" s="100" t="n">
        <f aca="false">CE61+CE62</f>
        <v>41511.4125675291</v>
      </c>
      <c r="CF63" s="100" t="n">
        <f aca="false">CF61+CF62</f>
        <v>41515.5792341958</v>
      </c>
      <c r="CG63" s="100" t="n">
        <f aca="false">CG61+CG62</f>
        <v>41519.7459008625</v>
      </c>
      <c r="CH63" s="100" t="n">
        <f aca="false">CH61+CH62</f>
        <v>41523.9125675291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9" t="s">
        <v>540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customFormat="false" ht="13.5" hidden="false" customHeight="true" outlineLevel="0" collapsed="false">
      <c r="A66" s="6" t="s">
        <v>533</v>
      </c>
      <c r="C66" s="100" t="n">
        <f aca="false">C56</f>
        <v>-13338.9163486463</v>
      </c>
      <c r="D66" s="100" t="n">
        <f aca="false">D56</f>
        <v>-12144.9942747096</v>
      </c>
      <c r="E66" s="100" t="n">
        <f aca="false">E56</f>
        <v>-9712.55917871568</v>
      </c>
      <c r="F66" s="100" t="n">
        <f aca="false">F56</f>
        <v>-8393.20773407546</v>
      </c>
      <c r="G66" s="100" t="n">
        <f aca="false">G56</f>
        <v>-7154.69471201813</v>
      </c>
      <c r="H66" s="100" t="n">
        <f aca="false">H56</f>
        <v>-5207.92466036519</v>
      </c>
      <c r="I66" s="100" t="n">
        <f aca="false">I56</f>
        <v>-1461.57807502551</v>
      </c>
      <c r="J66" s="100" t="n">
        <f aca="false">J56</f>
        <v>2284.76851031417</v>
      </c>
      <c r="K66" s="100" t="n">
        <f aca="false">K56</f>
        <v>6031.11509565385</v>
      </c>
      <c r="L66" s="100" t="n">
        <f aca="false">L56</f>
        <v>9777.46168099353</v>
      </c>
      <c r="M66" s="100" t="n">
        <f aca="false">M56</f>
        <v>12285.2952442759</v>
      </c>
      <c r="N66" s="100" t="n">
        <f aca="false">N56</f>
        <v>15744.0421006064</v>
      </c>
      <c r="O66" s="100" t="n">
        <f aca="false">O56</f>
        <v>13975.5889569369</v>
      </c>
      <c r="P66" s="100" t="n">
        <f aca="false">P56</f>
        <v>17074.7326008911</v>
      </c>
      <c r="Q66" s="100" t="n">
        <f aca="false">Q56</f>
        <v>20173.8762448452</v>
      </c>
      <c r="R66" s="100" t="n">
        <f aca="false">R56</f>
        <v>23273.0198887994</v>
      </c>
      <c r="S66" s="100" t="n">
        <f aca="false">S56</f>
        <v>26372.1635327536</v>
      </c>
      <c r="T66" s="100" t="n">
        <f aca="false">T56</f>
        <v>29471.3071767077</v>
      </c>
      <c r="U66" s="100" t="n">
        <f aca="false">U56</f>
        <v>30259.1308206619</v>
      </c>
      <c r="V66" s="100" t="n">
        <f aca="false">V56</f>
        <v>30639.0744646161</v>
      </c>
      <c r="W66" s="100" t="n">
        <f aca="false">W56</f>
        <v>33738.2181085702</v>
      </c>
      <c r="X66" s="100" t="n">
        <f aca="false">X56</f>
        <v>35886.4484594762</v>
      </c>
      <c r="Y66" s="100" t="n">
        <f aca="false">Y56</f>
        <v>38034.6788103822</v>
      </c>
      <c r="Z66" s="100" t="n">
        <f aca="false">Z56</f>
        <v>39834.255344069</v>
      </c>
      <c r="AA66" s="100" t="n">
        <f aca="false">AA56</f>
        <v>39421.3402777557</v>
      </c>
      <c r="AB66" s="100" t="n">
        <f aca="false">AB56</f>
        <v>41220.9168114425</v>
      </c>
      <c r="AC66" s="100" t="n">
        <f aca="false">AC56</f>
        <v>43020.4933451292</v>
      </c>
      <c r="AD66" s="100" t="n">
        <f aca="false">AD56</f>
        <v>44820.0698788159</v>
      </c>
      <c r="AE66" s="100" t="n">
        <f aca="false">AE56</f>
        <v>46619.6464125027</v>
      </c>
      <c r="AF66" s="100" t="n">
        <f aca="false">AF56</f>
        <v>48419.2229461894</v>
      </c>
      <c r="AG66" s="100" t="n">
        <f aca="false">AG56</f>
        <v>50218.7994798761</v>
      </c>
      <c r="AH66" s="100" t="n">
        <f aca="false">AH56</f>
        <v>49637.7164135629</v>
      </c>
      <c r="AI66" s="100" t="n">
        <f aca="false">AI56</f>
        <v>51437.2929472496</v>
      </c>
      <c r="AJ66" s="100" t="n">
        <f aca="false">AJ56</f>
        <v>53236.8694809364</v>
      </c>
      <c r="AK66" s="100" t="n">
        <f aca="false">AK56</f>
        <v>55036.4460146231</v>
      </c>
      <c r="AL66" s="100" t="n">
        <f aca="false">AL56</f>
        <v>56836.0225483098</v>
      </c>
      <c r="AM66" s="100" t="n">
        <f aca="false">AM56</f>
        <v>56344.7129459966</v>
      </c>
      <c r="AN66" s="100" t="n">
        <f aca="false">AN56</f>
        <v>58144.2894796833</v>
      </c>
      <c r="AO66" s="100" t="n">
        <f aca="false">AO56</f>
        <v>59943.8660133701</v>
      </c>
      <c r="AP66" s="100" t="n">
        <f aca="false">AP56</f>
        <v>61743.4425470568</v>
      </c>
      <c r="AQ66" s="100" t="n">
        <f aca="false">AQ56</f>
        <v>63543.0190807435</v>
      </c>
      <c r="AR66" s="100" t="n">
        <f aca="false">AR56</f>
        <v>65342.5956144303</v>
      </c>
      <c r="AS66" s="100" t="n">
        <f aca="false">AS56</f>
        <v>65342.5956144303</v>
      </c>
      <c r="AT66" s="100" t="n">
        <f aca="false">AT56</f>
        <v>65342.5956144303</v>
      </c>
      <c r="AU66" s="100" t="n">
        <f aca="false">AU56</f>
        <v>65342.5956144303</v>
      </c>
      <c r="AV66" s="100" t="n">
        <f aca="false">AV56</f>
        <v>65342.5956144303</v>
      </c>
      <c r="AW66" s="100" t="n">
        <f aca="false">AW56</f>
        <v>65342.5956144303</v>
      </c>
      <c r="AX66" s="100" t="n">
        <f aca="false">AX56</f>
        <v>65342.5956144303</v>
      </c>
      <c r="AY66" s="100" t="n">
        <f aca="false">AY56</f>
        <v>63042.3828943503</v>
      </c>
      <c r="AZ66" s="100" t="n">
        <f aca="false">AZ56</f>
        <v>63042.3828943503</v>
      </c>
      <c r="BA66" s="100" t="n">
        <f aca="false">BA56</f>
        <v>63042.3828943503</v>
      </c>
      <c r="BB66" s="100" t="n">
        <f aca="false">BB56</f>
        <v>63042.3828943503</v>
      </c>
      <c r="BC66" s="100" t="n">
        <f aca="false">BC56</f>
        <v>63042.3828943503</v>
      </c>
      <c r="BD66" s="100" t="n">
        <f aca="false">BD56</f>
        <v>63042.3828943503</v>
      </c>
      <c r="BE66" s="100" t="n">
        <f aca="false">BE56</f>
        <v>63042.3828943503</v>
      </c>
      <c r="BF66" s="100" t="n">
        <f aca="false">BF56</f>
        <v>63042.3828943503</v>
      </c>
      <c r="BG66" s="100" t="n">
        <f aca="false">BG56</f>
        <v>63042.3828943503</v>
      </c>
      <c r="BH66" s="100" t="n">
        <f aca="false">BH56</f>
        <v>63042.3828943503</v>
      </c>
      <c r="BI66" s="100" t="n">
        <f aca="false">BI56</f>
        <v>63042.3828943503</v>
      </c>
      <c r="BJ66" s="100" t="n">
        <f aca="false">BJ56</f>
        <v>63042.3828943503</v>
      </c>
      <c r="BK66" s="100" t="n">
        <f aca="false">BK56</f>
        <v>60732.5637926679</v>
      </c>
      <c r="BL66" s="100" t="n">
        <f aca="false">BL56</f>
        <v>60732.5637926679</v>
      </c>
      <c r="BM66" s="100" t="n">
        <f aca="false">BM56</f>
        <v>60732.5637926679</v>
      </c>
      <c r="BN66" s="100" t="n">
        <f aca="false">BN56</f>
        <v>60732.5637926679</v>
      </c>
      <c r="BO66" s="100" t="n">
        <f aca="false">BO56</f>
        <v>60732.5637926679</v>
      </c>
      <c r="BP66" s="100" t="n">
        <f aca="false">BP56</f>
        <v>60732.5637926679</v>
      </c>
      <c r="BQ66" s="100" t="n">
        <f aca="false">BQ56</f>
        <v>60732.5637926679</v>
      </c>
      <c r="BR66" s="100" t="n">
        <f aca="false">BR56</f>
        <v>60732.5637926679</v>
      </c>
      <c r="BS66" s="100" t="n">
        <f aca="false">BS56</f>
        <v>60732.5637926679</v>
      </c>
      <c r="BT66" s="100" t="n">
        <f aca="false">BT56</f>
        <v>60732.5637926679</v>
      </c>
      <c r="BU66" s="100" t="n">
        <f aca="false">BU56</f>
        <v>60732.5637926679</v>
      </c>
      <c r="BV66" s="100" t="n">
        <f aca="false">BV56</f>
        <v>60732.5637926679</v>
      </c>
      <c r="BW66" s="100" t="n">
        <f aca="false">BW56</f>
        <v>58412.850117935</v>
      </c>
      <c r="BX66" s="100" t="n">
        <f aca="false">BX56</f>
        <v>58412.850117935</v>
      </c>
      <c r="BY66" s="100" t="n">
        <f aca="false">BY56</f>
        <v>58412.850117935</v>
      </c>
      <c r="BZ66" s="100" t="n">
        <f aca="false">BZ56</f>
        <v>58412.850117935</v>
      </c>
      <c r="CA66" s="100" t="n">
        <f aca="false">CA56</f>
        <v>58412.850117935</v>
      </c>
      <c r="CB66" s="100" t="n">
        <f aca="false">CB56</f>
        <v>58412.850117935</v>
      </c>
      <c r="CC66" s="100" t="n">
        <f aca="false">CC56</f>
        <v>58412.850117935</v>
      </c>
      <c r="CD66" s="100" t="n">
        <f aca="false">CD56</f>
        <v>58412.850117935</v>
      </c>
      <c r="CE66" s="100" t="n">
        <f aca="false">CE56</f>
        <v>58412.850117935</v>
      </c>
      <c r="CF66" s="100" t="n">
        <f aca="false">CF56</f>
        <v>58412.850117935</v>
      </c>
      <c r="CG66" s="100" t="n">
        <f aca="false">CG56</f>
        <v>58412.850117935</v>
      </c>
      <c r="CH66" s="100" t="n">
        <f aca="false">CH56</f>
        <v>58412.850117935</v>
      </c>
    </row>
    <row r="67" customFormat="false" ht="13.5" hidden="false" customHeight="true" outlineLevel="0" collapsed="false">
      <c r="A67" s="6" t="s">
        <v>541</v>
      </c>
      <c r="C67" s="100" t="n">
        <f aca="false">C62</f>
        <v>-0</v>
      </c>
      <c r="D67" s="100" t="n">
        <f aca="false">D62</f>
        <v>-0</v>
      </c>
      <c r="E67" s="100" t="n">
        <f aca="false">E62</f>
        <v>-0</v>
      </c>
      <c r="F67" s="100" t="n">
        <f aca="false">F62</f>
        <v>-0</v>
      </c>
      <c r="G67" s="100" t="n">
        <f aca="false">G62</f>
        <v>-0</v>
      </c>
      <c r="H67" s="100" t="n">
        <f aca="false">H62</f>
        <v>-0</v>
      </c>
      <c r="I67" s="100" t="n">
        <f aca="false">I62</f>
        <v>-0</v>
      </c>
      <c r="J67" s="100" t="n">
        <f aca="false">J62</f>
        <v>-48.9734164312286</v>
      </c>
      <c r="K67" s="100" t="n">
        <f aca="false">K62</f>
        <v>-593.790319045558</v>
      </c>
      <c r="L67" s="100" t="n">
        <f aca="false">L62</f>
        <v>-1141.54796484023</v>
      </c>
      <c r="M67" s="100" t="n">
        <f aca="false">M62</f>
        <v>-1510.86763329087</v>
      </c>
      <c r="N67" s="100" t="n">
        <f aca="false">N62</f>
        <v>-2020.29944563613</v>
      </c>
      <c r="O67" s="100" t="n">
        <f aca="false">O62</f>
        <v>-1758.38756806097</v>
      </c>
      <c r="P67" s="100" t="n">
        <f aca="false">P62</f>
        <v>-2212.21309260242</v>
      </c>
      <c r="Q67" s="100" t="n">
        <f aca="false">Q62</f>
        <v>-2666.03861714388</v>
      </c>
      <c r="R67" s="100" t="n">
        <f aca="false">R62</f>
        <v>-3119.86414168533</v>
      </c>
      <c r="S67" s="100" t="n">
        <f aca="false">S62</f>
        <v>-3573.68966622678</v>
      </c>
      <c r="T67" s="100" t="n">
        <f aca="false">T62</f>
        <v>-4027.51519076824</v>
      </c>
      <c r="U67" s="100" t="n">
        <f aca="false">U62</f>
        <v>-4141.57667530969</v>
      </c>
      <c r="V67" s="100" t="n">
        <f aca="false">V62</f>
        <v>-4195.67979985114</v>
      </c>
      <c r="W67" s="100" t="n">
        <f aca="false">W62</f>
        <v>-4649.50532439259</v>
      </c>
      <c r="X67" s="100" t="n">
        <f aca="false">X62</f>
        <v>-4964.10402356691</v>
      </c>
      <c r="Y67" s="100" t="n">
        <f aca="false">Y62</f>
        <v>-5278.70272274122</v>
      </c>
      <c r="Z67" s="100" t="n">
        <f aca="false">Z62</f>
        <v>-5542.25741750305</v>
      </c>
      <c r="AA67" s="100" t="n">
        <f aca="false">AA62</f>
        <v>-5480.57584706488</v>
      </c>
      <c r="AB67" s="100" t="n">
        <f aca="false">AB62</f>
        <v>-5744.96387516004</v>
      </c>
      <c r="AC67" s="100" t="n">
        <f aca="false">AC62</f>
        <v>-6009.3519032552</v>
      </c>
      <c r="AD67" s="100" t="n">
        <f aca="false">AD62</f>
        <v>-6273.73993135036</v>
      </c>
      <c r="AE67" s="100" t="n">
        <f aca="false">AE62</f>
        <v>-6538.12795944553</v>
      </c>
      <c r="AF67" s="100" t="n">
        <f aca="false">AF62</f>
        <v>-6802.51598754069</v>
      </c>
      <c r="AG67" s="100" t="n">
        <f aca="false">AG62</f>
        <v>-7066.90401563585</v>
      </c>
      <c r="AH67" s="100" t="n">
        <f aca="false">AH62</f>
        <v>-6981.33508253101</v>
      </c>
      <c r="AI67" s="100" t="n">
        <f aca="false">AI62</f>
        <v>-7245.72311062618</v>
      </c>
      <c r="AJ67" s="100" t="n">
        <f aca="false">AJ62</f>
        <v>-7510.11113872134</v>
      </c>
      <c r="AK67" s="100" t="n">
        <f aca="false">AK62</f>
        <v>-7774.4991668165</v>
      </c>
      <c r="AL67" s="100" t="n">
        <f aca="false">AL62</f>
        <v>-8038.88719491166</v>
      </c>
      <c r="AM67" s="100" t="n">
        <f aca="false">AM62</f>
        <v>-13277.5249350247</v>
      </c>
      <c r="AN67" s="100" t="n">
        <f aca="false">AN62</f>
        <v>-13718.1716485166</v>
      </c>
      <c r="AO67" s="100" t="n">
        <f aca="false">AO62</f>
        <v>-14158.8183620086</v>
      </c>
      <c r="AP67" s="100" t="n">
        <f aca="false">AP62</f>
        <v>-14599.4650755005</v>
      </c>
      <c r="AQ67" s="100" t="n">
        <f aca="false">AQ62</f>
        <v>-15040.1117889925</v>
      </c>
      <c r="AR67" s="100" t="n">
        <f aca="false">AR62</f>
        <v>-15480.7585024844</v>
      </c>
      <c r="AS67" s="100" t="n">
        <f aca="false">AS62</f>
        <v>-15482.1473913733</v>
      </c>
      <c r="AT67" s="100" t="n">
        <f aca="false">AT62</f>
        <v>-15483.5362802622</v>
      </c>
      <c r="AU67" s="100" t="n">
        <f aca="false">AU62</f>
        <v>-15484.9251691511</v>
      </c>
      <c r="AV67" s="100" t="n">
        <f aca="false">AV62</f>
        <v>-15486.3140580399</v>
      </c>
      <c r="AW67" s="100" t="n">
        <f aca="false">AW62</f>
        <v>-15487.7029469288</v>
      </c>
      <c r="AX67" s="100" t="n">
        <f aca="false">AX62</f>
        <v>-15489.0918358177</v>
      </c>
      <c r="AY67" s="100" t="n">
        <f aca="false">AY62</f>
        <v>-14926.928608287</v>
      </c>
      <c r="AZ67" s="100" t="n">
        <f aca="false">AZ62</f>
        <v>-14928.3174971759</v>
      </c>
      <c r="BA67" s="100" t="n">
        <f aca="false">BA62</f>
        <v>-14929.7063860648</v>
      </c>
      <c r="BB67" s="100" t="n">
        <f aca="false">BB62</f>
        <v>-14931.0952749537</v>
      </c>
      <c r="BC67" s="100" t="n">
        <f aca="false">BC62</f>
        <v>-14932.4841638426</v>
      </c>
      <c r="BD67" s="100" t="n">
        <f aca="false">BD62</f>
        <v>-14933.8730527315</v>
      </c>
      <c r="BE67" s="100" t="n">
        <f aca="false">BE62</f>
        <v>-14935.2619416203</v>
      </c>
      <c r="BF67" s="100" t="n">
        <f aca="false">BF62</f>
        <v>-14936.6508305092</v>
      </c>
      <c r="BG67" s="100" t="n">
        <f aca="false">BG62</f>
        <v>-14938.0397193981</v>
      </c>
      <c r="BH67" s="100" t="n">
        <f aca="false">BH62</f>
        <v>-14939.428608287</v>
      </c>
      <c r="BI67" s="100" t="n">
        <f aca="false">BI62</f>
        <v>-14940.8174971759</v>
      </c>
      <c r="BJ67" s="100" t="n">
        <f aca="false">BJ62</f>
        <v>-14942.2063860648</v>
      </c>
      <c r="BK67" s="100" t="n">
        <f aca="false">BK62</f>
        <v>-14377.6895950415</v>
      </c>
      <c r="BL67" s="100" t="n">
        <f aca="false">BL62</f>
        <v>-14379.0784839304</v>
      </c>
      <c r="BM67" s="100" t="n">
        <f aca="false">BM62</f>
        <v>-14380.4673728193</v>
      </c>
      <c r="BN67" s="100" t="n">
        <f aca="false">BN62</f>
        <v>-14381.8562617082</v>
      </c>
      <c r="BO67" s="100" t="n">
        <f aca="false">BO62</f>
        <v>-14383.245150597</v>
      </c>
      <c r="BP67" s="100" t="n">
        <f aca="false">BP62</f>
        <v>-14384.6340394859</v>
      </c>
      <c r="BQ67" s="100" t="n">
        <f aca="false">BQ62</f>
        <v>-14386.0229283748</v>
      </c>
      <c r="BR67" s="100" t="n">
        <f aca="false">BR62</f>
        <v>-14387.4118172637</v>
      </c>
      <c r="BS67" s="100" t="n">
        <f aca="false">BS62</f>
        <v>-14388.8007061526</v>
      </c>
      <c r="BT67" s="100" t="n">
        <f aca="false">BT62</f>
        <v>-14390.1895950415</v>
      </c>
      <c r="BU67" s="100" t="n">
        <f aca="false">BU62</f>
        <v>-14391.5784839304</v>
      </c>
      <c r="BV67" s="100" t="n">
        <f aca="false">BV62</f>
        <v>-14392.9673728193</v>
      </c>
      <c r="BW67" s="100" t="n">
        <f aca="false">BW62</f>
        <v>-13826.0264113986</v>
      </c>
      <c r="BX67" s="100" t="n">
        <f aca="false">BX62</f>
        <v>-13827.4153002875</v>
      </c>
      <c r="BY67" s="100" t="n">
        <f aca="false">BY62</f>
        <v>-13828.8041891764</v>
      </c>
      <c r="BZ67" s="100" t="n">
        <f aca="false">BZ62</f>
        <v>-13830.1930780653</v>
      </c>
      <c r="CA67" s="100" t="n">
        <f aca="false">CA62</f>
        <v>-13831.5819669542</v>
      </c>
      <c r="CB67" s="100" t="n">
        <f aca="false">CB62</f>
        <v>-13832.970855843</v>
      </c>
      <c r="CC67" s="100" t="n">
        <f aca="false">CC62</f>
        <v>-13834.3597447319</v>
      </c>
      <c r="CD67" s="100" t="n">
        <f aca="false">CD62</f>
        <v>-13835.7486336208</v>
      </c>
      <c r="CE67" s="100" t="n">
        <f aca="false">CE62</f>
        <v>-13837.1375225097</v>
      </c>
      <c r="CF67" s="100" t="n">
        <f aca="false">CF62</f>
        <v>-13838.5264113986</v>
      </c>
      <c r="CG67" s="100" t="n">
        <f aca="false">CG62</f>
        <v>-13839.9153002875</v>
      </c>
      <c r="CH67" s="100" t="n">
        <f aca="false">CH62</f>
        <v>-13841.3041891764</v>
      </c>
    </row>
    <row r="68" customFormat="false" ht="13.5" hidden="false" customHeight="true" outlineLevel="0" collapsed="false">
      <c r="A68" s="6" t="s">
        <v>542</v>
      </c>
      <c r="C68" s="101" t="n">
        <f aca="false">C38*Hipótesis!$E$66/30</f>
        <v>1018.1446875</v>
      </c>
      <c r="D68" s="101" t="n">
        <f aca="false">D38*Hipótesis!$E$66/30</f>
        <v>2115.568125</v>
      </c>
      <c r="E68" s="101" t="n">
        <f aca="false">E38*Hipótesis!$E$66/30</f>
        <v>4406.3019140625</v>
      </c>
      <c r="F68" s="101" t="n">
        <f aca="false">F38*Hipótesis!$E$66/30</f>
        <v>5678.891015625</v>
      </c>
      <c r="G68" s="101" t="n">
        <f aca="false">G38*Hipótesis!$E$66/30</f>
        <v>6872.2013671875</v>
      </c>
      <c r="H68" s="101" t="n">
        <f aca="false">H38*Hipótesis!$E$66/30</f>
        <v>8792.23359375</v>
      </c>
      <c r="I68" s="101" t="n">
        <f aca="false">I38*Hipótesis!$E$66/30</f>
        <v>12459.9203805287</v>
      </c>
      <c r="J68" s="101" t="n">
        <f aca="false">J38*Hipótesis!$E$66/30</f>
        <v>16127.6071673075</v>
      </c>
      <c r="K68" s="101" t="n">
        <f aca="false">K38*Hipótesis!$E$66/30</f>
        <v>19795.2939540862</v>
      </c>
      <c r="L68" s="101" t="n">
        <f aca="false">L38*Hipótesis!$E$66/30</f>
        <v>23462.980740865</v>
      </c>
      <c r="M68" s="101" t="n">
        <f aca="false">M38*Hipótesis!$E$66/30</f>
        <v>25937.3571760812</v>
      </c>
      <c r="N68" s="101" t="n">
        <f aca="false">N38*Hipótesis!$E$66/30</f>
        <v>29402.7179862975</v>
      </c>
      <c r="O68" s="101" t="n">
        <f aca="false">O38*Hipótesis!$E$66/30</f>
        <v>32868.0787965137</v>
      </c>
      <c r="P68" s="101" t="n">
        <f aca="false">P38*Hipótesis!$E$66/30</f>
        <v>35976.68523173</v>
      </c>
      <c r="Q68" s="101" t="n">
        <f aca="false">Q38*Hipótesis!$E$66/30</f>
        <v>39085.2916669462</v>
      </c>
      <c r="R68" s="101" t="n">
        <f aca="false">R38*Hipótesis!$E$66/30</f>
        <v>42193.8981021624</v>
      </c>
      <c r="S68" s="101" t="n">
        <f aca="false">S38*Hipótesis!$E$66/30</f>
        <v>45302.5045373787</v>
      </c>
      <c r="T68" s="101" t="n">
        <f aca="false">T38*Hipótesis!$E$66/30</f>
        <v>48411.1109725949</v>
      </c>
      <c r="U68" s="101" t="n">
        <f aca="false">U38*Hipótesis!$E$66/30</f>
        <v>51519.7174078112</v>
      </c>
      <c r="V68" s="101" t="n">
        <f aca="false">V38*Hipótesis!$E$66/30</f>
        <v>54628.3238430274</v>
      </c>
      <c r="W68" s="101" t="n">
        <f aca="false">W38*Hipótesis!$E$66/30</f>
        <v>57736.9302782436</v>
      </c>
      <c r="X68" s="101" t="n">
        <f aca="false">X38*Hipótesis!$E$66/30</f>
        <v>59854.5523384599</v>
      </c>
      <c r="Y68" s="101" t="n">
        <f aca="false">Y38*Hipótesis!$E$66/30</f>
        <v>61972.1743986761</v>
      </c>
      <c r="Z68" s="101" t="n">
        <f aca="false">Z38*Hipótesis!$E$66/30</f>
        <v>63719.8289588924</v>
      </c>
      <c r="AA68" s="101" t="n">
        <f aca="false">AA38*Hipótesis!$E$66/30</f>
        <v>65467.4835191086</v>
      </c>
      <c r="AB68" s="101" t="n">
        <f aca="false">AB38*Hipótesis!$E$66/30</f>
        <v>67215.1380793249</v>
      </c>
      <c r="AC68" s="101" t="n">
        <f aca="false">AC38*Hipótesis!$E$66/30</f>
        <v>68962.7926395411</v>
      </c>
      <c r="AD68" s="101" t="n">
        <f aca="false">AD38*Hipótesis!$E$66/30</f>
        <v>70710.4471997574</v>
      </c>
      <c r="AE68" s="101" t="n">
        <f aca="false">AE38*Hipótesis!$E$66/30</f>
        <v>72458.1017599736</v>
      </c>
      <c r="AF68" s="101" t="n">
        <f aca="false">AF38*Hipótesis!$E$66/30</f>
        <v>74205.7563201898</v>
      </c>
      <c r="AG68" s="101" t="n">
        <f aca="false">AG38*Hipótesis!$E$66/30</f>
        <v>75953.4108804061</v>
      </c>
      <c r="AH68" s="101" t="n">
        <f aca="false">AH38*Hipótesis!$E$66/30</f>
        <v>77701.0654406223</v>
      </c>
      <c r="AI68" s="101" t="n">
        <f aca="false">AI38*Hipótesis!$E$66/30</f>
        <v>79448.7200008386</v>
      </c>
      <c r="AJ68" s="101" t="n">
        <f aca="false">AJ38*Hipótesis!$E$66/30</f>
        <v>81196.3745610548</v>
      </c>
      <c r="AK68" s="101" t="n">
        <f aca="false">AK38*Hipótesis!$E$66/30</f>
        <v>82944.0291212711</v>
      </c>
      <c r="AL68" s="101" t="n">
        <f aca="false">AL38*Hipótesis!$E$66/30</f>
        <v>84691.6836814873</v>
      </c>
      <c r="AM68" s="101" t="n">
        <f aca="false">AM38*Hipótesis!$E$66/30</f>
        <v>86439.3382417036</v>
      </c>
      <c r="AN68" s="101" t="n">
        <f aca="false">AN38*Hipótesis!$E$66/30</f>
        <v>88186.9928019198</v>
      </c>
      <c r="AO68" s="101" t="n">
        <f aca="false">AO38*Hipótesis!$E$66/30</f>
        <v>89934.6473621361</v>
      </c>
      <c r="AP68" s="101" t="n">
        <f aca="false">AP38*Hipótesis!$E$66/30</f>
        <v>91682.3019223523</v>
      </c>
      <c r="AQ68" s="101" t="n">
        <f aca="false">AQ38*Hipótesis!$E$66/30</f>
        <v>93429.9564825685</v>
      </c>
      <c r="AR68" s="101" t="n">
        <f aca="false">AR38*Hipótesis!$E$66/30</f>
        <v>95177.6110427848</v>
      </c>
      <c r="AS68" s="101" t="n">
        <f aca="false">AS38*Hipótesis!$E$66/30</f>
        <v>95177.6110427848</v>
      </c>
      <c r="AT68" s="101" t="n">
        <f aca="false">AT38*Hipótesis!$E$66/30</f>
        <v>95177.6110427848</v>
      </c>
      <c r="AU68" s="101" t="n">
        <f aca="false">AU38*Hipótesis!$E$66/30</f>
        <v>95177.6110427848</v>
      </c>
      <c r="AV68" s="101" t="n">
        <f aca="false">AV38*Hipótesis!$E$66/30</f>
        <v>95177.6110427848</v>
      </c>
      <c r="AW68" s="101" t="n">
        <f aca="false">AW38*Hipótesis!$E$66/30</f>
        <v>95177.6110427848</v>
      </c>
      <c r="AX68" s="101" t="n">
        <f aca="false">AX38*Hipótesis!$E$66/30</f>
        <v>95177.6110427848</v>
      </c>
      <c r="AY68" s="101" t="n">
        <f aca="false">AY38*Hipótesis!$E$66/30</f>
        <v>95177.6110427848</v>
      </c>
      <c r="AZ68" s="101" t="n">
        <f aca="false">AZ38*Hipótesis!$E$66/30</f>
        <v>95177.6110427848</v>
      </c>
      <c r="BA68" s="101" t="n">
        <f aca="false">BA38*Hipótesis!$E$66/30</f>
        <v>95177.6110427848</v>
      </c>
      <c r="BB68" s="101" t="n">
        <f aca="false">BB38*Hipótesis!$E$66/30</f>
        <v>95177.6110427848</v>
      </c>
      <c r="BC68" s="101" t="n">
        <f aca="false">BC38*Hipótesis!$E$66/30</f>
        <v>95177.6110427848</v>
      </c>
      <c r="BD68" s="101" t="n">
        <f aca="false">BD38*Hipótesis!$E$66/30</f>
        <v>95177.6110427848</v>
      </c>
      <c r="BE68" s="101" t="n">
        <f aca="false">BE38*Hipótesis!$E$66/30</f>
        <v>95177.6110427848</v>
      </c>
      <c r="BF68" s="101" t="n">
        <f aca="false">BF38*Hipótesis!$E$66/30</f>
        <v>95177.6110427848</v>
      </c>
      <c r="BG68" s="101" t="n">
        <f aca="false">BG38*Hipótesis!$E$66/30</f>
        <v>95177.6110427848</v>
      </c>
      <c r="BH68" s="101" t="n">
        <f aca="false">BH38*Hipótesis!$E$66/30</f>
        <v>95177.6110427848</v>
      </c>
      <c r="BI68" s="101" t="n">
        <f aca="false">BI38*Hipótesis!$E$66/30</f>
        <v>95177.6110427848</v>
      </c>
      <c r="BJ68" s="101" t="n">
        <f aca="false">BJ38*Hipótesis!$E$66/30</f>
        <v>95177.6110427848</v>
      </c>
      <c r="BK68" s="101" t="n">
        <f aca="false">BK38*Hipótesis!$E$66/30</f>
        <v>95177.6110427848</v>
      </c>
      <c r="BL68" s="101" t="n">
        <f aca="false">BL38*Hipótesis!$E$66/30</f>
        <v>95177.6110427848</v>
      </c>
      <c r="BM68" s="101" t="n">
        <f aca="false">BM38*Hipótesis!$E$66/30</f>
        <v>95177.6110427848</v>
      </c>
      <c r="BN68" s="101" t="n">
        <f aca="false">BN38*Hipótesis!$E$66/30</f>
        <v>95177.6110427848</v>
      </c>
      <c r="BO68" s="101" t="n">
        <f aca="false">BO38*Hipótesis!$E$66/30</f>
        <v>95177.6110427848</v>
      </c>
      <c r="BP68" s="101" t="n">
        <f aca="false">BP38*Hipótesis!$E$66/30</f>
        <v>95177.6110427848</v>
      </c>
      <c r="BQ68" s="101" t="n">
        <f aca="false">BQ38*Hipótesis!$E$66/30</f>
        <v>95177.6110427848</v>
      </c>
      <c r="BR68" s="101" t="n">
        <f aca="false">BR38*Hipótesis!$E$66/30</f>
        <v>95177.6110427848</v>
      </c>
      <c r="BS68" s="101" t="n">
        <f aca="false">BS38*Hipótesis!$E$66/30</f>
        <v>95177.6110427848</v>
      </c>
      <c r="BT68" s="101" t="n">
        <f aca="false">BT38*Hipótesis!$E$66/30</f>
        <v>95177.6110427848</v>
      </c>
      <c r="BU68" s="101" t="n">
        <f aca="false">BU38*Hipótesis!$E$66/30</f>
        <v>95177.6110427848</v>
      </c>
      <c r="BV68" s="101" t="n">
        <f aca="false">BV38*Hipótesis!$E$66/30</f>
        <v>95177.6110427848</v>
      </c>
      <c r="BW68" s="101" t="n">
        <f aca="false">BW38*Hipótesis!$E$66/30</f>
        <v>95177.6110427848</v>
      </c>
      <c r="BX68" s="101" t="n">
        <f aca="false">BX38*Hipótesis!$E$66/30</f>
        <v>95177.6110427848</v>
      </c>
      <c r="BY68" s="101" t="n">
        <f aca="false">BY38*Hipótesis!$E$66/30</f>
        <v>95177.6110427848</v>
      </c>
      <c r="BZ68" s="101" t="n">
        <f aca="false">BZ38*Hipótesis!$E$66/30</f>
        <v>95177.6110427848</v>
      </c>
      <c r="CA68" s="101" t="n">
        <f aca="false">CA38*Hipótesis!$E$66/30</f>
        <v>95177.6110427848</v>
      </c>
      <c r="CB68" s="101" t="n">
        <f aca="false">CB38*Hipótesis!$E$66/30</f>
        <v>95177.6110427848</v>
      </c>
      <c r="CC68" s="101" t="n">
        <f aca="false">CC38*Hipótesis!$E$66/30</f>
        <v>95177.6110427848</v>
      </c>
      <c r="CD68" s="101" t="n">
        <f aca="false">CD38*Hipótesis!$E$66/30</f>
        <v>95177.6110427848</v>
      </c>
      <c r="CE68" s="101" t="n">
        <f aca="false">CE38*Hipótesis!$E$66/30</f>
        <v>95177.6110427848</v>
      </c>
      <c r="CF68" s="101" t="n">
        <f aca="false">CF38*Hipótesis!$E$66/30</f>
        <v>95177.6110427848</v>
      </c>
      <c r="CG68" s="101" t="n">
        <f aca="false">CG38*Hipótesis!$E$66/30</f>
        <v>95177.6110427848</v>
      </c>
      <c r="CH68" s="101" t="n">
        <f aca="false">CH38*Hipótesis!$E$66/30</f>
        <v>95177.6110427848</v>
      </c>
    </row>
    <row r="69" customFormat="false" ht="13.5" hidden="false" customHeight="true" outlineLevel="0" collapsed="false">
      <c r="A69" s="6" t="s">
        <v>543</v>
      </c>
      <c r="C69" s="101" t="n">
        <f aca="false">-C39*Hipótesis!$E$67/30</f>
        <v>122.73525</v>
      </c>
      <c r="D69" s="101" t="n">
        <f aca="false">-D39*Hipótesis!$E$67/30</f>
        <v>263.951602941176</v>
      </c>
      <c r="E69" s="101" t="n">
        <f aca="false">-E39*Hipótesis!$E$67/30</f>
        <v>651.587056886817</v>
      </c>
      <c r="F69" s="101" t="n">
        <f aca="false">-F39*Hipótesis!$E$67/30</f>
        <v>916.487260832458</v>
      </c>
      <c r="G69" s="101" t="n">
        <f aca="false">-G39*Hipótesis!$E$67/30</f>
        <v>1162.90636183692</v>
      </c>
      <c r="H69" s="101" t="n">
        <f aca="false">-H39*Hipótesis!$E$67/30</f>
        <v>1621.08810070903</v>
      </c>
      <c r="I69" s="101" t="n">
        <f aca="false">-I39*Hipótesis!$E$67/30</f>
        <v>2459.10158750682</v>
      </c>
      <c r="J69" s="101" t="n">
        <f aca="false">-J39*Hipótesis!$E$67/30</f>
        <v>3297.11507430461</v>
      </c>
      <c r="K69" s="101" t="n">
        <f aca="false">-K39*Hipótesis!$E$67/30</f>
        <v>4135.1285611024</v>
      </c>
      <c r="L69" s="101" t="n">
        <f aca="false">-L39*Hipótesis!$E$67/30</f>
        <v>4973.14204790018</v>
      </c>
      <c r="M69" s="101" t="n">
        <f aca="false">-M39*Hipótesis!$E$67/30</f>
        <v>5564.7364336935</v>
      </c>
      <c r="N69" s="101" t="n">
        <f aca="false">-N39*Hipótesis!$E$67/30</f>
        <v>6464.34920183977</v>
      </c>
      <c r="O69" s="101" t="n">
        <f aca="false">-O39*Hipótesis!$E$67/30</f>
        <v>7363.96196998603</v>
      </c>
      <c r="P69" s="101" t="n">
        <f aca="false">-P39*Hipótesis!$E$67/30</f>
        <v>8175.01945320583</v>
      </c>
      <c r="Q69" s="101" t="n">
        <f aca="false">-Q39*Hipótesis!$E$67/30</f>
        <v>8986.07693642562</v>
      </c>
      <c r="R69" s="101" t="n">
        <f aca="false">-R39*Hipótesis!$E$67/30</f>
        <v>9797.13441964541</v>
      </c>
      <c r="S69" s="101" t="n">
        <f aca="false">-S39*Hipótesis!$E$67/30</f>
        <v>10608.1919028652</v>
      </c>
      <c r="T69" s="101" t="n">
        <f aca="false">-T39*Hipótesis!$E$67/30</f>
        <v>11419.249386085</v>
      </c>
      <c r="U69" s="101" t="n">
        <f aca="false">-U39*Hipótesis!$E$67/30</f>
        <v>12230.3068693048</v>
      </c>
      <c r="V69" s="101" t="n">
        <f aca="false">-V39*Hipótesis!$E$67/30</f>
        <v>13041.3643525246</v>
      </c>
      <c r="W69" s="101" t="n">
        <f aca="false">-W39*Hipótesis!$E$67/30</f>
        <v>13852.4218357444</v>
      </c>
      <c r="X69" s="101" t="n">
        <f aca="false">-X39*Hipótesis!$E$67/30</f>
        <v>14355.4609366112</v>
      </c>
      <c r="Y69" s="101" t="n">
        <f aca="false">-Y39*Hipótesis!$E$67/30</f>
        <v>14858.5000374781</v>
      </c>
      <c r="Z69" s="101" t="n">
        <f aca="false">-Z39*Hipótesis!$E$67/30</f>
        <v>15238.3317854038</v>
      </c>
      <c r="AA69" s="101" t="n">
        <f aca="false">-AA39*Hipótesis!$E$67/30</f>
        <v>15618.1635333294</v>
      </c>
      <c r="AB69" s="101" t="n">
        <f aca="false">-AB39*Hipótesis!$E$67/30</f>
        <v>15997.9952812551</v>
      </c>
      <c r="AC69" s="101" t="n">
        <f aca="false">-AC39*Hipótesis!$E$67/30</f>
        <v>16377.8270291808</v>
      </c>
      <c r="AD69" s="101" t="n">
        <f aca="false">-AD39*Hipótesis!$E$67/30</f>
        <v>16757.6587771065</v>
      </c>
      <c r="AE69" s="101" t="n">
        <f aca="false">-AE39*Hipótesis!$E$67/30</f>
        <v>17137.4905250321</v>
      </c>
      <c r="AF69" s="101" t="n">
        <f aca="false">-AF39*Hipótesis!$E$67/30</f>
        <v>17517.3222729578</v>
      </c>
      <c r="AG69" s="101" t="n">
        <f aca="false">-AG39*Hipótesis!$E$67/30</f>
        <v>17897.1540208835</v>
      </c>
      <c r="AH69" s="101" t="n">
        <f aca="false">-AH39*Hipótesis!$E$67/30</f>
        <v>18276.9857688092</v>
      </c>
      <c r="AI69" s="101" t="n">
        <f aca="false">-AI39*Hipótesis!$E$67/30</f>
        <v>18656.8175167348</v>
      </c>
      <c r="AJ69" s="101" t="n">
        <f aca="false">-AJ39*Hipótesis!$E$67/30</f>
        <v>19036.6492646605</v>
      </c>
      <c r="AK69" s="101" t="n">
        <f aca="false">-AK39*Hipótesis!$E$67/30</f>
        <v>19416.4810125862</v>
      </c>
      <c r="AL69" s="101" t="n">
        <f aca="false">-AL39*Hipótesis!$E$67/30</f>
        <v>19796.3127605119</v>
      </c>
      <c r="AM69" s="101" t="n">
        <f aca="false">-AM39*Hipótesis!$E$67/30</f>
        <v>20176.1445084375</v>
      </c>
      <c r="AN69" s="101" t="n">
        <f aca="false">-AN39*Hipótesis!$E$67/30</f>
        <v>20555.9762563632</v>
      </c>
      <c r="AO69" s="101" t="n">
        <f aca="false">-AO39*Hipótesis!$E$67/30</f>
        <v>20935.8080042889</v>
      </c>
      <c r="AP69" s="101" t="n">
        <f aca="false">-AP39*Hipótesis!$E$67/30</f>
        <v>21315.6397522146</v>
      </c>
      <c r="AQ69" s="101" t="n">
        <f aca="false">-AQ39*Hipótesis!$E$67/30</f>
        <v>21695.4715001402</v>
      </c>
      <c r="AR69" s="101" t="n">
        <f aca="false">-AR39*Hipótesis!$E$67/30</f>
        <v>22075.3032480659</v>
      </c>
      <c r="AS69" s="101" t="n">
        <f aca="false">-AS39*Hipótesis!$E$67/30</f>
        <v>22075.3032480659</v>
      </c>
      <c r="AT69" s="101" t="n">
        <f aca="false">-AT39*Hipótesis!$E$67/30</f>
        <v>22075.3032480659</v>
      </c>
      <c r="AU69" s="101" t="n">
        <f aca="false">-AU39*Hipótesis!$E$67/30</f>
        <v>22075.3032480659</v>
      </c>
      <c r="AV69" s="101" t="n">
        <f aca="false">-AV39*Hipótesis!$E$67/30</f>
        <v>22075.3032480659</v>
      </c>
      <c r="AW69" s="101" t="n">
        <f aca="false">-AW39*Hipótesis!$E$67/30</f>
        <v>22075.3032480659</v>
      </c>
      <c r="AX69" s="101" t="n">
        <f aca="false">-AX39*Hipótesis!$E$67/30</f>
        <v>22075.3032480659</v>
      </c>
      <c r="AY69" s="101" t="n">
        <f aca="false">-AY39*Hipótesis!$E$67/30</f>
        <v>22075.3032480659</v>
      </c>
      <c r="AZ69" s="101" t="n">
        <f aca="false">-AZ39*Hipótesis!$E$67/30</f>
        <v>22075.3032480659</v>
      </c>
      <c r="BA69" s="101" t="n">
        <f aca="false">-BA39*Hipótesis!$E$67/30</f>
        <v>22075.3032480659</v>
      </c>
      <c r="BB69" s="101" t="n">
        <f aca="false">-BB39*Hipótesis!$E$67/30</f>
        <v>22075.3032480659</v>
      </c>
      <c r="BC69" s="101" t="n">
        <f aca="false">-BC39*Hipótesis!$E$67/30</f>
        <v>22075.3032480659</v>
      </c>
      <c r="BD69" s="101" t="n">
        <f aca="false">-BD39*Hipótesis!$E$67/30</f>
        <v>22075.3032480659</v>
      </c>
      <c r="BE69" s="101" t="n">
        <f aca="false">-BE39*Hipótesis!$E$67/30</f>
        <v>22075.3032480659</v>
      </c>
      <c r="BF69" s="101" t="n">
        <f aca="false">-BF39*Hipótesis!$E$67/30</f>
        <v>22075.3032480659</v>
      </c>
      <c r="BG69" s="101" t="n">
        <f aca="false">-BG39*Hipótesis!$E$67/30</f>
        <v>22075.3032480659</v>
      </c>
      <c r="BH69" s="101" t="n">
        <f aca="false">-BH39*Hipótesis!$E$67/30</f>
        <v>22075.3032480659</v>
      </c>
      <c r="BI69" s="101" t="n">
        <f aca="false">-BI39*Hipótesis!$E$67/30</f>
        <v>22075.3032480659</v>
      </c>
      <c r="BJ69" s="101" t="n">
        <f aca="false">-BJ39*Hipótesis!$E$67/30</f>
        <v>22075.3032480659</v>
      </c>
      <c r="BK69" s="101" t="n">
        <f aca="false">-BK39*Hipótesis!$E$67/30</f>
        <v>22075.3032480659</v>
      </c>
      <c r="BL69" s="101" t="n">
        <f aca="false">-BL39*Hipótesis!$E$67/30</f>
        <v>22075.3032480659</v>
      </c>
      <c r="BM69" s="101" t="n">
        <f aca="false">-BM39*Hipótesis!$E$67/30</f>
        <v>22075.3032480659</v>
      </c>
      <c r="BN69" s="101" t="n">
        <f aca="false">-BN39*Hipótesis!$E$67/30</f>
        <v>22075.3032480659</v>
      </c>
      <c r="BO69" s="101" t="n">
        <f aca="false">-BO39*Hipótesis!$E$67/30</f>
        <v>22075.3032480659</v>
      </c>
      <c r="BP69" s="101" t="n">
        <f aca="false">-BP39*Hipótesis!$E$67/30</f>
        <v>22075.3032480659</v>
      </c>
      <c r="BQ69" s="101" t="n">
        <f aca="false">-BQ39*Hipótesis!$E$67/30</f>
        <v>22075.3032480659</v>
      </c>
      <c r="BR69" s="101" t="n">
        <f aca="false">-BR39*Hipótesis!$E$67/30</f>
        <v>22075.3032480659</v>
      </c>
      <c r="BS69" s="101" t="n">
        <f aca="false">-BS39*Hipótesis!$E$67/30</f>
        <v>22075.3032480659</v>
      </c>
      <c r="BT69" s="101" t="n">
        <f aca="false">-BT39*Hipótesis!$E$67/30</f>
        <v>22075.3032480659</v>
      </c>
      <c r="BU69" s="101" t="n">
        <f aca="false">-BU39*Hipótesis!$E$67/30</f>
        <v>22075.3032480659</v>
      </c>
      <c r="BV69" s="101" t="n">
        <f aca="false">-BV39*Hipótesis!$E$67/30</f>
        <v>22075.3032480659</v>
      </c>
      <c r="BW69" s="101" t="n">
        <f aca="false">-BW39*Hipótesis!$E$67/30</f>
        <v>22075.3032480659</v>
      </c>
      <c r="BX69" s="101" t="n">
        <f aca="false">-BX39*Hipótesis!$E$67/30</f>
        <v>22075.3032480659</v>
      </c>
      <c r="BY69" s="101" t="n">
        <f aca="false">-BY39*Hipótesis!$E$67/30</f>
        <v>22075.3032480659</v>
      </c>
      <c r="BZ69" s="101" t="n">
        <f aca="false">-BZ39*Hipótesis!$E$67/30</f>
        <v>22075.3032480659</v>
      </c>
      <c r="CA69" s="101" t="n">
        <f aca="false">-CA39*Hipótesis!$E$67/30</f>
        <v>22075.3032480659</v>
      </c>
      <c r="CB69" s="101" t="n">
        <f aca="false">-CB39*Hipótesis!$E$67/30</f>
        <v>22075.3032480659</v>
      </c>
      <c r="CC69" s="101" t="n">
        <f aca="false">-CC39*Hipótesis!$E$67/30</f>
        <v>22075.3032480659</v>
      </c>
      <c r="CD69" s="101" t="n">
        <f aca="false">-CD39*Hipótesis!$E$67/30</f>
        <v>22075.3032480659</v>
      </c>
      <c r="CE69" s="101" t="n">
        <f aca="false">-CE39*Hipótesis!$E$67/30</f>
        <v>22075.3032480659</v>
      </c>
      <c r="CF69" s="101" t="n">
        <f aca="false">-CF39*Hipótesis!$E$67/30</f>
        <v>22075.3032480659</v>
      </c>
      <c r="CG69" s="101" t="n">
        <f aca="false">-CG39*Hipótesis!$E$67/30</f>
        <v>22075.3032480659</v>
      </c>
      <c r="CH69" s="101" t="n">
        <f aca="false">-CH39*Hipótesis!$E$67/30</f>
        <v>22075.3032480659</v>
      </c>
    </row>
    <row r="70" customFormat="false" ht="13.5" hidden="false" customHeight="true" outlineLevel="0" collapsed="false">
      <c r="A70" s="22" t="s">
        <v>544</v>
      </c>
      <c r="C70" s="101" t="n">
        <f aca="false">C68*(1-Hipótesis!$D$73)-C69</f>
        <v>284.522625</v>
      </c>
      <c r="D70" s="101" t="n">
        <f aca="false">D68*(1-Hipótesis!$D$73)-D69</f>
        <v>582.275647058824</v>
      </c>
      <c r="E70" s="101" t="n">
        <f aca="false">E68*(1-Hipótesis!$D$73)-E69</f>
        <v>1110.93370873818</v>
      </c>
      <c r="F70" s="101" t="n">
        <f aca="false">F68*(1-Hipótesis!$D$73)-F69</f>
        <v>1355.06914541754</v>
      </c>
      <c r="G70" s="101" t="n">
        <f aca="false">G68*(1-Hipótesis!$D$73)-G69</f>
        <v>1585.97418503808</v>
      </c>
      <c r="H70" s="101" t="n">
        <f aca="false">H68*(1-Hipótesis!$D$73)-H69</f>
        <v>1895.80533679097</v>
      </c>
      <c r="I70" s="101" t="n">
        <f aca="false">I68*(1-Hipótesis!$D$73)-I69</f>
        <v>2524.86656470468</v>
      </c>
      <c r="J70" s="101" t="n">
        <f aca="false">J68*(1-Hipótesis!$D$73)-J69</f>
        <v>3153.92779261839</v>
      </c>
      <c r="K70" s="101" t="n">
        <f aca="false">K68*(1-Hipótesis!$D$73)-K69</f>
        <v>3782.9890205321</v>
      </c>
      <c r="L70" s="101" t="n">
        <f aca="false">L68*(1-Hipótesis!$D$73)-L69</f>
        <v>4412.05024844581</v>
      </c>
      <c r="M70" s="101" t="n">
        <f aca="false">M68*(1-Hipótesis!$D$73)-M69</f>
        <v>4810.20643673899</v>
      </c>
      <c r="N70" s="101" t="n">
        <f aca="false">N68*(1-Hipótesis!$D$73)-N69</f>
        <v>5296.73799267922</v>
      </c>
      <c r="O70" s="101" t="n">
        <f aca="false">O68*(1-Hipótesis!$D$73)-O69</f>
        <v>5783.26954861945</v>
      </c>
      <c r="P70" s="101" t="n">
        <f aca="false">P68*(1-Hipótesis!$D$73)-P69</f>
        <v>6215.65463948616</v>
      </c>
      <c r="Q70" s="101" t="n">
        <f aca="false">Q68*(1-Hipótesis!$D$73)-Q69</f>
        <v>6648.03973035286</v>
      </c>
      <c r="R70" s="101" t="n">
        <f aca="false">R68*(1-Hipótesis!$D$73)-R69</f>
        <v>7080.42482121956</v>
      </c>
      <c r="S70" s="101" t="n">
        <f aca="false">S68*(1-Hipótesis!$D$73)-S69</f>
        <v>7512.80991208627</v>
      </c>
      <c r="T70" s="101" t="n">
        <f aca="false">T68*(1-Hipótesis!$D$73)-T69</f>
        <v>7945.19500295297</v>
      </c>
      <c r="U70" s="101" t="n">
        <f aca="false">U68*(1-Hipótesis!$D$73)-U69</f>
        <v>8377.58009381968</v>
      </c>
      <c r="V70" s="101" t="n">
        <f aca="false">V68*(1-Hipótesis!$D$73)-V69</f>
        <v>8809.96518468638</v>
      </c>
      <c r="W70" s="101" t="n">
        <f aca="false">W68*(1-Hipótesis!$D$73)-W69</f>
        <v>9242.35027555308</v>
      </c>
      <c r="X70" s="101" t="n">
        <f aca="false">X68*(1-Hipótesis!$D$73)-X69</f>
        <v>9586.35999877273</v>
      </c>
      <c r="Y70" s="101" t="n">
        <f aca="false">Y68*(1-Hipótesis!$D$73)-Y69</f>
        <v>9930.36972199237</v>
      </c>
      <c r="Z70" s="101" t="n">
        <f aca="false">Z68*(1-Hipótesis!$D$73)-Z69</f>
        <v>10249.5997981532</v>
      </c>
      <c r="AA70" s="101" t="n">
        <f aca="false">AA68*(1-Hipótesis!$D$73)-AA69</f>
        <v>10568.829874314</v>
      </c>
      <c r="AB70" s="101" t="n">
        <f aca="false">AB68*(1-Hipótesis!$D$73)-AB69</f>
        <v>10888.0599504748</v>
      </c>
      <c r="AC70" s="101" t="n">
        <f aca="false">AC68*(1-Hipótesis!$D$73)-AC69</f>
        <v>11207.2900266357</v>
      </c>
      <c r="AD70" s="101" t="n">
        <f aca="false">AD68*(1-Hipótesis!$D$73)-AD69</f>
        <v>11526.5201027965</v>
      </c>
      <c r="AE70" s="101" t="n">
        <f aca="false">AE68*(1-Hipótesis!$D$73)-AE69</f>
        <v>11845.7501789573</v>
      </c>
      <c r="AF70" s="101" t="n">
        <f aca="false">AF68*(1-Hipótesis!$D$73)-AF69</f>
        <v>12164.9802551181</v>
      </c>
      <c r="AG70" s="101" t="n">
        <f aca="false">AG68*(1-Hipótesis!$D$73)-AG69</f>
        <v>12484.2103312789</v>
      </c>
      <c r="AH70" s="101" t="n">
        <f aca="false">AH68*(1-Hipótesis!$D$73)-AH69</f>
        <v>12803.4404074398</v>
      </c>
      <c r="AI70" s="101" t="n">
        <f aca="false">AI68*(1-Hipótesis!$D$73)-AI69</f>
        <v>13122.6704836006</v>
      </c>
      <c r="AJ70" s="101" t="n">
        <f aca="false">AJ68*(1-Hipótesis!$D$73)-AJ69</f>
        <v>13441.9005597614</v>
      </c>
      <c r="AK70" s="101" t="n">
        <f aca="false">AK68*(1-Hipótesis!$D$73)-AK69</f>
        <v>13761.1306359222</v>
      </c>
      <c r="AL70" s="101" t="n">
        <f aca="false">AL68*(1-Hipótesis!$D$73)-AL69</f>
        <v>14080.3607120831</v>
      </c>
      <c r="AM70" s="101" t="n">
        <f aca="false">AM68*(1-Hipótesis!$D$73)-AM69</f>
        <v>14399.5907882439</v>
      </c>
      <c r="AN70" s="101" t="n">
        <f aca="false">AN68*(1-Hipótesis!$D$73)-AN69</f>
        <v>14718.8208644047</v>
      </c>
      <c r="AO70" s="101" t="n">
        <f aca="false">AO68*(1-Hipótesis!$D$73)-AO69</f>
        <v>15038.0509405655</v>
      </c>
      <c r="AP70" s="101" t="n">
        <f aca="false">AP68*(1-Hipótesis!$D$73)-AP69</f>
        <v>15357.2810167263</v>
      </c>
      <c r="AQ70" s="101" t="n">
        <f aca="false">AQ68*(1-Hipótesis!$D$73)-AQ69</f>
        <v>15676.5110928872</v>
      </c>
      <c r="AR70" s="101" t="n">
        <f aca="false">AR68*(1-Hipótesis!$D$73)-AR69</f>
        <v>15995.741169048</v>
      </c>
      <c r="AS70" s="101" t="n">
        <f aca="false">AS68*(1-Hipótesis!$D$73)-AS69</f>
        <v>15995.741169048</v>
      </c>
      <c r="AT70" s="101" t="n">
        <f aca="false">AT68*(1-Hipótesis!$D$73)-AT69</f>
        <v>15995.741169048</v>
      </c>
      <c r="AU70" s="101" t="n">
        <f aca="false">AU68*(1-Hipótesis!$D$73)-AU69</f>
        <v>15995.741169048</v>
      </c>
      <c r="AV70" s="101" t="n">
        <f aca="false">AV68*(1-Hipótesis!$D$73)-AV69</f>
        <v>15995.741169048</v>
      </c>
      <c r="AW70" s="101" t="n">
        <f aca="false">AW68*(1-Hipótesis!$D$73)-AW69</f>
        <v>15995.741169048</v>
      </c>
      <c r="AX70" s="101" t="n">
        <f aca="false">AX68*(1-Hipótesis!$D$73)-AX69</f>
        <v>15995.741169048</v>
      </c>
      <c r="AY70" s="101" t="n">
        <f aca="false">AY68*(1-Hipótesis!$D$73)-AY69</f>
        <v>15995.741169048</v>
      </c>
      <c r="AZ70" s="101" t="n">
        <f aca="false">AZ68*(1-Hipótesis!$D$73)-AZ69</f>
        <v>15995.741169048</v>
      </c>
      <c r="BA70" s="101" t="n">
        <f aca="false">BA68*(1-Hipótesis!$D$73)-BA69</f>
        <v>15995.741169048</v>
      </c>
      <c r="BB70" s="101" t="n">
        <f aca="false">BB68*(1-Hipótesis!$D$73)-BB69</f>
        <v>15995.741169048</v>
      </c>
      <c r="BC70" s="101" t="n">
        <f aca="false">BC68*(1-Hipótesis!$D$73)-BC69</f>
        <v>15995.741169048</v>
      </c>
      <c r="BD70" s="101" t="n">
        <f aca="false">BD68*(1-Hipótesis!$D$73)-BD69</f>
        <v>15995.741169048</v>
      </c>
      <c r="BE70" s="101" t="n">
        <f aca="false">BE68*(1-Hipótesis!$D$73)-BE69</f>
        <v>15995.741169048</v>
      </c>
      <c r="BF70" s="101" t="n">
        <f aca="false">BF68*(1-Hipótesis!$D$73)-BF69</f>
        <v>15995.741169048</v>
      </c>
      <c r="BG70" s="101" t="n">
        <f aca="false">BG68*(1-Hipótesis!$D$73)-BG69</f>
        <v>15995.741169048</v>
      </c>
      <c r="BH70" s="101" t="n">
        <f aca="false">BH68*(1-Hipótesis!$D$73)-BH69</f>
        <v>15995.741169048</v>
      </c>
      <c r="BI70" s="101" t="n">
        <f aca="false">BI68*(1-Hipótesis!$D$73)-BI69</f>
        <v>15995.741169048</v>
      </c>
      <c r="BJ70" s="101" t="n">
        <f aca="false">BJ68*(1-Hipótesis!$D$73)-BJ69</f>
        <v>15995.741169048</v>
      </c>
      <c r="BK70" s="101" t="n">
        <f aca="false">BK68*(1-Hipótesis!$D$73)-BK69</f>
        <v>15995.741169048</v>
      </c>
      <c r="BL70" s="101" t="n">
        <f aca="false">BL68*(1-Hipótesis!$D$73)-BL69</f>
        <v>15995.741169048</v>
      </c>
      <c r="BM70" s="101" t="n">
        <f aca="false">BM68*(1-Hipótesis!$D$73)-BM69</f>
        <v>15995.741169048</v>
      </c>
      <c r="BN70" s="101" t="n">
        <f aca="false">BN68*(1-Hipótesis!$D$73)-BN69</f>
        <v>15995.741169048</v>
      </c>
      <c r="BO70" s="101" t="n">
        <f aca="false">BO68*(1-Hipótesis!$D$73)-BO69</f>
        <v>15995.741169048</v>
      </c>
      <c r="BP70" s="101" t="n">
        <f aca="false">BP68*(1-Hipótesis!$D$73)-BP69</f>
        <v>15995.741169048</v>
      </c>
      <c r="BQ70" s="101" t="n">
        <f aca="false">BQ68*(1-Hipótesis!$D$73)-BQ69</f>
        <v>15995.741169048</v>
      </c>
      <c r="BR70" s="101" t="n">
        <f aca="false">BR68*(1-Hipótesis!$D$73)-BR69</f>
        <v>15995.741169048</v>
      </c>
      <c r="BS70" s="101" t="n">
        <f aca="false">BS68*(1-Hipótesis!$D$73)-BS69</f>
        <v>15995.741169048</v>
      </c>
      <c r="BT70" s="101" t="n">
        <f aca="false">BT68*(1-Hipótesis!$D$73)-BT69</f>
        <v>15995.741169048</v>
      </c>
      <c r="BU70" s="101" t="n">
        <f aca="false">BU68*(1-Hipótesis!$D$73)-BU69</f>
        <v>15995.741169048</v>
      </c>
      <c r="BV70" s="101" t="n">
        <f aca="false">BV68*(1-Hipótesis!$D$73)-BV69</f>
        <v>15995.741169048</v>
      </c>
      <c r="BW70" s="101" t="n">
        <f aca="false">BW68*(1-Hipótesis!$D$73)-BW69</f>
        <v>15995.741169048</v>
      </c>
      <c r="BX70" s="101" t="n">
        <f aca="false">BX68*(1-Hipótesis!$D$73)-BX69</f>
        <v>15995.741169048</v>
      </c>
      <c r="BY70" s="101" t="n">
        <f aca="false">BY68*(1-Hipótesis!$D$73)-BY69</f>
        <v>15995.741169048</v>
      </c>
      <c r="BZ70" s="101" t="n">
        <f aca="false">BZ68*(1-Hipótesis!$D$73)-BZ69</f>
        <v>15995.741169048</v>
      </c>
      <c r="CA70" s="101" t="n">
        <f aca="false">CA68*(1-Hipótesis!$D$73)-CA69</f>
        <v>15995.741169048</v>
      </c>
      <c r="CB70" s="101" t="n">
        <f aca="false">CB68*(1-Hipótesis!$D$73)-CB69</f>
        <v>15995.741169048</v>
      </c>
      <c r="CC70" s="101" t="n">
        <f aca="false">CC68*(1-Hipótesis!$D$73)-CC69</f>
        <v>15995.741169048</v>
      </c>
      <c r="CD70" s="101" t="n">
        <f aca="false">CD68*(1-Hipótesis!$D$73)-CD69</f>
        <v>15995.741169048</v>
      </c>
      <c r="CE70" s="101" t="n">
        <f aca="false">CE68*(1-Hipótesis!$D$73)-CE69</f>
        <v>15995.741169048</v>
      </c>
      <c r="CF70" s="101" t="n">
        <f aca="false">CF68*(1-Hipótesis!$D$73)-CF69</f>
        <v>15995.741169048</v>
      </c>
      <c r="CG70" s="101" t="n">
        <f aca="false">CG68*(1-Hipótesis!$D$73)-CG69</f>
        <v>15995.741169048</v>
      </c>
      <c r="CH70" s="101" t="n">
        <f aca="false">CH68*(1-Hipótesis!$D$73)-CH69</f>
        <v>15995.741169048</v>
      </c>
    </row>
    <row r="71" customFormat="false" ht="13.5" hidden="false" customHeight="true" outlineLevel="0" collapsed="false">
      <c r="A71" s="6" t="s">
        <v>545</v>
      </c>
      <c r="C71" s="100" t="n">
        <f aca="false">-C70</f>
        <v>-284.522625</v>
      </c>
      <c r="D71" s="100" t="n">
        <f aca="false">-(D70-C70)</f>
        <v>-297.753022058824</v>
      </c>
      <c r="E71" s="100" t="n">
        <f aca="false">-(E70-D70)</f>
        <v>-528.658061679359</v>
      </c>
      <c r="F71" s="100" t="n">
        <f aca="false">-(F70-E70)</f>
        <v>-244.13543667936</v>
      </c>
      <c r="G71" s="100" t="n">
        <f aca="false">-(G70-F70)</f>
        <v>-230.905039620536</v>
      </c>
      <c r="H71" s="100" t="n">
        <f aca="false">-(H70-G70)</f>
        <v>-309.831151752888</v>
      </c>
      <c r="I71" s="100" t="n">
        <f aca="false">-(I70-H70)</f>
        <v>-629.061227913712</v>
      </c>
      <c r="J71" s="100" t="n">
        <f aca="false">-(J70-I70)</f>
        <v>-629.061227913708</v>
      </c>
      <c r="K71" s="100" t="n">
        <f aca="false">-(K70-J70)</f>
        <v>-629.061227913711</v>
      </c>
      <c r="L71" s="100" t="n">
        <f aca="false">-(L70-K70)</f>
        <v>-629.061227913711</v>
      </c>
      <c r="M71" s="100" t="n">
        <f aca="false">-(M70-L70)</f>
        <v>-398.156188293176</v>
      </c>
      <c r="N71" s="100" t="n">
        <f aca="false">-(N70-M70)</f>
        <v>-486.531555940232</v>
      </c>
      <c r="O71" s="100" t="n">
        <f aca="false">-(O70-N70)</f>
        <v>-486.531555940235</v>
      </c>
      <c r="P71" s="100" t="n">
        <f aca="false">-(P70-O70)</f>
        <v>-432.385090866705</v>
      </c>
      <c r="Q71" s="100" t="n">
        <f aca="false">-(Q70-P70)</f>
        <v>-432.385090866698</v>
      </c>
      <c r="R71" s="100" t="n">
        <f aca="false">-(R70-Q70)</f>
        <v>-432.385090866706</v>
      </c>
      <c r="S71" s="100" t="n">
        <f aca="false">-(S70-R70)</f>
        <v>-432.385090866708</v>
      </c>
      <c r="T71" s="100" t="n">
        <f aca="false">-(T70-S70)</f>
        <v>-432.385090866701</v>
      </c>
      <c r="U71" s="100" t="n">
        <f aca="false">-(U70-T70)</f>
        <v>-432.385090866706</v>
      </c>
      <c r="V71" s="100" t="n">
        <f aca="false">-(V70-U70)</f>
        <v>-432.385090866706</v>
      </c>
      <c r="W71" s="100" t="n">
        <f aca="false">-(W70-V70)</f>
        <v>-432.385090866695</v>
      </c>
      <c r="X71" s="100" t="n">
        <f aca="false">-(X70-W70)</f>
        <v>-344.009723219649</v>
      </c>
      <c r="Y71" s="100" t="n">
        <f aca="false">-(Y70-X70)</f>
        <v>-344.009723219646</v>
      </c>
      <c r="Z71" s="100" t="n">
        <f aca="false">-(Z70-Y70)</f>
        <v>-319.230076160819</v>
      </c>
      <c r="AA71" s="100" t="n">
        <f aca="false">-(AA70-Z70)</f>
        <v>-319.230076160822</v>
      </c>
      <c r="AB71" s="100" t="n">
        <f aca="false">-(AB70-AA70)</f>
        <v>-319.230076160828</v>
      </c>
      <c r="AC71" s="100" t="n">
        <f aca="false">-(AC70-AB70)</f>
        <v>-319.230076160819</v>
      </c>
      <c r="AD71" s="100" t="n">
        <f aca="false">-(AD70-AC70)</f>
        <v>-319.230076160822</v>
      </c>
      <c r="AE71" s="100" t="n">
        <f aca="false">-(AE70-AD70)</f>
        <v>-319.230076160824</v>
      </c>
      <c r="AF71" s="100" t="n">
        <f aca="false">-(AF70-AE70)</f>
        <v>-319.230076160813</v>
      </c>
      <c r="AG71" s="100" t="n">
        <f aca="false">-(AG70-AF70)</f>
        <v>-319.230076160824</v>
      </c>
      <c r="AH71" s="100" t="n">
        <f aca="false">-(AH70-AG70)</f>
        <v>-319.230076160824</v>
      </c>
      <c r="AI71" s="100" t="n">
        <f aca="false">-(AI70-AH70)</f>
        <v>-319.23007616082</v>
      </c>
      <c r="AJ71" s="100" t="n">
        <f aca="false">-(AJ70-AI70)</f>
        <v>-319.230076160828</v>
      </c>
      <c r="AK71" s="100" t="n">
        <f aca="false">-(AK70-AJ70)</f>
        <v>-319.23007616082</v>
      </c>
      <c r="AL71" s="100" t="n">
        <f aca="false">-(AL70-AK70)</f>
        <v>-319.230076160824</v>
      </c>
      <c r="AM71" s="100" t="n">
        <f aca="false">-(AM70-AL70)</f>
        <v>-319.230076160817</v>
      </c>
      <c r="AN71" s="100" t="n">
        <f aca="false">-(AN70-AM70)</f>
        <v>-319.230076160828</v>
      </c>
      <c r="AO71" s="100" t="n">
        <f aca="false">-(AO70-AN70)</f>
        <v>-319.230076160824</v>
      </c>
      <c r="AP71" s="100" t="n">
        <f aca="false">-(AP70-AO70)</f>
        <v>-319.230076160813</v>
      </c>
      <c r="AQ71" s="100" t="n">
        <f aca="false">-(AQ70-AP70)</f>
        <v>-319.230076160813</v>
      </c>
      <c r="AR71" s="100" t="n">
        <f aca="false">-(AR70-AQ70)</f>
        <v>-319.23007616082</v>
      </c>
      <c r="AS71" s="100" t="n">
        <f aca="false">-(AS70-AR70)</f>
        <v>-0</v>
      </c>
      <c r="AT71" s="100" t="n">
        <f aca="false">-(AT70-AS70)</f>
        <v>-0</v>
      </c>
      <c r="AU71" s="100" t="n">
        <f aca="false">-(AU70-AT70)</f>
        <v>-0</v>
      </c>
      <c r="AV71" s="100" t="n">
        <f aca="false">-(AV70-AU70)</f>
        <v>-0</v>
      </c>
      <c r="AW71" s="100" t="n">
        <f aca="false">-(AW70-AV70)</f>
        <v>-0</v>
      </c>
      <c r="AX71" s="100" t="n">
        <f aca="false">-(AX70-AW70)</f>
        <v>-0</v>
      </c>
      <c r="AY71" s="100" t="n">
        <f aca="false">-(AY70-AX70)</f>
        <v>-0</v>
      </c>
      <c r="AZ71" s="100" t="n">
        <f aca="false">-(AZ70-AY70)</f>
        <v>-0</v>
      </c>
      <c r="BA71" s="100" t="n">
        <f aca="false">-(BA70-AZ70)</f>
        <v>-0</v>
      </c>
      <c r="BB71" s="100" t="n">
        <f aca="false">-(BB70-BA70)</f>
        <v>-0</v>
      </c>
      <c r="BC71" s="100" t="n">
        <f aca="false">-(BC70-BB70)</f>
        <v>-0</v>
      </c>
      <c r="BD71" s="100" t="n">
        <f aca="false">-(BD70-BC70)</f>
        <v>-0</v>
      </c>
      <c r="BE71" s="100" t="n">
        <f aca="false">-(BE70-BD70)</f>
        <v>-0</v>
      </c>
      <c r="BF71" s="100" t="n">
        <f aca="false">-(BF70-BE70)</f>
        <v>-0</v>
      </c>
      <c r="BG71" s="100" t="n">
        <f aca="false">-(BG70-BF70)</f>
        <v>-0</v>
      </c>
      <c r="BH71" s="100" t="n">
        <f aca="false">-(BH70-BG70)</f>
        <v>-0</v>
      </c>
      <c r="BI71" s="100" t="n">
        <f aca="false">-(BI70-BH70)</f>
        <v>-0</v>
      </c>
      <c r="BJ71" s="100" t="n">
        <f aca="false">-(BJ70-BI70)</f>
        <v>-0</v>
      </c>
      <c r="BK71" s="100" t="n">
        <f aca="false">-(BK70-BJ70)</f>
        <v>-0</v>
      </c>
      <c r="BL71" s="100" t="n">
        <f aca="false">-(BL70-BK70)</f>
        <v>-0</v>
      </c>
      <c r="BM71" s="100" t="n">
        <f aca="false">-(BM70-BL70)</f>
        <v>-0</v>
      </c>
      <c r="BN71" s="100" t="n">
        <f aca="false">-(BN70-BM70)</f>
        <v>-0</v>
      </c>
      <c r="BO71" s="100" t="n">
        <f aca="false">-(BO70-BN70)</f>
        <v>-0</v>
      </c>
      <c r="BP71" s="100" t="n">
        <f aca="false">-(BP70-BO70)</f>
        <v>-0</v>
      </c>
      <c r="BQ71" s="100" t="n">
        <f aca="false">-(BQ70-BP70)</f>
        <v>-0</v>
      </c>
      <c r="BR71" s="100" t="n">
        <f aca="false">-(BR70-BQ70)</f>
        <v>-0</v>
      </c>
      <c r="BS71" s="100" t="n">
        <f aca="false">-(BS70-BR70)</f>
        <v>-0</v>
      </c>
      <c r="BT71" s="100" t="n">
        <f aca="false">-(BT70-BS70)</f>
        <v>-0</v>
      </c>
      <c r="BU71" s="100" t="n">
        <f aca="false">-(BU70-BT70)</f>
        <v>-0</v>
      </c>
      <c r="BV71" s="100" t="n">
        <f aca="false">-(BV70-BU70)</f>
        <v>-0</v>
      </c>
      <c r="BW71" s="100" t="n">
        <f aca="false">-(BW70-BV70)</f>
        <v>-0</v>
      </c>
      <c r="BX71" s="100" t="n">
        <f aca="false">-(BX70-BW70)</f>
        <v>-0</v>
      </c>
      <c r="BY71" s="100" t="n">
        <f aca="false">-(BY70-BX70)</f>
        <v>-0</v>
      </c>
      <c r="BZ71" s="100" t="n">
        <f aca="false">-(BZ70-BY70)</f>
        <v>-0</v>
      </c>
      <c r="CA71" s="100" t="n">
        <f aca="false">-(CA70-BZ70)</f>
        <v>-0</v>
      </c>
      <c r="CB71" s="100" t="n">
        <f aca="false">-(CB70-CA70)</f>
        <v>-0</v>
      </c>
      <c r="CC71" s="100" t="n">
        <f aca="false">-(CC70-CB70)</f>
        <v>-0</v>
      </c>
      <c r="CD71" s="100" t="n">
        <f aca="false">-(CD70-CC70)</f>
        <v>-0</v>
      </c>
      <c r="CE71" s="100" t="n">
        <f aca="false">-(CE70-CD70)</f>
        <v>-0</v>
      </c>
      <c r="CF71" s="100" t="n">
        <f aca="false">-(CF70-CE70)</f>
        <v>-0</v>
      </c>
      <c r="CG71" s="100" t="n">
        <f aca="false">-(CG70-CF70)</f>
        <v>-0</v>
      </c>
      <c r="CH71" s="100" t="n">
        <f aca="false">-(CH70-CG70)</f>
        <v>-0</v>
      </c>
    </row>
    <row r="72" customFormat="false" ht="13.5" hidden="false" customHeight="true" outlineLevel="0" collapsed="false">
      <c r="A72" s="6" t="s">
        <v>546</v>
      </c>
      <c r="C72" s="100" t="n">
        <f aca="false">-CAPEX!$G$22*CAPEX!$C$29</f>
        <v>-38226</v>
      </c>
      <c r="D72" s="100" t="n">
        <f aca="false">-CAPEX!$G$22*CAPEX!$D$29</f>
        <v>-17838.8</v>
      </c>
      <c r="E72" s="100" t="n">
        <f aca="false">-CAPEX!$G$22*CAPEX!$E$29</f>
        <v>-12742</v>
      </c>
      <c r="F72" s="100" t="n">
        <f aca="false">-CAPEX!$G$22*CAPEX!$F$29</f>
        <v>-11467.8</v>
      </c>
      <c r="G72" s="100" t="n">
        <f aca="false">-CAPEX!$G$22*CAPEX!$G$29</f>
        <v>-10193.6</v>
      </c>
      <c r="H72" s="100" t="n">
        <f aca="false">-CAPEX!$G$22*CAPEX!$H$29</f>
        <v>-8919.4</v>
      </c>
      <c r="I72" s="100" t="n">
        <f aca="false">-CAPEX!$G$22*CAPEX!$I$29</f>
        <v>-7645.2</v>
      </c>
      <c r="J72" s="100" t="n">
        <f aca="false">-CAPEX!$G$22*CAPEX!$J$29</f>
        <v>-6371</v>
      </c>
      <c r="K72" s="100" t="n">
        <f aca="false">-CAPEX!$G$22*CAPEX!$K$29</f>
        <v>-5096.8</v>
      </c>
      <c r="L72" s="100" t="n">
        <f aca="false">-CAPEX!$G$22*CAPEX!$L$29</f>
        <v>-3822.6</v>
      </c>
      <c r="M72" s="100" t="n">
        <f aca="false">-CAPEX!$G$22*CAPEX!$M$29</f>
        <v>-2548.4</v>
      </c>
      <c r="N72" s="100" t="n">
        <f aca="false">-CAPEX!$G$22*CAPEX!$N$29</f>
        <v>-2548.4</v>
      </c>
      <c r="O72" s="100" t="n">
        <f aca="false">0</f>
        <v>0</v>
      </c>
      <c r="P72" s="100" t="n">
        <f aca="false">0</f>
        <v>0</v>
      </c>
      <c r="Q72" s="100" t="n">
        <f aca="false">0</f>
        <v>0</v>
      </c>
      <c r="R72" s="100" t="n">
        <f aca="false">0</f>
        <v>0</v>
      </c>
      <c r="S72" s="100" t="n">
        <f aca="false">0</f>
        <v>0</v>
      </c>
      <c r="T72" s="100" t="n">
        <f aca="false">0</f>
        <v>0</v>
      </c>
      <c r="U72" s="100" t="n">
        <f aca="false">0</f>
        <v>0</v>
      </c>
      <c r="V72" s="100" t="n">
        <f aca="false">0</f>
        <v>0</v>
      </c>
      <c r="W72" s="100" t="n">
        <f aca="false">0</f>
        <v>0</v>
      </c>
      <c r="X72" s="100" t="n">
        <f aca="false">0</f>
        <v>0</v>
      </c>
      <c r="Y72" s="100" t="n">
        <f aca="false">0</f>
        <v>0</v>
      </c>
      <c r="Z72" s="100" t="n">
        <f aca="false">0</f>
        <v>0</v>
      </c>
      <c r="AA72" s="100" t="n">
        <f aca="false">0</f>
        <v>0</v>
      </c>
      <c r="AB72" s="100" t="n">
        <f aca="false">0</f>
        <v>0</v>
      </c>
      <c r="AC72" s="100" t="n">
        <f aca="false">0</f>
        <v>0</v>
      </c>
      <c r="AD72" s="100" t="n">
        <f aca="false">0</f>
        <v>0</v>
      </c>
      <c r="AE72" s="100" t="n">
        <f aca="false">0</f>
        <v>0</v>
      </c>
      <c r="AF72" s="100" t="n">
        <f aca="false">0</f>
        <v>0</v>
      </c>
      <c r="AG72" s="100" t="n">
        <f aca="false">0</f>
        <v>0</v>
      </c>
      <c r="AH72" s="100" t="n">
        <f aca="false">0</f>
        <v>0</v>
      </c>
      <c r="AI72" s="100" t="n">
        <f aca="false">0</f>
        <v>0</v>
      </c>
      <c r="AJ72" s="100" t="n">
        <f aca="false">0</f>
        <v>0</v>
      </c>
      <c r="AK72" s="100" t="n">
        <f aca="false">0</f>
        <v>0</v>
      </c>
      <c r="AL72" s="100" t="n">
        <f aca="false">0</f>
        <v>0</v>
      </c>
      <c r="AM72" s="100" t="n">
        <f aca="false">0</f>
        <v>0</v>
      </c>
      <c r="AN72" s="100" t="n">
        <f aca="false">0</f>
        <v>0</v>
      </c>
      <c r="AO72" s="100" t="n">
        <f aca="false">0</f>
        <v>0</v>
      </c>
      <c r="AP72" s="100" t="n">
        <f aca="false">0</f>
        <v>0</v>
      </c>
      <c r="AQ72" s="100" t="n">
        <f aca="false">0</f>
        <v>0</v>
      </c>
      <c r="AR72" s="100" t="n">
        <f aca="false">0</f>
        <v>0</v>
      </c>
      <c r="AS72" s="100" t="n">
        <f aca="false">0</f>
        <v>0</v>
      </c>
      <c r="AT72" s="100" t="n">
        <f aca="false">0</f>
        <v>0</v>
      </c>
      <c r="AU72" s="100" t="n">
        <f aca="false">0</f>
        <v>0</v>
      </c>
      <c r="AV72" s="100" t="n">
        <f aca="false">0</f>
        <v>0</v>
      </c>
      <c r="AW72" s="100" t="n">
        <f aca="false">0</f>
        <v>0</v>
      </c>
      <c r="AX72" s="100" t="n">
        <f aca="false">0</f>
        <v>0</v>
      </c>
      <c r="AY72" s="100" t="n">
        <f aca="false">0</f>
        <v>0</v>
      </c>
      <c r="AZ72" s="100" t="n">
        <f aca="false">0</f>
        <v>0</v>
      </c>
      <c r="BA72" s="100" t="n">
        <f aca="false">0</f>
        <v>0</v>
      </c>
      <c r="BB72" s="100" t="n">
        <f aca="false">0</f>
        <v>0</v>
      </c>
      <c r="BC72" s="100" t="n">
        <f aca="false">0</f>
        <v>0</v>
      </c>
      <c r="BD72" s="100" t="n">
        <f aca="false">0</f>
        <v>0</v>
      </c>
      <c r="BE72" s="100" t="n">
        <f aca="false">0</f>
        <v>0</v>
      </c>
      <c r="BF72" s="100" t="n">
        <f aca="false">0</f>
        <v>0</v>
      </c>
      <c r="BG72" s="100" t="n">
        <f aca="false">0</f>
        <v>0</v>
      </c>
      <c r="BH72" s="100" t="n">
        <f aca="false">0</f>
        <v>0</v>
      </c>
      <c r="BI72" s="100" t="n">
        <f aca="false">0</f>
        <v>0</v>
      </c>
      <c r="BJ72" s="100" t="n">
        <f aca="false">0</f>
        <v>0</v>
      </c>
      <c r="BK72" s="100" t="n">
        <f aca="false">0</f>
        <v>0</v>
      </c>
      <c r="BL72" s="100" t="n">
        <f aca="false">0</f>
        <v>0</v>
      </c>
      <c r="BM72" s="100" t="n">
        <f aca="false">0</f>
        <v>0</v>
      </c>
      <c r="BN72" s="100" t="n">
        <f aca="false">0</f>
        <v>0</v>
      </c>
      <c r="BO72" s="100" t="n">
        <f aca="false">0</f>
        <v>0</v>
      </c>
      <c r="BP72" s="100" t="n">
        <f aca="false">0</f>
        <v>0</v>
      </c>
      <c r="BQ72" s="100" t="n">
        <f aca="false">0</f>
        <v>0</v>
      </c>
      <c r="BR72" s="100" t="n">
        <f aca="false">0</f>
        <v>0</v>
      </c>
      <c r="BS72" s="100" t="n">
        <f aca="false">0</f>
        <v>0</v>
      </c>
      <c r="BT72" s="100" t="n">
        <f aca="false">0</f>
        <v>0</v>
      </c>
      <c r="BU72" s="100" t="n">
        <f aca="false">0</f>
        <v>0</v>
      </c>
      <c r="BV72" s="100" t="n">
        <f aca="false">0</f>
        <v>0</v>
      </c>
      <c r="BW72" s="100" t="n">
        <f aca="false">0</f>
        <v>0</v>
      </c>
      <c r="BX72" s="100" t="n">
        <f aca="false">0</f>
        <v>0</v>
      </c>
      <c r="BY72" s="100" t="n">
        <f aca="false">0</f>
        <v>0</v>
      </c>
      <c r="BZ72" s="100" t="n">
        <f aca="false">0</f>
        <v>0</v>
      </c>
      <c r="CA72" s="100" t="n">
        <f aca="false">0</f>
        <v>0</v>
      </c>
      <c r="CB72" s="100" t="n">
        <f aca="false">0</f>
        <v>0</v>
      </c>
      <c r="CC72" s="100" t="n">
        <f aca="false">0</f>
        <v>0</v>
      </c>
      <c r="CD72" s="100" t="n">
        <f aca="false">0</f>
        <v>0</v>
      </c>
      <c r="CE72" s="100" t="n">
        <f aca="false">0</f>
        <v>0</v>
      </c>
      <c r="CF72" s="100" t="n">
        <f aca="false">0</f>
        <v>0</v>
      </c>
      <c r="CG72" s="100" t="n">
        <f aca="false">0</f>
        <v>0</v>
      </c>
      <c r="CH72" s="100" t="n">
        <f aca="false">0</f>
        <v>0</v>
      </c>
    </row>
    <row r="73" customFormat="false" ht="13.5" hidden="false" customHeight="true" outlineLevel="0" collapsed="false">
      <c r="A73" s="6" t="s">
        <v>547</v>
      </c>
      <c r="C73" s="100" t="n">
        <f aca="false">-C36*Hipótesis!$D$68</f>
        <v>-27.150525</v>
      </c>
      <c r="D73" s="100" t="n">
        <f aca="false">-D36*Hipótesis!$D$68</f>
        <v>-56.41515</v>
      </c>
      <c r="E73" s="100" t="n">
        <f aca="false">-E36*Hipótesis!$D$68</f>
        <v>-117.501384375</v>
      </c>
      <c r="F73" s="100" t="n">
        <f aca="false">-F36*Hipótesis!$D$68</f>
        <v>-151.43709375</v>
      </c>
      <c r="G73" s="100" t="n">
        <f aca="false">-G36*Hipótesis!$D$68</f>
        <v>-183.258703125</v>
      </c>
      <c r="H73" s="100" t="n">
        <f aca="false">-H36*Hipótesis!$D$68</f>
        <v>-234.4595625</v>
      </c>
      <c r="I73" s="100" t="n">
        <f aca="false">-I36*Hipótesis!$D$68</f>
        <v>-332.264543480767</v>
      </c>
      <c r="J73" s="100" t="n">
        <f aca="false">-J36*Hipótesis!$D$68</f>
        <v>-430.069524461533</v>
      </c>
      <c r="K73" s="100" t="n">
        <f aca="false">-K36*Hipótesis!$D$68</f>
        <v>-527.8745054423</v>
      </c>
      <c r="L73" s="100" t="n">
        <f aca="false">-L36*Hipótesis!$D$68</f>
        <v>-625.679486423066</v>
      </c>
      <c r="M73" s="100" t="n">
        <f aca="false">-M36*Hipótesis!$D$68</f>
        <v>-691.662858028833</v>
      </c>
      <c r="N73" s="100" t="n">
        <f aca="false">-N36*Hipótesis!$D$68</f>
        <v>-784.072479634599</v>
      </c>
      <c r="O73" s="100" t="n">
        <f aca="false">-O36*Hipótesis!$D$68</f>
        <v>-876.482101240365</v>
      </c>
      <c r="P73" s="100" t="n">
        <f aca="false">-P36*Hipótesis!$D$68</f>
        <v>-959.378272846132</v>
      </c>
      <c r="Q73" s="100" t="n">
        <f aca="false">-Q36*Hipótesis!$D$68</f>
        <v>-1042.2744444519</v>
      </c>
      <c r="R73" s="100" t="n">
        <f aca="false">-R36*Hipótesis!$D$68</f>
        <v>-1125.17061605767</v>
      </c>
      <c r="S73" s="100" t="n">
        <f aca="false">-S36*Hipótesis!$D$68</f>
        <v>-1208.06678766343</v>
      </c>
      <c r="T73" s="100" t="n">
        <f aca="false">-T36*Hipótesis!$D$68</f>
        <v>-1290.9629592692</v>
      </c>
      <c r="U73" s="100" t="n">
        <f aca="false">-U36*Hipótesis!$D$68</f>
        <v>-1373.85913087496</v>
      </c>
      <c r="V73" s="100" t="n">
        <f aca="false">-V36*Hipótesis!$D$68</f>
        <v>-1456.75530248073</v>
      </c>
      <c r="W73" s="100" t="n">
        <f aca="false">-W36*Hipótesis!$D$68</f>
        <v>-1539.6514740865</v>
      </c>
      <c r="X73" s="100" t="n">
        <f aca="false">-X36*Hipótesis!$D$68</f>
        <v>-1596.12139569226</v>
      </c>
      <c r="Y73" s="100" t="n">
        <f aca="false">-Y36*Hipótesis!$D$68</f>
        <v>-1652.59131729803</v>
      </c>
      <c r="Z73" s="100" t="n">
        <f aca="false">-Z36*Hipótesis!$D$68</f>
        <v>-1699.1954389038</v>
      </c>
      <c r="AA73" s="100" t="n">
        <f aca="false">-AA36*Hipótesis!$D$68</f>
        <v>-1745.79956050956</v>
      </c>
      <c r="AB73" s="100" t="n">
        <f aca="false">-AB36*Hipótesis!$D$68</f>
        <v>-1792.40368211533</v>
      </c>
      <c r="AC73" s="100" t="n">
        <f aca="false">-AC36*Hipótesis!$D$68</f>
        <v>-1839.0078037211</v>
      </c>
      <c r="AD73" s="100" t="n">
        <f aca="false">-AD36*Hipótesis!$D$68</f>
        <v>-1885.61192532686</v>
      </c>
      <c r="AE73" s="100" t="n">
        <f aca="false">-AE36*Hipótesis!$D$68</f>
        <v>-1932.21604693263</v>
      </c>
      <c r="AF73" s="100" t="n">
        <f aca="false">-AF36*Hipótesis!$D$68</f>
        <v>-1978.8201685384</v>
      </c>
      <c r="AG73" s="100" t="n">
        <f aca="false">-AG36*Hipótesis!$D$68</f>
        <v>-2025.42429014416</v>
      </c>
      <c r="AH73" s="100" t="n">
        <f aca="false">-AH36*Hipótesis!$D$68</f>
        <v>-2072.02841174993</v>
      </c>
      <c r="AI73" s="100" t="n">
        <f aca="false">-AI36*Hipótesis!$D$68</f>
        <v>-2118.6325333557</v>
      </c>
      <c r="AJ73" s="100" t="n">
        <f aca="false">-AJ36*Hipótesis!$D$68</f>
        <v>-2165.23665496146</v>
      </c>
      <c r="AK73" s="100" t="n">
        <f aca="false">-AK36*Hipótesis!$D$68</f>
        <v>-2211.84077656723</v>
      </c>
      <c r="AL73" s="100" t="n">
        <f aca="false">-AL36*Hipótesis!$D$68</f>
        <v>-2258.44489817299</v>
      </c>
      <c r="AM73" s="100" t="n">
        <f aca="false">-AM36*Hipótesis!$D$68</f>
        <v>-2305.04901977876</v>
      </c>
      <c r="AN73" s="100" t="n">
        <f aca="false">-AN36*Hipótesis!$D$68</f>
        <v>-2351.65314138453</v>
      </c>
      <c r="AO73" s="100" t="n">
        <f aca="false">-AO36*Hipótesis!$D$68</f>
        <v>-2398.25726299029</v>
      </c>
      <c r="AP73" s="100" t="n">
        <f aca="false">-AP36*Hipótesis!$D$68</f>
        <v>-2444.86138459606</v>
      </c>
      <c r="AQ73" s="100" t="n">
        <f aca="false">-AQ36*Hipótesis!$D$68</f>
        <v>-2491.46550620183</v>
      </c>
      <c r="AR73" s="100" t="n">
        <f aca="false">-AR36*Hipótesis!$D$68</f>
        <v>-2538.06962780759</v>
      </c>
      <c r="AS73" s="100" t="n">
        <f aca="false">-AS36*Hipótesis!$D$68</f>
        <v>-2538.06962780759</v>
      </c>
      <c r="AT73" s="100" t="n">
        <f aca="false">-AT36*Hipótesis!$D$68</f>
        <v>-2538.06962780759</v>
      </c>
      <c r="AU73" s="100" t="n">
        <f aca="false">-AU36*Hipótesis!$D$68</f>
        <v>-2538.06962780759</v>
      </c>
      <c r="AV73" s="100" t="n">
        <f aca="false">-AV36*Hipótesis!$D$68</f>
        <v>-2538.06962780759</v>
      </c>
      <c r="AW73" s="100" t="n">
        <f aca="false">-AW36*Hipótesis!$D$68</f>
        <v>-2538.06962780759</v>
      </c>
      <c r="AX73" s="100" t="n">
        <f aca="false">-AX36*Hipótesis!$D$68</f>
        <v>-2538.06962780759</v>
      </c>
      <c r="AY73" s="100" t="n">
        <f aca="false">-AY36*Hipótesis!$D$68</f>
        <v>-2538.06962780759</v>
      </c>
      <c r="AZ73" s="100" t="n">
        <f aca="false">-AZ36*Hipótesis!$D$68</f>
        <v>-2538.06962780759</v>
      </c>
      <c r="BA73" s="100" t="n">
        <f aca="false">-BA36*Hipótesis!$D$68</f>
        <v>-2538.06962780759</v>
      </c>
      <c r="BB73" s="100" t="n">
        <f aca="false">-BB36*Hipótesis!$D$68</f>
        <v>-2538.06962780759</v>
      </c>
      <c r="BC73" s="100" t="n">
        <f aca="false">-BC36*Hipótesis!$D$68</f>
        <v>-2538.06962780759</v>
      </c>
      <c r="BD73" s="100" t="n">
        <f aca="false">-BD36*Hipótesis!$D$68</f>
        <v>-2538.06962780759</v>
      </c>
      <c r="BE73" s="100" t="n">
        <f aca="false">-BE36*Hipótesis!$D$68</f>
        <v>-2538.06962780759</v>
      </c>
      <c r="BF73" s="100" t="n">
        <f aca="false">-BF36*Hipótesis!$D$68</f>
        <v>-2538.06962780759</v>
      </c>
      <c r="BG73" s="100" t="n">
        <f aca="false">-BG36*Hipótesis!$D$68</f>
        <v>-2538.06962780759</v>
      </c>
      <c r="BH73" s="100" t="n">
        <f aca="false">-BH36*Hipótesis!$D$68</f>
        <v>-2538.06962780759</v>
      </c>
      <c r="BI73" s="100" t="n">
        <f aca="false">-BI36*Hipótesis!$D$68</f>
        <v>-2538.06962780759</v>
      </c>
      <c r="BJ73" s="100" t="n">
        <f aca="false">-BJ36*Hipótesis!$D$68</f>
        <v>-2538.06962780759</v>
      </c>
      <c r="BK73" s="100" t="n">
        <f aca="false">-BK36*Hipótesis!$D$68</f>
        <v>-2538.06962780759</v>
      </c>
      <c r="BL73" s="100" t="n">
        <f aca="false">-BL36*Hipótesis!$D$68</f>
        <v>-2538.06962780759</v>
      </c>
      <c r="BM73" s="100" t="n">
        <f aca="false">-BM36*Hipótesis!$D$68</f>
        <v>-2538.06962780759</v>
      </c>
      <c r="BN73" s="100" t="n">
        <f aca="false">-BN36*Hipótesis!$D$68</f>
        <v>-2538.06962780759</v>
      </c>
      <c r="BO73" s="100" t="n">
        <f aca="false">-BO36*Hipótesis!$D$68</f>
        <v>-2538.06962780759</v>
      </c>
      <c r="BP73" s="100" t="n">
        <f aca="false">-BP36*Hipótesis!$D$68</f>
        <v>-2538.06962780759</v>
      </c>
      <c r="BQ73" s="100" t="n">
        <f aca="false">-BQ36*Hipótesis!$D$68</f>
        <v>-2538.06962780759</v>
      </c>
      <c r="BR73" s="100" t="n">
        <f aca="false">-BR36*Hipótesis!$D$68</f>
        <v>-2538.06962780759</v>
      </c>
      <c r="BS73" s="100" t="n">
        <f aca="false">-BS36*Hipótesis!$D$68</f>
        <v>-2538.06962780759</v>
      </c>
      <c r="BT73" s="100" t="n">
        <f aca="false">-BT36*Hipótesis!$D$68</f>
        <v>-2538.06962780759</v>
      </c>
      <c r="BU73" s="100" t="n">
        <f aca="false">-BU36*Hipótesis!$D$68</f>
        <v>-2538.06962780759</v>
      </c>
      <c r="BV73" s="100" t="n">
        <f aca="false">-BV36*Hipótesis!$D$68</f>
        <v>-2538.06962780759</v>
      </c>
      <c r="BW73" s="100" t="n">
        <f aca="false">-BW36*Hipótesis!$D$68</f>
        <v>-2538.06962780759</v>
      </c>
      <c r="BX73" s="100" t="n">
        <f aca="false">-BX36*Hipótesis!$D$68</f>
        <v>-2538.06962780759</v>
      </c>
      <c r="BY73" s="100" t="n">
        <f aca="false">-BY36*Hipótesis!$D$68</f>
        <v>-2538.06962780759</v>
      </c>
      <c r="BZ73" s="100" t="n">
        <f aca="false">-BZ36*Hipótesis!$D$68</f>
        <v>-2538.06962780759</v>
      </c>
      <c r="CA73" s="100" t="n">
        <f aca="false">-CA36*Hipótesis!$D$68</f>
        <v>-2538.06962780759</v>
      </c>
      <c r="CB73" s="100" t="n">
        <f aca="false">-CB36*Hipótesis!$D$68</f>
        <v>-2538.06962780759</v>
      </c>
      <c r="CC73" s="100" t="n">
        <f aca="false">-CC36*Hipótesis!$D$68</f>
        <v>-2538.06962780759</v>
      </c>
      <c r="CD73" s="100" t="n">
        <f aca="false">-CD36*Hipótesis!$D$68</f>
        <v>-2538.06962780759</v>
      </c>
      <c r="CE73" s="100" t="n">
        <f aca="false">-CE36*Hipótesis!$D$68</f>
        <v>-2538.06962780759</v>
      </c>
      <c r="CF73" s="100" t="n">
        <f aca="false">-CF36*Hipótesis!$D$68</f>
        <v>-2538.06962780759</v>
      </c>
      <c r="CG73" s="100" t="n">
        <f aca="false">-CG36*Hipótesis!$D$68</f>
        <v>-2538.06962780759</v>
      </c>
      <c r="CH73" s="100" t="n">
        <f aca="false">-CH36*Hipótesis!$D$68</f>
        <v>-2538.06962780759</v>
      </c>
    </row>
    <row r="74" customFormat="false" ht="13.5" hidden="false" customHeight="true" outlineLevel="0" collapsed="false">
      <c r="A74" s="22" t="s">
        <v>548</v>
      </c>
      <c r="C74" s="100" t="n">
        <f aca="false">C66+C67+C71+C72+C73</f>
        <v>-51876.5894986463</v>
      </c>
      <c r="D74" s="100" t="n">
        <f aca="false">D66+D67+D71+D72+D73</f>
        <v>-30337.9624467685</v>
      </c>
      <c r="E74" s="100" t="n">
        <f aca="false">E66+E67+E71+E72+E73</f>
        <v>-23100.71862477</v>
      </c>
      <c r="F74" s="100" t="n">
        <f aca="false">F66+F67+F71+F72+F73</f>
        <v>-20256.5802645048</v>
      </c>
      <c r="G74" s="100" t="n">
        <f aca="false">G66+G67+G71+G72+G73</f>
        <v>-17762.4584547637</v>
      </c>
      <c r="H74" s="100" t="n">
        <f aca="false">H66+H67+H71+H72+H73</f>
        <v>-14671.6153746181</v>
      </c>
      <c r="I74" s="100" t="n">
        <f aca="false">I66+I67+I71+I72+I73</f>
        <v>-10068.10384642</v>
      </c>
      <c r="J74" s="100" t="n">
        <f aca="false">J66+J67+J71+J72+J73</f>
        <v>-5194.3356584923</v>
      </c>
      <c r="K74" s="100" t="n">
        <f aca="false">K66+K67+K71+K72+K73</f>
        <v>-816.410956747722</v>
      </c>
      <c r="L74" s="100" t="n">
        <f aca="false">L66+L67+L71+L72+L73</f>
        <v>3558.57300181652</v>
      </c>
      <c r="M74" s="100" t="n">
        <f aca="false">M66+M67+M71+M72+M73</f>
        <v>7136.208564663</v>
      </c>
      <c r="N74" s="100" t="n">
        <f aca="false">N66+N67+N71+N72+N73</f>
        <v>9904.73861939542</v>
      </c>
      <c r="O74" s="100" t="n">
        <f aca="false">O66+O67+O71+O72+O73</f>
        <v>10854.1877316953</v>
      </c>
      <c r="P74" s="100" t="n">
        <f aca="false">P66+P67+P71+P72+P73</f>
        <v>13470.7561445758</v>
      </c>
      <c r="Q74" s="100" t="n">
        <f aca="false">Q66+Q67+Q71+Q72+Q73</f>
        <v>16033.1780923828</v>
      </c>
      <c r="R74" s="100" t="n">
        <f aca="false">R66+R67+R71+R72+R73</f>
        <v>18595.6000401897</v>
      </c>
      <c r="S74" s="100" t="n">
        <f aca="false">S66+S67+S71+S72+S73</f>
        <v>21158.0219879966</v>
      </c>
      <c r="T74" s="100" t="n">
        <f aca="false">T66+T67+T71+T72+T73</f>
        <v>23720.4439358036</v>
      </c>
      <c r="U74" s="100" t="n">
        <f aca="false">U66+U67+U71+U72+U73</f>
        <v>24311.3099236105</v>
      </c>
      <c r="V74" s="100" t="n">
        <f aca="false">V66+V67+V71+V72+V73</f>
        <v>24554.2542714175</v>
      </c>
      <c r="W74" s="100" t="n">
        <f aca="false">W66+W67+W71+W72+W73</f>
        <v>27116.6762192244</v>
      </c>
      <c r="X74" s="100" t="n">
        <f aca="false">X66+X67+X71+X72+X73</f>
        <v>28982.2133169974</v>
      </c>
      <c r="Y74" s="100" t="n">
        <f aca="false">Y66+Y67+Y71+Y72+Y73</f>
        <v>30759.3750471233</v>
      </c>
      <c r="Z74" s="100" t="n">
        <f aca="false">Z66+Z67+Z71+Z72+Z73</f>
        <v>32273.5724115013</v>
      </c>
      <c r="AA74" s="100" t="n">
        <f aca="false">AA66+AA67+AA71+AA72+AA73</f>
        <v>31875.7347940205</v>
      </c>
      <c r="AB74" s="100" t="n">
        <f aca="false">AB66+AB67+AB71+AB72+AB73</f>
        <v>33364.3191780063</v>
      </c>
      <c r="AC74" s="100" t="n">
        <f aca="false">AC66+AC67+AC71+AC72+AC73</f>
        <v>34852.9035619921</v>
      </c>
      <c r="AD74" s="100" t="n">
        <f aca="false">AD66+AD67+AD71+AD72+AD73</f>
        <v>36341.4879459779</v>
      </c>
      <c r="AE74" s="100" t="n">
        <f aca="false">AE66+AE67+AE71+AE72+AE73</f>
        <v>37830.0723299637</v>
      </c>
      <c r="AF74" s="100" t="n">
        <f aca="false">AF66+AF67+AF71+AF72+AF73</f>
        <v>39318.6567139495</v>
      </c>
      <c r="AG74" s="100" t="n">
        <f aca="false">AG66+AG67+AG71+AG72+AG73</f>
        <v>40807.2410979353</v>
      </c>
      <c r="AH74" s="100" t="n">
        <f aca="false">AH66+AH67+AH71+AH72+AH73</f>
        <v>40265.1228431211</v>
      </c>
      <c r="AI74" s="100" t="n">
        <f aca="false">AI66+AI67+AI71+AI72+AI73</f>
        <v>41753.7072271069</v>
      </c>
      <c r="AJ74" s="100" t="n">
        <f aca="false">AJ66+AJ67+AJ71+AJ72+AJ73</f>
        <v>43242.2916110928</v>
      </c>
      <c r="AK74" s="100" t="n">
        <f aca="false">AK66+AK67+AK71+AK72+AK73</f>
        <v>44730.8759950785</v>
      </c>
      <c r="AL74" s="100" t="n">
        <f aca="false">AL66+AL67+AL71+AL72+AL73</f>
        <v>46219.4603790644</v>
      </c>
      <c r="AM74" s="100" t="n">
        <f aca="false">AM66+AM67+AM71+AM72+AM73</f>
        <v>40442.9089150323</v>
      </c>
      <c r="AN74" s="100" t="n">
        <f aca="false">AN66+AN67+AN71+AN72+AN73</f>
        <v>41755.2346136213</v>
      </c>
      <c r="AO74" s="100" t="n">
        <f aca="false">AO66+AO67+AO71+AO72+AO73</f>
        <v>43067.5603122104</v>
      </c>
      <c r="AP74" s="100" t="n">
        <f aca="false">AP66+AP67+AP71+AP72+AP73</f>
        <v>44379.8860107994</v>
      </c>
      <c r="AQ74" s="100" t="n">
        <f aca="false">AQ66+AQ67+AQ71+AQ72+AQ73</f>
        <v>45692.2117093884</v>
      </c>
      <c r="AR74" s="100" t="n">
        <f aca="false">AR66+AR67+AR71+AR72+AR73</f>
        <v>47004.5374079775</v>
      </c>
      <c r="AS74" s="100" t="n">
        <f aca="false">AS66+AS67+AS71+AS72+AS73</f>
        <v>47322.3785952494</v>
      </c>
      <c r="AT74" s="100" t="n">
        <f aca="false">AT66+AT67+AT71+AT72+AT73</f>
        <v>47320.9897063605</v>
      </c>
      <c r="AU74" s="100" t="n">
        <f aca="false">AU66+AU67+AU71+AU72+AU73</f>
        <v>47319.6008174716</v>
      </c>
      <c r="AV74" s="100" t="n">
        <f aca="false">AV66+AV67+AV71+AV72+AV73</f>
        <v>47318.2119285827</v>
      </c>
      <c r="AW74" s="100" t="n">
        <f aca="false">AW66+AW67+AW71+AW72+AW73</f>
        <v>47316.8230396938</v>
      </c>
      <c r="AX74" s="100" t="n">
        <f aca="false">AX66+AX67+AX71+AX72+AX73</f>
        <v>47315.434150805</v>
      </c>
      <c r="AY74" s="100" t="n">
        <f aca="false">AY66+AY67+AY71+AY72+AY73</f>
        <v>45577.3846582557</v>
      </c>
      <c r="AZ74" s="100" t="n">
        <f aca="false">AZ66+AZ67+AZ71+AZ72+AZ73</f>
        <v>45575.9957693668</v>
      </c>
      <c r="BA74" s="100" t="n">
        <f aca="false">BA66+BA67+BA71+BA72+BA73</f>
        <v>45574.6068804779</v>
      </c>
      <c r="BB74" s="100" t="n">
        <f aca="false">BB66+BB67+BB71+BB72+BB73</f>
        <v>45573.217991589</v>
      </c>
      <c r="BC74" s="100" t="n">
        <f aca="false">BC66+BC67+BC71+BC72+BC73</f>
        <v>45571.8291027001</v>
      </c>
      <c r="BD74" s="100" t="n">
        <f aca="false">BD66+BD67+BD71+BD72+BD73</f>
        <v>45570.4402138112</v>
      </c>
      <c r="BE74" s="100" t="n">
        <f aca="false">BE66+BE67+BE71+BE72+BE73</f>
        <v>45569.0513249223</v>
      </c>
      <c r="BF74" s="100" t="n">
        <f aca="false">BF66+BF67+BF71+BF72+BF73</f>
        <v>45567.6624360334</v>
      </c>
      <c r="BG74" s="100" t="n">
        <f aca="false">BG66+BG67+BG71+BG72+BG73</f>
        <v>45566.2735471446</v>
      </c>
      <c r="BH74" s="100" t="n">
        <f aca="false">BH66+BH67+BH71+BH72+BH73</f>
        <v>45564.8846582557</v>
      </c>
      <c r="BI74" s="100" t="n">
        <f aca="false">BI66+BI67+BI71+BI72+BI73</f>
        <v>45563.4957693668</v>
      </c>
      <c r="BJ74" s="100" t="n">
        <f aca="false">BJ66+BJ67+BJ71+BJ72+BJ73</f>
        <v>45562.1068804779</v>
      </c>
      <c r="BK74" s="100" t="n">
        <f aca="false">BK66+BK67+BK71+BK72+BK73</f>
        <v>43816.8045698188</v>
      </c>
      <c r="BL74" s="100" t="n">
        <f aca="false">BL66+BL67+BL71+BL72+BL73</f>
        <v>43815.4156809299</v>
      </c>
      <c r="BM74" s="100" t="n">
        <f aca="false">BM66+BM67+BM71+BM72+BM73</f>
        <v>43814.026792041</v>
      </c>
      <c r="BN74" s="100" t="n">
        <f aca="false">BN66+BN67+BN71+BN72+BN73</f>
        <v>43812.6379031521</v>
      </c>
      <c r="BO74" s="100" t="n">
        <f aca="false">BO66+BO67+BO71+BO72+BO73</f>
        <v>43811.2490142632</v>
      </c>
      <c r="BP74" s="100" t="n">
        <f aca="false">BP66+BP67+BP71+BP72+BP73</f>
        <v>43809.8601253743</v>
      </c>
      <c r="BQ74" s="100" t="n">
        <f aca="false">BQ66+BQ67+BQ71+BQ72+BQ73</f>
        <v>43808.4712364854</v>
      </c>
      <c r="BR74" s="100" t="n">
        <f aca="false">BR66+BR67+BR71+BR72+BR73</f>
        <v>43807.0823475966</v>
      </c>
      <c r="BS74" s="100" t="n">
        <f aca="false">BS66+BS67+BS71+BS72+BS73</f>
        <v>43805.6934587077</v>
      </c>
      <c r="BT74" s="100" t="n">
        <f aca="false">BT66+BT67+BT71+BT72+BT73</f>
        <v>43804.3045698188</v>
      </c>
      <c r="BU74" s="100" t="n">
        <f aca="false">BU66+BU67+BU71+BU72+BU73</f>
        <v>43802.9156809299</v>
      </c>
      <c r="BV74" s="100" t="n">
        <f aca="false">BV66+BV67+BV71+BV72+BV73</f>
        <v>43801.526792041</v>
      </c>
      <c r="BW74" s="100" t="n">
        <f aca="false">BW66+BW67+BW71+BW72+BW73</f>
        <v>42048.7540787288</v>
      </c>
      <c r="BX74" s="100" t="n">
        <f aca="false">BX66+BX67+BX71+BX72+BX73</f>
        <v>42047.3651898399</v>
      </c>
      <c r="BY74" s="100" t="n">
        <f aca="false">BY66+BY67+BY71+BY72+BY73</f>
        <v>42045.976300951</v>
      </c>
      <c r="BZ74" s="100" t="n">
        <f aca="false">BZ66+BZ67+BZ71+BZ72+BZ73</f>
        <v>42044.5874120621</v>
      </c>
      <c r="CA74" s="100" t="n">
        <f aca="false">CA66+CA67+CA71+CA72+CA73</f>
        <v>42043.1985231732</v>
      </c>
      <c r="CB74" s="100" t="n">
        <f aca="false">CB66+CB67+CB71+CB72+CB73</f>
        <v>42041.8096342843</v>
      </c>
      <c r="CC74" s="100" t="n">
        <f aca="false">CC66+CC67+CC71+CC72+CC73</f>
        <v>42040.4207453955</v>
      </c>
      <c r="CD74" s="100" t="n">
        <f aca="false">CD66+CD67+CD71+CD72+CD73</f>
        <v>42039.0318565066</v>
      </c>
      <c r="CE74" s="100" t="n">
        <f aca="false">CE66+CE67+CE71+CE72+CE73</f>
        <v>42037.6429676177</v>
      </c>
      <c r="CF74" s="100" t="n">
        <f aca="false">CF66+CF67+CF71+CF72+CF73</f>
        <v>42036.2540787288</v>
      </c>
      <c r="CG74" s="100" t="n">
        <f aca="false">CG66+CG67+CG71+CG72+CG73</f>
        <v>42034.8651898399</v>
      </c>
      <c r="CH74" s="100" t="n">
        <f aca="false">CH66+CH67+CH71+CH72+CH73</f>
        <v>42033.476300951</v>
      </c>
    </row>
    <row r="75" customFormat="false" ht="13.5" hidden="false" customHeight="true" outlineLevel="0" collapsed="false">
      <c r="A75" s="6" t="s">
        <v>549</v>
      </c>
      <c r="C75" s="100" t="n">
        <f aca="false">Hipótesis!$D$122</f>
        <v>200000</v>
      </c>
      <c r="D75" s="100" t="n">
        <f aca="false">0</f>
        <v>0</v>
      </c>
      <c r="E75" s="100" t="n">
        <f aca="false">0</f>
        <v>0</v>
      </c>
      <c r="F75" s="100" t="n">
        <f aca="false">0</f>
        <v>0</v>
      </c>
      <c r="G75" s="100" t="n">
        <f aca="false">0</f>
        <v>0</v>
      </c>
      <c r="H75" s="100" t="n">
        <f aca="false">0</f>
        <v>0</v>
      </c>
      <c r="I75" s="100" t="n">
        <f aca="false">0</f>
        <v>0</v>
      </c>
      <c r="J75" s="100" t="n">
        <f aca="false">0</f>
        <v>0</v>
      </c>
      <c r="K75" s="100" t="n">
        <f aca="false">0</f>
        <v>0</v>
      </c>
      <c r="L75" s="100" t="n">
        <f aca="false">0</f>
        <v>0</v>
      </c>
      <c r="M75" s="100" t="n">
        <f aca="false">0</f>
        <v>0</v>
      </c>
      <c r="N75" s="100" t="n">
        <f aca="false">0</f>
        <v>0</v>
      </c>
      <c r="O75" s="100" t="n">
        <f aca="false">0</f>
        <v>0</v>
      </c>
      <c r="P75" s="100" t="n">
        <f aca="false">0</f>
        <v>0</v>
      </c>
      <c r="Q75" s="100" t="n">
        <f aca="false">0</f>
        <v>0</v>
      </c>
      <c r="R75" s="100" t="n">
        <f aca="false">0</f>
        <v>0</v>
      </c>
      <c r="S75" s="100" t="n">
        <f aca="false">0</f>
        <v>0</v>
      </c>
      <c r="T75" s="100" t="n">
        <f aca="false">0</f>
        <v>0</v>
      </c>
      <c r="U75" s="100" t="n">
        <f aca="false">0</f>
        <v>0</v>
      </c>
      <c r="V75" s="100" t="n">
        <f aca="false">0</f>
        <v>0</v>
      </c>
      <c r="W75" s="100" t="n">
        <f aca="false">0</f>
        <v>0</v>
      </c>
      <c r="X75" s="100" t="n">
        <f aca="false">0</f>
        <v>0</v>
      </c>
      <c r="Y75" s="100" t="n">
        <f aca="false">0</f>
        <v>0</v>
      </c>
      <c r="Z75" s="100" t="n">
        <f aca="false">0</f>
        <v>0</v>
      </c>
      <c r="AA75" s="100" t="n">
        <f aca="false">0</f>
        <v>0</v>
      </c>
      <c r="AB75" s="100" t="n">
        <f aca="false">0</f>
        <v>0</v>
      </c>
      <c r="AC75" s="100" t="n">
        <f aca="false">0</f>
        <v>0</v>
      </c>
      <c r="AD75" s="100" t="n">
        <f aca="false">0</f>
        <v>0</v>
      </c>
      <c r="AE75" s="100" t="n">
        <f aca="false">0</f>
        <v>0</v>
      </c>
      <c r="AF75" s="100" t="n">
        <f aca="false">0</f>
        <v>0</v>
      </c>
      <c r="AG75" s="100" t="n">
        <f aca="false">0</f>
        <v>0</v>
      </c>
      <c r="AH75" s="100" t="n">
        <f aca="false">0</f>
        <v>0</v>
      </c>
      <c r="AI75" s="100" t="n">
        <f aca="false">0</f>
        <v>0</v>
      </c>
      <c r="AJ75" s="100" t="n">
        <f aca="false">0</f>
        <v>0</v>
      </c>
      <c r="AK75" s="100" t="n">
        <f aca="false">0</f>
        <v>0</v>
      </c>
      <c r="AL75" s="100" t="n">
        <f aca="false">0</f>
        <v>0</v>
      </c>
      <c r="AM75" s="100" t="n">
        <f aca="false">0</f>
        <v>0</v>
      </c>
      <c r="AN75" s="100" t="n">
        <f aca="false">0</f>
        <v>0</v>
      </c>
      <c r="AO75" s="100" t="n">
        <f aca="false">0</f>
        <v>0</v>
      </c>
      <c r="AP75" s="100" t="n">
        <f aca="false">0</f>
        <v>0</v>
      </c>
      <c r="AQ75" s="100" t="n">
        <f aca="false">0</f>
        <v>0</v>
      </c>
      <c r="AR75" s="100" t="n">
        <f aca="false">0</f>
        <v>0</v>
      </c>
      <c r="AS75" s="100" t="n">
        <f aca="false">0</f>
        <v>0</v>
      </c>
      <c r="AT75" s="100" t="n">
        <f aca="false">0</f>
        <v>0</v>
      </c>
      <c r="AU75" s="100" t="n">
        <f aca="false">0</f>
        <v>0</v>
      </c>
      <c r="AV75" s="100" t="n">
        <f aca="false">0</f>
        <v>0</v>
      </c>
      <c r="AW75" s="100" t="n">
        <f aca="false">0</f>
        <v>0</v>
      </c>
      <c r="AX75" s="100" t="n">
        <f aca="false">0</f>
        <v>0</v>
      </c>
      <c r="AY75" s="100" t="n">
        <f aca="false">0</f>
        <v>0</v>
      </c>
      <c r="AZ75" s="100" t="n">
        <f aca="false">0</f>
        <v>0</v>
      </c>
      <c r="BA75" s="100" t="n">
        <f aca="false">0</f>
        <v>0</v>
      </c>
      <c r="BB75" s="100" t="n">
        <f aca="false">0</f>
        <v>0</v>
      </c>
      <c r="BC75" s="100" t="n">
        <f aca="false">0</f>
        <v>0</v>
      </c>
      <c r="BD75" s="100" t="n">
        <f aca="false">0</f>
        <v>0</v>
      </c>
      <c r="BE75" s="100" t="n">
        <f aca="false">0</f>
        <v>0</v>
      </c>
      <c r="BF75" s="100" t="n">
        <f aca="false">0</f>
        <v>0</v>
      </c>
      <c r="BG75" s="100" t="n">
        <f aca="false">0</f>
        <v>0</v>
      </c>
      <c r="BH75" s="100" t="n">
        <f aca="false">0</f>
        <v>0</v>
      </c>
      <c r="BI75" s="100" t="n">
        <f aca="false">0</f>
        <v>0</v>
      </c>
      <c r="BJ75" s="100" t="n">
        <f aca="false">0</f>
        <v>0</v>
      </c>
      <c r="BK75" s="100" t="n">
        <f aca="false">0</f>
        <v>0</v>
      </c>
      <c r="BL75" s="100" t="n">
        <f aca="false">0</f>
        <v>0</v>
      </c>
      <c r="BM75" s="100" t="n">
        <f aca="false">0</f>
        <v>0</v>
      </c>
      <c r="BN75" s="100" t="n">
        <f aca="false">0</f>
        <v>0</v>
      </c>
      <c r="BO75" s="100" t="n">
        <f aca="false">0</f>
        <v>0</v>
      </c>
      <c r="BP75" s="100" t="n">
        <f aca="false">0</f>
        <v>0</v>
      </c>
      <c r="BQ75" s="100" t="n">
        <f aca="false">0</f>
        <v>0</v>
      </c>
      <c r="BR75" s="100" t="n">
        <f aca="false">0</f>
        <v>0</v>
      </c>
      <c r="BS75" s="100" t="n">
        <f aca="false">0</f>
        <v>0</v>
      </c>
      <c r="BT75" s="100" t="n">
        <f aca="false">0</f>
        <v>0</v>
      </c>
      <c r="BU75" s="100" t="n">
        <f aca="false">0</f>
        <v>0</v>
      </c>
      <c r="BV75" s="100" t="n">
        <f aca="false">0</f>
        <v>0</v>
      </c>
      <c r="BW75" s="100" t="n">
        <f aca="false">0</f>
        <v>0</v>
      </c>
      <c r="BX75" s="100" t="n">
        <f aca="false">0</f>
        <v>0</v>
      </c>
      <c r="BY75" s="100" t="n">
        <f aca="false">0</f>
        <v>0</v>
      </c>
      <c r="BZ75" s="100" t="n">
        <f aca="false">0</f>
        <v>0</v>
      </c>
      <c r="CA75" s="100" t="n">
        <f aca="false">0</f>
        <v>0</v>
      </c>
      <c r="CB75" s="100" t="n">
        <f aca="false">0</f>
        <v>0</v>
      </c>
      <c r="CC75" s="100" t="n">
        <f aca="false">0</f>
        <v>0</v>
      </c>
      <c r="CD75" s="100" t="n">
        <f aca="false">0</f>
        <v>0</v>
      </c>
      <c r="CE75" s="100" t="n">
        <f aca="false">0</f>
        <v>0</v>
      </c>
      <c r="CF75" s="100" t="n">
        <f aca="false">0</f>
        <v>0</v>
      </c>
      <c r="CG75" s="100" t="n">
        <f aca="false">0</f>
        <v>0</v>
      </c>
      <c r="CH75" s="100" t="n">
        <f aca="false">0</f>
        <v>0</v>
      </c>
    </row>
    <row r="76" customFormat="false" ht="13.5" hidden="false" customHeight="true" outlineLevel="0" collapsed="false">
      <c r="A76" s="6" t="s">
        <v>550</v>
      </c>
      <c r="C76" s="100" t="n">
        <f aca="false">-C106</f>
        <v>-333.333333333333</v>
      </c>
      <c r="D76" s="100" t="n">
        <f aca="false">-D106</f>
        <v>-333.333333333333</v>
      </c>
      <c r="E76" s="100" t="n">
        <f aca="false">-E106</f>
        <v>-333.333333333333</v>
      </c>
      <c r="F76" s="100" t="n">
        <f aca="false">-F106</f>
        <v>-333.333333333333</v>
      </c>
      <c r="G76" s="100" t="n">
        <f aca="false">-G106</f>
        <v>-333.333333333333</v>
      </c>
      <c r="H76" s="100" t="n">
        <f aca="false">-H106</f>
        <v>-333.333333333333</v>
      </c>
      <c r="I76" s="100" t="n">
        <f aca="false">-I106</f>
        <v>-333.333333333333</v>
      </c>
      <c r="J76" s="100" t="n">
        <f aca="false">-J106</f>
        <v>-379.028703539617</v>
      </c>
      <c r="K76" s="100" t="n">
        <f aca="false">-K106</f>
        <v>-453.95563524641</v>
      </c>
      <c r="L76" s="100" t="n">
        <f aca="false">-L106</f>
        <v>-528.882566953204</v>
      </c>
      <c r="M76" s="100" t="n">
        <f aca="false">-M106</f>
        <v>-579.039238218851</v>
      </c>
      <c r="N76" s="100" t="n">
        <f aca="false">-N106</f>
        <v>-648.214175345461</v>
      </c>
      <c r="O76" s="100" t="n">
        <f aca="false">-O106</f>
        <v>-612.845112472071</v>
      </c>
      <c r="P76" s="100" t="n">
        <f aca="false">-P106</f>
        <v>-674.827985351155</v>
      </c>
      <c r="Q76" s="100" t="n">
        <f aca="false">-Q106</f>
        <v>-736.810858230238</v>
      </c>
      <c r="R76" s="100" t="n">
        <f aca="false">-R106</f>
        <v>-798.793731109321</v>
      </c>
      <c r="S76" s="100" t="n">
        <f aca="false">-S106</f>
        <v>-860.776603988405</v>
      </c>
      <c r="T76" s="100" t="n">
        <f aca="false">-T106</f>
        <v>-922.759476867488</v>
      </c>
      <c r="U76" s="100" t="n">
        <f aca="false">-U106</f>
        <v>-938.515949746571</v>
      </c>
      <c r="V76" s="100" t="n">
        <f aca="false">-V106</f>
        <v>-946.114822625655</v>
      </c>
      <c r="W76" s="100" t="n">
        <f aca="false">-W106</f>
        <v>-1008.09769550474</v>
      </c>
      <c r="X76" s="100" t="n">
        <f aca="false">-X106</f>
        <v>-1051.06230252286</v>
      </c>
      <c r="Y76" s="100" t="n">
        <f aca="false">-Y106</f>
        <v>-1094.02690954098</v>
      </c>
      <c r="Z76" s="100" t="n">
        <f aca="false">-Z106</f>
        <v>-1130.01844021471</v>
      </c>
      <c r="AA76" s="100" t="n">
        <f aca="false">-AA106</f>
        <v>-2788.42680555511</v>
      </c>
      <c r="AB76" s="100" t="n">
        <f aca="false">-AB106</f>
        <v>-2818.86278067329</v>
      </c>
      <c r="AC76" s="100" t="n">
        <f aca="false">-AC106</f>
        <v>-2849.29875579147</v>
      </c>
      <c r="AD76" s="100" t="n">
        <f aca="false">-AD106</f>
        <v>-2879.73473090965</v>
      </c>
      <c r="AE76" s="100" t="n">
        <f aca="false">-AE106</f>
        <v>-2910.17070602783</v>
      </c>
      <c r="AF76" s="100" t="n">
        <f aca="false">-AF106</f>
        <v>-2940.60668114601</v>
      </c>
      <c r="AG76" s="100" t="n">
        <f aca="false">-AG106</f>
        <v>-2971.04265626419</v>
      </c>
      <c r="AH76" s="100" t="n">
        <f aca="false">-AH106</f>
        <v>-2953.86543938237</v>
      </c>
      <c r="AI76" s="100" t="n">
        <f aca="false">-AI106</f>
        <v>-2984.30141450055</v>
      </c>
      <c r="AJ76" s="100" t="n">
        <f aca="false">-AJ106</f>
        <v>-3014.73738961873</v>
      </c>
      <c r="AK76" s="100" t="n">
        <f aca="false">-AK106</f>
        <v>-3045.17336473691</v>
      </c>
      <c r="AL76" s="100" t="n">
        <f aca="false">-AL106</f>
        <v>-3075.60933985509</v>
      </c>
      <c r="AM76" s="100" t="n">
        <f aca="false">-AM106</f>
        <v>-3060.22759225326</v>
      </c>
      <c r="AN76" s="100" t="n">
        <f aca="false">-AN106</f>
        <v>-3090.66356737144</v>
      </c>
      <c r="AO76" s="100" t="n">
        <f aca="false">-AO106</f>
        <v>-3121.09954248962</v>
      </c>
      <c r="AP76" s="100" t="n">
        <f aca="false">-AP106</f>
        <v>-3151.5355176078</v>
      </c>
      <c r="AQ76" s="100" t="n">
        <f aca="false">-AQ106</f>
        <v>-3181.97149272598</v>
      </c>
      <c r="AR76" s="100" t="n">
        <f aca="false">-AR106</f>
        <v>-3212.40746784416</v>
      </c>
      <c r="AS76" s="100" t="n">
        <f aca="false">-AS106</f>
        <v>-3206.85191228861</v>
      </c>
      <c r="AT76" s="100" t="n">
        <f aca="false">-AT106</f>
        <v>-3201.29635673305</v>
      </c>
      <c r="AU76" s="100" t="n">
        <f aca="false">-AU106</f>
        <v>-3195.74080117749</v>
      </c>
      <c r="AV76" s="100" t="n">
        <f aca="false">-AV106</f>
        <v>-3190.18524562194</v>
      </c>
      <c r="AW76" s="100" t="n">
        <f aca="false">-AW106</f>
        <v>-3184.62969006638</v>
      </c>
      <c r="AX76" s="100" t="n">
        <f aca="false">-AX106</f>
        <v>-3179.07413451083</v>
      </c>
      <c r="AY76" s="100" t="n">
        <f aca="false">-AY106</f>
        <v>-3127.51432455367</v>
      </c>
      <c r="AZ76" s="100" t="n">
        <f aca="false">-AZ106</f>
        <v>-3121.95876899812</v>
      </c>
      <c r="BA76" s="100" t="n">
        <f aca="false">-BA106</f>
        <v>-3116.40321344256</v>
      </c>
      <c r="BB76" s="100" t="n">
        <f aca="false">-BB106</f>
        <v>-3110.84765788701</v>
      </c>
      <c r="BC76" s="100" t="n">
        <f aca="false">-BC106</f>
        <v>-3105.29210233145</v>
      </c>
      <c r="BD76" s="100" t="n">
        <f aca="false">-BD106</f>
        <v>-3099.73654677589</v>
      </c>
      <c r="BE76" s="100" t="n">
        <f aca="false">-BE106</f>
        <v>-3094.18099122034</v>
      </c>
      <c r="BF76" s="100" t="n">
        <f aca="false">-BF106</f>
        <v>-3088.62543566478</v>
      </c>
      <c r="BG76" s="100" t="n">
        <f aca="false">-BG106</f>
        <v>-3083.06988010923</v>
      </c>
      <c r="BH76" s="100" t="n">
        <f aca="false">-BH106</f>
        <v>-3077.51432455367</v>
      </c>
      <c r="BI76" s="100" t="n">
        <f aca="false">-BI106</f>
        <v>-3071.95876899812</v>
      </c>
      <c r="BJ76" s="100" t="n">
        <f aca="false">-BJ106</f>
        <v>-3066.40321344256</v>
      </c>
      <c r="BK76" s="100" t="n">
        <f aca="false">-BK106</f>
        <v>-3014.65127585336</v>
      </c>
      <c r="BL76" s="100" t="n">
        <f aca="false">-BL106</f>
        <v>-3009.0957202978</v>
      </c>
      <c r="BM76" s="100" t="n">
        <f aca="false">-BM106</f>
        <v>-3003.54016474225</v>
      </c>
      <c r="BN76" s="100" t="n">
        <f aca="false">-BN106</f>
        <v>-2997.98460918669</v>
      </c>
      <c r="BO76" s="100" t="n">
        <f aca="false">-BO106</f>
        <v>-2992.42905363113</v>
      </c>
      <c r="BP76" s="100" t="n">
        <f aca="false">-BP106</f>
        <v>-2986.87349807558</v>
      </c>
      <c r="BQ76" s="100" t="n">
        <f aca="false">-BQ106</f>
        <v>-2981.31794252002</v>
      </c>
      <c r="BR76" s="100" t="n">
        <f aca="false">-BR106</f>
        <v>-2975.76238696447</v>
      </c>
      <c r="BS76" s="100" t="n">
        <f aca="false">-BS106</f>
        <v>-2970.20683140891</v>
      </c>
      <c r="BT76" s="100" t="n">
        <f aca="false">-BT106</f>
        <v>-2964.65127585336</v>
      </c>
      <c r="BU76" s="100" t="n">
        <f aca="false">-BU106</f>
        <v>-2959.0957202978</v>
      </c>
      <c r="BV76" s="100" t="n">
        <f aca="false">-BV106</f>
        <v>-2953.54016474225</v>
      </c>
      <c r="BW76" s="100" t="n">
        <f aca="false">-BW106</f>
        <v>-2901.59033569203</v>
      </c>
      <c r="BX76" s="100" t="n">
        <f aca="false">-BX106</f>
        <v>-2896.03478013648</v>
      </c>
      <c r="BY76" s="100" t="n">
        <f aca="false">-BY106</f>
        <v>-2890.47922458092</v>
      </c>
      <c r="BZ76" s="100" t="n">
        <f aca="false">-BZ106</f>
        <v>-2884.92366902537</v>
      </c>
      <c r="CA76" s="100" t="n">
        <f aca="false">-CA106</f>
        <v>-2879.36811346981</v>
      </c>
      <c r="CB76" s="100" t="n">
        <f aca="false">-CB106</f>
        <v>-2873.81255791426</v>
      </c>
      <c r="CC76" s="100" t="n">
        <f aca="false">-CC106</f>
        <v>-2868.2570023587</v>
      </c>
      <c r="CD76" s="100" t="n">
        <f aca="false">-CD106</f>
        <v>-2862.70144680314</v>
      </c>
      <c r="CE76" s="100" t="n">
        <f aca="false">-CE106</f>
        <v>-2857.14589124759</v>
      </c>
      <c r="CF76" s="100" t="n">
        <f aca="false">-CF106</f>
        <v>-2851.59033569203</v>
      </c>
      <c r="CG76" s="100" t="n">
        <f aca="false">-CG106</f>
        <v>-2846.03478013648</v>
      </c>
      <c r="CH76" s="100" t="n">
        <f aca="false">-CH106</f>
        <v>-2840.47922458086</v>
      </c>
    </row>
    <row r="77" customFormat="false" ht="13.5" hidden="false" customHeight="true" outlineLevel="0" collapsed="false">
      <c r="A77" s="6" t="s">
        <v>551</v>
      </c>
      <c r="C77" s="100" t="n">
        <f aca="false">0</f>
        <v>0</v>
      </c>
      <c r="D77" s="100" t="n">
        <f aca="false">C81*Hipótesis!$D$71/12</f>
        <v>-0</v>
      </c>
      <c r="E77" s="100" t="n">
        <f aca="false">D81*Hipótesis!$D$71/12</f>
        <v>0</v>
      </c>
      <c r="F77" s="100" t="n">
        <f aca="false">E81*Hipótesis!$D$71/12</f>
        <v>0</v>
      </c>
      <c r="G77" s="100" t="n">
        <f aca="false">F81*Hipótesis!$D$71/12</f>
        <v>0</v>
      </c>
      <c r="H77" s="100" t="n">
        <f aca="false">G81*Hipótesis!$D$71/12</f>
        <v>0</v>
      </c>
      <c r="I77" s="100" t="n">
        <f aca="false">H81*Hipótesis!$D$71/12</f>
        <v>0</v>
      </c>
      <c r="J77" s="100" t="n">
        <f aca="false">I81*Hipótesis!$D$71/12</f>
        <v>1.86707511752974</v>
      </c>
      <c r="K77" s="100" t="n">
        <f aca="false">J81*Hipótesis!$D$71/12</f>
        <v>27.4202192044647</v>
      </c>
      <c r="L77" s="100" t="n">
        <f aca="false">K81*Hipótesis!$D$71/12</f>
        <v>33.3684087557916</v>
      </c>
      <c r="M77" s="100" t="n">
        <f aca="false">L81*Hipótesis!$D$71/12</f>
        <v>19.6352661361321</v>
      </c>
      <c r="N77" s="100" t="n">
        <f aca="false">M81*Hipótesis!$D$71/12</f>
        <v>0</v>
      </c>
      <c r="O77" s="100" t="n">
        <f aca="false">N81*Hipótesis!$D$71/12</f>
        <v>0</v>
      </c>
      <c r="P77" s="100" t="n">
        <f aca="false">O81*Hipótesis!$D$71/12</f>
        <v>0</v>
      </c>
      <c r="Q77" s="100" t="n">
        <f aca="false">P81*Hipótesis!$D$71/12</f>
        <v>0</v>
      </c>
      <c r="R77" s="100" t="n">
        <f aca="false">Q81*Hipótesis!$D$71/12</f>
        <v>0</v>
      </c>
      <c r="S77" s="100" t="n">
        <f aca="false">R81*Hipótesis!$D$71/12</f>
        <v>0</v>
      </c>
      <c r="T77" s="100" t="n">
        <f aca="false">S81*Hipótesis!$D$71/12</f>
        <v>0</v>
      </c>
      <c r="U77" s="100" t="n">
        <f aca="false">T81*Hipótesis!$D$71/12</f>
        <v>0</v>
      </c>
      <c r="V77" s="100" t="n">
        <f aca="false">U81*Hipótesis!$D$71/12</f>
        <v>0</v>
      </c>
      <c r="W77" s="100" t="n">
        <f aca="false">V81*Hipótesis!$D$71/12</f>
        <v>0</v>
      </c>
      <c r="X77" s="100" t="n">
        <f aca="false">W81*Hipótesis!$D$71/12</f>
        <v>0</v>
      </c>
      <c r="Y77" s="100" t="n">
        <f aca="false">X81*Hipótesis!$D$71/12</f>
        <v>0</v>
      </c>
      <c r="Z77" s="100" t="n">
        <f aca="false">Y81*Hipótesis!$D$71/12</f>
        <v>0</v>
      </c>
      <c r="AA77" s="100" t="n">
        <f aca="false">Z81*Hipótesis!$D$71/12</f>
        <v>0</v>
      </c>
      <c r="AB77" s="100" t="n">
        <f aca="false">AA81*Hipótesis!$D$71/12</f>
        <v>0</v>
      </c>
      <c r="AC77" s="100" t="n">
        <f aca="false">AB81*Hipótesis!$D$71/12</f>
        <v>0</v>
      </c>
      <c r="AD77" s="100" t="n">
        <f aca="false">AC81*Hipótesis!$D$71/12</f>
        <v>0</v>
      </c>
      <c r="AE77" s="100" t="n">
        <f aca="false">AD81*Hipótesis!$D$71/12</f>
        <v>0</v>
      </c>
      <c r="AF77" s="100" t="n">
        <f aca="false">AE81*Hipótesis!$D$71/12</f>
        <v>0</v>
      </c>
      <c r="AG77" s="100" t="n">
        <f aca="false">AF81*Hipótesis!$D$71/12</f>
        <v>0</v>
      </c>
      <c r="AH77" s="100" t="n">
        <f aca="false">AG81*Hipótesis!$D$71/12</f>
        <v>0</v>
      </c>
      <c r="AI77" s="100" t="n">
        <f aca="false">AH81*Hipótesis!$D$71/12</f>
        <v>0</v>
      </c>
      <c r="AJ77" s="100" t="n">
        <f aca="false">AI81*Hipótesis!$D$71/12</f>
        <v>0</v>
      </c>
      <c r="AK77" s="100" t="n">
        <f aca="false">AJ81*Hipótesis!$D$71/12</f>
        <v>0</v>
      </c>
      <c r="AL77" s="100" t="n">
        <f aca="false">AK81*Hipótesis!$D$71/12</f>
        <v>0</v>
      </c>
      <c r="AM77" s="100" t="n">
        <f aca="false">AL81*Hipótesis!$D$71/12</f>
        <v>0</v>
      </c>
      <c r="AN77" s="100" t="n">
        <f aca="false">AM81*Hipótesis!$D$71/12</f>
        <v>0</v>
      </c>
      <c r="AO77" s="100" t="n">
        <f aca="false">AN81*Hipótesis!$D$71/12</f>
        <v>0</v>
      </c>
      <c r="AP77" s="100" t="n">
        <f aca="false">AO81*Hipótesis!$D$71/12</f>
        <v>0</v>
      </c>
      <c r="AQ77" s="100" t="n">
        <f aca="false">AP81*Hipótesis!$D$71/12</f>
        <v>0</v>
      </c>
      <c r="AR77" s="100" t="n">
        <f aca="false">AQ81*Hipótesis!$D$71/12</f>
        <v>0</v>
      </c>
      <c r="AS77" s="100" t="n">
        <f aca="false">AR81*Hipótesis!$D$71/12</f>
        <v>0</v>
      </c>
      <c r="AT77" s="100" t="n">
        <f aca="false">AS81*Hipótesis!$D$71/12</f>
        <v>0</v>
      </c>
      <c r="AU77" s="100" t="n">
        <f aca="false">AT81*Hipótesis!$D$71/12</f>
        <v>0</v>
      </c>
      <c r="AV77" s="100" t="n">
        <f aca="false">AU81*Hipótesis!$D$71/12</f>
        <v>0</v>
      </c>
      <c r="AW77" s="100" t="n">
        <f aca="false">AV81*Hipótesis!$D$71/12</f>
        <v>0</v>
      </c>
      <c r="AX77" s="100" t="n">
        <f aca="false">AW81*Hipótesis!$D$71/12</f>
        <v>0</v>
      </c>
      <c r="AY77" s="100" t="n">
        <f aca="false">AX81*Hipótesis!$D$71/12</f>
        <v>0</v>
      </c>
      <c r="AZ77" s="100" t="n">
        <f aca="false">AY81*Hipótesis!$D$71/12</f>
        <v>0</v>
      </c>
      <c r="BA77" s="100" t="n">
        <f aca="false">AZ81*Hipótesis!$D$71/12</f>
        <v>0</v>
      </c>
      <c r="BB77" s="100" t="n">
        <f aca="false">BA81*Hipótesis!$D$71/12</f>
        <v>0</v>
      </c>
      <c r="BC77" s="100" t="n">
        <f aca="false">BB81*Hipótesis!$D$71/12</f>
        <v>0</v>
      </c>
      <c r="BD77" s="100" t="n">
        <f aca="false">BC81*Hipótesis!$D$71/12</f>
        <v>0</v>
      </c>
      <c r="BE77" s="100" t="n">
        <f aca="false">BD81*Hipótesis!$D$71/12</f>
        <v>0</v>
      </c>
      <c r="BF77" s="100" t="n">
        <f aca="false">BE81*Hipótesis!$D$71/12</f>
        <v>0</v>
      </c>
      <c r="BG77" s="100" t="n">
        <f aca="false">BF81*Hipótesis!$D$71/12</f>
        <v>0</v>
      </c>
      <c r="BH77" s="100" t="n">
        <f aca="false">BG81*Hipótesis!$D$71/12</f>
        <v>0</v>
      </c>
      <c r="BI77" s="100" t="n">
        <f aca="false">BH81*Hipótesis!$D$71/12</f>
        <v>0</v>
      </c>
      <c r="BJ77" s="100" t="n">
        <f aca="false">BI81*Hipótesis!$D$71/12</f>
        <v>0</v>
      </c>
      <c r="BK77" s="100" t="n">
        <f aca="false">BJ81*Hipótesis!$D$71/12</f>
        <v>0</v>
      </c>
      <c r="BL77" s="100" t="n">
        <f aca="false">BK81*Hipótesis!$D$71/12</f>
        <v>0</v>
      </c>
      <c r="BM77" s="100" t="n">
        <f aca="false">BL81*Hipótesis!$D$71/12</f>
        <v>0</v>
      </c>
      <c r="BN77" s="100" t="n">
        <f aca="false">BM81*Hipótesis!$D$71/12</f>
        <v>0</v>
      </c>
      <c r="BO77" s="100" t="n">
        <f aca="false">BN81*Hipótesis!$D$71/12</f>
        <v>0</v>
      </c>
      <c r="BP77" s="100" t="n">
        <f aca="false">BO81*Hipótesis!$D$71/12</f>
        <v>0</v>
      </c>
      <c r="BQ77" s="100" t="n">
        <f aca="false">BP81*Hipótesis!$D$71/12</f>
        <v>0</v>
      </c>
      <c r="BR77" s="100" t="n">
        <f aca="false">BQ81*Hipótesis!$D$71/12</f>
        <v>0</v>
      </c>
      <c r="BS77" s="100" t="n">
        <f aca="false">BR81*Hipótesis!$D$71/12</f>
        <v>0</v>
      </c>
      <c r="BT77" s="100" t="n">
        <f aca="false">BS81*Hipótesis!$D$71/12</f>
        <v>0</v>
      </c>
      <c r="BU77" s="100" t="n">
        <f aca="false">BT81*Hipótesis!$D$71/12</f>
        <v>0</v>
      </c>
      <c r="BV77" s="100" t="n">
        <f aca="false">BU81*Hipótesis!$D$71/12</f>
        <v>0</v>
      </c>
      <c r="BW77" s="100" t="n">
        <f aca="false">BV81*Hipótesis!$D$71/12</f>
        <v>0</v>
      </c>
      <c r="BX77" s="100" t="n">
        <f aca="false">BW81*Hipótesis!$D$71/12</f>
        <v>0</v>
      </c>
      <c r="BY77" s="100" t="n">
        <f aca="false">BX81*Hipótesis!$D$71/12</f>
        <v>0</v>
      </c>
      <c r="BZ77" s="100" t="n">
        <f aca="false">BY81*Hipótesis!$D$71/12</f>
        <v>0</v>
      </c>
      <c r="CA77" s="100" t="n">
        <f aca="false">BZ81*Hipótesis!$D$71/12</f>
        <v>0</v>
      </c>
      <c r="CB77" s="100" t="n">
        <f aca="false">CA81*Hipótesis!$D$71/12</f>
        <v>0</v>
      </c>
      <c r="CC77" s="100" t="n">
        <f aca="false">CB81*Hipótesis!$D$71/12</f>
        <v>0</v>
      </c>
      <c r="CD77" s="100" t="n">
        <f aca="false">CC81*Hipótesis!$D$71/12</f>
        <v>0</v>
      </c>
      <c r="CE77" s="100" t="n">
        <f aca="false">CD81*Hipótesis!$D$71/12</f>
        <v>0</v>
      </c>
      <c r="CF77" s="100" t="n">
        <f aca="false">CE81*Hipótesis!$D$71/12</f>
        <v>0</v>
      </c>
      <c r="CG77" s="100" t="n">
        <f aca="false">CF81*Hipótesis!$D$71/12</f>
        <v>0</v>
      </c>
      <c r="CH77" s="100" t="n">
        <f aca="false">CG81*Hipótesis!$D$71/12</f>
        <v>0</v>
      </c>
    </row>
    <row r="78" customFormat="false" ht="13.5" hidden="false" customHeight="true" outlineLevel="0" collapsed="false">
      <c r="A78" s="22" t="s">
        <v>552</v>
      </c>
      <c r="C78" s="100" t="n">
        <f aca="false">C74+C75+C76-C77</f>
        <v>147790.07716802</v>
      </c>
      <c r="D78" s="100" t="n">
        <f aca="false">D74+D75+D76-D77</f>
        <v>-30671.2957801018</v>
      </c>
      <c r="E78" s="100" t="n">
        <f aca="false">E74+E75+E76-E77</f>
        <v>-23434.0519581034</v>
      </c>
      <c r="F78" s="100" t="n">
        <f aca="false">F74+F75+F76-F77</f>
        <v>-20589.9135978382</v>
      </c>
      <c r="G78" s="100" t="n">
        <f aca="false">G74+G75+G76-G77</f>
        <v>-18095.791788097</v>
      </c>
      <c r="H78" s="100" t="n">
        <f aca="false">H74+H75+H76-H77</f>
        <v>-15004.9487079514</v>
      </c>
      <c r="I78" s="100" t="n">
        <f aca="false">I74+I75+I76-I77</f>
        <v>-10401.4371797533</v>
      </c>
      <c r="J78" s="100" t="n">
        <f aca="false">J74+J75+J76-J77</f>
        <v>-5575.23143714945</v>
      </c>
      <c r="K78" s="100" t="n">
        <f aca="false">K74+K75+K76-K77</f>
        <v>-1297.7868111986</v>
      </c>
      <c r="L78" s="100" t="n">
        <f aca="false">L74+L75+L76-L77</f>
        <v>2996.32202610753</v>
      </c>
      <c r="M78" s="100" t="n">
        <f aca="false">M74+M75+M76-M77</f>
        <v>6537.53406030801</v>
      </c>
      <c r="N78" s="100" t="n">
        <f aca="false">N74+N75+N76-N77</f>
        <v>9256.52444404996</v>
      </c>
      <c r="O78" s="100" t="n">
        <f aca="false">O74+O75+O76-O77</f>
        <v>10241.3426192233</v>
      </c>
      <c r="P78" s="100" t="n">
        <f aca="false">P74+P75+P76-P77</f>
        <v>12795.9281592246</v>
      </c>
      <c r="Q78" s="100" t="n">
        <f aca="false">Q74+Q75+Q76-Q77</f>
        <v>15296.3672341525</v>
      </c>
      <c r="R78" s="100" t="n">
        <f aca="false">R74+R75+R76-R77</f>
        <v>17796.8063090804</v>
      </c>
      <c r="S78" s="100" t="n">
        <f aca="false">S74+S75+S76-S77</f>
        <v>20297.2453840082</v>
      </c>
      <c r="T78" s="100" t="n">
        <f aca="false">T74+T75+T76-T77</f>
        <v>22797.6844589361</v>
      </c>
      <c r="U78" s="100" t="n">
        <f aca="false">U74+U75+U76-U77</f>
        <v>23372.793973864</v>
      </c>
      <c r="V78" s="100" t="n">
        <f aca="false">V74+V75+V76-V77</f>
        <v>23608.1394487918</v>
      </c>
      <c r="W78" s="100" t="n">
        <f aca="false">W74+W75+W76-W77</f>
        <v>26108.5785237197</v>
      </c>
      <c r="X78" s="100" t="n">
        <f aca="false">X74+X75+X76-X77</f>
        <v>27931.1510144745</v>
      </c>
      <c r="Y78" s="100" t="n">
        <f aca="false">Y74+Y75+Y76-Y77</f>
        <v>29665.3481375824</v>
      </c>
      <c r="Z78" s="100" t="n">
        <f aca="false">Z74+Z75+Z76-Z77</f>
        <v>31143.5539712866</v>
      </c>
      <c r="AA78" s="100" t="n">
        <f aca="false">AA74+AA75+AA76-AA77</f>
        <v>29087.3079884653</v>
      </c>
      <c r="AB78" s="100" t="n">
        <f aca="false">AB74+AB75+AB76-AB77</f>
        <v>30545.456397333</v>
      </c>
      <c r="AC78" s="100" t="n">
        <f aca="false">AC74+AC75+AC76-AC77</f>
        <v>32003.6048062006</v>
      </c>
      <c r="AD78" s="100" t="n">
        <f aca="false">AD74+AD75+AD76-AD77</f>
        <v>33461.7532150682</v>
      </c>
      <c r="AE78" s="100" t="n">
        <f aca="false">AE74+AE75+AE76-AE77</f>
        <v>34919.9016239359</v>
      </c>
      <c r="AF78" s="100" t="n">
        <f aca="false">AF74+AF75+AF76-AF77</f>
        <v>36378.0500328035</v>
      </c>
      <c r="AG78" s="100" t="n">
        <f aca="false">AG74+AG75+AG76-AG77</f>
        <v>37836.1984416711</v>
      </c>
      <c r="AH78" s="100" t="n">
        <f aca="false">AH74+AH75+AH76-AH77</f>
        <v>37311.2574037388</v>
      </c>
      <c r="AI78" s="100" t="n">
        <f aca="false">AI74+AI75+AI76-AI77</f>
        <v>38769.4058126064</v>
      </c>
      <c r="AJ78" s="100" t="n">
        <f aca="false">AJ74+AJ75+AJ76-AJ77</f>
        <v>40227.554221474</v>
      </c>
      <c r="AK78" s="100" t="n">
        <f aca="false">AK74+AK75+AK76-AK77</f>
        <v>41685.7026303416</v>
      </c>
      <c r="AL78" s="100" t="n">
        <f aca="false">AL74+AL75+AL76-AL77</f>
        <v>43143.8510392093</v>
      </c>
      <c r="AM78" s="100" t="n">
        <f aca="false">AM74+AM75+AM76-AM77</f>
        <v>37382.681322779</v>
      </c>
      <c r="AN78" s="100" t="n">
        <f aca="false">AN74+AN75+AN76-AN77</f>
        <v>38664.5710462499</v>
      </c>
      <c r="AO78" s="100" t="n">
        <f aca="false">AO74+AO75+AO76-AO77</f>
        <v>39946.4607697208</v>
      </c>
      <c r="AP78" s="100" t="n">
        <f aca="false">AP74+AP75+AP76-AP77</f>
        <v>41228.3504931916</v>
      </c>
      <c r="AQ78" s="100" t="n">
        <f aca="false">AQ74+AQ75+AQ76-AQ77</f>
        <v>42510.2402166624</v>
      </c>
      <c r="AR78" s="100" t="n">
        <f aca="false">AR74+AR75+AR76-AR77</f>
        <v>43792.1299401333</v>
      </c>
      <c r="AS78" s="100" t="n">
        <f aca="false">AS74+AS75+AS76-AS77</f>
        <v>44115.5266829608</v>
      </c>
      <c r="AT78" s="100" t="n">
        <f aca="false">AT74+AT75+AT76-AT77</f>
        <v>44119.6933496275</v>
      </c>
      <c r="AU78" s="100" t="n">
        <f aca="false">AU74+AU75+AU76-AU77</f>
        <v>44123.8600162941</v>
      </c>
      <c r="AV78" s="100" t="n">
        <f aca="false">AV74+AV75+AV76-AV77</f>
        <v>44128.0266829608</v>
      </c>
      <c r="AW78" s="100" t="n">
        <f aca="false">AW74+AW75+AW76-AW77</f>
        <v>44132.1933496275</v>
      </c>
      <c r="AX78" s="100" t="n">
        <f aca="false">AX74+AX75+AX76-AX77</f>
        <v>44136.3600162941</v>
      </c>
      <c r="AY78" s="100" t="n">
        <f aca="false">AY74+AY75+AY76-AY77</f>
        <v>42449.870333702</v>
      </c>
      <c r="AZ78" s="100" t="n">
        <f aca="false">AZ74+AZ75+AZ76-AZ77</f>
        <v>42454.0370003687</v>
      </c>
      <c r="BA78" s="100" t="n">
        <f aca="false">BA74+BA75+BA76-BA77</f>
        <v>42458.2036670353</v>
      </c>
      <c r="BB78" s="100" t="n">
        <f aca="false">BB74+BB75+BB76-BB77</f>
        <v>42462.370333702</v>
      </c>
      <c r="BC78" s="100" t="n">
        <f aca="false">BC74+BC75+BC76-BC77</f>
        <v>42466.5370003687</v>
      </c>
      <c r="BD78" s="100" t="n">
        <f aca="false">BD74+BD75+BD76-BD77</f>
        <v>42470.7036670353</v>
      </c>
      <c r="BE78" s="100" t="n">
        <f aca="false">BE74+BE75+BE76-BE77</f>
        <v>42474.870333702</v>
      </c>
      <c r="BF78" s="100" t="n">
        <f aca="false">BF74+BF75+BF76-BF77</f>
        <v>42479.0370003687</v>
      </c>
      <c r="BG78" s="100" t="n">
        <f aca="false">BG74+BG75+BG76-BG77</f>
        <v>42483.2036670353</v>
      </c>
      <c r="BH78" s="100" t="n">
        <f aca="false">BH74+BH75+BH76-BH77</f>
        <v>42487.370333702</v>
      </c>
      <c r="BI78" s="100" t="n">
        <f aca="false">BI74+BI75+BI76-BI77</f>
        <v>42491.5370003687</v>
      </c>
      <c r="BJ78" s="100" t="n">
        <f aca="false">BJ74+BJ75+BJ76-BJ77</f>
        <v>42495.7036670353</v>
      </c>
      <c r="BK78" s="100" t="n">
        <f aca="false">BK74+BK75+BK76-BK77</f>
        <v>40802.1532939654</v>
      </c>
      <c r="BL78" s="100" t="n">
        <f aca="false">BL74+BL75+BL76-BL77</f>
        <v>40806.3199606321</v>
      </c>
      <c r="BM78" s="100" t="n">
        <f aca="false">BM74+BM75+BM76-BM77</f>
        <v>40810.4866272988</v>
      </c>
      <c r="BN78" s="100" t="n">
        <f aca="false">BN74+BN75+BN76-BN77</f>
        <v>40814.6532939654</v>
      </c>
      <c r="BO78" s="100" t="n">
        <f aca="false">BO74+BO75+BO76-BO77</f>
        <v>40818.8199606321</v>
      </c>
      <c r="BP78" s="100" t="n">
        <f aca="false">BP74+BP75+BP76-BP77</f>
        <v>40822.9866272988</v>
      </c>
      <c r="BQ78" s="100" t="n">
        <f aca="false">BQ74+BQ75+BQ76-BQ77</f>
        <v>40827.1532939654</v>
      </c>
      <c r="BR78" s="100" t="n">
        <f aca="false">BR74+BR75+BR76-BR77</f>
        <v>40831.3199606321</v>
      </c>
      <c r="BS78" s="100" t="n">
        <f aca="false">BS74+BS75+BS76-BS77</f>
        <v>40835.4866272988</v>
      </c>
      <c r="BT78" s="100" t="n">
        <f aca="false">BT74+BT75+BT76-BT77</f>
        <v>40839.6532939654</v>
      </c>
      <c r="BU78" s="100" t="n">
        <f aca="false">BU74+BU75+BU76-BU77</f>
        <v>40843.8199606321</v>
      </c>
      <c r="BV78" s="100" t="n">
        <f aca="false">BV74+BV75+BV76-BV77</f>
        <v>40847.9866272988</v>
      </c>
      <c r="BW78" s="100" t="n">
        <f aca="false">BW74+BW75+BW76-BW77</f>
        <v>39147.1637430368</v>
      </c>
      <c r="BX78" s="100" t="n">
        <f aca="false">BX74+BX75+BX76-BX77</f>
        <v>39151.3304097034</v>
      </c>
      <c r="BY78" s="100" t="n">
        <f aca="false">BY74+BY75+BY76-BY77</f>
        <v>39155.4970763701</v>
      </c>
      <c r="BZ78" s="100" t="n">
        <f aca="false">BZ74+BZ75+BZ76-BZ77</f>
        <v>39159.6637430368</v>
      </c>
      <c r="CA78" s="100" t="n">
        <f aca="false">CA74+CA75+CA76-CA77</f>
        <v>39163.8304097034</v>
      </c>
      <c r="CB78" s="100" t="n">
        <f aca="false">CB74+CB75+CB76-CB77</f>
        <v>39167.9970763701</v>
      </c>
      <c r="CC78" s="100" t="n">
        <f aca="false">CC74+CC75+CC76-CC77</f>
        <v>39172.1637430368</v>
      </c>
      <c r="CD78" s="100" t="n">
        <f aca="false">CD74+CD75+CD76-CD77</f>
        <v>39176.3304097034</v>
      </c>
      <c r="CE78" s="100" t="n">
        <f aca="false">CE74+CE75+CE76-CE77</f>
        <v>39180.4970763701</v>
      </c>
      <c r="CF78" s="100" t="n">
        <f aca="false">CF74+CF75+CF76-CF77</f>
        <v>39184.6637430368</v>
      </c>
      <c r="CG78" s="100" t="n">
        <f aca="false">CG74+CG75+CG76-CG77</f>
        <v>39188.8304097034</v>
      </c>
      <c r="CH78" s="100" t="n">
        <f aca="false">CH74+CH75+CH76-CH77</f>
        <v>39192.9970763701</v>
      </c>
    </row>
    <row r="79" customFormat="false" ht="13.5" hidden="false" customHeight="true" outlineLevel="0" collapsed="false">
      <c r="A79" s="6" t="s">
        <v>553</v>
      </c>
      <c r="C79" s="100" t="n">
        <f aca="false">C78</f>
        <v>147790.07716802</v>
      </c>
      <c r="D79" s="100" t="n">
        <f aca="false">C86+D78</f>
        <v>117118.781387919</v>
      </c>
      <c r="E79" s="100" t="n">
        <f aca="false">D86+E78</f>
        <v>93684.7294298152</v>
      </c>
      <c r="F79" s="100" t="n">
        <f aca="false">E86+F78</f>
        <v>73094.8158319771</v>
      </c>
      <c r="G79" s="100" t="n">
        <f aca="false">F86+G78</f>
        <v>54999.0240438801</v>
      </c>
      <c r="H79" s="100" t="n">
        <f aca="false">G86+H78</f>
        <v>39994.0753359287</v>
      </c>
      <c r="I79" s="100" t="n">
        <f aca="false">H86+I78</f>
        <v>29592.6381561753</v>
      </c>
      <c r="J79" s="100" t="n">
        <f aca="false">I86+J78</f>
        <v>24424.7685628506</v>
      </c>
      <c r="K79" s="100" t="n">
        <f aca="false">J86+K78</f>
        <v>28702.2131888014</v>
      </c>
      <c r="L79" s="100" t="n">
        <f aca="false">K86+L78</f>
        <v>32996.3220261075</v>
      </c>
      <c r="M79" s="100" t="n">
        <f aca="false">L86+M78</f>
        <v>36537.534060308</v>
      </c>
      <c r="N79" s="100" t="n">
        <f aca="false">M86+N78</f>
        <v>41510.0004382928</v>
      </c>
      <c r="O79" s="100" t="n">
        <f aca="false">N86+O78</f>
        <v>51751.343057516</v>
      </c>
      <c r="P79" s="100" t="n">
        <f aca="false">O86+P78</f>
        <v>64547.2712167407</v>
      </c>
      <c r="Q79" s="100" t="n">
        <f aca="false">P86+Q78</f>
        <v>79843.6384508932</v>
      </c>
      <c r="R79" s="100" t="n">
        <f aca="false">Q86+R78</f>
        <v>97640.4447599736</v>
      </c>
      <c r="S79" s="100" t="n">
        <f aca="false">R86+S78</f>
        <v>117937.690143982</v>
      </c>
      <c r="T79" s="100" t="n">
        <f aca="false">S86+T78</f>
        <v>140735.374602918</v>
      </c>
      <c r="U79" s="100" t="n">
        <f aca="false">T86+U78</f>
        <v>164108.168576782</v>
      </c>
      <c r="V79" s="100" t="n">
        <f aca="false">U86+V78</f>
        <v>187716.308025574</v>
      </c>
      <c r="W79" s="100" t="n">
        <f aca="false">V86+W78</f>
        <v>213824.886549293</v>
      </c>
      <c r="X79" s="100" t="n">
        <f aca="false">W86+X78</f>
        <v>241756.037563768</v>
      </c>
      <c r="Y79" s="100" t="n">
        <f aca="false">X86+Y78</f>
        <v>271421.38570135</v>
      </c>
      <c r="Z79" s="100" t="n">
        <f aca="false">Y86+Z78</f>
        <v>302564.939672637</v>
      </c>
      <c r="AA79" s="100" t="n">
        <f aca="false">Z86+AA78</f>
        <v>331652.247661102</v>
      </c>
      <c r="AB79" s="100" t="n">
        <f aca="false">AA86+AB78</f>
        <v>362197.704058435</v>
      </c>
      <c r="AC79" s="100" t="n">
        <f aca="false">AB86+AC78</f>
        <v>394201.308864636</v>
      </c>
      <c r="AD79" s="100" t="n">
        <f aca="false">AC86+AD78</f>
        <v>427663.062079704</v>
      </c>
      <c r="AE79" s="100" t="n">
        <f aca="false">AD86+AE78</f>
        <v>462582.96370364</v>
      </c>
      <c r="AF79" s="100" t="n">
        <f aca="false">AE86+AF78</f>
        <v>498961.013736443</v>
      </c>
      <c r="AG79" s="100" t="n">
        <f aca="false">AF86+AG78</f>
        <v>536797.212178115</v>
      </c>
      <c r="AH79" s="100" t="n">
        <f aca="false">AG86+AH78</f>
        <v>574108.469581853</v>
      </c>
      <c r="AI79" s="100" t="n">
        <f aca="false">AH86+AI78</f>
        <v>612877.87539446</v>
      </c>
      <c r="AJ79" s="100" t="n">
        <f aca="false">AI86+AJ78</f>
        <v>653105.429615934</v>
      </c>
      <c r="AK79" s="100" t="n">
        <f aca="false">AJ86+AK78</f>
        <v>694791.132246275</v>
      </c>
      <c r="AL79" s="100" t="n">
        <f aca="false">AK86+AL78</f>
        <v>737934.983285485</v>
      </c>
      <c r="AM79" s="100" t="n">
        <f aca="false">AL86+AM78</f>
        <v>775317.664608264</v>
      </c>
      <c r="AN79" s="100" t="n">
        <f aca="false">AM86+AN78</f>
        <v>813982.235654513</v>
      </c>
      <c r="AO79" s="100" t="n">
        <f aca="false">AN86+AO78</f>
        <v>853928.696424234</v>
      </c>
      <c r="AP79" s="100" t="n">
        <f aca="false">AO86+AP78</f>
        <v>895157.046917426</v>
      </c>
      <c r="AQ79" s="100" t="n">
        <f aca="false">AP86+AQ78</f>
        <v>937667.287134088</v>
      </c>
      <c r="AR79" s="100" t="n">
        <f aca="false">AQ86+AR78</f>
        <v>981459.417074221</v>
      </c>
      <c r="AS79" s="100" t="n">
        <f aca="false">AR86+AS78</f>
        <v>1025574.94375718</v>
      </c>
      <c r="AT79" s="100" t="n">
        <f aca="false">AS86+AT78</f>
        <v>1069694.63710681</v>
      </c>
      <c r="AU79" s="100" t="n">
        <f aca="false">AT86+AU78</f>
        <v>1113818.4971231</v>
      </c>
      <c r="AV79" s="100" t="n">
        <f aca="false">AU86+AV78</f>
        <v>1157946.52380606</v>
      </c>
      <c r="AW79" s="100" t="n">
        <f aca="false">AV86+AW78</f>
        <v>1202078.71715569</v>
      </c>
      <c r="AX79" s="100" t="n">
        <f aca="false">AW86+AX78</f>
        <v>1246215.07717199</v>
      </c>
      <c r="AY79" s="100" t="n">
        <f aca="false">AX86+AY78</f>
        <v>1073638.66591277</v>
      </c>
      <c r="AZ79" s="100" t="n">
        <f aca="false">AY86+AZ78</f>
        <v>1116092.70291314</v>
      </c>
      <c r="BA79" s="100" t="n">
        <f aca="false">AZ86+BA78</f>
        <v>1158550.90658017</v>
      </c>
      <c r="BB79" s="100" t="n">
        <f aca="false">BA86+BB78</f>
        <v>1201013.27691387</v>
      </c>
      <c r="BC79" s="100" t="n">
        <f aca="false">BB86+BC78</f>
        <v>1243479.81391424</v>
      </c>
      <c r="BD79" s="100" t="n">
        <f aca="false">BC86+BD78</f>
        <v>1285950.51758128</v>
      </c>
      <c r="BE79" s="100" t="n">
        <f aca="false">BD86+BE78</f>
        <v>1328425.38791498</v>
      </c>
      <c r="BF79" s="100" t="n">
        <f aca="false">BE86+BF78</f>
        <v>1370904.42491535</v>
      </c>
      <c r="BG79" s="100" t="n">
        <f aca="false">BF86+BG78</f>
        <v>1413387.62858238</v>
      </c>
      <c r="BH79" s="100" t="n">
        <f aca="false">BG86+BH78</f>
        <v>1455874.99891609</v>
      </c>
      <c r="BI79" s="100" t="n">
        <f aca="false">BH86+BI78</f>
        <v>1498366.53591645</v>
      </c>
      <c r="BJ79" s="100" t="n">
        <f aca="false">BI86+BJ78</f>
        <v>1540862.23958349</v>
      </c>
      <c r="BK79" s="100" t="n">
        <f aca="false">BJ86+BK78</f>
        <v>1366606.62091812</v>
      </c>
      <c r="BL79" s="100" t="n">
        <f aca="false">BK86+BL78</f>
        <v>1407412.94087875</v>
      </c>
      <c r="BM79" s="100" t="n">
        <f aca="false">BL86+BM78</f>
        <v>1448223.42750605</v>
      </c>
      <c r="BN79" s="100" t="n">
        <f aca="false">BM86+BN78</f>
        <v>1489038.08080002</v>
      </c>
      <c r="BO79" s="100" t="n">
        <f aca="false">BN86+BO78</f>
        <v>1529856.90076065</v>
      </c>
      <c r="BP79" s="100" t="n">
        <f aca="false">BO86+BP78</f>
        <v>1570679.88738795</v>
      </c>
      <c r="BQ79" s="100" t="n">
        <f aca="false">BP86+BQ78</f>
        <v>1611507.04068191</v>
      </c>
      <c r="BR79" s="100" t="n">
        <f aca="false">BQ86+BR78</f>
        <v>1652338.36064255</v>
      </c>
      <c r="BS79" s="100" t="n">
        <f aca="false">BR86+BS78</f>
        <v>1693173.84726985</v>
      </c>
      <c r="BT79" s="100" t="n">
        <f aca="false">BS86+BT78</f>
        <v>1734013.50056381</v>
      </c>
      <c r="BU79" s="100" t="n">
        <f aca="false">BT86+BU78</f>
        <v>1774857.32052444</v>
      </c>
      <c r="BV79" s="100" t="n">
        <f aca="false">BU86+BV78</f>
        <v>1815705.30715174</v>
      </c>
      <c r="BW79" s="100" t="n">
        <f aca="false">BV86+BW78</f>
        <v>1647703.74072618</v>
      </c>
      <c r="BX79" s="100" t="n">
        <f aca="false">BW86+BX78</f>
        <v>1686855.07113588</v>
      </c>
      <c r="BY79" s="100" t="n">
        <f aca="false">BX86+BY78</f>
        <v>1726010.56821225</v>
      </c>
      <c r="BZ79" s="100" t="n">
        <f aca="false">BY86+BZ78</f>
        <v>1765170.23195529</v>
      </c>
      <c r="CA79" s="100" t="n">
        <f aca="false">BZ86+CA78</f>
        <v>1804334.06236499</v>
      </c>
      <c r="CB79" s="100" t="n">
        <f aca="false">CA86+CB78</f>
        <v>1843502.05944136</v>
      </c>
      <c r="CC79" s="100" t="n">
        <f aca="false">CB86+CC78</f>
        <v>1882674.2231844</v>
      </c>
      <c r="CD79" s="100" t="n">
        <f aca="false">CC86+CD78</f>
        <v>1921850.5535941</v>
      </c>
      <c r="CE79" s="100" t="n">
        <f aca="false">CD86+CE78</f>
        <v>1961031.05067047</v>
      </c>
      <c r="CF79" s="100" t="n">
        <f aca="false">CE86+CF78</f>
        <v>2000215.71441351</v>
      </c>
      <c r="CG79" s="100" t="n">
        <f aca="false">CF86+CG78</f>
        <v>2039404.54482321</v>
      </c>
      <c r="CH79" s="100" t="n">
        <f aca="false">CG86+CH78</f>
        <v>2078597.54189958</v>
      </c>
    </row>
    <row r="80" customFormat="false" ht="13.5" hidden="false" customHeight="true" outlineLevel="0" collapsed="false">
      <c r="A80" s="22" t="s">
        <v>554</v>
      </c>
      <c r="C80" s="100" t="n">
        <f aca="false">IF(C79&lt;Hipótesis!$D$72,MIN(Hipótesis!$D$70-0,Hipótesis!$D$72-C79),-MIN(0,MAX(0,C79-Hipótesis!$D$72)))</f>
        <v>-0</v>
      </c>
      <c r="D80" s="100" t="n">
        <f aca="false">IF(D79&lt;Hipótesis!$D$72,MIN(Hipótesis!$D$70-C81,Hipótesis!$D$72-D79),-MIN(C81,MAX(0,D79-Hipótesis!$D$72)))</f>
        <v>0</v>
      </c>
      <c r="E80" s="100" t="n">
        <f aca="false">IF(E79&lt;Hipótesis!$D$72,MIN(Hipótesis!$D$70-D81,Hipótesis!$D$72-E79),-MIN(D81,MAX(0,E79-Hipótesis!$D$72)))</f>
        <v>-0</v>
      </c>
      <c r="F80" s="100" t="n">
        <f aca="false">IF(F79&lt;Hipótesis!$D$72,MIN(Hipótesis!$D$70-E81,Hipótesis!$D$72-F79),-MIN(E81,MAX(0,F79-Hipótesis!$D$72)))</f>
        <v>-0</v>
      </c>
      <c r="G80" s="100" t="n">
        <f aca="false">IF(G79&lt;Hipótesis!$D$72,MIN(Hipótesis!$D$70-F81,Hipótesis!$D$72-G79),-MIN(F81,MAX(0,G79-Hipótesis!$D$72)))</f>
        <v>-0</v>
      </c>
      <c r="H80" s="100" t="n">
        <f aca="false">IF(H79&lt;Hipótesis!$D$72,MIN(Hipótesis!$D$70-G81,Hipótesis!$D$72-H79),-MIN(G81,MAX(0,H79-Hipótesis!$D$72)))</f>
        <v>-0</v>
      </c>
      <c r="I80" s="100" t="n">
        <f aca="false">IF(I79&lt;Hipótesis!$D$72,MIN(Hipótesis!$D$70-H81,Hipótesis!$D$72-I79),-MIN(H81,MAX(0,I79-Hipótesis!$D$72)))</f>
        <v>407.36184382467</v>
      </c>
      <c r="J80" s="100" t="n">
        <f aca="false">IF(J79&lt;Hipótesis!$D$72,MIN(Hipótesis!$D$70-I81,Hipótesis!$D$72-J79),-MIN(I81,MAX(0,J79-Hipótesis!$D$72)))</f>
        <v>5575.23143714945</v>
      </c>
      <c r="K80" s="100" t="n">
        <f aca="false">IF(K79&lt;Hipótesis!$D$72,MIN(Hipótesis!$D$70-J81,Hipótesis!$D$72-K79),-MIN(J81,MAX(0,K79-Hipótesis!$D$72)))</f>
        <v>1297.7868111986</v>
      </c>
      <c r="L80" s="100" t="n">
        <f aca="false">IF(L79&lt;Hipótesis!$D$72,MIN(Hipótesis!$D$70-K81,Hipótesis!$D$72-L79),-MIN(K81,MAX(0,L79-Hipótesis!$D$72)))</f>
        <v>-2996.32202610753</v>
      </c>
      <c r="M80" s="100" t="n">
        <f aca="false">IF(M79&lt;Hipótesis!$D$72,MIN(Hipótesis!$D$70-L81,Hipótesis!$D$72-M79),-MIN(L81,MAX(0,M79-Hipótesis!$D$72)))</f>
        <v>-4284.05806606519</v>
      </c>
      <c r="N80" s="100" t="n">
        <f aca="false">IF(N79&lt;Hipótesis!$D$72,MIN(Hipótesis!$D$70-M81,Hipótesis!$D$72-N79),-MIN(M81,MAX(0,N79-Hipótesis!$D$72)))</f>
        <v>-0</v>
      </c>
      <c r="O80" s="100" t="n">
        <f aca="false">IF(O79&lt;Hipótesis!$D$72,MIN(Hipótesis!$D$70-N81,Hipótesis!$D$72-O79),-MIN(N81,MAX(0,O79-Hipótesis!$D$72)))</f>
        <v>-0</v>
      </c>
      <c r="P80" s="100" t="n">
        <f aca="false">IF(P79&lt;Hipótesis!$D$72,MIN(Hipótesis!$D$70-O81,Hipótesis!$D$72-P79),-MIN(O81,MAX(0,P79-Hipótesis!$D$72)))</f>
        <v>-0</v>
      </c>
      <c r="Q80" s="100" t="n">
        <f aca="false">IF(Q79&lt;Hipótesis!$D$72,MIN(Hipótesis!$D$70-P81,Hipótesis!$D$72-Q79),-MIN(P81,MAX(0,Q79-Hipótesis!$D$72)))</f>
        <v>-0</v>
      </c>
      <c r="R80" s="100" t="n">
        <f aca="false">IF(R79&lt;Hipótesis!$D$72,MIN(Hipótesis!$D$70-Q81,Hipótesis!$D$72-R79),-MIN(Q81,MAX(0,R79-Hipótesis!$D$72)))</f>
        <v>-0</v>
      </c>
      <c r="S80" s="100" t="n">
        <f aca="false">IF(S79&lt;Hipótesis!$D$72,MIN(Hipótesis!$D$70-R81,Hipótesis!$D$72-S79),-MIN(R81,MAX(0,S79-Hipótesis!$D$72)))</f>
        <v>-0</v>
      </c>
      <c r="T80" s="100" t="n">
        <f aca="false">IF(T79&lt;Hipótesis!$D$72,MIN(Hipótesis!$D$70-S81,Hipótesis!$D$72-T79),-MIN(S81,MAX(0,T79-Hipótesis!$D$72)))</f>
        <v>-0</v>
      </c>
      <c r="U80" s="100" t="n">
        <f aca="false">IF(U79&lt;Hipótesis!$D$72,MIN(Hipótesis!$D$70-T81,Hipótesis!$D$72-U79),-MIN(T81,MAX(0,U79-Hipótesis!$D$72)))</f>
        <v>-0</v>
      </c>
      <c r="V80" s="100" t="n">
        <f aca="false">IF(V79&lt;Hipótesis!$D$72,MIN(Hipótesis!$D$70-U81,Hipótesis!$D$72-V79),-MIN(U81,MAX(0,V79-Hipótesis!$D$72)))</f>
        <v>-0</v>
      </c>
      <c r="W80" s="100" t="n">
        <f aca="false">IF(W79&lt;Hipótesis!$D$72,MIN(Hipótesis!$D$70-V81,Hipótesis!$D$72-W79),-MIN(V81,MAX(0,W79-Hipótesis!$D$72)))</f>
        <v>-0</v>
      </c>
      <c r="X80" s="100" t="n">
        <f aca="false">IF(X79&lt;Hipótesis!$D$72,MIN(Hipótesis!$D$70-W81,Hipótesis!$D$72-X79),-MIN(W81,MAX(0,X79-Hipótesis!$D$72)))</f>
        <v>-0</v>
      </c>
      <c r="Y80" s="100" t="n">
        <f aca="false">IF(Y79&lt;Hipótesis!$D$72,MIN(Hipótesis!$D$70-X81,Hipótesis!$D$72-Y79),-MIN(X81,MAX(0,Y79-Hipótesis!$D$72)))</f>
        <v>-0</v>
      </c>
      <c r="Z80" s="100" t="n">
        <f aca="false">IF(Z79&lt;Hipótesis!$D$72,MIN(Hipótesis!$D$70-Y81,Hipótesis!$D$72-Z79),-MIN(Y81,MAX(0,Z79-Hipótesis!$D$72)))</f>
        <v>-0</v>
      </c>
      <c r="AA80" s="100" t="n">
        <f aca="false">IF(AA79&lt;Hipótesis!$D$72,MIN(Hipótesis!$D$70-Z81,Hipótesis!$D$72-AA79),-MIN(Z81,MAX(0,AA79-Hipótesis!$D$72)))</f>
        <v>-0</v>
      </c>
      <c r="AB80" s="100" t="n">
        <f aca="false">IF(AB79&lt;Hipótesis!$D$72,MIN(Hipótesis!$D$70-AA81,Hipótesis!$D$72-AB79),-MIN(AA81,MAX(0,AB79-Hipótesis!$D$72)))</f>
        <v>-0</v>
      </c>
      <c r="AC80" s="100" t="n">
        <f aca="false">IF(AC79&lt;Hipótesis!$D$72,MIN(Hipótesis!$D$70-AB81,Hipótesis!$D$72-AC79),-MIN(AB81,MAX(0,AC79-Hipótesis!$D$72)))</f>
        <v>-0</v>
      </c>
      <c r="AD80" s="100" t="n">
        <f aca="false">IF(AD79&lt;Hipótesis!$D$72,MIN(Hipótesis!$D$70-AC81,Hipótesis!$D$72-AD79),-MIN(AC81,MAX(0,AD79-Hipótesis!$D$72)))</f>
        <v>-0</v>
      </c>
      <c r="AE80" s="100" t="n">
        <f aca="false">IF(AE79&lt;Hipótesis!$D$72,MIN(Hipótesis!$D$70-AD81,Hipótesis!$D$72-AE79),-MIN(AD81,MAX(0,AE79-Hipótesis!$D$72)))</f>
        <v>-0</v>
      </c>
      <c r="AF80" s="100" t="n">
        <f aca="false">IF(AF79&lt;Hipótesis!$D$72,MIN(Hipótesis!$D$70-AE81,Hipótesis!$D$72-AF79),-MIN(AE81,MAX(0,AF79-Hipótesis!$D$72)))</f>
        <v>-0</v>
      </c>
      <c r="AG80" s="100" t="n">
        <f aca="false">IF(AG79&lt;Hipótesis!$D$72,MIN(Hipótesis!$D$70-AF81,Hipótesis!$D$72-AG79),-MIN(AF81,MAX(0,AG79-Hipótesis!$D$72)))</f>
        <v>-0</v>
      </c>
      <c r="AH80" s="100" t="n">
        <f aca="false">IF(AH79&lt;Hipótesis!$D$72,MIN(Hipótesis!$D$70-AG81,Hipótesis!$D$72-AH79),-MIN(AG81,MAX(0,AH79-Hipótesis!$D$72)))</f>
        <v>-0</v>
      </c>
      <c r="AI80" s="100" t="n">
        <f aca="false">IF(AI79&lt;Hipótesis!$D$72,MIN(Hipótesis!$D$70-AH81,Hipótesis!$D$72-AI79),-MIN(AH81,MAX(0,AI79-Hipótesis!$D$72)))</f>
        <v>-0</v>
      </c>
      <c r="AJ80" s="100" t="n">
        <f aca="false">IF(AJ79&lt;Hipótesis!$D$72,MIN(Hipótesis!$D$70-AI81,Hipótesis!$D$72-AJ79),-MIN(AI81,MAX(0,AJ79-Hipótesis!$D$72)))</f>
        <v>-0</v>
      </c>
      <c r="AK80" s="100" t="n">
        <f aca="false">IF(AK79&lt;Hipótesis!$D$72,MIN(Hipótesis!$D$70-AJ81,Hipótesis!$D$72-AK79),-MIN(AJ81,MAX(0,AK79-Hipótesis!$D$72)))</f>
        <v>-0</v>
      </c>
      <c r="AL80" s="100" t="n">
        <f aca="false">IF(AL79&lt;Hipótesis!$D$72,MIN(Hipótesis!$D$70-AK81,Hipótesis!$D$72-AL79),-MIN(AK81,MAX(0,AL79-Hipótesis!$D$72)))</f>
        <v>-0</v>
      </c>
      <c r="AM80" s="100" t="n">
        <f aca="false">IF(AM79&lt;Hipótesis!$D$72,MIN(Hipótesis!$D$70-AL81,Hipótesis!$D$72-AM79),-MIN(AL81,MAX(0,AM79-Hipótesis!$D$72)))</f>
        <v>-0</v>
      </c>
      <c r="AN80" s="100" t="n">
        <f aca="false">IF(AN79&lt;Hipótesis!$D$72,MIN(Hipótesis!$D$70-AM81,Hipótesis!$D$72-AN79),-MIN(AM81,MAX(0,AN79-Hipótesis!$D$72)))</f>
        <v>-0</v>
      </c>
      <c r="AO80" s="100" t="n">
        <f aca="false">IF(AO79&lt;Hipótesis!$D$72,MIN(Hipótesis!$D$70-AN81,Hipótesis!$D$72-AO79),-MIN(AN81,MAX(0,AO79-Hipótesis!$D$72)))</f>
        <v>-0</v>
      </c>
      <c r="AP80" s="100" t="n">
        <f aca="false">IF(AP79&lt;Hipótesis!$D$72,MIN(Hipótesis!$D$70-AO81,Hipótesis!$D$72-AP79),-MIN(AO81,MAX(0,AP79-Hipótesis!$D$72)))</f>
        <v>-0</v>
      </c>
      <c r="AQ80" s="100" t="n">
        <f aca="false">IF(AQ79&lt;Hipótesis!$D$72,MIN(Hipótesis!$D$70-AP81,Hipótesis!$D$72-AQ79),-MIN(AP81,MAX(0,AQ79-Hipótesis!$D$72)))</f>
        <v>-0</v>
      </c>
      <c r="AR80" s="100" t="n">
        <f aca="false">IF(AR79&lt;Hipótesis!$D$72,MIN(Hipótesis!$D$70-AQ81,Hipótesis!$D$72-AR79),-MIN(AQ81,MAX(0,AR79-Hipótesis!$D$72)))</f>
        <v>-0</v>
      </c>
      <c r="AS80" s="100" t="n">
        <f aca="false">IF(AS79&lt;Hipótesis!$D$72,MIN(Hipótesis!$D$70-AR81,Hipótesis!$D$72-AS79),-MIN(AR81,MAX(0,AS79-Hipótesis!$D$72)))</f>
        <v>-0</v>
      </c>
      <c r="AT80" s="100" t="n">
        <f aca="false">IF(AT79&lt;Hipótesis!$D$72,MIN(Hipótesis!$D$70-AS81,Hipótesis!$D$72-AT79),-MIN(AS81,MAX(0,AT79-Hipótesis!$D$72)))</f>
        <v>-0</v>
      </c>
      <c r="AU80" s="100" t="n">
        <f aca="false">IF(AU79&lt;Hipótesis!$D$72,MIN(Hipótesis!$D$70-AT81,Hipótesis!$D$72-AU79),-MIN(AT81,MAX(0,AU79-Hipótesis!$D$72)))</f>
        <v>-0</v>
      </c>
      <c r="AV80" s="100" t="n">
        <f aca="false">IF(AV79&lt;Hipótesis!$D$72,MIN(Hipótesis!$D$70-AU81,Hipótesis!$D$72-AV79),-MIN(AU81,MAX(0,AV79-Hipótesis!$D$72)))</f>
        <v>-0</v>
      </c>
      <c r="AW80" s="100" t="n">
        <f aca="false">IF(AW79&lt;Hipótesis!$D$72,MIN(Hipótesis!$D$70-AV81,Hipótesis!$D$72-AW79),-MIN(AV81,MAX(0,AW79-Hipótesis!$D$72)))</f>
        <v>-0</v>
      </c>
      <c r="AX80" s="100" t="n">
        <f aca="false">IF(AX79&lt;Hipótesis!$D$72,MIN(Hipótesis!$D$70-AW81,Hipótesis!$D$72-AX79),-MIN(AW81,MAX(0,AX79-Hipótesis!$D$72)))</f>
        <v>-0</v>
      </c>
      <c r="AY80" s="100" t="n">
        <f aca="false">IF(AY79&lt;Hipótesis!$D$72,MIN(Hipótesis!$D$70-AX81,Hipótesis!$D$72-AY79),-MIN(AX81,MAX(0,AY79-Hipótesis!$D$72)))</f>
        <v>-0</v>
      </c>
      <c r="AZ80" s="100" t="n">
        <f aca="false">IF(AZ79&lt;Hipótesis!$D$72,MIN(Hipótesis!$D$70-AY81,Hipótesis!$D$72-AZ79),-MIN(AY81,MAX(0,AZ79-Hipótesis!$D$72)))</f>
        <v>-0</v>
      </c>
      <c r="BA80" s="100" t="n">
        <f aca="false">IF(BA79&lt;Hipótesis!$D$72,MIN(Hipótesis!$D$70-AZ81,Hipótesis!$D$72-BA79),-MIN(AZ81,MAX(0,BA79-Hipótesis!$D$72)))</f>
        <v>-0</v>
      </c>
      <c r="BB80" s="100" t="n">
        <f aca="false">IF(BB79&lt;Hipótesis!$D$72,MIN(Hipótesis!$D$70-BA81,Hipótesis!$D$72-BB79),-MIN(BA81,MAX(0,BB79-Hipótesis!$D$72)))</f>
        <v>-0</v>
      </c>
      <c r="BC80" s="100" t="n">
        <f aca="false">IF(BC79&lt;Hipótesis!$D$72,MIN(Hipótesis!$D$70-BB81,Hipótesis!$D$72-BC79),-MIN(BB81,MAX(0,BC79-Hipótesis!$D$72)))</f>
        <v>-0</v>
      </c>
      <c r="BD80" s="100" t="n">
        <f aca="false">IF(BD79&lt;Hipótesis!$D$72,MIN(Hipótesis!$D$70-BC81,Hipótesis!$D$72-BD79),-MIN(BC81,MAX(0,BD79-Hipótesis!$D$72)))</f>
        <v>-0</v>
      </c>
      <c r="BE80" s="100" t="n">
        <f aca="false">IF(BE79&lt;Hipótesis!$D$72,MIN(Hipótesis!$D$70-BD81,Hipótesis!$D$72-BE79),-MIN(BD81,MAX(0,BE79-Hipótesis!$D$72)))</f>
        <v>-0</v>
      </c>
      <c r="BF80" s="100" t="n">
        <f aca="false">IF(BF79&lt;Hipótesis!$D$72,MIN(Hipótesis!$D$70-BE81,Hipótesis!$D$72-BF79),-MIN(BE81,MAX(0,BF79-Hipótesis!$D$72)))</f>
        <v>-0</v>
      </c>
      <c r="BG80" s="100" t="n">
        <f aca="false">IF(BG79&lt;Hipótesis!$D$72,MIN(Hipótesis!$D$70-BF81,Hipótesis!$D$72-BG79),-MIN(BF81,MAX(0,BG79-Hipótesis!$D$72)))</f>
        <v>-0</v>
      </c>
      <c r="BH80" s="100" t="n">
        <f aca="false">IF(BH79&lt;Hipótesis!$D$72,MIN(Hipótesis!$D$70-BG81,Hipótesis!$D$72-BH79),-MIN(BG81,MAX(0,BH79-Hipótesis!$D$72)))</f>
        <v>-0</v>
      </c>
      <c r="BI80" s="100" t="n">
        <f aca="false">IF(BI79&lt;Hipótesis!$D$72,MIN(Hipótesis!$D$70-BH81,Hipótesis!$D$72-BI79),-MIN(BH81,MAX(0,BI79-Hipótesis!$D$72)))</f>
        <v>-0</v>
      </c>
      <c r="BJ80" s="100" t="n">
        <f aca="false">IF(BJ79&lt;Hipótesis!$D$72,MIN(Hipótesis!$D$70-BI81,Hipótesis!$D$72-BJ79),-MIN(BI81,MAX(0,BJ79-Hipótesis!$D$72)))</f>
        <v>-0</v>
      </c>
      <c r="BK80" s="100" t="n">
        <f aca="false">IF(BK79&lt;Hipótesis!$D$72,MIN(Hipótesis!$D$70-BJ81,Hipótesis!$D$72-BK79),-MIN(BJ81,MAX(0,BK79-Hipótesis!$D$72)))</f>
        <v>-0</v>
      </c>
      <c r="BL80" s="100" t="n">
        <f aca="false">IF(BL79&lt;Hipótesis!$D$72,MIN(Hipótesis!$D$70-BK81,Hipótesis!$D$72-BL79),-MIN(BK81,MAX(0,BL79-Hipótesis!$D$72)))</f>
        <v>-0</v>
      </c>
      <c r="BM80" s="100" t="n">
        <f aca="false">IF(BM79&lt;Hipótesis!$D$72,MIN(Hipótesis!$D$70-BL81,Hipótesis!$D$72-BM79),-MIN(BL81,MAX(0,BM79-Hipótesis!$D$72)))</f>
        <v>-0</v>
      </c>
      <c r="BN80" s="100" t="n">
        <f aca="false">IF(BN79&lt;Hipótesis!$D$72,MIN(Hipótesis!$D$70-BM81,Hipótesis!$D$72-BN79),-MIN(BM81,MAX(0,BN79-Hipótesis!$D$72)))</f>
        <v>-0</v>
      </c>
      <c r="BO80" s="100" t="n">
        <f aca="false">IF(BO79&lt;Hipótesis!$D$72,MIN(Hipótesis!$D$70-BN81,Hipótesis!$D$72-BO79),-MIN(BN81,MAX(0,BO79-Hipótesis!$D$72)))</f>
        <v>-0</v>
      </c>
      <c r="BP80" s="100" t="n">
        <f aca="false">IF(BP79&lt;Hipótesis!$D$72,MIN(Hipótesis!$D$70-BO81,Hipótesis!$D$72-BP79),-MIN(BO81,MAX(0,BP79-Hipótesis!$D$72)))</f>
        <v>-0</v>
      </c>
      <c r="BQ80" s="100" t="n">
        <f aca="false">IF(BQ79&lt;Hipótesis!$D$72,MIN(Hipótesis!$D$70-BP81,Hipótesis!$D$72-BQ79),-MIN(BP81,MAX(0,BQ79-Hipótesis!$D$72)))</f>
        <v>-0</v>
      </c>
      <c r="BR80" s="100" t="n">
        <f aca="false">IF(BR79&lt;Hipótesis!$D$72,MIN(Hipótesis!$D$70-BQ81,Hipótesis!$D$72-BR79),-MIN(BQ81,MAX(0,BR79-Hipótesis!$D$72)))</f>
        <v>-0</v>
      </c>
      <c r="BS80" s="100" t="n">
        <f aca="false">IF(BS79&lt;Hipótesis!$D$72,MIN(Hipótesis!$D$70-BR81,Hipótesis!$D$72-BS79),-MIN(BR81,MAX(0,BS79-Hipótesis!$D$72)))</f>
        <v>-0</v>
      </c>
      <c r="BT80" s="100" t="n">
        <f aca="false">IF(BT79&lt;Hipótesis!$D$72,MIN(Hipótesis!$D$70-BS81,Hipótesis!$D$72-BT79),-MIN(BS81,MAX(0,BT79-Hipótesis!$D$72)))</f>
        <v>-0</v>
      </c>
      <c r="BU80" s="100" t="n">
        <f aca="false">IF(BU79&lt;Hipótesis!$D$72,MIN(Hipótesis!$D$70-BT81,Hipótesis!$D$72-BU79),-MIN(BT81,MAX(0,BU79-Hipótesis!$D$72)))</f>
        <v>-0</v>
      </c>
      <c r="BV80" s="100" t="n">
        <f aca="false">IF(BV79&lt;Hipótesis!$D$72,MIN(Hipótesis!$D$70-BU81,Hipótesis!$D$72-BV79),-MIN(BU81,MAX(0,BV79-Hipótesis!$D$72)))</f>
        <v>-0</v>
      </c>
      <c r="BW80" s="100" t="n">
        <f aca="false">IF(BW79&lt;Hipótesis!$D$72,MIN(Hipótesis!$D$70-BV81,Hipótesis!$D$72-BW79),-MIN(BV81,MAX(0,BW79-Hipótesis!$D$72)))</f>
        <v>-0</v>
      </c>
      <c r="BX80" s="100" t="n">
        <f aca="false">IF(BX79&lt;Hipótesis!$D$72,MIN(Hipótesis!$D$70-BW81,Hipótesis!$D$72-BX79),-MIN(BW81,MAX(0,BX79-Hipótesis!$D$72)))</f>
        <v>-0</v>
      </c>
      <c r="BY80" s="100" t="n">
        <f aca="false">IF(BY79&lt;Hipótesis!$D$72,MIN(Hipótesis!$D$70-BX81,Hipótesis!$D$72-BY79),-MIN(BX81,MAX(0,BY79-Hipótesis!$D$72)))</f>
        <v>-0</v>
      </c>
      <c r="BZ80" s="100" t="n">
        <f aca="false">IF(BZ79&lt;Hipótesis!$D$72,MIN(Hipótesis!$D$70-BY81,Hipótesis!$D$72-BZ79),-MIN(BY81,MAX(0,BZ79-Hipótesis!$D$72)))</f>
        <v>-0</v>
      </c>
      <c r="CA80" s="100" t="n">
        <f aca="false">IF(CA79&lt;Hipótesis!$D$72,MIN(Hipótesis!$D$70-BZ81,Hipótesis!$D$72-CA79),-MIN(BZ81,MAX(0,CA79-Hipótesis!$D$72)))</f>
        <v>-0</v>
      </c>
      <c r="CB80" s="100" t="n">
        <f aca="false">IF(CB79&lt;Hipótesis!$D$72,MIN(Hipótesis!$D$70-CA81,Hipótesis!$D$72-CB79),-MIN(CA81,MAX(0,CB79-Hipótesis!$D$72)))</f>
        <v>-0</v>
      </c>
      <c r="CC80" s="100" t="n">
        <f aca="false">IF(CC79&lt;Hipótesis!$D$72,MIN(Hipótesis!$D$70-CB81,Hipótesis!$D$72-CC79),-MIN(CB81,MAX(0,CC79-Hipótesis!$D$72)))</f>
        <v>-0</v>
      </c>
      <c r="CD80" s="100" t="n">
        <f aca="false">IF(CD79&lt;Hipótesis!$D$72,MIN(Hipótesis!$D$70-CC81,Hipótesis!$D$72-CD79),-MIN(CC81,MAX(0,CD79-Hipótesis!$D$72)))</f>
        <v>-0</v>
      </c>
      <c r="CE80" s="100" t="n">
        <f aca="false">IF(CE79&lt;Hipótesis!$D$72,MIN(Hipótesis!$D$70-CD81,Hipótesis!$D$72-CE79),-MIN(CD81,MAX(0,CE79-Hipótesis!$D$72)))</f>
        <v>-0</v>
      </c>
      <c r="CF80" s="100" t="n">
        <f aca="false">IF(CF79&lt;Hipótesis!$D$72,MIN(Hipótesis!$D$70-CE81,Hipótesis!$D$72-CF79),-MIN(CE81,MAX(0,CF79-Hipótesis!$D$72)))</f>
        <v>-0</v>
      </c>
      <c r="CG80" s="100" t="n">
        <f aca="false">IF(CG79&lt;Hipótesis!$D$72,MIN(Hipótesis!$D$70-CF81,Hipótesis!$D$72-CG79),-MIN(CF81,MAX(0,CG79-Hipótesis!$D$72)))</f>
        <v>-0</v>
      </c>
      <c r="CH80" s="100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46" t="s">
        <v>555</v>
      </c>
      <c r="C81" s="63" t="n">
        <f aca="false">C80</f>
        <v>-0</v>
      </c>
      <c r="D81" s="63" t="n">
        <f aca="false">C81+D80</f>
        <v>0</v>
      </c>
      <c r="E81" s="63" t="n">
        <f aca="false">D81+E80</f>
        <v>0</v>
      </c>
      <c r="F81" s="63" t="n">
        <f aca="false">E81+F80</f>
        <v>0</v>
      </c>
      <c r="G81" s="63" t="n">
        <f aca="false">F81+G80</f>
        <v>0</v>
      </c>
      <c r="H81" s="63" t="n">
        <f aca="false">G81+H80</f>
        <v>0</v>
      </c>
      <c r="I81" s="63" t="n">
        <f aca="false">H81+I80</f>
        <v>407.36184382467</v>
      </c>
      <c r="J81" s="63" t="n">
        <f aca="false">I81+J80</f>
        <v>5982.59328097412</v>
      </c>
      <c r="K81" s="63" t="n">
        <f aca="false">J81+K80</f>
        <v>7280.38009217271</v>
      </c>
      <c r="L81" s="63" t="n">
        <f aca="false">K81+L80</f>
        <v>4284.05806606519</v>
      </c>
      <c r="M81" s="63" t="n">
        <f aca="false">L81+M80</f>
        <v>0</v>
      </c>
      <c r="N81" s="63" t="n">
        <f aca="false">M81+N80</f>
        <v>0</v>
      </c>
      <c r="O81" s="63" t="n">
        <f aca="false">N81+O80</f>
        <v>0</v>
      </c>
      <c r="P81" s="63" t="n">
        <f aca="false">O81+P80</f>
        <v>0</v>
      </c>
      <c r="Q81" s="63" t="n">
        <f aca="false">P81+Q80</f>
        <v>0</v>
      </c>
      <c r="R81" s="63" t="n">
        <f aca="false">Q81+R80</f>
        <v>0</v>
      </c>
      <c r="S81" s="63" t="n">
        <f aca="false">R81+S80</f>
        <v>0</v>
      </c>
      <c r="T81" s="63" t="n">
        <f aca="false">S81+T80</f>
        <v>0</v>
      </c>
      <c r="U81" s="63" t="n">
        <f aca="false">T81+U80</f>
        <v>0</v>
      </c>
      <c r="V81" s="63" t="n">
        <f aca="false">U81+V80</f>
        <v>0</v>
      </c>
      <c r="W81" s="63" t="n">
        <f aca="false">V81+W80</f>
        <v>0</v>
      </c>
      <c r="X81" s="63" t="n">
        <f aca="false">W81+X80</f>
        <v>0</v>
      </c>
      <c r="Y81" s="63" t="n">
        <f aca="false">X81+Y80</f>
        <v>0</v>
      </c>
      <c r="Z81" s="63" t="n">
        <f aca="false">Y81+Z80</f>
        <v>0</v>
      </c>
      <c r="AA81" s="63" t="n">
        <f aca="false">Z81+AA80</f>
        <v>0</v>
      </c>
      <c r="AB81" s="63" t="n">
        <f aca="false">AA81+AB80</f>
        <v>0</v>
      </c>
      <c r="AC81" s="63" t="n">
        <f aca="false">AB81+AC80</f>
        <v>0</v>
      </c>
      <c r="AD81" s="63" t="n">
        <f aca="false">AC81+AD80</f>
        <v>0</v>
      </c>
      <c r="AE81" s="63" t="n">
        <f aca="false">AD81+AE80</f>
        <v>0</v>
      </c>
      <c r="AF81" s="63" t="n">
        <f aca="false">AE81+AF80</f>
        <v>0</v>
      </c>
      <c r="AG81" s="63" t="n">
        <f aca="false">AF81+AG80</f>
        <v>0</v>
      </c>
      <c r="AH81" s="63" t="n">
        <f aca="false">AG81+AH80</f>
        <v>0</v>
      </c>
      <c r="AI81" s="63" t="n">
        <f aca="false">AH81+AI80</f>
        <v>0</v>
      </c>
      <c r="AJ81" s="63" t="n">
        <f aca="false">AI81+AJ80</f>
        <v>0</v>
      </c>
      <c r="AK81" s="63" t="n">
        <f aca="false">AJ81+AK80</f>
        <v>0</v>
      </c>
      <c r="AL81" s="63" t="n">
        <f aca="false">AK81+AL80</f>
        <v>0</v>
      </c>
      <c r="AM81" s="63" t="n">
        <f aca="false">AL81+AM80</f>
        <v>0</v>
      </c>
      <c r="AN81" s="63" t="n">
        <f aca="false">AM81+AN80</f>
        <v>0</v>
      </c>
      <c r="AO81" s="63" t="n">
        <f aca="false">AN81+AO80</f>
        <v>0</v>
      </c>
      <c r="AP81" s="63" t="n">
        <f aca="false">AO81+AP80</f>
        <v>0</v>
      </c>
      <c r="AQ81" s="63" t="n">
        <f aca="false">AP81+AQ80</f>
        <v>0</v>
      </c>
      <c r="AR81" s="63" t="n">
        <f aca="false">AQ81+AR80</f>
        <v>0</v>
      </c>
      <c r="AS81" s="63" t="n">
        <f aca="false">AR81+AS80</f>
        <v>0</v>
      </c>
      <c r="AT81" s="63" t="n">
        <f aca="false">AS81+AT80</f>
        <v>0</v>
      </c>
      <c r="AU81" s="63" t="n">
        <f aca="false">AT81+AU80</f>
        <v>0</v>
      </c>
      <c r="AV81" s="63" t="n">
        <f aca="false">AU81+AV80</f>
        <v>0</v>
      </c>
      <c r="AW81" s="63" t="n">
        <f aca="false">AV81+AW80</f>
        <v>0</v>
      </c>
      <c r="AX81" s="63" t="n">
        <f aca="false">AW81+AX80</f>
        <v>0</v>
      </c>
      <c r="AY81" s="63" t="n">
        <f aca="false">AX81+AY80</f>
        <v>0</v>
      </c>
      <c r="AZ81" s="63" t="n">
        <f aca="false">AY81+AZ80</f>
        <v>0</v>
      </c>
      <c r="BA81" s="63" t="n">
        <f aca="false">AZ81+BA80</f>
        <v>0</v>
      </c>
      <c r="BB81" s="63" t="n">
        <f aca="false">BA81+BB80</f>
        <v>0</v>
      </c>
      <c r="BC81" s="63" t="n">
        <f aca="false">BB81+BC80</f>
        <v>0</v>
      </c>
      <c r="BD81" s="63" t="n">
        <f aca="false">BC81+BD80</f>
        <v>0</v>
      </c>
      <c r="BE81" s="63" t="n">
        <f aca="false">BD81+BE80</f>
        <v>0</v>
      </c>
      <c r="BF81" s="63" t="n">
        <f aca="false">BE81+BF80</f>
        <v>0</v>
      </c>
      <c r="BG81" s="63" t="n">
        <f aca="false">BF81+BG80</f>
        <v>0</v>
      </c>
      <c r="BH81" s="63" t="n">
        <f aca="false">BG81+BH80</f>
        <v>0</v>
      </c>
      <c r="BI81" s="63" t="n">
        <f aca="false">BH81+BI80</f>
        <v>0</v>
      </c>
      <c r="BJ81" s="63" t="n">
        <f aca="false">BI81+BJ80</f>
        <v>0</v>
      </c>
      <c r="BK81" s="63" t="n">
        <f aca="false">BJ81+BK80</f>
        <v>0</v>
      </c>
      <c r="BL81" s="63" t="n">
        <f aca="false">BK81+BL80</f>
        <v>0</v>
      </c>
      <c r="BM81" s="63" t="n">
        <f aca="false">BL81+BM80</f>
        <v>0</v>
      </c>
      <c r="BN81" s="63" t="n">
        <f aca="false">BM81+BN80</f>
        <v>0</v>
      </c>
      <c r="BO81" s="63" t="n">
        <f aca="false">BN81+BO80</f>
        <v>0</v>
      </c>
      <c r="BP81" s="63" t="n">
        <f aca="false">BO81+BP80</f>
        <v>0</v>
      </c>
      <c r="BQ81" s="63" t="n">
        <f aca="false">BP81+BQ80</f>
        <v>0</v>
      </c>
      <c r="BR81" s="63" t="n">
        <f aca="false">BQ81+BR80</f>
        <v>0</v>
      </c>
      <c r="BS81" s="63" t="n">
        <f aca="false">BR81+BS80</f>
        <v>0</v>
      </c>
      <c r="BT81" s="63" t="n">
        <f aca="false">BS81+BT80</f>
        <v>0</v>
      </c>
      <c r="BU81" s="63" t="n">
        <f aca="false">BT81+BU80</f>
        <v>0</v>
      </c>
      <c r="BV81" s="63" t="n">
        <f aca="false">BU81+BV80</f>
        <v>0</v>
      </c>
      <c r="BW81" s="63" t="n">
        <f aca="false">BV81+BW80</f>
        <v>0</v>
      </c>
      <c r="BX81" s="63" t="n">
        <f aca="false">BW81+BX80</f>
        <v>0</v>
      </c>
      <c r="BY81" s="63" t="n">
        <f aca="false">BX81+BY80</f>
        <v>0</v>
      </c>
      <c r="BZ81" s="63" t="n">
        <f aca="false">BY81+BZ80</f>
        <v>0</v>
      </c>
      <c r="CA81" s="63" t="n">
        <f aca="false">BZ81+CA80</f>
        <v>0</v>
      </c>
      <c r="CB81" s="63" t="n">
        <f aca="false">CA81+CB80</f>
        <v>0</v>
      </c>
      <c r="CC81" s="63" t="n">
        <f aca="false">CB81+CC80</f>
        <v>0</v>
      </c>
      <c r="CD81" s="63" t="n">
        <f aca="false">CC81+CD80</f>
        <v>0</v>
      </c>
      <c r="CE81" s="63" t="n">
        <f aca="false">CD81+CE80</f>
        <v>0</v>
      </c>
      <c r="CF81" s="63" t="n">
        <f aca="false">CE81+CF80</f>
        <v>0</v>
      </c>
      <c r="CG81" s="63" t="n">
        <f aca="false">CF81+CG80</f>
        <v>0</v>
      </c>
      <c r="CH81" s="63" t="n">
        <f aca="false">CG81+CH80</f>
        <v>0</v>
      </c>
    </row>
    <row r="82" customFormat="false" ht="13.5" hidden="false" customHeight="true" outlineLevel="0" collapsed="false">
      <c r="A82" s="6" t="s">
        <v>556</v>
      </c>
      <c r="C82" s="100" t="n">
        <f aca="false">C79+C80</f>
        <v>147790.07716802</v>
      </c>
      <c r="D82" s="100" t="n">
        <f aca="false">D79+D80</f>
        <v>117118.781387919</v>
      </c>
      <c r="E82" s="100" t="n">
        <f aca="false">E79+E80</f>
        <v>93684.7294298152</v>
      </c>
      <c r="F82" s="100" t="n">
        <f aca="false">F79+F80</f>
        <v>73094.8158319771</v>
      </c>
      <c r="G82" s="100" t="n">
        <f aca="false">G79+G80</f>
        <v>54999.0240438801</v>
      </c>
      <c r="H82" s="100" t="n">
        <f aca="false">H79+H80</f>
        <v>39994.0753359287</v>
      </c>
      <c r="I82" s="100" t="n">
        <f aca="false">I79+I80</f>
        <v>30000</v>
      </c>
      <c r="J82" s="100" t="n">
        <f aca="false">J79+J80</f>
        <v>30000</v>
      </c>
      <c r="K82" s="100" t="n">
        <f aca="false">K79+K80</f>
        <v>30000</v>
      </c>
      <c r="L82" s="100" t="n">
        <f aca="false">L79+L80</f>
        <v>30000</v>
      </c>
      <c r="M82" s="100" t="n">
        <f aca="false">M79+M80</f>
        <v>32253.4759942428</v>
      </c>
      <c r="N82" s="100" t="n">
        <f aca="false">N79+N80</f>
        <v>41510.0004382928</v>
      </c>
      <c r="O82" s="100" t="n">
        <f aca="false">O79+O80</f>
        <v>51751.343057516</v>
      </c>
      <c r="P82" s="100" t="n">
        <f aca="false">P79+P80</f>
        <v>64547.2712167407</v>
      </c>
      <c r="Q82" s="100" t="n">
        <f aca="false">Q79+Q80</f>
        <v>79843.6384508932</v>
      </c>
      <c r="R82" s="100" t="n">
        <f aca="false">R79+R80</f>
        <v>97640.4447599736</v>
      </c>
      <c r="S82" s="100" t="n">
        <f aca="false">S79+S80</f>
        <v>117937.690143982</v>
      </c>
      <c r="T82" s="100" t="n">
        <f aca="false">T79+T80</f>
        <v>140735.374602918</v>
      </c>
      <c r="U82" s="100" t="n">
        <f aca="false">U79+U80</f>
        <v>164108.168576782</v>
      </c>
      <c r="V82" s="100" t="n">
        <f aca="false">V79+V80</f>
        <v>187716.308025574</v>
      </c>
      <c r="W82" s="100" t="n">
        <f aca="false">W79+W80</f>
        <v>213824.886549293</v>
      </c>
      <c r="X82" s="100" t="n">
        <f aca="false">X79+X80</f>
        <v>241756.037563768</v>
      </c>
      <c r="Y82" s="100" t="n">
        <f aca="false">Y79+Y80</f>
        <v>271421.38570135</v>
      </c>
      <c r="Z82" s="100" t="n">
        <f aca="false">Z79+Z80</f>
        <v>302564.939672637</v>
      </c>
      <c r="AA82" s="100" t="n">
        <f aca="false">AA79+AA80</f>
        <v>331652.247661102</v>
      </c>
      <c r="AB82" s="100" t="n">
        <f aca="false">AB79+AB80</f>
        <v>362197.704058435</v>
      </c>
      <c r="AC82" s="100" t="n">
        <f aca="false">AC79+AC80</f>
        <v>394201.308864636</v>
      </c>
      <c r="AD82" s="100" t="n">
        <f aca="false">AD79+AD80</f>
        <v>427663.062079704</v>
      </c>
      <c r="AE82" s="100" t="n">
        <f aca="false">AE79+AE80</f>
        <v>462582.96370364</v>
      </c>
      <c r="AF82" s="100" t="n">
        <f aca="false">AF79+AF80</f>
        <v>498961.013736443</v>
      </c>
      <c r="AG82" s="100" t="n">
        <f aca="false">AG79+AG80</f>
        <v>536797.212178115</v>
      </c>
      <c r="AH82" s="100" t="n">
        <f aca="false">AH79+AH80</f>
        <v>574108.469581853</v>
      </c>
      <c r="AI82" s="100" t="n">
        <f aca="false">AI79+AI80</f>
        <v>612877.87539446</v>
      </c>
      <c r="AJ82" s="100" t="n">
        <f aca="false">AJ79+AJ80</f>
        <v>653105.429615934</v>
      </c>
      <c r="AK82" s="100" t="n">
        <f aca="false">AK79+AK80</f>
        <v>694791.132246275</v>
      </c>
      <c r="AL82" s="100" t="n">
        <f aca="false">AL79+AL80</f>
        <v>737934.983285485</v>
      </c>
      <c r="AM82" s="100" t="n">
        <f aca="false">AM79+AM80</f>
        <v>775317.664608264</v>
      </c>
      <c r="AN82" s="100" t="n">
        <f aca="false">AN79+AN80</f>
        <v>813982.235654513</v>
      </c>
      <c r="AO82" s="100" t="n">
        <f aca="false">AO79+AO80</f>
        <v>853928.696424234</v>
      </c>
      <c r="AP82" s="100" t="n">
        <f aca="false">AP79+AP80</f>
        <v>895157.046917426</v>
      </c>
      <c r="AQ82" s="100" t="n">
        <f aca="false">AQ79+AQ80</f>
        <v>937667.287134088</v>
      </c>
      <c r="AR82" s="100" t="n">
        <f aca="false">AR79+AR80</f>
        <v>981459.417074221</v>
      </c>
      <c r="AS82" s="100" t="n">
        <f aca="false">AS79+AS80</f>
        <v>1025574.94375718</v>
      </c>
      <c r="AT82" s="100" t="n">
        <f aca="false">AT79+AT80</f>
        <v>1069694.63710681</v>
      </c>
      <c r="AU82" s="100" t="n">
        <f aca="false">AU79+AU80</f>
        <v>1113818.4971231</v>
      </c>
      <c r="AV82" s="100" t="n">
        <f aca="false">AV79+AV80</f>
        <v>1157946.52380606</v>
      </c>
      <c r="AW82" s="100" t="n">
        <f aca="false">AW79+AW80</f>
        <v>1202078.71715569</v>
      </c>
      <c r="AX82" s="100" t="n">
        <f aca="false">AX79+AX80</f>
        <v>1246215.07717199</v>
      </c>
      <c r="AY82" s="100" t="n">
        <f aca="false">AY79+AY80</f>
        <v>1073638.66591277</v>
      </c>
      <c r="AZ82" s="100" t="n">
        <f aca="false">AZ79+AZ80</f>
        <v>1116092.70291314</v>
      </c>
      <c r="BA82" s="100" t="n">
        <f aca="false">BA79+BA80</f>
        <v>1158550.90658017</v>
      </c>
      <c r="BB82" s="100" t="n">
        <f aca="false">BB79+BB80</f>
        <v>1201013.27691387</v>
      </c>
      <c r="BC82" s="100" t="n">
        <f aca="false">BC79+BC80</f>
        <v>1243479.81391424</v>
      </c>
      <c r="BD82" s="100" t="n">
        <f aca="false">BD79+BD80</f>
        <v>1285950.51758128</v>
      </c>
      <c r="BE82" s="100" t="n">
        <f aca="false">BE79+BE80</f>
        <v>1328425.38791498</v>
      </c>
      <c r="BF82" s="100" t="n">
        <f aca="false">BF79+BF80</f>
        <v>1370904.42491535</v>
      </c>
      <c r="BG82" s="100" t="n">
        <f aca="false">BG79+BG80</f>
        <v>1413387.62858238</v>
      </c>
      <c r="BH82" s="100" t="n">
        <f aca="false">BH79+BH80</f>
        <v>1455874.99891609</v>
      </c>
      <c r="BI82" s="100" t="n">
        <f aca="false">BI79+BI80</f>
        <v>1498366.53591645</v>
      </c>
      <c r="BJ82" s="100" t="n">
        <f aca="false">BJ79+BJ80</f>
        <v>1540862.23958349</v>
      </c>
      <c r="BK82" s="100" t="n">
        <f aca="false">BK79+BK80</f>
        <v>1366606.62091812</v>
      </c>
      <c r="BL82" s="100" t="n">
        <f aca="false">BL79+BL80</f>
        <v>1407412.94087875</v>
      </c>
      <c r="BM82" s="100" t="n">
        <f aca="false">BM79+BM80</f>
        <v>1448223.42750605</v>
      </c>
      <c r="BN82" s="100" t="n">
        <f aca="false">BN79+BN80</f>
        <v>1489038.08080002</v>
      </c>
      <c r="BO82" s="100" t="n">
        <f aca="false">BO79+BO80</f>
        <v>1529856.90076065</v>
      </c>
      <c r="BP82" s="100" t="n">
        <f aca="false">BP79+BP80</f>
        <v>1570679.88738795</v>
      </c>
      <c r="BQ82" s="100" t="n">
        <f aca="false">BQ79+BQ80</f>
        <v>1611507.04068191</v>
      </c>
      <c r="BR82" s="100" t="n">
        <f aca="false">BR79+BR80</f>
        <v>1652338.36064255</v>
      </c>
      <c r="BS82" s="100" t="n">
        <f aca="false">BS79+BS80</f>
        <v>1693173.84726985</v>
      </c>
      <c r="BT82" s="100" t="n">
        <f aca="false">BT79+BT80</f>
        <v>1734013.50056381</v>
      </c>
      <c r="BU82" s="100" t="n">
        <f aca="false">BU79+BU80</f>
        <v>1774857.32052444</v>
      </c>
      <c r="BV82" s="100" t="n">
        <f aca="false">BV79+BV80</f>
        <v>1815705.30715174</v>
      </c>
      <c r="BW82" s="100" t="n">
        <f aca="false">BW79+BW80</f>
        <v>1647703.74072618</v>
      </c>
      <c r="BX82" s="100" t="n">
        <f aca="false">BX79+BX80</f>
        <v>1686855.07113588</v>
      </c>
      <c r="BY82" s="100" t="n">
        <f aca="false">BY79+BY80</f>
        <v>1726010.56821225</v>
      </c>
      <c r="BZ82" s="100" t="n">
        <f aca="false">BZ79+BZ80</f>
        <v>1765170.23195529</v>
      </c>
      <c r="CA82" s="100" t="n">
        <f aca="false">CA79+CA80</f>
        <v>1804334.06236499</v>
      </c>
      <c r="CB82" s="100" t="n">
        <f aca="false">CB79+CB80</f>
        <v>1843502.05944136</v>
      </c>
      <c r="CC82" s="100" t="n">
        <f aca="false">CC79+CC80</f>
        <v>1882674.2231844</v>
      </c>
      <c r="CD82" s="100" t="n">
        <f aca="false">CD79+CD80</f>
        <v>1921850.5535941</v>
      </c>
      <c r="CE82" s="100" t="n">
        <f aca="false">CE79+CE80</f>
        <v>1961031.05067047</v>
      </c>
      <c r="CF82" s="100" t="n">
        <f aca="false">CF79+CF80</f>
        <v>2000215.71441351</v>
      </c>
      <c r="CG82" s="100" t="n">
        <f aca="false">CG79+CG80</f>
        <v>2039404.54482321</v>
      </c>
      <c r="CH82" s="100" t="n">
        <f aca="false">CH79+CH80</f>
        <v>2078597.54189958</v>
      </c>
    </row>
    <row r="83" customFormat="false" ht="13.5" hidden="false" customHeight="true" outlineLevel="0" collapsed="false">
      <c r="A83" s="6" t="s">
        <v>557</v>
      </c>
      <c r="C83" s="100" t="n">
        <f aca="false">-IF(AND(1&gt;=Hipótesis!$D$76,MOD(1,12)=0,C81=0),MIN(Hipótesis!$D$77*MAX(0,SUM(C63:C63)),MAX(0,C82-Hipótesis!$D$80)),0)</f>
        <v>-0</v>
      </c>
      <c r="D83" s="100" t="n">
        <f aca="false">-IF(AND(2&gt;=Hipótesis!$D$76,MOD(2,12)=0,D81=0),MIN(Hipótesis!$D$77*MAX(0,SUM(C63:D63)),MAX(0,D82-Hipótesis!$D$80)),0)</f>
        <v>-0</v>
      </c>
      <c r="E83" s="100" t="n">
        <f aca="false">-IF(AND(3&gt;=Hipótesis!$D$76,MOD(3,12)=0,E81=0),MIN(Hipótesis!$D$77*MAX(0,SUM(C63:E63)),MAX(0,E82-Hipótesis!$D$80)),0)</f>
        <v>-0</v>
      </c>
      <c r="F83" s="100" t="n">
        <f aca="false">-IF(AND(4&gt;=Hipótesis!$D$76,MOD(4,12)=0,F81=0),MIN(Hipótesis!$D$77*MAX(0,SUM(C63:F63)),MAX(0,F82-Hipótesis!$D$80)),0)</f>
        <v>-0</v>
      </c>
      <c r="G83" s="100" t="n">
        <f aca="false">-IF(AND(5&gt;=Hipótesis!$D$76,MOD(5,12)=0,G81=0),MIN(Hipótesis!$D$77*MAX(0,SUM(C63:G63)),MAX(0,G82-Hipótesis!$D$80)),0)</f>
        <v>-0</v>
      </c>
      <c r="H83" s="100" t="n">
        <f aca="false">-IF(AND(6&gt;=Hipótesis!$D$76,MOD(6,12)=0,H81=0),MIN(Hipótesis!$D$77*MAX(0,SUM(C63:H63)),MAX(0,H82-Hipótesis!$D$80)),0)</f>
        <v>-0</v>
      </c>
      <c r="I83" s="100" t="n">
        <f aca="false">-IF(AND(7&gt;=Hipótesis!$D$76,MOD(7,12)=0,I81=0),MIN(Hipótesis!$D$77*MAX(0,SUM(C63:I63)),MAX(0,I82-Hipótesis!$D$80)),0)</f>
        <v>-0</v>
      </c>
      <c r="J83" s="100" t="n">
        <f aca="false">-IF(AND(8&gt;=Hipótesis!$D$76,MOD(8,12)=0,J81=0),MIN(Hipótesis!$D$77*MAX(0,SUM(C63:J63)),MAX(0,J82-Hipótesis!$D$80)),0)</f>
        <v>-0</v>
      </c>
      <c r="K83" s="100" t="n">
        <f aca="false">-IF(AND(9&gt;=Hipótesis!$D$76,MOD(9,12)=0,K81=0),MIN(Hipótesis!$D$77*MAX(0,SUM(C63:K63)),MAX(0,K82-Hipótesis!$D$80)),0)</f>
        <v>-0</v>
      </c>
      <c r="L83" s="100" t="n">
        <f aca="false">-IF(AND(10&gt;=Hipótesis!$D$76,MOD(10,12)=0,L81=0),MIN(Hipótesis!$D$77*MAX(0,SUM(C63:L63)),MAX(0,L82-Hipótesis!$D$80)),0)</f>
        <v>-0</v>
      </c>
      <c r="M83" s="100" t="n">
        <f aca="false">-IF(AND(11&gt;=Hipótesis!$D$76,MOD(11,12)=0,M81=0),MIN(Hipótesis!$D$77*MAX(0,SUM(C63:M63)),MAX(0,M82-Hipótesis!$D$80)),0)</f>
        <v>-0</v>
      </c>
      <c r="N83" s="100" t="n">
        <f aca="false">-IF(AND(12&gt;=Hipótesis!$D$76,MOD(12,12)=0,N81=0),MIN(Hipótesis!$D$77*MAX(0,SUM(C63:N63)),MAX(0,N82-Hipótesis!$D$80)),0)</f>
        <v>-0</v>
      </c>
      <c r="O83" s="100" t="n">
        <f aca="false">-IF(AND(13&gt;=Hipótesis!$D$76,MOD(13,12)=0,O81=0),MIN(Hipótesis!$D$77*MAX(0,SUM(D63:O63)),MAX(0,O82-Hipótesis!$D$80)),0)</f>
        <v>-0</v>
      </c>
      <c r="P83" s="100" t="n">
        <f aca="false">-IF(AND(14&gt;=Hipótesis!$D$76,MOD(14,12)=0,P81=0),MIN(Hipótesis!$D$77*MAX(0,SUM(E63:P63)),MAX(0,P82-Hipótesis!$D$80)),0)</f>
        <v>-0</v>
      </c>
      <c r="Q83" s="100" t="n">
        <f aca="false">-IF(AND(15&gt;=Hipótesis!$D$76,MOD(15,12)=0,Q81=0),MIN(Hipótesis!$D$77*MAX(0,SUM(F63:Q63)),MAX(0,Q82-Hipótesis!$D$80)),0)</f>
        <v>-0</v>
      </c>
      <c r="R83" s="100" t="n">
        <f aca="false">-IF(AND(16&gt;=Hipótesis!$D$76,MOD(16,12)=0,R81=0),MIN(Hipótesis!$D$77*MAX(0,SUM(G63:R63)),MAX(0,R82-Hipótesis!$D$80)),0)</f>
        <v>-0</v>
      </c>
      <c r="S83" s="100" t="n">
        <f aca="false">-IF(AND(17&gt;=Hipótesis!$D$76,MOD(17,12)=0,S81=0),MIN(Hipótesis!$D$77*MAX(0,SUM(H63:S63)),MAX(0,S82-Hipótesis!$D$80)),0)</f>
        <v>-0</v>
      </c>
      <c r="T83" s="100" t="n">
        <f aca="false">-IF(AND(18&gt;=Hipótesis!$D$76,MOD(18,12)=0,T81=0),MIN(Hipótesis!$D$77*MAX(0,SUM(I63:T63)),MAX(0,T82-Hipótesis!$D$80)),0)</f>
        <v>-0</v>
      </c>
      <c r="U83" s="100" t="n">
        <f aca="false">-IF(AND(19&gt;=Hipótesis!$D$76,MOD(19,12)=0,U81=0),MIN(Hipótesis!$D$77*MAX(0,SUM(J63:U63)),MAX(0,U82-Hipótesis!$D$80)),0)</f>
        <v>-0</v>
      </c>
      <c r="V83" s="100" t="n">
        <f aca="false">-IF(AND(20&gt;=Hipótesis!$D$76,MOD(20,12)=0,V81=0),MIN(Hipótesis!$D$77*MAX(0,SUM(K63:V63)),MAX(0,V82-Hipótesis!$D$80)),0)</f>
        <v>-0</v>
      </c>
      <c r="W83" s="100" t="n">
        <f aca="false">-IF(AND(21&gt;=Hipótesis!$D$76,MOD(21,12)=0,W81=0),MIN(Hipótesis!$D$77*MAX(0,SUM(L63:W63)),MAX(0,W82-Hipótesis!$D$80)),0)</f>
        <v>-0</v>
      </c>
      <c r="X83" s="100" t="n">
        <f aca="false">-IF(AND(22&gt;=Hipótesis!$D$76,MOD(22,12)=0,X81=0),MIN(Hipótesis!$D$77*MAX(0,SUM(M63:X63)),MAX(0,X82-Hipótesis!$D$80)),0)</f>
        <v>-0</v>
      </c>
      <c r="Y83" s="100" t="n">
        <f aca="false">-IF(AND(23&gt;=Hipótesis!$D$76,MOD(23,12)=0,Y81=0),MIN(Hipótesis!$D$77*MAX(0,SUM(N63:Y63)),MAX(0,Y82-Hipótesis!$D$80)),0)</f>
        <v>-0</v>
      </c>
      <c r="Z83" s="100" t="n">
        <f aca="false">-IF(AND(24&gt;=Hipótesis!$D$76,MOD(24,12)=0,Z81=0),MIN(Hipótesis!$D$77*MAX(0,SUM(O63:Z63)),MAX(0,Z82-Hipótesis!$D$80)),0)</f>
        <v>-0</v>
      </c>
      <c r="AA83" s="100" t="n">
        <f aca="false">-IF(AND(25&gt;=Hipótesis!$D$76,MOD(25,12)=0,AA81=0),MIN(Hipótesis!$D$77*MAX(0,SUM(P63:AA63)),MAX(0,AA82-Hipótesis!$D$80)),0)</f>
        <v>-0</v>
      </c>
      <c r="AB83" s="100" t="n">
        <f aca="false">-IF(AND(26&gt;=Hipótesis!$D$76,MOD(26,12)=0,AB81=0),MIN(Hipótesis!$D$77*MAX(0,SUM(Q63:AB63)),MAX(0,AB82-Hipótesis!$D$80)),0)</f>
        <v>-0</v>
      </c>
      <c r="AC83" s="100" t="n">
        <f aca="false">-IF(AND(27&gt;=Hipótesis!$D$76,MOD(27,12)=0,AC81=0),MIN(Hipótesis!$D$77*MAX(0,SUM(R63:AC63)),MAX(0,AC82-Hipótesis!$D$80)),0)</f>
        <v>-0</v>
      </c>
      <c r="AD83" s="100" t="n">
        <f aca="false">-IF(AND(28&gt;=Hipótesis!$D$76,MOD(28,12)=0,AD81=0),MIN(Hipótesis!$D$77*MAX(0,SUM(S63:AD63)),MAX(0,AD82-Hipótesis!$D$80)),0)</f>
        <v>-0</v>
      </c>
      <c r="AE83" s="100" t="n">
        <f aca="false">-IF(AND(29&gt;=Hipótesis!$D$76,MOD(29,12)=0,AE81=0),MIN(Hipótesis!$D$77*MAX(0,SUM(T63:AE63)),MAX(0,AE82-Hipótesis!$D$80)),0)</f>
        <v>-0</v>
      </c>
      <c r="AF83" s="100" t="n">
        <f aca="false">-IF(AND(30&gt;=Hipótesis!$D$76,MOD(30,12)=0,AF81=0),MIN(Hipótesis!$D$77*MAX(0,SUM(U63:AF63)),MAX(0,AF82-Hipótesis!$D$80)),0)</f>
        <v>-0</v>
      </c>
      <c r="AG83" s="100" t="n">
        <f aca="false">-IF(AND(31&gt;=Hipótesis!$D$76,MOD(31,12)=0,AG81=0),MIN(Hipótesis!$D$77*MAX(0,SUM(V63:AG63)),MAX(0,AG82-Hipótesis!$D$80)),0)</f>
        <v>-0</v>
      </c>
      <c r="AH83" s="100" t="n">
        <f aca="false">-IF(AND(32&gt;=Hipótesis!$D$76,MOD(32,12)=0,AH81=0),MIN(Hipótesis!$D$77*MAX(0,SUM(W63:AH63)),MAX(0,AH82-Hipótesis!$D$80)),0)</f>
        <v>-0</v>
      </c>
      <c r="AI83" s="100" t="n">
        <f aca="false">-IF(AND(33&gt;=Hipótesis!$D$76,MOD(33,12)=0,AI81=0),MIN(Hipótesis!$D$77*MAX(0,SUM(X63:AI63)),MAX(0,AI82-Hipótesis!$D$80)),0)</f>
        <v>-0</v>
      </c>
      <c r="AJ83" s="100" t="n">
        <f aca="false">-IF(AND(34&gt;=Hipótesis!$D$76,MOD(34,12)=0,AJ81=0),MIN(Hipótesis!$D$77*MAX(0,SUM(Y63:AJ63)),MAX(0,AJ82-Hipótesis!$D$80)),0)</f>
        <v>-0</v>
      </c>
      <c r="AK83" s="100" t="n">
        <f aca="false">-IF(AND(35&gt;=Hipótesis!$D$76,MOD(35,12)=0,AK81=0),MIN(Hipótesis!$D$77*MAX(0,SUM(Z63:AK63)),MAX(0,AK82-Hipótesis!$D$80)),0)</f>
        <v>-0</v>
      </c>
      <c r="AL83" s="100" t="n">
        <f aca="false">-IF(AND(36&gt;=Hipótesis!$D$76,MOD(36,12)=0,AL81=0),MIN(Hipótesis!$D$77*MAX(0,SUM(AA63:AL63)),MAX(0,AL82-Hipótesis!$D$80)),0)</f>
        <v>-0</v>
      </c>
      <c r="AM83" s="100" t="n">
        <f aca="false">-IF(AND(37&gt;=Hipótesis!$D$76,MOD(37,12)=0,AM81=0),MIN(Hipótesis!$D$77*MAX(0,SUM(AB63:AM63)),MAX(0,AM82-Hipótesis!$D$80)),0)</f>
        <v>-0</v>
      </c>
      <c r="AN83" s="100" t="n">
        <f aca="false">-IF(AND(38&gt;=Hipótesis!$D$76,MOD(38,12)=0,AN81=0),MIN(Hipótesis!$D$77*MAX(0,SUM(AC63:AN63)),MAX(0,AN82-Hipótesis!$D$80)),0)</f>
        <v>-0</v>
      </c>
      <c r="AO83" s="100" t="n">
        <f aca="false">-IF(AND(39&gt;=Hipótesis!$D$76,MOD(39,12)=0,AO81=0),MIN(Hipótesis!$D$77*MAX(0,SUM(AD63:AO63)),MAX(0,AO82-Hipótesis!$D$80)),0)</f>
        <v>-0</v>
      </c>
      <c r="AP83" s="100" t="n">
        <f aca="false">-IF(AND(40&gt;=Hipótesis!$D$76,MOD(40,12)=0,AP81=0),MIN(Hipótesis!$D$77*MAX(0,SUM(AE63:AP63)),MAX(0,AP82-Hipótesis!$D$80)),0)</f>
        <v>-0</v>
      </c>
      <c r="AQ83" s="100" t="n">
        <f aca="false">-IF(AND(41&gt;=Hipótesis!$D$76,MOD(41,12)=0,AQ81=0),MIN(Hipótesis!$D$77*MAX(0,SUM(AF63:AQ63)),MAX(0,AQ82-Hipótesis!$D$80)),0)</f>
        <v>-0</v>
      </c>
      <c r="AR83" s="100" t="n">
        <f aca="false">-IF(AND(42&gt;=Hipótesis!$D$76,MOD(42,12)=0,AR81=0),MIN(Hipótesis!$D$77*MAX(0,SUM(AG63:AR63)),MAX(0,AR82-Hipótesis!$D$80)),0)</f>
        <v>-0</v>
      </c>
      <c r="AS83" s="100" t="n">
        <f aca="false">-IF(AND(43&gt;=Hipótesis!$D$76,MOD(43,12)=0,AS81=0),MIN(Hipótesis!$D$77*MAX(0,SUM(AH63:AS63)),MAX(0,AS82-Hipótesis!$D$80)),0)</f>
        <v>-0</v>
      </c>
      <c r="AT83" s="100" t="n">
        <f aca="false">-IF(AND(44&gt;=Hipótesis!$D$76,MOD(44,12)=0,AT81=0),MIN(Hipótesis!$D$77*MAX(0,SUM(AI63:AT63)),MAX(0,AT82-Hipótesis!$D$80)),0)</f>
        <v>-0</v>
      </c>
      <c r="AU83" s="100" t="n">
        <f aca="false">-IF(AND(45&gt;=Hipótesis!$D$76,MOD(45,12)=0,AU81=0),MIN(Hipótesis!$D$77*MAX(0,SUM(AJ63:AU63)),MAX(0,AU82-Hipótesis!$D$80)),0)</f>
        <v>-0</v>
      </c>
      <c r="AV83" s="100" t="n">
        <f aca="false">-IF(AND(46&gt;=Hipótesis!$D$76,MOD(46,12)=0,AV81=0),MIN(Hipótesis!$D$77*MAX(0,SUM(AK63:AV63)),MAX(0,AV82-Hipótesis!$D$80)),0)</f>
        <v>-0</v>
      </c>
      <c r="AW83" s="100" t="n">
        <f aca="false">-IF(AND(47&gt;=Hipótesis!$D$76,MOD(47,12)=0,AW81=0),MIN(Hipótesis!$D$77*MAX(0,SUM(AL63:AW63)),MAX(0,AW82-Hipótesis!$D$80)),0)</f>
        <v>-0</v>
      </c>
      <c r="AX83" s="100" t="n">
        <f aca="false">-IF(AND(48&gt;=Hipótesis!$D$76,MOD(48,12)=0,AX81=0),MIN(Hipótesis!$D$77*MAX(0,SUM(AM63:AX63)),MAX(0,AX82-Hipótesis!$D$80)),0)</f>
        <v>-215026.28159292</v>
      </c>
      <c r="AY83" s="100" t="n">
        <f aca="false">-IF(AND(49&gt;=Hipótesis!$D$76,MOD(49,12)=0,AY81=0),MIN(Hipótesis!$D$77*MAX(0,SUM(AN63:AY63)),MAX(0,AY82-Hipótesis!$D$80)),0)</f>
        <v>-0</v>
      </c>
      <c r="AZ83" s="100" t="n">
        <f aca="false">-IF(AND(50&gt;=Hipótesis!$D$76,MOD(50,12)=0,AZ81=0),MIN(Hipótesis!$D$77*MAX(0,SUM(AO63:AZ63)),MAX(0,AZ82-Hipótesis!$D$80)),0)</f>
        <v>-0</v>
      </c>
      <c r="BA83" s="100" t="n">
        <f aca="false">-IF(AND(51&gt;=Hipótesis!$D$76,MOD(51,12)=0,BA81=0),MIN(Hipótesis!$D$77*MAX(0,SUM(AP63:BA63)),MAX(0,BA82-Hipótesis!$D$80)),0)</f>
        <v>-0</v>
      </c>
      <c r="BB83" s="100" t="n">
        <f aca="false">-IF(AND(52&gt;=Hipótesis!$D$76,MOD(52,12)=0,BB81=0),MIN(Hipótesis!$D$77*MAX(0,SUM(AQ63:BB63)),MAX(0,BB82-Hipótesis!$D$80)),0)</f>
        <v>-0</v>
      </c>
      <c r="BC83" s="100" t="n">
        <f aca="false">-IF(AND(53&gt;=Hipótesis!$D$76,MOD(53,12)=0,BC81=0),MIN(Hipótesis!$D$77*MAX(0,SUM(AR63:BC63)),MAX(0,BC82-Hipótesis!$D$80)),0)</f>
        <v>-0</v>
      </c>
      <c r="BD83" s="100" t="n">
        <f aca="false">-IF(AND(54&gt;=Hipótesis!$D$76,MOD(54,12)=0,BD81=0),MIN(Hipótesis!$D$77*MAX(0,SUM(AS63:BD63)),MAX(0,BD82-Hipótesis!$D$80)),0)</f>
        <v>-0</v>
      </c>
      <c r="BE83" s="100" t="n">
        <f aca="false">-IF(AND(55&gt;=Hipótesis!$D$76,MOD(55,12)=0,BE81=0),MIN(Hipótesis!$D$77*MAX(0,SUM(AT63:BE63)),MAX(0,BE82-Hipótesis!$D$80)),0)</f>
        <v>-0</v>
      </c>
      <c r="BF83" s="100" t="n">
        <f aca="false">-IF(AND(56&gt;=Hipótesis!$D$76,MOD(56,12)=0,BF81=0),MIN(Hipótesis!$D$77*MAX(0,SUM(AU63:BF63)),MAX(0,BF82-Hipótesis!$D$80)),0)</f>
        <v>-0</v>
      </c>
      <c r="BG83" s="100" t="n">
        <f aca="false">-IF(AND(57&gt;=Hipótesis!$D$76,MOD(57,12)=0,BG81=0),MIN(Hipótesis!$D$77*MAX(0,SUM(AV63:BG63)),MAX(0,BG82-Hipótesis!$D$80)),0)</f>
        <v>-0</v>
      </c>
      <c r="BH83" s="100" t="n">
        <f aca="false">-IF(AND(58&gt;=Hipótesis!$D$76,MOD(58,12)=0,BH81=0),MIN(Hipótesis!$D$77*MAX(0,SUM(AW63:BH63)),MAX(0,BH82-Hipótesis!$D$80)),0)</f>
        <v>-0</v>
      </c>
      <c r="BI83" s="100" t="n">
        <f aca="false">-IF(AND(59&gt;=Hipótesis!$D$76,MOD(59,12)=0,BI81=0),MIN(Hipótesis!$D$77*MAX(0,SUM(AX63:BI63)),MAX(0,BI82-Hipótesis!$D$80)),0)</f>
        <v>-0</v>
      </c>
      <c r="BJ83" s="100" t="n">
        <f aca="false">-IF(AND(60&gt;=Hipótesis!$D$76,MOD(60,12)=0,BJ81=0),MIN(Hipótesis!$D$77*MAX(0,SUM(AY63:BJ63)),MAX(0,BJ82-Hipótesis!$D$80)),0)</f>
        <v>-215057.771959333</v>
      </c>
      <c r="BK83" s="100" t="n">
        <f aca="false">-IF(AND(61&gt;=Hipótesis!$D$76,MOD(61,12)=0,BK81=0),MIN(Hipótesis!$D$77*MAX(0,SUM(AZ63:BK63)),MAX(0,BK82-Hipótesis!$D$80)),0)</f>
        <v>-0</v>
      </c>
      <c r="BL83" s="100" t="n">
        <f aca="false">-IF(AND(62&gt;=Hipótesis!$D$76,MOD(62,12)=0,BL81=0),MIN(Hipótesis!$D$77*MAX(0,SUM(BA63:BL63)),MAX(0,BL82-Hipótesis!$D$80)),0)</f>
        <v>-0</v>
      </c>
      <c r="BM83" s="100" t="n">
        <f aca="false">-IF(AND(63&gt;=Hipótesis!$D$76,MOD(63,12)=0,BM81=0),MIN(Hipótesis!$D$77*MAX(0,SUM(BB63:BM63)),MAX(0,BM82-Hipótesis!$D$80)),0)</f>
        <v>-0</v>
      </c>
      <c r="BN83" s="100" t="n">
        <f aca="false">-IF(AND(64&gt;=Hipótesis!$D$76,MOD(64,12)=0,BN81=0),MIN(Hipótesis!$D$77*MAX(0,SUM(BC63:BN63)),MAX(0,BN82-Hipótesis!$D$80)),0)</f>
        <v>-0</v>
      </c>
      <c r="BO83" s="100" t="n">
        <f aca="false">-IF(AND(65&gt;=Hipótesis!$D$76,MOD(65,12)=0,BO81=0),MIN(Hipótesis!$D$77*MAX(0,SUM(BD63:BO63)),MAX(0,BO82-Hipótesis!$D$80)),0)</f>
        <v>-0</v>
      </c>
      <c r="BP83" s="100" t="n">
        <f aca="false">-IF(AND(66&gt;=Hipótesis!$D$76,MOD(66,12)=0,BP81=0),MIN(Hipótesis!$D$77*MAX(0,SUM(BE63:BP63)),MAX(0,BP82-Hipótesis!$D$80)),0)</f>
        <v>-0</v>
      </c>
      <c r="BQ83" s="100" t="n">
        <f aca="false">-IF(AND(67&gt;=Hipótesis!$D$76,MOD(67,12)=0,BQ81=0),MIN(Hipótesis!$D$77*MAX(0,SUM(BF63:BQ63)),MAX(0,BQ82-Hipótesis!$D$80)),0)</f>
        <v>-0</v>
      </c>
      <c r="BR83" s="100" t="n">
        <f aca="false">-IF(AND(68&gt;=Hipótesis!$D$76,MOD(68,12)=0,BR81=0),MIN(Hipótesis!$D$77*MAX(0,SUM(BG63:BR63)),MAX(0,BR82-Hipótesis!$D$80)),0)</f>
        <v>-0</v>
      </c>
      <c r="BS83" s="100" t="n">
        <f aca="false">-IF(AND(69&gt;=Hipótesis!$D$76,MOD(69,12)=0,BS81=0),MIN(Hipótesis!$D$77*MAX(0,SUM(BH63:BS63)),MAX(0,BS82-Hipótesis!$D$80)),0)</f>
        <v>-0</v>
      </c>
      <c r="BT83" s="100" t="n">
        <f aca="false">-IF(AND(70&gt;=Hipótesis!$D$76,MOD(70,12)=0,BT81=0),MIN(Hipótesis!$D$77*MAX(0,SUM(BI63:BT63)),MAX(0,BT82-Hipótesis!$D$80)),0)</f>
        <v>-0</v>
      </c>
      <c r="BU83" s="100" t="n">
        <f aca="false">-IF(AND(71&gt;=Hipótesis!$D$76,MOD(71,12)=0,BU81=0),MIN(Hipótesis!$D$77*MAX(0,SUM(BJ63:BU63)),MAX(0,BU82-Hipótesis!$D$80)),0)</f>
        <v>-0</v>
      </c>
      <c r="BV83" s="100" t="n">
        <f aca="false">-IF(AND(72&gt;=Hipótesis!$D$76,MOD(72,12)=0,BV81=0),MIN(Hipótesis!$D$77*MAX(0,SUM(BK63:BV63)),MAX(0,BV82-Hipótesis!$D$80)),0)</f>
        <v>-207148.730168597</v>
      </c>
      <c r="BW83" s="100" t="n">
        <f aca="false">-IF(AND(73&gt;=Hipótesis!$D$76,MOD(73,12)=0,BW81=0),MIN(Hipótesis!$D$77*MAX(0,SUM(BL63:BW63)),MAX(0,BW82-Hipótesis!$D$80)),0)</f>
        <v>-0</v>
      </c>
      <c r="BX83" s="100" t="n">
        <f aca="false">-IF(AND(74&gt;=Hipótesis!$D$76,MOD(74,12)=0,BX81=0),MIN(Hipótesis!$D$77*MAX(0,SUM(BM63:BX63)),MAX(0,BX82-Hipótesis!$D$80)),0)</f>
        <v>-0</v>
      </c>
      <c r="BY83" s="100" t="n">
        <f aca="false">-IF(AND(75&gt;=Hipótesis!$D$76,MOD(75,12)=0,BY81=0),MIN(Hipótesis!$D$77*MAX(0,SUM(BN63:BY63)),MAX(0,BY82-Hipótesis!$D$80)),0)</f>
        <v>-0</v>
      </c>
      <c r="BZ83" s="100" t="n">
        <f aca="false">-IF(AND(76&gt;=Hipótesis!$D$76,MOD(76,12)=0,BZ81=0),MIN(Hipótesis!$D$77*MAX(0,SUM(BO63:BZ63)),MAX(0,BZ82-Hipótesis!$D$80)),0)</f>
        <v>-0</v>
      </c>
      <c r="CA83" s="100" t="n">
        <f aca="false">-IF(AND(77&gt;=Hipótesis!$D$76,MOD(77,12)=0,CA81=0),MIN(Hipótesis!$D$77*MAX(0,SUM(BP63:CA63)),MAX(0,CA82-Hipótesis!$D$80)),0)</f>
        <v>-0</v>
      </c>
      <c r="CB83" s="100" t="n">
        <f aca="false">-IF(AND(78&gt;=Hipótesis!$D$76,MOD(78,12)=0,CB81=0),MIN(Hipótesis!$D$77*MAX(0,SUM(BQ63:CB63)),MAX(0,CB82-Hipótesis!$D$80)),0)</f>
        <v>-0</v>
      </c>
      <c r="CC83" s="100" t="n">
        <f aca="false">-IF(AND(79&gt;=Hipótesis!$D$76,MOD(79,12)=0,CC81=0),MIN(Hipótesis!$D$77*MAX(0,SUM(BR63:CC63)),MAX(0,CC82-Hipótesis!$D$80)),0)</f>
        <v>-0</v>
      </c>
      <c r="CD83" s="100" t="n">
        <f aca="false">-IF(AND(80&gt;=Hipótesis!$D$76,MOD(80,12)=0,CD81=0),MIN(Hipótesis!$D$77*MAX(0,SUM(BS63:CD63)),MAX(0,CD82-Hipótesis!$D$80)),0)</f>
        <v>-0</v>
      </c>
      <c r="CE83" s="100" t="n">
        <f aca="false">-IF(AND(81&gt;=Hipótesis!$D$76,MOD(81,12)=0,CE81=0),MIN(Hipótesis!$D$77*MAX(0,SUM(BT63:CE63)),MAX(0,CE82-Hipótesis!$D$80)),0)</f>
        <v>-0</v>
      </c>
      <c r="CF83" s="100" t="n">
        <f aca="false">-IF(AND(82&gt;=Hipótesis!$D$76,MOD(82,12)=0,CF81=0),MIN(Hipótesis!$D$77*MAX(0,SUM(BU63:CF63)),MAX(0,CF82-Hipótesis!$D$80)),0)</f>
        <v>-0</v>
      </c>
      <c r="CG83" s="100" t="n">
        <f aca="false">-IF(AND(83&gt;=Hipótesis!$D$76,MOD(83,12)=0,CG81=0),MIN(Hipótesis!$D$77*MAX(0,SUM(BV63:CG63)),MAX(0,CG82-Hipótesis!$D$80)),0)</f>
        <v>-0</v>
      </c>
      <c r="CH83" s="100" t="n">
        <f aca="false">-IF(AND(84&gt;=Hipótesis!$D$76,MOD(84,12)=0,CH81=0),MIN(Hipótesis!$D$77*MAX(0,SUM(BW63:CH63)),MAX(0,CH82-Hipótesis!$D$80)),0)</f>
        <v>-199204.78032414</v>
      </c>
    </row>
    <row r="84" customFormat="false" ht="13.5" hidden="false" customHeight="true" outlineLevel="0" collapsed="false">
      <c r="A84" s="22" t="s">
        <v>558</v>
      </c>
      <c r="C84" s="100" t="n">
        <f aca="false">-IF(AND(1&gt;=Hipótesis!$D$78,MOD(1,12)=0,C96=0,C89=0,C101=0,C81=0),MIN(Hipótesis!$D$79*MAX(0,C112),MAX(0,C82+C83-Hipótesis!$D$80)),0)</f>
        <v>-0</v>
      </c>
      <c r="D84" s="100" t="n">
        <f aca="false">-IF(AND(2&gt;=Hipótesis!$D$78,MOD(2,12)=0,D96=0,D89=0,D101=0,D81=0),MIN(Hipótesis!$D$79*MAX(0,D112),MAX(0,D82+D83-Hipótesis!$D$80)),0)</f>
        <v>-0</v>
      </c>
      <c r="E84" s="100" t="n">
        <f aca="false">-IF(AND(3&gt;=Hipótesis!$D$78,MOD(3,12)=0,E96=0,E89=0,E101=0,E81=0),MIN(Hipótesis!$D$79*MAX(0,E112),MAX(0,E82+E83-Hipótesis!$D$80)),0)</f>
        <v>-0</v>
      </c>
      <c r="F84" s="100" t="n">
        <f aca="false">-IF(AND(4&gt;=Hipótesis!$D$78,MOD(4,12)=0,F96=0,F89=0,F101=0,F81=0),MIN(Hipótesis!$D$79*MAX(0,F112),MAX(0,F82+F83-Hipótesis!$D$80)),0)</f>
        <v>-0</v>
      </c>
      <c r="G84" s="100" t="n">
        <f aca="false">-IF(AND(5&gt;=Hipótesis!$D$78,MOD(5,12)=0,G96=0,G89=0,G101=0,G81=0),MIN(Hipótesis!$D$79*MAX(0,G112),MAX(0,G82+G83-Hipótesis!$D$80)),0)</f>
        <v>-0</v>
      </c>
      <c r="H84" s="100" t="n">
        <f aca="false">-IF(AND(6&gt;=Hipótesis!$D$78,MOD(6,12)=0,H96=0,H89=0,H101=0,H81=0),MIN(Hipótesis!$D$79*MAX(0,H112),MAX(0,H82+H83-Hipótesis!$D$80)),0)</f>
        <v>-0</v>
      </c>
      <c r="I84" s="100" t="n">
        <f aca="false">-IF(AND(7&gt;=Hipótesis!$D$78,MOD(7,12)=0,I96=0,I89=0,I101=0,I81=0),MIN(Hipótesis!$D$79*MAX(0,I112),MAX(0,I82+I83-Hipótesis!$D$80)),0)</f>
        <v>-0</v>
      </c>
      <c r="J84" s="100" t="n">
        <f aca="false">-IF(AND(8&gt;=Hipótesis!$D$78,MOD(8,12)=0,J96=0,J89=0,J101=0,J81=0),MIN(Hipótesis!$D$79*MAX(0,J112),MAX(0,J82+J83-Hipótesis!$D$80)),0)</f>
        <v>-0</v>
      </c>
      <c r="K84" s="100" t="n">
        <f aca="false">-IF(AND(9&gt;=Hipótesis!$D$78,MOD(9,12)=0,K96=0,K89=0,K101=0,K81=0),MIN(Hipótesis!$D$79*MAX(0,K112),MAX(0,K82+K83-Hipótesis!$D$80)),0)</f>
        <v>-0</v>
      </c>
      <c r="L84" s="100" t="n">
        <f aca="false">-IF(AND(10&gt;=Hipótesis!$D$78,MOD(10,12)=0,L96=0,L89=0,L101=0,L81=0),MIN(Hipótesis!$D$79*MAX(0,L112),MAX(0,L82+L83-Hipótesis!$D$80)),0)</f>
        <v>-0</v>
      </c>
      <c r="M84" s="100" t="n">
        <f aca="false">-IF(AND(11&gt;=Hipótesis!$D$78,MOD(11,12)=0,M96=0,M89=0,M101=0,M81=0),MIN(Hipótesis!$D$79*MAX(0,M112),MAX(0,M82+M83-Hipótesis!$D$80)),0)</f>
        <v>-0</v>
      </c>
      <c r="N84" s="100" t="n">
        <f aca="false">-IF(AND(12&gt;=Hipótesis!$D$78,MOD(12,12)=0,N96=0,N89=0,N101=0,N81=0),MIN(Hipótesis!$D$79*MAX(0,N112),MAX(0,N82+N83-Hipótesis!$D$80)),0)</f>
        <v>-0</v>
      </c>
      <c r="O84" s="100" t="n">
        <f aca="false">-IF(AND(13&gt;=Hipótesis!$D$78,MOD(13,12)=0,O96=0,O89=0,O101=0,O81=0),MIN(Hipótesis!$D$79*MAX(0,O112),MAX(0,O82+O83-Hipótesis!$D$80)),0)</f>
        <v>-0</v>
      </c>
      <c r="P84" s="100" t="n">
        <f aca="false">-IF(AND(14&gt;=Hipótesis!$D$78,MOD(14,12)=0,P96=0,P89=0,P101=0,P81=0),MIN(Hipótesis!$D$79*MAX(0,P112),MAX(0,P82+P83-Hipótesis!$D$80)),0)</f>
        <v>-0</v>
      </c>
      <c r="Q84" s="100" t="n">
        <f aca="false">-IF(AND(15&gt;=Hipótesis!$D$78,MOD(15,12)=0,Q96=0,Q89=0,Q101=0,Q81=0),MIN(Hipótesis!$D$79*MAX(0,Q112),MAX(0,Q82+Q83-Hipótesis!$D$80)),0)</f>
        <v>-0</v>
      </c>
      <c r="R84" s="100" t="n">
        <f aca="false">-IF(AND(16&gt;=Hipótesis!$D$78,MOD(16,12)=0,R96=0,R89=0,R101=0,R81=0),MIN(Hipótesis!$D$79*MAX(0,R112),MAX(0,R82+R83-Hipótesis!$D$80)),0)</f>
        <v>-0</v>
      </c>
      <c r="S84" s="100" t="n">
        <f aca="false">-IF(AND(17&gt;=Hipótesis!$D$78,MOD(17,12)=0,S96=0,S89=0,S101=0,S81=0),MIN(Hipótesis!$D$79*MAX(0,S112),MAX(0,S82+S83-Hipótesis!$D$80)),0)</f>
        <v>-0</v>
      </c>
      <c r="T84" s="100" t="n">
        <f aca="false">-IF(AND(18&gt;=Hipótesis!$D$78,MOD(18,12)=0,T96=0,T89=0,T101=0,T81=0),MIN(Hipótesis!$D$79*MAX(0,T112),MAX(0,T82+T83-Hipótesis!$D$80)),0)</f>
        <v>-0</v>
      </c>
      <c r="U84" s="100" t="n">
        <f aca="false">-IF(AND(19&gt;=Hipótesis!$D$78,MOD(19,12)=0,U96=0,U89=0,U101=0,U81=0),MIN(Hipótesis!$D$79*MAX(0,U112),MAX(0,U82+U83-Hipótesis!$D$80)),0)</f>
        <v>-0</v>
      </c>
      <c r="V84" s="100" t="n">
        <f aca="false">-IF(AND(20&gt;=Hipótesis!$D$78,MOD(20,12)=0,V96=0,V89=0,V101=0,V81=0),MIN(Hipótesis!$D$79*MAX(0,V112),MAX(0,V82+V83-Hipótesis!$D$80)),0)</f>
        <v>-0</v>
      </c>
      <c r="W84" s="100" t="n">
        <f aca="false">-IF(AND(21&gt;=Hipótesis!$D$78,MOD(21,12)=0,W96=0,W89=0,W101=0,W81=0),MIN(Hipótesis!$D$79*MAX(0,W112),MAX(0,W82+W83-Hipótesis!$D$80)),0)</f>
        <v>-0</v>
      </c>
      <c r="X84" s="100" t="n">
        <f aca="false">-IF(AND(22&gt;=Hipótesis!$D$78,MOD(22,12)=0,X96=0,X89=0,X101=0,X81=0),MIN(Hipótesis!$D$79*MAX(0,X112),MAX(0,X82+X83-Hipótesis!$D$80)),0)</f>
        <v>-0</v>
      </c>
      <c r="Y84" s="100" t="n">
        <f aca="false">-IF(AND(23&gt;=Hipótesis!$D$78,MOD(23,12)=0,Y96=0,Y89=0,Y101=0,Y81=0),MIN(Hipótesis!$D$79*MAX(0,Y112),MAX(0,Y82+Y83-Hipótesis!$D$80)),0)</f>
        <v>-0</v>
      </c>
      <c r="Z84" s="100" t="n">
        <f aca="false">-IF(AND(24&gt;=Hipótesis!$D$78,MOD(24,12)=0,Z96=0,Z89=0,Z101=0,Z81=0),MIN(Hipótesis!$D$79*MAX(0,Z112),MAX(0,Z82+Z83-Hipótesis!$D$80)),0)</f>
        <v>-0</v>
      </c>
      <c r="AA84" s="100" t="n">
        <f aca="false">-IF(AND(25&gt;=Hipótesis!$D$78,MOD(25,12)=0,AA96=0,AA89=0,AA101=0,AA81=0),MIN(Hipótesis!$D$79*MAX(0,AA112),MAX(0,AA82+AA83-Hipótesis!$D$80)),0)</f>
        <v>-0</v>
      </c>
      <c r="AB84" s="100" t="n">
        <f aca="false">-IF(AND(26&gt;=Hipótesis!$D$78,MOD(26,12)=0,AB96=0,AB89=0,AB101=0,AB81=0),MIN(Hipótesis!$D$79*MAX(0,AB112),MAX(0,AB82+AB83-Hipótesis!$D$80)),0)</f>
        <v>-0</v>
      </c>
      <c r="AC84" s="100" t="n">
        <f aca="false">-IF(AND(27&gt;=Hipótesis!$D$78,MOD(27,12)=0,AC96=0,AC89=0,AC101=0,AC81=0),MIN(Hipótesis!$D$79*MAX(0,AC112),MAX(0,AC82+AC83-Hipótesis!$D$80)),0)</f>
        <v>-0</v>
      </c>
      <c r="AD84" s="100" t="n">
        <f aca="false">-IF(AND(28&gt;=Hipótesis!$D$78,MOD(28,12)=0,AD96=0,AD89=0,AD101=0,AD81=0),MIN(Hipótesis!$D$79*MAX(0,AD112),MAX(0,AD82+AD83-Hipótesis!$D$80)),0)</f>
        <v>-0</v>
      </c>
      <c r="AE84" s="100" t="n">
        <f aca="false">-IF(AND(29&gt;=Hipótesis!$D$78,MOD(29,12)=0,AE96=0,AE89=0,AE101=0,AE81=0),MIN(Hipótesis!$D$79*MAX(0,AE112),MAX(0,AE82+AE83-Hipótesis!$D$80)),0)</f>
        <v>-0</v>
      </c>
      <c r="AF84" s="100" t="n">
        <f aca="false">-IF(AND(30&gt;=Hipótesis!$D$78,MOD(30,12)=0,AF96=0,AF89=0,AF101=0,AF81=0),MIN(Hipótesis!$D$79*MAX(0,AF112),MAX(0,AF82+AF83-Hipótesis!$D$80)),0)</f>
        <v>-0</v>
      </c>
      <c r="AG84" s="100" t="n">
        <f aca="false">-IF(AND(31&gt;=Hipótesis!$D$78,MOD(31,12)=0,AG96=0,AG89=0,AG101=0,AG81=0),MIN(Hipótesis!$D$79*MAX(0,AG112),MAX(0,AG82+AG83-Hipótesis!$D$80)),0)</f>
        <v>-0</v>
      </c>
      <c r="AH84" s="100" t="n">
        <f aca="false">-IF(AND(32&gt;=Hipótesis!$D$78,MOD(32,12)=0,AH96=0,AH89=0,AH101=0,AH81=0),MIN(Hipótesis!$D$79*MAX(0,AH112),MAX(0,AH82+AH83-Hipótesis!$D$80)),0)</f>
        <v>-0</v>
      </c>
      <c r="AI84" s="100" t="n">
        <f aca="false">-IF(AND(33&gt;=Hipótesis!$D$78,MOD(33,12)=0,AI96=0,AI89=0,AI101=0,AI81=0),MIN(Hipótesis!$D$79*MAX(0,AI112),MAX(0,AI82+AI83-Hipótesis!$D$80)),0)</f>
        <v>-0</v>
      </c>
      <c r="AJ84" s="100" t="n">
        <f aca="false">-IF(AND(34&gt;=Hipótesis!$D$78,MOD(34,12)=0,AJ96=0,AJ89=0,AJ101=0,AJ81=0),MIN(Hipótesis!$D$79*MAX(0,AJ112),MAX(0,AJ82+AJ83-Hipótesis!$D$80)),0)</f>
        <v>-0</v>
      </c>
      <c r="AK84" s="100" t="n">
        <f aca="false">-IF(AND(35&gt;=Hipótesis!$D$78,MOD(35,12)=0,AK96=0,AK89=0,AK101=0,AK81=0),MIN(Hipótesis!$D$79*MAX(0,AK112),MAX(0,AK82+AK83-Hipótesis!$D$80)),0)</f>
        <v>-0</v>
      </c>
      <c r="AL84" s="100" t="n">
        <f aca="false">-IF(AND(36&gt;=Hipótesis!$D$78,MOD(36,12)=0,AL96=0,AL89=0,AL101=0,AL81=0),MIN(Hipótesis!$D$79*MAX(0,AL112),MAX(0,AL82+AL83-Hipótesis!$D$80)),0)</f>
        <v>-0</v>
      </c>
      <c r="AM84" s="100" t="n">
        <f aca="false">-IF(AND(37&gt;=Hipótesis!$D$78,MOD(37,12)=0,AM96=0,AM89=0,AM101=0,AM81=0),MIN(Hipótesis!$D$79*MAX(0,AM112),MAX(0,AM82+AM83-Hipótesis!$D$80)),0)</f>
        <v>-0</v>
      </c>
      <c r="AN84" s="100" t="n">
        <f aca="false">-IF(AND(38&gt;=Hipótesis!$D$78,MOD(38,12)=0,AN96=0,AN89=0,AN101=0,AN81=0),MIN(Hipótesis!$D$79*MAX(0,AN112),MAX(0,AN82+AN83-Hipótesis!$D$80)),0)</f>
        <v>-0</v>
      </c>
      <c r="AO84" s="100" t="n">
        <f aca="false">-IF(AND(39&gt;=Hipótesis!$D$78,MOD(39,12)=0,AO96=0,AO89=0,AO101=0,AO81=0),MIN(Hipótesis!$D$79*MAX(0,AO112),MAX(0,AO82+AO83-Hipótesis!$D$80)),0)</f>
        <v>-0</v>
      </c>
      <c r="AP84" s="100" t="n">
        <f aca="false">-IF(AND(40&gt;=Hipótesis!$D$78,MOD(40,12)=0,AP96=0,AP89=0,AP101=0,AP81=0),MIN(Hipótesis!$D$79*MAX(0,AP112),MAX(0,AP82+AP83-Hipótesis!$D$80)),0)</f>
        <v>-0</v>
      </c>
      <c r="AQ84" s="100" t="n">
        <f aca="false">-IF(AND(41&gt;=Hipótesis!$D$78,MOD(41,12)=0,AQ96=0,AQ89=0,AQ101=0,AQ81=0),MIN(Hipótesis!$D$79*MAX(0,AQ112),MAX(0,AQ82+AQ83-Hipótesis!$D$80)),0)</f>
        <v>-0</v>
      </c>
      <c r="AR84" s="100" t="n">
        <f aca="false">-IF(AND(42&gt;=Hipótesis!$D$78,MOD(42,12)=0,AR96=0,AR89=0,AR101=0,AR81=0),MIN(Hipótesis!$D$79*MAX(0,AR112),MAX(0,AR82+AR83-Hipótesis!$D$80)),0)</f>
        <v>-0</v>
      </c>
      <c r="AS84" s="100" t="n">
        <f aca="false">-IF(AND(43&gt;=Hipótesis!$D$78,MOD(43,12)=0,AS96=0,AS89=0,AS101=0,AS81=0),MIN(Hipótesis!$D$79*MAX(0,AS112),MAX(0,AS82+AS83-Hipótesis!$D$80)),0)</f>
        <v>-0</v>
      </c>
      <c r="AT84" s="100" t="n">
        <f aca="false">-IF(AND(44&gt;=Hipótesis!$D$78,MOD(44,12)=0,AT96=0,AT89=0,AT101=0,AT81=0),MIN(Hipótesis!$D$79*MAX(0,AT112),MAX(0,AT82+AT83-Hipótesis!$D$80)),0)</f>
        <v>-0</v>
      </c>
      <c r="AU84" s="100" t="n">
        <f aca="false">-IF(AND(45&gt;=Hipótesis!$D$78,MOD(45,12)=0,AU96=0,AU89=0,AU101=0,AU81=0),MIN(Hipótesis!$D$79*MAX(0,AU112),MAX(0,AU82+AU83-Hipótesis!$D$80)),0)</f>
        <v>-0</v>
      </c>
      <c r="AV84" s="100" t="n">
        <f aca="false">-IF(AND(46&gt;=Hipótesis!$D$78,MOD(46,12)=0,AV96=0,AV89=0,AV101=0,AV81=0),MIN(Hipótesis!$D$79*MAX(0,AV112),MAX(0,AV82+AV83-Hipótesis!$D$80)),0)</f>
        <v>-0</v>
      </c>
      <c r="AW84" s="100" t="n">
        <f aca="false">-IF(AND(47&gt;=Hipótesis!$D$78,MOD(47,12)=0,AW96=0,AW89=0,AW101=0,AW81=0),MIN(Hipótesis!$D$79*MAX(0,AW112),MAX(0,AW82+AW83-Hipótesis!$D$80)),0)</f>
        <v>-0</v>
      </c>
      <c r="AX84" s="100" t="n">
        <f aca="false">-IF(AND(48&gt;=Hipótesis!$D$78,MOD(48,12)=0,AX96=0,AX89=0,AX101=0,AX81=0),MIN(Hipótesis!$D$79*MAX(0,AX112),MAX(0,AX82+AX83-Hipótesis!$D$80)),0)</f>
        <v>-0</v>
      </c>
      <c r="AY84" s="100" t="n">
        <f aca="false">-IF(AND(49&gt;=Hipótesis!$D$78,MOD(49,12)=0,AY96=0,AY89=0,AY101=0,AY81=0),MIN(Hipótesis!$D$79*MAX(0,AY112),MAX(0,AY82+AY83-Hipótesis!$D$80)),0)</f>
        <v>-0</v>
      </c>
      <c r="AZ84" s="100" t="n">
        <f aca="false">-IF(AND(50&gt;=Hipótesis!$D$78,MOD(50,12)=0,AZ96=0,AZ89=0,AZ101=0,AZ81=0),MIN(Hipótesis!$D$79*MAX(0,AZ112),MAX(0,AZ82+AZ83-Hipótesis!$D$80)),0)</f>
        <v>-0</v>
      </c>
      <c r="BA84" s="100" t="n">
        <f aca="false">-IF(AND(51&gt;=Hipótesis!$D$78,MOD(51,12)=0,BA96=0,BA89=0,BA101=0,BA81=0),MIN(Hipótesis!$D$79*MAX(0,BA112),MAX(0,BA82+BA83-Hipótesis!$D$80)),0)</f>
        <v>-0</v>
      </c>
      <c r="BB84" s="100" t="n">
        <f aca="false">-IF(AND(52&gt;=Hipótesis!$D$78,MOD(52,12)=0,BB96=0,BB89=0,BB101=0,BB81=0),MIN(Hipótesis!$D$79*MAX(0,BB112),MAX(0,BB82+BB83-Hipótesis!$D$80)),0)</f>
        <v>-0</v>
      </c>
      <c r="BC84" s="100" t="n">
        <f aca="false">-IF(AND(53&gt;=Hipótesis!$D$78,MOD(53,12)=0,BC96=0,BC89=0,BC101=0,BC81=0),MIN(Hipótesis!$D$79*MAX(0,BC112),MAX(0,BC82+BC83-Hipótesis!$D$80)),0)</f>
        <v>-0</v>
      </c>
      <c r="BD84" s="100" t="n">
        <f aca="false">-IF(AND(54&gt;=Hipótesis!$D$78,MOD(54,12)=0,BD96=0,BD89=0,BD101=0,BD81=0),MIN(Hipótesis!$D$79*MAX(0,BD112),MAX(0,BD82+BD83-Hipótesis!$D$80)),0)</f>
        <v>-0</v>
      </c>
      <c r="BE84" s="100" t="n">
        <f aca="false">-IF(AND(55&gt;=Hipótesis!$D$78,MOD(55,12)=0,BE96=0,BE89=0,BE101=0,BE81=0),MIN(Hipótesis!$D$79*MAX(0,BE112),MAX(0,BE82+BE83-Hipótesis!$D$80)),0)</f>
        <v>-0</v>
      </c>
      <c r="BF84" s="100" t="n">
        <f aca="false">-IF(AND(56&gt;=Hipótesis!$D$78,MOD(56,12)=0,BF96=0,BF89=0,BF101=0,BF81=0),MIN(Hipótesis!$D$79*MAX(0,BF112),MAX(0,BF82+BF83-Hipótesis!$D$80)),0)</f>
        <v>-0</v>
      </c>
      <c r="BG84" s="100" t="n">
        <f aca="false">-IF(AND(57&gt;=Hipótesis!$D$78,MOD(57,12)=0,BG96=0,BG89=0,BG101=0,BG81=0),MIN(Hipótesis!$D$79*MAX(0,BG112),MAX(0,BG82+BG83-Hipótesis!$D$80)),0)</f>
        <v>-0</v>
      </c>
      <c r="BH84" s="100" t="n">
        <f aca="false">-IF(AND(58&gt;=Hipótesis!$D$78,MOD(58,12)=0,BH96=0,BH89=0,BH101=0,BH81=0),MIN(Hipótesis!$D$79*MAX(0,BH112),MAX(0,BH82+BH83-Hipótesis!$D$80)),0)</f>
        <v>-0</v>
      </c>
      <c r="BI84" s="100" t="n">
        <f aca="false">-IF(AND(59&gt;=Hipótesis!$D$78,MOD(59,12)=0,BI96=0,BI89=0,BI101=0,BI81=0),MIN(Hipótesis!$D$79*MAX(0,BI112),MAX(0,BI82+BI83-Hipótesis!$D$80)),0)</f>
        <v>-0</v>
      </c>
      <c r="BJ84" s="100" t="n">
        <f aca="false">-IF(AND(60&gt;=Hipótesis!$D$78,MOD(60,12)=0,BJ96=0,BJ89=0,BJ101=0,BJ81=0),MIN(Hipótesis!$D$79*MAX(0,BJ112),MAX(0,BJ82+BJ83-Hipótesis!$D$80)),0)</f>
        <v>-0</v>
      </c>
      <c r="BK84" s="100" t="n">
        <f aca="false">-IF(AND(61&gt;=Hipótesis!$D$78,MOD(61,12)=0,BK96=0,BK89=0,BK101=0,BK81=0),MIN(Hipótesis!$D$79*MAX(0,BK112),MAX(0,BK82+BK83-Hipótesis!$D$80)),0)</f>
        <v>-0</v>
      </c>
      <c r="BL84" s="100" t="n">
        <f aca="false">-IF(AND(62&gt;=Hipótesis!$D$78,MOD(62,12)=0,BL96=0,BL89=0,BL101=0,BL81=0),MIN(Hipótesis!$D$79*MAX(0,BL112),MAX(0,BL82+BL83-Hipótesis!$D$80)),0)</f>
        <v>-0</v>
      </c>
      <c r="BM84" s="100" t="n">
        <f aca="false">-IF(AND(63&gt;=Hipótesis!$D$78,MOD(63,12)=0,BM96=0,BM89=0,BM101=0,BM81=0),MIN(Hipótesis!$D$79*MAX(0,BM112),MAX(0,BM82+BM83-Hipótesis!$D$80)),0)</f>
        <v>-0</v>
      </c>
      <c r="BN84" s="100" t="n">
        <f aca="false">-IF(AND(64&gt;=Hipótesis!$D$78,MOD(64,12)=0,BN96=0,BN89=0,BN101=0,BN81=0),MIN(Hipótesis!$D$79*MAX(0,BN112),MAX(0,BN82+BN83-Hipótesis!$D$80)),0)</f>
        <v>-0</v>
      </c>
      <c r="BO84" s="100" t="n">
        <f aca="false">-IF(AND(65&gt;=Hipótesis!$D$78,MOD(65,12)=0,BO96=0,BO89=0,BO101=0,BO81=0),MIN(Hipótesis!$D$79*MAX(0,BO112),MAX(0,BO82+BO83-Hipótesis!$D$80)),0)</f>
        <v>-0</v>
      </c>
      <c r="BP84" s="100" t="n">
        <f aca="false">-IF(AND(66&gt;=Hipótesis!$D$78,MOD(66,12)=0,BP96=0,BP89=0,BP101=0,BP81=0),MIN(Hipótesis!$D$79*MAX(0,BP112),MAX(0,BP82+BP83-Hipótesis!$D$80)),0)</f>
        <v>-0</v>
      </c>
      <c r="BQ84" s="100" t="n">
        <f aca="false">-IF(AND(67&gt;=Hipótesis!$D$78,MOD(67,12)=0,BQ96=0,BQ89=0,BQ101=0,BQ81=0),MIN(Hipótesis!$D$79*MAX(0,BQ112),MAX(0,BQ82+BQ83-Hipótesis!$D$80)),0)</f>
        <v>-0</v>
      </c>
      <c r="BR84" s="100" t="n">
        <f aca="false">-IF(AND(68&gt;=Hipótesis!$D$78,MOD(68,12)=0,BR96=0,BR89=0,BR101=0,BR81=0),MIN(Hipótesis!$D$79*MAX(0,BR112),MAX(0,BR82+BR83-Hipótesis!$D$80)),0)</f>
        <v>-0</v>
      </c>
      <c r="BS84" s="100" t="n">
        <f aca="false">-IF(AND(69&gt;=Hipótesis!$D$78,MOD(69,12)=0,BS96=0,BS89=0,BS101=0,BS81=0),MIN(Hipótesis!$D$79*MAX(0,BS112),MAX(0,BS82+BS83-Hipótesis!$D$80)),0)</f>
        <v>-0</v>
      </c>
      <c r="BT84" s="100" t="n">
        <f aca="false">-IF(AND(70&gt;=Hipótesis!$D$78,MOD(70,12)=0,BT96=0,BT89=0,BT101=0,BT81=0),MIN(Hipótesis!$D$79*MAX(0,BT112),MAX(0,BT82+BT83-Hipótesis!$D$80)),0)</f>
        <v>-0</v>
      </c>
      <c r="BU84" s="100" t="n">
        <f aca="false">-IF(AND(71&gt;=Hipótesis!$D$78,MOD(71,12)=0,BU96=0,BU89=0,BU101=0,BU81=0),MIN(Hipótesis!$D$79*MAX(0,BU112),MAX(0,BU82+BU83-Hipótesis!$D$80)),0)</f>
        <v>-0</v>
      </c>
      <c r="BV84" s="100" t="n">
        <f aca="false">-IF(AND(72&gt;=Hipótesis!$D$78,MOD(72,12)=0,BV96=0,BV89=0,BV101=0,BV81=0),MIN(Hipótesis!$D$79*MAX(0,BV112),MAX(0,BV82+BV83-Hipótesis!$D$80)),0)</f>
        <v>-0</v>
      </c>
      <c r="BW84" s="100" t="n">
        <f aca="false">-IF(AND(73&gt;=Hipótesis!$D$78,MOD(73,12)=0,BW96=0,BW89=0,BW101=0,BW81=0),MIN(Hipótesis!$D$79*MAX(0,BW112),MAX(0,BW82+BW83-Hipótesis!$D$80)),0)</f>
        <v>-0</v>
      </c>
      <c r="BX84" s="100" t="n">
        <f aca="false">-IF(AND(74&gt;=Hipótesis!$D$78,MOD(74,12)=0,BX96=0,BX89=0,BX101=0,BX81=0),MIN(Hipótesis!$D$79*MAX(0,BX112),MAX(0,BX82+BX83-Hipótesis!$D$80)),0)</f>
        <v>-0</v>
      </c>
      <c r="BY84" s="100" t="n">
        <f aca="false">-IF(AND(75&gt;=Hipótesis!$D$78,MOD(75,12)=0,BY96=0,BY89=0,BY101=0,BY81=0),MIN(Hipótesis!$D$79*MAX(0,BY112),MAX(0,BY82+BY83-Hipótesis!$D$80)),0)</f>
        <v>-0</v>
      </c>
      <c r="BZ84" s="100" t="n">
        <f aca="false">-IF(AND(76&gt;=Hipótesis!$D$78,MOD(76,12)=0,BZ96=0,BZ89=0,BZ101=0,BZ81=0),MIN(Hipótesis!$D$79*MAX(0,BZ112),MAX(0,BZ82+BZ83-Hipótesis!$D$80)),0)</f>
        <v>-0</v>
      </c>
      <c r="CA84" s="100" t="n">
        <f aca="false">-IF(AND(77&gt;=Hipótesis!$D$78,MOD(77,12)=0,CA96=0,CA89=0,CA101=0,CA81=0),MIN(Hipótesis!$D$79*MAX(0,CA112),MAX(0,CA82+CA83-Hipótesis!$D$80)),0)</f>
        <v>-0</v>
      </c>
      <c r="CB84" s="100" t="n">
        <f aca="false">-IF(AND(78&gt;=Hipótesis!$D$78,MOD(78,12)=0,CB96=0,CB89=0,CB101=0,CB81=0),MIN(Hipótesis!$D$79*MAX(0,CB112),MAX(0,CB82+CB83-Hipótesis!$D$80)),0)</f>
        <v>-0</v>
      </c>
      <c r="CC84" s="100" t="n">
        <f aca="false">-IF(AND(79&gt;=Hipótesis!$D$78,MOD(79,12)=0,CC96=0,CC89=0,CC101=0,CC81=0),MIN(Hipótesis!$D$79*MAX(0,CC112),MAX(0,CC82+CC83-Hipótesis!$D$80)),0)</f>
        <v>-0</v>
      </c>
      <c r="CD84" s="100" t="n">
        <f aca="false">-IF(AND(80&gt;=Hipótesis!$D$78,MOD(80,12)=0,CD96=0,CD89=0,CD101=0,CD81=0),MIN(Hipótesis!$D$79*MAX(0,CD112),MAX(0,CD82+CD83-Hipótesis!$D$80)),0)</f>
        <v>-0</v>
      </c>
      <c r="CE84" s="100" t="n">
        <f aca="false">-IF(AND(81&gt;=Hipótesis!$D$78,MOD(81,12)=0,CE96=0,CE89=0,CE101=0,CE81=0),MIN(Hipótesis!$D$79*MAX(0,CE112),MAX(0,CE82+CE83-Hipótesis!$D$80)),0)</f>
        <v>-0</v>
      </c>
      <c r="CF84" s="100" t="n">
        <f aca="false">-IF(AND(82&gt;=Hipótesis!$D$78,MOD(82,12)=0,CF96=0,CF89=0,CF101=0,CF81=0),MIN(Hipótesis!$D$79*MAX(0,CF112),MAX(0,CF82+CF83-Hipótesis!$D$80)),0)</f>
        <v>-0</v>
      </c>
      <c r="CG84" s="100" t="n">
        <f aca="false">-IF(AND(83&gt;=Hipótesis!$D$78,MOD(83,12)=0,CG96=0,CG89=0,CG101=0,CG81=0),MIN(Hipótesis!$D$79*MAX(0,CG112),MAX(0,CG82+CG83-Hipótesis!$D$80)),0)</f>
        <v>-0</v>
      </c>
      <c r="CH84" s="100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22" t="s">
        <v>559</v>
      </c>
      <c r="C85" s="100" t="n">
        <f aca="false">C78+C80+C83+C84</f>
        <v>147790.07716802</v>
      </c>
      <c r="D85" s="100" t="n">
        <f aca="false">D78+D80+D83+D84</f>
        <v>-30671.2957801018</v>
      </c>
      <c r="E85" s="100" t="n">
        <f aca="false">E78+E80+E83+E84</f>
        <v>-23434.0519581034</v>
      </c>
      <c r="F85" s="100" t="n">
        <f aca="false">F78+F80+F83+F84</f>
        <v>-20589.9135978382</v>
      </c>
      <c r="G85" s="100" t="n">
        <f aca="false">G78+G80+G83+G84</f>
        <v>-18095.791788097</v>
      </c>
      <c r="H85" s="100" t="n">
        <f aca="false">H78+H80+H83+H84</f>
        <v>-15004.9487079514</v>
      </c>
      <c r="I85" s="100" t="n">
        <f aca="false">I78+I80+I83+I84</f>
        <v>-9994.07533592865</v>
      </c>
      <c r="J85" s="100" t="n">
        <f aca="false">J78+J80+J83+J84</f>
        <v>0</v>
      </c>
      <c r="K85" s="100" t="n">
        <f aca="false">K78+K80+K83+K84</f>
        <v>0</v>
      </c>
      <c r="L85" s="100" t="n">
        <f aca="false">L78+L80+L83+L84</f>
        <v>0</v>
      </c>
      <c r="M85" s="100" t="n">
        <f aca="false">M78+M80+M83+M84</f>
        <v>2253.47599424283</v>
      </c>
      <c r="N85" s="100" t="n">
        <f aca="false">N78+N80+N83+N84</f>
        <v>9256.52444404996</v>
      </c>
      <c r="O85" s="100" t="n">
        <f aca="false">O78+O80+O83+O84</f>
        <v>10241.3426192233</v>
      </c>
      <c r="P85" s="100" t="n">
        <f aca="false">P78+P80+P83+P84</f>
        <v>12795.9281592246</v>
      </c>
      <c r="Q85" s="100" t="n">
        <f aca="false">Q78+Q80+Q83+Q84</f>
        <v>15296.3672341525</v>
      </c>
      <c r="R85" s="100" t="n">
        <f aca="false">R78+R80+R83+R84</f>
        <v>17796.8063090804</v>
      </c>
      <c r="S85" s="100" t="n">
        <f aca="false">S78+S80+S83+S84</f>
        <v>20297.2453840082</v>
      </c>
      <c r="T85" s="100" t="n">
        <f aca="false">T78+T80+T83+T84</f>
        <v>22797.6844589361</v>
      </c>
      <c r="U85" s="100" t="n">
        <f aca="false">U78+U80+U83+U84</f>
        <v>23372.793973864</v>
      </c>
      <c r="V85" s="100" t="n">
        <f aca="false">V78+V80+V83+V84</f>
        <v>23608.1394487918</v>
      </c>
      <c r="W85" s="100" t="n">
        <f aca="false">W78+W80+W83+W84</f>
        <v>26108.5785237197</v>
      </c>
      <c r="X85" s="100" t="n">
        <f aca="false">X78+X80+X83+X84</f>
        <v>27931.1510144745</v>
      </c>
      <c r="Y85" s="100" t="n">
        <f aca="false">Y78+Y80+Y83+Y84</f>
        <v>29665.3481375824</v>
      </c>
      <c r="Z85" s="100" t="n">
        <f aca="false">Z78+Z80+Z83+Z84</f>
        <v>31143.5539712866</v>
      </c>
      <c r="AA85" s="100" t="n">
        <f aca="false">AA78+AA80+AA83+AA84</f>
        <v>29087.3079884653</v>
      </c>
      <c r="AB85" s="100" t="n">
        <f aca="false">AB78+AB80+AB83+AB84</f>
        <v>30545.456397333</v>
      </c>
      <c r="AC85" s="100" t="n">
        <f aca="false">AC78+AC80+AC83+AC84</f>
        <v>32003.6048062006</v>
      </c>
      <c r="AD85" s="100" t="n">
        <f aca="false">AD78+AD80+AD83+AD84</f>
        <v>33461.7532150682</v>
      </c>
      <c r="AE85" s="100" t="n">
        <f aca="false">AE78+AE80+AE83+AE84</f>
        <v>34919.9016239359</v>
      </c>
      <c r="AF85" s="100" t="n">
        <f aca="false">AF78+AF80+AF83+AF84</f>
        <v>36378.0500328035</v>
      </c>
      <c r="AG85" s="100" t="n">
        <f aca="false">AG78+AG80+AG83+AG84</f>
        <v>37836.1984416711</v>
      </c>
      <c r="AH85" s="100" t="n">
        <f aca="false">AH78+AH80+AH83+AH84</f>
        <v>37311.2574037388</v>
      </c>
      <c r="AI85" s="100" t="n">
        <f aca="false">AI78+AI80+AI83+AI84</f>
        <v>38769.4058126064</v>
      </c>
      <c r="AJ85" s="100" t="n">
        <f aca="false">AJ78+AJ80+AJ83+AJ84</f>
        <v>40227.554221474</v>
      </c>
      <c r="AK85" s="100" t="n">
        <f aca="false">AK78+AK80+AK83+AK84</f>
        <v>41685.7026303416</v>
      </c>
      <c r="AL85" s="100" t="n">
        <f aca="false">AL78+AL80+AL83+AL84</f>
        <v>43143.8510392093</v>
      </c>
      <c r="AM85" s="100" t="n">
        <f aca="false">AM78+AM80+AM83+AM84</f>
        <v>37382.681322779</v>
      </c>
      <c r="AN85" s="100" t="n">
        <f aca="false">AN78+AN80+AN83+AN84</f>
        <v>38664.5710462499</v>
      </c>
      <c r="AO85" s="100" t="n">
        <f aca="false">AO78+AO80+AO83+AO84</f>
        <v>39946.4607697208</v>
      </c>
      <c r="AP85" s="100" t="n">
        <f aca="false">AP78+AP80+AP83+AP84</f>
        <v>41228.3504931916</v>
      </c>
      <c r="AQ85" s="100" t="n">
        <f aca="false">AQ78+AQ80+AQ83+AQ84</f>
        <v>42510.2402166624</v>
      </c>
      <c r="AR85" s="100" t="n">
        <f aca="false">AR78+AR80+AR83+AR84</f>
        <v>43792.1299401333</v>
      </c>
      <c r="AS85" s="100" t="n">
        <f aca="false">AS78+AS80+AS83+AS84</f>
        <v>44115.5266829608</v>
      </c>
      <c r="AT85" s="100" t="n">
        <f aca="false">AT78+AT80+AT83+AT84</f>
        <v>44119.6933496275</v>
      </c>
      <c r="AU85" s="100" t="n">
        <f aca="false">AU78+AU80+AU83+AU84</f>
        <v>44123.8600162941</v>
      </c>
      <c r="AV85" s="100" t="n">
        <f aca="false">AV78+AV80+AV83+AV84</f>
        <v>44128.0266829608</v>
      </c>
      <c r="AW85" s="100" t="n">
        <f aca="false">AW78+AW80+AW83+AW84</f>
        <v>44132.1933496275</v>
      </c>
      <c r="AX85" s="100" t="n">
        <f aca="false">AX78+AX80+AX83+AX84</f>
        <v>-170889.921576626</v>
      </c>
      <c r="AY85" s="100" t="n">
        <f aca="false">AY78+AY80+AY83+AY84</f>
        <v>42449.870333702</v>
      </c>
      <c r="AZ85" s="100" t="n">
        <f aca="false">AZ78+AZ80+AZ83+AZ84</f>
        <v>42454.0370003687</v>
      </c>
      <c r="BA85" s="100" t="n">
        <f aca="false">BA78+BA80+BA83+BA84</f>
        <v>42458.2036670353</v>
      </c>
      <c r="BB85" s="100" t="n">
        <f aca="false">BB78+BB80+BB83+BB84</f>
        <v>42462.370333702</v>
      </c>
      <c r="BC85" s="100" t="n">
        <f aca="false">BC78+BC80+BC83+BC84</f>
        <v>42466.5370003687</v>
      </c>
      <c r="BD85" s="100" t="n">
        <f aca="false">BD78+BD80+BD83+BD84</f>
        <v>42470.7036670353</v>
      </c>
      <c r="BE85" s="100" t="n">
        <f aca="false">BE78+BE80+BE83+BE84</f>
        <v>42474.870333702</v>
      </c>
      <c r="BF85" s="100" t="n">
        <f aca="false">BF78+BF80+BF83+BF84</f>
        <v>42479.0370003687</v>
      </c>
      <c r="BG85" s="100" t="n">
        <f aca="false">BG78+BG80+BG83+BG84</f>
        <v>42483.2036670353</v>
      </c>
      <c r="BH85" s="100" t="n">
        <f aca="false">BH78+BH80+BH83+BH84</f>
        <v>42487.370333702</v>
      </c>
      <c r="BI85" s="100" t="n">
        <f aca="false">BI78+BI80+BI83+BI84</f>
        <v>42491.5370003687</v>
      </c>
      <c r="BJ85" s="100" t="n">
        <f aca="false">BJ78+BJ80+BJ83+BJ84</f>
        <v>-172562.068292298</v>
      </c>
      <c r="BK85" s="100" t="n">
        <f aca="false">BK78+BK80+BK83+BK84</f>
        <v>40802.1532939654</v>
      </c>
      <c r="BL85" s="100" t="n">
        <f aca="false">BL78+BL80+BL83+BL84</f>
        <v>40806.3199606321</v>
      </c>
      <c r="BM85" s="100" t="n">
        <f aca="false">BM78+BM80+BM83+BM84</f>
        <v>40810.4866272988</v>
      </c>
      <c r="BN85" s="100" t="n">
        <f aca="false">BN78+BN80+BN83+BN84</f>
        <v>40814.6532939654</v>
      </c>
      <c r="BO85" s="100" t="n">
        <f aca="false">BO78+BO80+BO83+BO84</f>
        <v>40818.8199606321</v>
      </c>
      <c r="BP85" s="100" t="n">
        <f aca="false">BP78+BP80+BP83+BP84</f>
        <v>40822.9866272988</v>
      </c>
      <c r="BQ85" s="100" t="n">
        <f aca="false">BQ78+BQ80+BQ83+BQ84</f>
        <v>40827.1532939654</v>
      </c>
      <c r="BR85" s="100" t="n">
        <f aca="false">BR78+BR80+BR83+BR84</f>
        <v>40831.3199606321</v>
      </c>
      <c r="BS85" s="100" t="n">
        <f aca="false">BS78+BS80+BS83+BS84</f>
        <v>40835.4866272988</v>
      </c>
      <c r="BT85" s="100" t="n">
        <f aca="false">BT78+BT80+BT83+BT84</f>
        <v>40839.6532939654</v>
      </c>
      <c r="BU85" s="100" t="n">
        <f aca="false">BU78+BU80+BU83+BU84</f>
        <v>40843.8199606321</v>
      </c>
      <c r="BV85" s="100" t="n">
        <f aca="false">BV78+BV80+BV83+BV84</f>
        <v>-166300.743541299</v>
      </c>
      <c r="BW85" s="100" t="n">
        <f aca="false">BW78+BW80+BW83+BW84</f>
        <v>39147.1637430368</v>
      </c>
      <c r="BX85" s="100" t="n">
        <f aca="false">BX78+BX80+BX83+BX84</f>
        <v>39151.3304097034</v>
      </c>
      <c r="BY85" s="100" t="n">
        <f aca="false">BY78+BY80+BY83+BY84</f>
        <v>39155.4970763701</v>
      </c>
      <c r="BZ85" s="100" t="n">
        <f aca="false">BZ78+BZ80+BZ83+BZ84</f>
        <v>39159.6637430368</v>
      </c>
      <c r="CA85" s="100" t="n">
        <f aca="false">CA78+CA80+CA83+CA84</f>
        <v>39163.8304097034</v>
      </c>
      <c r="CB85" s="100" t="n">
        <f aca="false">CB78+CB80+CB83+CB84</f>
        <v>39167.9970763701</v>
      </c>
      <c r="CC85" s="100" t="n">
        <f aca="false">CC78+CC80+CC83+CC84</f>
        <v>39172.1637430368</v>
      </c>
      <c r="CD85" s="100" t="n">
        <f aca="false">CD78+CD80+CD83+CD84</f>
        <v>39176.3304097034</v>
      </c>
      <c r="CE85" s="100" t="n">
        <f aca="false">CE78+CE80+CE83+CE84</f>
        <v>39180.4970763701</v>
      </c>
      <c r="CF85" s="100" t="n">
        <f aca="false">CF78+CF80+CF83+CF84</f>
        <v>39184.6637430368</v>
      </c>
      <c r="CG85" s="100" t="n">
        <f aca="false">CG78+CG80+CG83+CG84</f>
        <v>39188.8304097034</v>
      </c>
      <c r="CH85" s="100" t="n">
        <f aca="false">CH78+CH80+CH83+CH84</f>
        <v>-160011.78324777</v>
      </c>
    </row>
    <row r="86" customFormat="false" ht="13.5" hidden="false" customHeight="true" outlineLevel="0" collapsed="false">
      <c r="A86" s="46" t="s">
        <v>560</v>
      </c>
      <c r="C86" s="63" t="n">
        <f aca="false">C85</f>
        <v>147790.07716802</v>
      </c>
      <c r="D86" s="63" t="n">
        <f aca="false">C86+D85</f>
        <v>117118.781387919</v>
      </c>
      <c r="E86" s="63" t="n">
        <f aca="false">D86+E85</f>
        <v>93684.7294298152</v>
      </c>
      <c r="F86" s="63" t="n">
        <f aca="false">E86+F85</f>
        <v>73094.8158319771</v>
      </c>
      <c r="G86" s="63" t="n">
        <f aca="false">F86+G85</f>
        <v>54999.0240438801</v>
      </c>
      <c r="H86" s="63" t="n">
        <f aca="false">G86+H85</f>
        <v>39994.0753359287</v>
      </c>
      <c r="I86" s="63" t="n">
        <f aca="false">H86+I85</f>
        <v>30000</v>
      </c>
      <c r="J86" s="63" t="n">
        <f aca="false">I86+J85</f>
        <v>30000</v>
      </c>
      <c r="K86" s="63" t="n">
        <f aca="false">J86+K85</f>
        <v>30000</v>
      </c>
      <c r="L86" s="63" t="n">
        <f aca="false">K86+L85</f>
        <v>30000</v>
      </c>
      <c r="M86" s="63" t="n">
        <f aca="false">L86+M85</f>
        <v>32253.4759942428</v>
      </c>
      <c r="N86" s="63" t="n">
        <f aca="false">M86+N85</f>
        <v>41510.0004382928</v>
      </c>
      <c r="O86" s="63" t="n">
        <f aca="false">N86+O85</f>
        <v>51751.343057516</v>
      </c>
      <c r="P86" s="63" t="n">
        <f aca="false">O86+P85</f>
        <v>64547.2712167407</v>
      </c>
      <c r="Q86" s="63" t="n">
        <f aca="false">P86+Q85</f>
        <v>79843.6384508932</v>
      </c>
      <c r="R86" s="63" t="n">
        <f aca="false">Q86+R85</f>
        <v>97640.4447599736</v>
      </c>
      <c r="S86" s="63" t="n">
        <f aca="false">R86+S85</f>
        <v>117937.690143982</v>
      </c>
      <c r="T86" s="63" t="n">
        <f aca="false">S86+T85</f>
        <v>140735.374602918</v>
      </c>
      <c r="U86" s="63" t="n">
        <f aca="false">T86+U85</f>
        <v>164108.168576782</v>
      </c>
      <c r="V86" s="63" t="n">
        <f aca="false">U86+V85</f>
        <v>187716.308025574</v>
      </c>
      <c r="W86" s="63" t="n">
        <f aca="false">V86+W85</f>
        <v>213824.886549293</v>
      </c>
      <c r="X86" s="63" t="n">
        <f aca="false">W86+X85</f>
        <v>241756.037563768</v>
      </c>
      <c r="Y86" s="63" t="n">
        <f aca="false">X86+Y85</f>
        <v>271421.38570135</v>
      </c>
      <c r="Z86" s="63" t="n">
        <f aca="false">Y86+Z85</f>
        <v>302564.939672637</v>
      </c>
      <c r="AA86" s="63" t="n">
        <f aca="false">Z86+AA85</f>
        <v>331652.247661102</v>
      </c>
      <c r="AB86" s="63" t="n">
        <f aca="false">AA86+AB85</f>
        <v>362197.704058435</v>
      </c>
      <c r="AC86" s="63" t="n">
        <f aca="false">AB86+AC85</f>
        <v>394201.308864636</v>
      </c>
      <c r="AD86" s="63" t="n">
        <f aca="false">AC86+AD85</f>
        <v>427663.062079704</v>
      </c>
      <c r="AE86" s="63" t="n">
        <f aca="false">AD86+AE85</f>
        <v>462582.96370364</v>
      </c>
      <c r="AF86" s="63" t="n">
        <f aca="false">AE86+AF85</f>
        <v>498961.013736443</v>
      </c>
      <c r="AG86" s="63" t="n">
        <f aca="false">AF86+AG85</f>
        <v>536797.212178115</v>
      </c>
      <c r="AH86" s="63" t="n">
        <f aca="false">AG86+AH85</f>
        <v>574108.469581853</v>
      </c>
      <c r="AI86" s="63" t="n">
        <f aca="false">AH86+AI85</f>
        <v>612877.87539446</v>
      </c>
      <c r="AJ86" s="63" t="n">
        <f aca="false">AI86+AJ85</f>
        <v>653105.429615934</v>
      </c>
      <c r="AK86" s="63" t="n">
        <f aca="false">AJ86+AK85</f>
        <v>694791.132246275</v>
      </c>
      <c r="AL86" s="63" t="n">
        <f aca="false">AK86+AL85</f>
        <v>737934.983285485</v>
      </c>
      <c r="AM86" s="63" t="n">
        <f aca="false">AL86+AM85</f>
        <v>775317.664608264</v>
      </c>
      <c r="AN86" s="63" t="n">
        <f aca="false">AM86+AN85</f>
        <v>813982.235654513</v>
      </c>
      <c r="AO86" s="63" t="n">
        <f aca="false">AN86+AO85</f>
        <v>853928.696424234</v>
      </c>
      <c r="AP86" s="63" t="n">
        <f aca="false">AO86+AP85</f>
        <v>895157.046917426</v>
      </c>
      <c r="AQ86" s="63" t="n">
        <f aca="false">AP86+AQ85</f>
        <v>937667.287134088</v>
      </c>
      <c r="AR86" s="63" t="n">
        <f aca="false">AQ86+AR85</f>
        <v>981459.417074221</v>
      </c>
      <c r="AS86" s="63" t="n">
        <f aca="false">AR86+AS85</f>
        <v>1025574.94375718</v>
      </c>
      <c r="AT86" s="63" t="n">
        <f aca="false">AS86+AT85</f>
        <v>1069694.63710681</v>
      </c>
      <c r="AU86" s="63" t="n">
        <f aca="false">AT86+AU85</f>
        <v>1113818.4971231</v>
      </c>
      <c r="AV86" s="63" t="n">
        <f aca="false">AU86+AV85</f>
        <v>1157946.52380606</v>
      </c>
      <c r="AW86" s="63" t="n">
        <f aca="false">AV86+AW85</f>
        <v>1202078.71715569</v>
      </c>
      <c r="AX86" s="63" t="n">
        <f aca="false">AW86+AX85</f>
        <v>1031188.79557907</v>
      </c>
      <c r="AY86" s="63" t="n">
        <f aca="false">AX86+AY85</f>
        <v>1073638.66591277</v>
      </c>
      <c r="AZ86" s="63" t="n">
        <f aca="false">AY86+AZ85</f>
        <v>1116092.70291314</v>
      </c>
      <c r="BA86" s="63" t="n">
        <f aca="false">AZ86+BA85</f>
        <v>1158550.90658017</v>
      </c>
      <c r="BB86" s="63" t="n">
        <f aca="false">BA86+BB85</f>
        <v>1201013.27691387</v>
      </c>
      <c r="BC86" s="63" t="n">
        <f aca="false">BB86+BC85</f>
        <v>1243479.81391424</v>
      </c>
      <c r="BD86" s="63" t="n">
        <f aca="false">BC86+BD85</f>
        <v>1285950.51758128</v>
      </c>
      <c r="BE86" s="63" t="n">
        <f aca="false">BD86+BE85</f>
        <v>1328425.38791498</v>
      </c>
      <c r="BF86" s="63" t="n">
        <f aca="false">BE86+BF85</f>
        <v>1370904.42491535</v>
      </c>
      <c r="BG86" s="63" t="n">
        <f aca="false">BF86+BG85</f>
        <v>1413387.62858238</v>
      </c>
      <c r="BH86" s="63" t="n">
        <f aca="false">BG86+BH85</f>
        <v>1455874.99891609</v>
      </c>
      <c r="BI86" s="63" t="n">
        <f aca="false">BH86+BI85</f>
        <v>1498366.53591645</v>
      </c>
      <c r="BJ86" s="63" t="n">
        <f aca="false">BI86+BJ85</f>
        <v>1325804.46762416</v>
      </c>
      <c r="BK86" s="63" t="n">
        <f aca="false">BJ86+BK85</f>
        <v>1366606.62091812</v>
      </c>
      <c r="BL86" s="63" t="n">
        <f aca="false">BK86+BL85</f>
        <v>1407412.94087875</v>
      </c>
      <c r="BM86" s="63" t="n">
        <f aca="false">BL86+BM85</f>
        <v>1448223.42750605</v>
      </c>
      <c r="BN86" s="63" t="n">
        <f aca="false">BM86+BN85</f>
        <v>1489038.08080002</v>
      </c>
      <c r="BO86" s="63" t="n">
        <f aca="false">BN86+BO85</f>
        <v>1529856.90076065</v>
      </c>
      <c r="BP86" s="63" t="n">
        <f aca="false">BO86+BP85</f>
        <v>1570679.88738795</v>
      </c>
      <c r="BQ86" s="63" t="n">
        <f aca="false">BP86+BQ85</f>
        <v>1611507.04068191</v>
      </c>
      <c r="BR86" s="63" t="n">
        <f aca="false">BQ86+BR85</f>
        <v>1652338.36064255</v>
      </c>
      <c r="BS86" s="63" t="n">
        <f aca="false">BR86+BS85</f>
        <v>1693173.84726985</v>
      </c>
      <c r="BT86" s="63" t="n">
        <f aca="false">BS86+BT85</f>
        <v>1734013.50056381</v>
      </c>
      <c r="BU86" s="63" t="n">
        <f aca="false">BT86+BU85</f>
        <v>1774857.32052444</v>
      </c>
      <c r="BV86" s="63" t="n">
        <f aca="false">BU86+BV85</f>
        <v>1608556.57698314</v>
      </c>
      <c r="BW86" s="63" t="n">
        <f aca="false">BV86+BW85</f>
        <v>1647703.74072618</v>
      </c>
      <c r="BX86" s="63" t="n">
        <f aca="false">BW86+BX85</f>
        <v>1686855.07113588</v>
      </c>
      <c r="BY86" s="63" t="n">
        <f aca="false">BX86+BY85</f>
        <v>1726010.56821225</v>
      </c>
      <c r="BZ86" s="63" t="n">
        <f aca="false">BY86+BZ85</f>
        <v>1765170.23195529</v>
      </c>
      <c r="CA86" s="63" t="n">
        <f aca="false">BZ86+CA85</f>
        <v>1804334.06236499</v>
      </c>
      <c r="CB86" s="63" t="n">
        <f aca="false">CA86+CB85</f>
        <v>1843502.05944136</v>
      </c>
      <c r="CC86" s="63" t="n">
        <f aca="false">CB86+CC85</f>
        <v>1882674.2231844</v>
      </c>
      <c r="CD86" s="63" t="n">
        <f aca="false">CC86+CD85</f>
        <v>1921850.5535941</v>
      </c>
      <c r="CE86" s="63" t="n">
        <f aca="false">CD86+CE85</f>
        <v>1961031.05067047</v>
      </c>
      <c r="CF86" s="63" t="n">
        <f aca="false">CE86+CF85</f>
        <v>2000215.71441351</v>
      </c>
      <c r="CG86" s="63" t="n">
        <f aca="false">CF86+CG85</f>
        <v>2039404.54482321</v>
      </c>
      <c r="CH86" s="63" t="n">
        <f aca="false">CG86+CH85</f>
        <v>1879392.76157544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9" t="s">
        <v>561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</row>
    <row r="89" customFormat="false" ht="13.5" hidden="false" customHeight="true" outlineLevel="0" collapsed="false">
      <c r="A89" s="6" t="s">
        <v>562</v>
      </c>
      <c r="C89" s="100" t="n">
        <f aca="false">IF(Hipótesis!$D$94=5,0,Hipótesis!$D$93)</f>
        <v>0</v>
      </c>
      <c r="D89" s="100" t="n">
        <f aca="false">C89-C90</f>
        <v>0</v>
      </c>
      <c r="E89" s="100" t="n">
        <f aca="false">D89-D90</f>
        <v>0</v>
      </c>
      <c r="F89" s="100" t="n">
        <f aca="false">E89-E90</f>
        <v>0</v>
      </c>
      <c r="G89" s="100" t="n">
        <f aca="false">F89-F90</f>
        <v>0</v>
      </c>
      <c r="H89" s="100" t="n">
        <f aca="false">G89-G90</f>
        <v>0</v>
      </c>
      <c r="I89" s="100" t="n">
        <f aca="false">H89-H90</f>
        <v>0</v>
      </c>
      <c r="J89" s="100" t="n">
        <f aca="false">I89-I90</f>
        <v>0</v>
      </c>
      <c r="K89" s="100" t="n">
        <f aca="false">J89-J90</f>
        <v>0</v>
      </c>
      <c r="L89" s="100" t="n">
        <f aca="false">K89-K90</f>
        <v>0</v>
      </c>
      <c r="M89" s="100" t="n">
        <f aca="false">L89-L90</f>
        <v>0</v>
      </c>
      <c r="N89" s="100" t="n">
        <f aca="false">M89-M90</f>
        <v>0</v>
      </c>
      <c r="O89" s="100" t="n">
        <f aca="false">N89-N90</f>
        <v>0</v>
      </c>
      <c r="P89" s="100" t="n">
        <f aca="false">O89-O90</f>
        <v>0</v>
      </c>
      <c r="Q89" s="100" t="n">
        <f aca="false">P89-P90</f>
        <v>0</v>
      </c>
      <c r="R89" s="100" t="n">
        <f aca="false">Q89-Q90</f>
        <v>0</v>
      </c>
      <c r="S89" s="100" t="n">
        <f aca="false">R89-R90</f>
        <v>0</v>
      </c>
      <c r="T89" s="100" t="n">
        <f aca="false">S89-S90</f>
        <v>0</v>
      </c>
      <c r="U89" s="100" t="n">
        <f aca="false">T89-T90</f>
        <v>0</v>
      </c>
      <c r="V89" s="100" t="n">
        <f aca="false">U89-U90</f>
        <v>0</v>
      </c>
      <c r="W89" s="100" t="n">
        <f aca="false">V89-V90</f>
        <v>0</v>
      </c>
      <c r="X89" s="100" t="n">
        <f aca="false">W89-W90</f>
        <v>0</v>
      </c>
      <c r="Y89" s="100" t="n">
        <f aca="false">X89-X90</f>
        <v>0</v>
      </c>
      <c r="Z89" s="100" t="n">
        <f aca="false">Y89-Y90</f>
        <v>0</v>
      </c>
      <c r="AA89" s="100" t="n">
        <f aca="false">Z89-Z90</f>
        <v>0</v>
      </c>
      <c r="AB89" s="100" t="n">
        <f aca="false">AA89-AA90</f>
        <v>0</v>
      </c>
      <c r="AC89" s="100" t="n">
        <f aca="false">AB89-AB90</f>
        <v>0</v>
      </c>
      <c r="AD89" s="100" t="n">
        <f aca="false">AC89-AC90</f>
        <v>0</v>
      </c>
      <c r="AE89" s="100" t="n">
        <f aca="false">AD89-AD90</f>
        <v>0</v>
      </c>
      <c r="AF89" s="100" t="n">
        <f aca="false">AE89-AE90</f>
        <v>0</v>
      </c>
      <c r="AG89" s="100" t="n">
        <f aca="false">AF89-AF90</f>
        <v>0</v>
      </c>
      <c r="AH89" s="100" t="n">
        <f aca="false">AG89-AG90</f>
        <v>0</v>
      </c>
      <c r="AI89" s="100" t="n">
        <f aca="false">AH89-AH90</f>
        <v>0</v>
      </c>
      <c r="AJ89" s="100" t="n">
        <f aca="false">AI89-AI90</f>
        <v>0</v>
      </c>
      <c r="AK89" s="100" t="n">
        <f aca="false">AJ89-AJ90</f>
        <v>0</v>
      </c>
      <c r="AL89" s="100" t="n">
        <f aca="false">AK89-AK90</f>
        <v>0</v>
      </c>
      <c r="AM89" s="100" t="n">
        <f aca="false">AL89-AL90</f>
        <v>0</v>
      </c>
      <c r="AN89" s="100" t="n">
        <f aca="false">AM89-AM90</f>
        <v>0</v>
      </c>
      <c r="AO89" s="100" t="n">
        <f aca="false">AN89-AN90</f>
        <v>0</v>
      </c>
      <c r="AP89" s="100" t="n">
        <f aca="false">AO89-AO90</f>
        <v>0</v>
      </c>
      <c r="AQ89" s="100" t="n">
        <f aca="false">AP89-AP90</f>
        <v>0</v>
      </c>
      <c r="AR89" s="100" t="n">
        <f aca="false">AQ89-AQ90</f>
        <v>0</v>
      </c>
      <c r="AS89" s="100" t="n">
        <f aca="false">AR89-AR90</f>
        <v>0</v>
      </c>
      <c r="AT89" s="100" t="n">
        <f aca="false">AS89-AS90</f>
        <v>0</v>
      </c>
      <c r="AU89" s="100" t="n">
        <f aca="false">AT89-AT90</f>
        <v>0</v>
      </c>
      <c r="AV89" s="100" t="n">
        <f aca="false">AU89-AU90</f>
        <v>0</v>
      </c>
      <c r="AW89" s="100" t="n">
        <f aca="false">AV89-AV90</f>
        <v>0</v>
      </c>
      <c r="AX89" s="100" t="n">
        <f aca="false">AW89-AW90</f>
        <v>0</v>
      </c>
      <c r="AY89" s="100" t="n">
        <f aca="false">AX89-AX90</f>
        <v>0</v>
      </c>
      <c r="AZ89" s="100" t="n">
        <f aca="false">AY89-AY90</f>
        <v>0</v>
      </c>
      <c r="BA89" s="100" t="n">
        <f aca="false">AZ89-AZ90</f>
        <v>0</v>
      </c>
      <c r="BB89" s="100" t="n">
        <f aca="false">BA89-BA90</f>
        <v>0</v>
      </c>
      <c r="BC89" s="100" t="n">
        <f aca="false">BB89-BB90</f>
        <v>0</v>
      </c>
      <c r="BD89" s="100" t="n">
        <f aca="false">BC89-BC90</f>
        <v>0</v>
      </c>
      <c r="BE89" s="100" t="n">
        <f aca="false">BD89-BD90</f>
        <v>0</v>
      </c>
      <c r="BF89" s="100" t="n">
        <f aca="false">BE89-BE90</f>
        <v>0</v>
      </c>
      <c r="BG89" s="100" t="n">
        <f aca="false">BF89-BF90</f>
        <v>0</v>
      </c>
      <c r="BH89" s="100" t="n">
        <f aca="false">BG89-BG90</f>
        <v>0</v>
      </c>
      <c r="BI89" s="100" t="n">
        <f aca="false">BH89-BH90</f>
        <v>0</v>
      </c>
      <c r="BJ89" s="100" t="n">
        <f aca="false">BI89-BI90</f>
        <v>0</v>
      </c>
      <c r="BK89" s="100" t="n">
        <f aca="false">BJ89-BJ90</f>
        <v>0</v>
      </c>
      <c r="BL89" s="100" t="n">
        <f aca="false">BK89-BK90</f>
        <v>0</v>
      </c>
      <c r="BM89" s="100" t="n">
        <f aca="false">BL89-BL90</f>
        <v>0</v>
      </c>
      <c r="BN89" s="100" t="n">
        <f aca="false">BM89-BM90</f>
        <v>0</v>
      </c>
      <c r="BO89" s="100" t="n">
        <f aca="false">BN89-BN90</f>
        <v>0</v>
      </c>
      <c r="BP89" s="100" t="n">
        <f aca="false">BO89-BO90</f>
        <v>0</v>
      </c>
      <c r="BQ89" s="100" t="n">
        <f aca="false">BP89-BP90</f>
        <v>0</v>
      </c>
      <c r="BR89" s="100" t="n">
        <f aca="false">BQ89-BQ90</f>
        <v>0</v>
      </c>
      <c r="BS89" s="100" t="n">
        <f aca="false">BR89-BR90</f>
        <v>0</v>
      </c>
      <c r="BT89" s="100" t="n">
        <f aca="false">BS89-BS90</f>
        <v>0</v>
      </c>
      <c r="BU89" s="100" t="n">
        <f aca="false">BT89-BT90</f>
        <v>0</v>
      </c>
      <c r="BV89" s="100" t="n">
        <f aca="false">BU89-BU90</f>
        <v>0</v>
      </c>
      <c r="BW89" s="100" t="n">
        <f aca="false">BV89-BV90</f>
        <v>0</v>
      </c>
      <c r="BX89" s="100" t="n">
        <f aca="false">BW89-BW90</f>
        <v>0</v>
      </c>
      <c r="BY89" s="100" t="n">
        <f aca="false">BX89-BX90</f>
        <v>0</v>
      </c>
      <c r="BZ89" s="100" t="n">
        <f aca="false">BY89-BY90</f>
        <v>0</v>
      </c>
      <c r="CA89" s="100" t="n">
        <f aca="false">BZ89-BZ90</f>
        <v>0</v>
      </c>
      <c r="CB89" s="100" t="n">
        <f aca="false">CA89-CA90</f>
        <v>0</v>
      </c>
      <c r="CC89" s="100" t="n">
        <f aca="false">CB89-CB90</f>
        <v>0</v>
      </c>
      <c r="CD89" s="100" t="n">
        <f aca="false">CC89-CC90</f>
        <v>0</v>
      </c>
      <c r="CE89" s="100" t="n">
        <f aca="false">CD89-CD90</f>
        <v>0</v>
      </c>
      <c r="CF89" s="100" t="n">
        <f aca="false">CE89-CE90</f>
        <v>0</v>
      </c>
      <c r="CG89" s="100" t="n">
        <f aca="false">CF89-CF90</f>
        <v>0</v>
      </c>
      <c r="CH89" s="100" t="n">
        <f aca="false">CG89-CG90</f>
        <v>0</v>
      </c>
    </row>
    <row r="90" customFormat="false" ht="13.5" hidden="false" customHeight="true" outlineLevel="0" collapsed="false">
      <c r="A90" s="6" t="s">
        <v>563</v>
      </c>
      <c r="C90" s="100" t="n">
        <f aca="false">IF(1&lt;=Hipótesis!$D$97,0,IF(C89&gt;0,MIN(C89,Hipótesis!$D$93/MAX(Hipótesis!$D$96-Hipótesis!$D$97,1)),0))</f>
        <v>0</v>
      </c>
      <c r="D90" s="100" t="n">
        <f aca="false">IF(2&lt;=Hipótesis!$D$97,0,IF(D89&gt;0,MIN(D89,Hipótesis!$D$93/MAX(Hipótesis!$D$96-Hipótesis!$D$97,1)),0))</f>
        <v>0</v>
      </c>
      <c r="E90" s="100" t="n">
        <f aca="false">IF(3&lt;=Hipótesis!$D$97,0,IF(E89&gt;0,MIN(E89,Hipótesis!$D$93/MAX(Hipótesis!$D$96-Hipótesis!$D$97,1)),0))</f>
        <v>0</v>
      </c>
      <c r="F90" s="100" t="n">
        <f aca="false">IF(4&lt;=Hipótesis!$D$97,0,IF(F89&gt;0,MIN(F89,Hipótesis!$D$93/MAX(Hipótesis!$D$96-Hipótesis!$D$97,1)),0))</f>
        <v>0</v>
      </c>
      <c r="G90" s="100" t="n">
        <f aca="false">IF(5&lt;=Hipótesis!$D$97,0,IF(G89&gt;0,MIN(G89,Hipótesis!$D$93/MAX(Hipótesis!$D$96-Hipótesis!$D$97,1)),0))</f>
        <v>0</v>
      </c>
      <c r="H90" s="100" t="n">
        <f aca="false">IF(6&lt;=Hipótesis!$D$97,0,IF(H89&gt;0,MIN(H89,Hipótesis!$D$93/MAX(Hipótesis!$D$96-Hipótesis!$D$97,1)),0))</f>
        <v>0</v>
      </c>
      <c r="I90" s="100" t="n">
        <f aca="false">IF(7&lt;=Hipótesis!$D$97,0,IF(I89&gt;0,MIN(I89,Hipótesis!$D$93/MAX(Hipótesis!$D$96-Hipótesis!$D$97,1)),0))</f>
        <v>0</v>
      </c>
      <c r="J90" s="100" t="n">
        <f aca="false">IF(8&lt;=Hipótesis!$D$97,0,IF(J89&gt;0,MIN(J89,Hipótesis!$D$93/MAX(Hipótesis!$D$96-Hipótesis!$D$97,1)),0))</f>
        <v>0</v>
      </c>
      <c r="K90" s="100" t="n">
        <f aca="false">IF(9&lt;=Hipótesis!$D$97,0,IF(K89&gt;0,MIN(K89,Hipótesis!$D$93/MAX(Hipótesis!$D$96-Hipótesis!$D$97,1)),0))</f>
        <v>0</v>
      </c>
      <c r="L90" s="100" t="n">
        <f aca="false">IF(10&lt;=Hipótesis!$D$97,0,IF(L89&gt;0,MIN(L89,Hipótesis!$D$93/MAX(Hipótesis!$D$96-Hipótesis!$D$97,1)),0))</f>
        <v>0</v>
      </c>
      <c r="M90" s="100" t="n">
        <f aca="false">IF(11&lt;=Hipótesis!$D$97,0,IF(M89&gt;0,MIN(M89,Hipótesis!$D$93/MAX(Hipótesis!$D$96-Hipótesis!$D$97,1)),0))</f>
        <v>0</v>
      </c>
      <c r="N90" s="100" t="n">
        <f aca="false">IF(12&lt;=Hipótesis!$D$97,0,IF(N89&gt;0,MIN(N89,Hipótesis!$D$93/MAX(Hipótesis!$D$96-Hipótesis!$D$97,1)),0))</f>
        <v>0</v>
      </c>
      <c r="O90" s="100" t="n">
        <f aca="false">IF(13&lt;=Hipótesis!$D$97,0,IF(O89&gt;0,MIN(O89,Hipótesis!$D$93/MAX(Hipótesis!$D$96-Hipótesis!$D$97,1)),0))</f>
        <v>0</v>
      </c>
      <c r="P90" s="100" t="n">
        <f aca="false">IF(14&lt;=Hipótesis!$D$97,0,IF(P89&gt;0,MIN(P89,Hipótesis!$D$93/MAX(Hipótesis!$D$96-Hipótesis!$D$97,1)),0))</f>
        <v>0</v>
      </c>
      <c r="Q90" s="100" t="n">
        <f aca="false">IF(15&lt;=Hipótesis!$D$97,0,IF(Q89&gt;0,MIN(Q89,Hipótesis!$D$93/MAX(Hipótesis!$D$96-Hipótesis!$D$97,1)),0))</f>
        <v>0</v>
      </c>
      <c r="R90" s="100" t="n">
        <f aca="false">IF(16&lt;=Hipótesis!$D$97,0,IF(R89&gt;0,MIN(R89,Hipótesis!$D$93/MAX(Hipótesis!$D$96-Hipótesis!$D$97,1)),0))</f>
        <v>0</v>
      </c>
      <c r="S90" s="100" t="n">
        <f aca="false">IF(17&lt;=Hipótesis!$D$97,0,IF(S89&gt;0,MIN(S89,Hipótesis!$D$93/MAX(Hipótesis!$D$96-Hipótesis!$D$97,1)),0))</f>
        <v>0</v>
      </c>
      <c r="T90" s="100" t="n">
        <f aca="false">IF(18&lt;=Hipótesis!$D$97,0,IF(T89&gt;0,MIN(T89,Hipótesis!$D$93/MAX(Hipótesis!$D$96-Hipótesis!$D$97,1)),0))</f>
        <v>0</v>
      </c>
      <c r="U90" s="100" t="n">
        <f aca="false">IF(19&lt;=Hipótesis!$D$97,0,IF(U89&gt;0,MIN(U89,Hipótesis!$D$93/MAX(Hipótesis!$D$96-Hipótesis!$D$97,1)),0))</f>
        <v>0</v>
      </c>
      <c r="V90" s="100" t="n">
        <f aca="false">IF(20&lt;=Hipótesis!$D$97,0,IF(V89&gt;0,MIN(V89,Hipótesis!$D$93/MAX(Hipótesis!$D$96-Hipótesis!$D$97,1)),0))</f>
        <v>0</v>
      </c>
      <c r="W90" s="100" t="n">
        <f aca="false">IF(21&lt;=Hipótesis!$D$97,0,IF(W89&gt;0,MIN(W89,Hipótesis!$D$93/MAX(Hipótesis!$D$96-Hipótesis!$D$97,1)),0))</f>
        <v>0</v>
      </c>
      <c r="X90" s="100" t="n">
        <f aca="false">IF(22&lt;=Hipótesis!$D$97,0,IF(X89&gt;0,MIN(X89,Hipótesis!$D$93/MAX(Hipótesis!$D$96-Hipótesis!$D$97,1)),0))</f>
        <v>0</v>
      </c>
      <c r="Y90" s="100" t="n">
        <f aca="false">IF(23&lt;=Hipótesis!$D$97,0,IF(Y89&gt;0,MIN(Y89,Hipótesis!$D$93/MAX(Hipótesis!$D$96-Hipótesis!$D$97,1)),0))</f>
        <v>0</v>
      </c>
      <c r="Z90" s="100" t="n">
        <f aca="false">IF(24&lt;=Hipótesis!$D$97,0,IF(Z89&gt;0,MIN(Z89,Hipótesis!$D$93/MAX(Hipótesis!$D$96-Hipótesis!$D$97,1)),0))</f>
        <v>0</v>
      </c>
      <c r="AA90" s="100" t="n">
        <f aca="false">IF(25&lt;=Hipótesis!$D$97,0,IF(AA89&gt;0,MIN(AA89,Hipótesis!$D$93/MAX(Hipótesis!$D$96-Hipótesis!$D$97,1)),0))</f>
        <v>0</v>
      </c>
      <c r="AB90" s="100" t="n">
        <f aca="false">IF(26&lt;=Hipótesis!$D$97,0,IF(AB89&gt;0,MIN(AB89,Hipótesis!$D$93/MAX(Hipótesis!$D$96-Hipótesis!$D$97,1)),0))</f>
        <v>0</v>
      </c>
      <c r="AC90" s="100" t="n">
        <f aca="false">IF(27&lt;=Hipótesis!$D$97,0,IF(AC89&gt;0,MIN(AC89,Hipótesis!$D$93/MAX(Hipótesis!$D$96-Hipótesis!$D$97,1)),0))</f>
        <v>0</v>
      </c>
      <c r="AD90" s="100" t="n">
        <f aca="false">IF(28&lt;=Hipótesis!$D$97,0,IF(AD89&gt;0,MIN(AD89,Hipótesis!$D$93/MAX(Hipótesis!$D$96-Hipótesis!$D$97,1)),0))</f>
        <v>0</v>
      </c>
      <c r="AE90" s="100" t="n">
        <f aca="false">IF(29&lt;=Hipótesis!$D$97,0,IF(AE89&gt;0,MIN(AE89,Hipótesis!$D$93/MAX(Hipótesis!$D$96-Hipótesis!$D$97,1)),0))</f>
        <v>0</v>
      </c>
      <c r="AF90" s="100" t="n">
        <f aca="false">IF(30&lt;=Hipótesis!$D$97,0,IF(AF89&gt;0,MIN(AF89,Hipótesis!$D$93/MAX(Hipótesis!$D$96-Hipótesis!$D$97,1)),0))</f>
        <v>0</v>
      </c>
      <c r="AG90" s="100" t="n">
        <f aca="false">IF(31&lt;=Hipótesis!$D$97,0,IF(AG89&gt;0,MIN(AG89,Hipótesis!$D$93/MAX(Hipótesis!$D$96-Hipótesis!$D$97,1)),0))</f>
        <v>0</v>
      </c>
      <c r="AH90" s="100" t="n">
        <f aca="false">IF(32&lt;=Hipótesis!$D$97,0,IF(AH89&gt;0,MIN(AH89,Hipótesis!$D$93/MAX(Hipótesis!$D$96-Hipótesis!$D$97,1)),0))</f>
        <v>0</v>
      </c>
      <c r="AI90" s="100" t="n">
        <f aca="false">IF(33&lt;=Hipótesis!$D$97,0,IF(AI89&gt;0,MIN(AI89,Hipótesis!$D$93/MAX(Hipótesis!$D$96-Hipótesis!$D$97,1)),0))</f>
        <v>0</v>
      </c>
      <c r="AJ90" s="100" t="n">
        <f aca="false">IF(34&lt;=Hipótesis!$D$97,0,IF(AJ89&gt;0,MIN(AJ89,Hipótesis!$D$93/MAX(Hipótesis!$D$96-Hipótesis!$D$97,1)),0))</f>
        <v>0</v>
      </c>
      <c r="AK90" s="100" t="n">
        <f aca="false">IF(35&lt;=Hipótesis!$D$97,0,IF(AK89&gt;0,MIN(AK89,Hipótesis!$D$93/MAX(Hipótesis!$D$96-Hipótesis!$D$97,1)),0))</f>
        <v>0</v>
      </c>
      <c r="AL90" s="100" t="n">
        <f aca="false">IF(36&lt;=Hipótesis!$D$97,0,IF(AL89&gt;0,MIN(AL89,Hipótesis!$D$93/MAX(Hipótesis!$D$96-Hipótesis!$D$97,1)),0))</f>
        <v>0</v>
      </c>
      <c r="AM90" s="100" t="n">
        <f aca="false">IF(37&lt;=Hipótesis!$D$97,0,IF(AM89&gt;0,MIN(AM89,Hipótesis!$D$93/MAX(Hipótesis!$D$96-Hipótesis!$D$97,1)),0))</f>
        <v>0</v>
      </c>
      <c r="AN90" s="100" t="n">
        <f aca="false">IF(38&lt;=Hipótesis!$D$97,0,IF(AN89&gt;0,MIN(AN89,Hipótesis!$D$93/MAX(Hipótesis!$D$96-Hipótesis!$D$97,1)),0))</f>
        <v>0</v>
      </c>
      <c r="AO90" s="100" t="n">
        <f aca="false">IF(39&lt;=Hipótesis!$D$97,0,IF(AO89&gt;0,MIN(AO89,Hipótesis!$D$93/MAX(Hipótesis!$D$96-Hipótesis!$D$97,1)),0))</f>
        <v>0</v>
      </c>
      <c r="AP90" s="100" t="n">
        <f aca="false">IF(40&lt;=Hipótesis!$D$97,0,IF(AP89&gt;0,MIN(AP89,Hipótesis!$D$93/MAX(Hipótesis!$D$96-Hipótesis!$D$97,1)),0))</f>
        <v>0</v>
      </c>
      <c r="AQ90" s="100" t="n">
        <f aca="false">IF(41&lt;=Hipótesis!$D$97,0,IF(AQ89&gt;0,MIN(AQ89,Hipótesis!$D$93/MAX(Hipótesis!$D$96-Hipótesis!$D$97,1)),0))</f>
        <v>0</v>
      </c>
      <c r="AR90" s="100" t="n">
        <f aca="false">IF(42&lt;=Hipótesis!$D$97,0,IF(AR89&gt;0,MIN(AR89,Hipótesis!$D$93/MAX(Hipótesis!$D$96-Hipótesis!$D$97,1)),0))</f>
        <v>0</v>
      </c>
      <c r="AS90" s="100" t="n">
        <f aca="false">IF(43&lt;=Hipótesis!$D$97,0,IF(AS89&gt;0,MIN(AS89,Hipótesis!$D$93/MAX(Hipótesis!$D$96-Hipótesis!$D$97,1)),0))</f>
        <v>0</v>
      </c>
      <c r="AT90" s="100" t="n">
        <f aca="false">IF(44&lt;=Hipótesis!$D$97,0,IF(AT89&gt;0,MIN(AT89,Hipótesis!$D$93/MAX(Hipótesis!$D$96-Hipótesis!$D$97,1)),0))</f>
        <v>0</v>
      </c>
      <c r="AU90" s="100" t="n">
        <f aca="false">IF(45&lt;=Hipótesis!$D$97,0,IF(AU89&gt;0,MIN(AU89,Hipótesis!$D$93/MAX(Hipótesis!$D$96-Hipótesis!$D$97,1)),0))</f>
        <v>0</v>
      </c>
      <c r="AV90" s="100" t="n">
        <f aca="false">IF(46&lt;=Hipótesis!$D$97,0,IF(AV89&gt;0,MIN(AV89,Hipótesis!$D$93/MAX(Hipótesis!$D$96-Hipótesis!$D$97,1)),0))</f>
        <v>0</v>
      </c>
      <c r="AW90" s="100" t="n">
        <f aca="false">IF(47&lt;=Hipótesis!$D$97,0,IF(AW89&gt;0,MIN(AW89,Hipótesis!$D$93/MAX(Hipótesis!$D$96-Hipótesis!$D$97,1)),0))</f>
        <v>0</v>
      </c>
      <c r="AX90" s="100" t="n">
        <f aca="false">IF(48&lt;=Hipótesis!$D$97,0,IF(AX89&gt;0,MIN(AX89,Hipótesis!$D$93/MAX(Hipótesis!$D$96-Hipótesis!$D$97,1)),0))</f>
        <v>0</v>
      </c>
      <c r="AY90" s="100" t="n">
        <f aca="false">IF(49&lt;=Hipótesis!$D$97,0,IF(AY89&gt;0,MIN(AY89,Hipótesis!$D$93/MAX(Hipótesis!$D$96-Hipótesis!$D$97,1)),0))</f>
        <v>0</v>
      </c>
      <c r="AZ90" s="100" t="n">
        <f aca="false">IF(50&lt;=Hipótesis!$D$97,0,IF(AZ89&gt;0,MIN(AZ89,Hipótesis!$D$93/MAX(Hipótesis!$D$96-Hipótesis!$D$97,1)),0))</f>
        <v>0</v>
      </c>
      <c r="BA90" s="100" t="n">
        <f aca="false">IF(51&lt;=Hipótesis!$D$97,0,IF(BA89&gt;0,MIN(BA89,Hipótesis!$D$93/MAX(Hipótesis!$D$96-Hipótesis!$D$97,1)),0))</f>
        <v>0</v>
      </c>
      <c r="BB90" s="100" t="n">
        <f aca="false">IF(52&lt;=Hipótesis!$D$97,0,IF(BB89&gt;0,MIN(BB89,Hipótesis!$D$93/MAX(Hipótesis!$D$96-Hipótesis!$D$97,1)),0))</f>
        <v>0</v>
      </c>
      <c r="BC90" s="100" t="n">
        <f aca="false">IF(53&lt;=Hipótesis!$D$97,0,IF(BC89&gt;0,MIN(BC89,Hipótesis!$D$93/MAX(Hipótesis!$D$96-Hipótesis!$D$97,1)),0))</f>
        <v>0</v>
      </c>
      <c r="BD90" s="100" t="n">
        <f aca="false">IF(54&lt;=Hipótesis!$D$97,0,IF(BD89&gt;0,MIN(BD89,Hipótesis!$D$93/MAX(Hipótesis!$D$96-Hipótesis!$D$97,1)),0))</f>
        <v>0</v>
      </c>
      <c r="BE90" s="100" t="n">
        <f aca="false">IF(55&lt;=Hipótesis!$D$97,0,IF(BE89&gt;0,MIN(BE89,Hipótesis!$D$93/MAX(Hipótesis!$D$96-Hipótesis!$D$97,1)),0))</f>
        <v>0</v>
      </c>
      <c r="BF90" s="100" t="n">
        <f aca="false">IF(56&lt;=Hipótesis!$D$97,0,IF(BF89&gt;0,MIN(BF89,Hipótesis!$D$93/MAX(Hipótesis!$D$96-Hipótesis!$D$97,1)),0))</f>
        <v>0</v>
      </c>
      <c r="BG90" s="100" t="n">
        <f aca="false">IF(57&lt;=Hipótesis!$D$97,0,IF(BG89&gt;0,MIN(BG89,Hipótesis!$D$93/MAX(Hipótesis!$D$96-Hipótesis!$D$97,1)),0))</f>
        <v>0</v>
      </c>
      <c r="BH90" s="100" t="n">
        <f aca="false">IF(58&lt;=Hipótesis!$D$97,0,IF(BH89&gt;0,MIN(BH89,Hipótesis!$D$93/MAX(Hipótesis!$D$96-Hipótesis!$D$97,1)),0))</f>
        <v>0</v>
      </c>
      <c r="BI90" s="100" t="n">
        <f aca="false">IF(59&lt;=Hipótesis!$D$97,0,IF(BI89&gt;0,MIN(BI89,Hipótesis!$D$93/MAX(Hipótesis!$D$96-Hipótesis!$D$97,1)),0))</f>
        <v>0</v>
      </c>
      <c r="BJ90" s="100" t="n">
        <f aca="false">IF(60&lt;=Hipótesis!$D$97,0,IF(BJ89&gt;0,MIN(BJ89,Hipótesis!$D$93/MAX(Hipótesis!$D$96-Hipótesis!$D$97,1)),0))</f>
        <v>0</v>
      </c>
      <c r="BK90" s="100" t="n">
        <f aca="false">IF(61&lt;=Hipótesis!$D$97,0,IF(BK89&gt;0,MIN(BK89,Hipótesis!$D$93/MAX(Hipótesis!$D$96-Hipótesis!$D$97,1)),0))</f>
        <v>0</v>
      </c>
      <c r="BL90" s="100" t="n">
        <f aca="false">IF(62&lt;=Hipótesis!$D$97,0,IF(BL89&gt;0,MIN(BL89,Hipótesis!$D$93/MAX(Hipótesis!$D$96-Hipótesis!$D$97,1)),0))</f>
        <v>0</v>
      </c>
      <c r="BM90" s="100" t="n">
        <f aca="false">IF(63&lt;=Hipótesis!$D$97,0,IF(BM89&gt;0,MIN(BM89,Hipótesis!$D$93/MAX(Hipótesis!$D$96-Hipótesis!$D$97,1)),0))</f>
        <v>0</v>
      </c>
      <c r="BN90" s="100" t="n">
        <f aca="false">IF(64&lt;=Hipótesis!$D$97,0,IF(BN89&gt;0,MIN(BN89,Hipótesis!$D$93/MAX(Hipótesis!$D$96-Hipótesis!$D$97,1)),0))</f>
        <v>0</v>
      </c>
      <c r="BO90" s="100" t="n">
        <f aca="false">IF(65&lt;=Hipótesis!$D$97,0,IF(BO89&gt;0,MIN(BO89,Hipótesis!$D$93/MAX(Hipótesis!$D$96-Hipótesis!$D$97,1)),0))</f>
        <v>0</v>
      </c>
      <c r="BP90" s="100" t="n">
        <f aca="false">IF(66&lt;=Hipótesis!$D$97,0,IF(BP89&gt;0,MIN(BP89,Hipótesis!$D$93/MAX(Hipótesis!$D$96-Hipótesis!$D$97,1)),0))</f>
        <v>0</v>
      </c>
      <c r="BQ90" s="100" t="n">
        <f aca="false">IF(67&lt;=Hipótesis!$D$97,0,IF(BQ89&gt;0,MIN(BQ89,Hipótesis!$D$93/MAX(Hipótesis!$D$96-Hipótesis!$D$97,1)),0))</f>
        <v>0</v>
      </c>
      <c r="BR90" s="100" t="n">
        <f aca="false">IF(68&lt;=Hipótesis!$D$97,0,IF(BR89&gt;0,MIN(BR89,Hipótesis!$D$93/MAX(Hipótesis!$D$96-Hipótesis!$D$97,1)),0))</f>
        <v>0</v>
      </c>
      <c r="BS90" s="100" t="n">
        <f aca="false">IF(69&lt;=Hipótesis!$D$97,0,IF(BS89&gt;0,MIN(BS89,Hipótesis!$D$93/MAX(Hipótesis!$D$96-Hipótesis!$D$97,1)),0))</f>
        <v>0</v>
      </c>
      <c r="BT90" s="100" t="n">
        <f aca="false">IF(70&lt;=Hipótesis!$D$97,0,IF(BT89&gt;0,MIN(BT89,Hipótesis!$D$93/MAX(Hipótesis!$D$96-Hipótesis!$D$97,1)),0))</f>
        <v>0</v>
      </c>
      <c r="BU90" s="100" t="n">
        <f aca="false">IF(71&lt;=Hipótesis!$D$97,0,IF(BU89&gt;0,MIN(BU89,Hipótesis!$D$93/MAX(Hipótesis!$D$96-Hipótesis!$D$97,1)),0))</f>
        <v>0</v>
      </c>
      <c r="BV90" s="100" t="n">
        <f aca="false">IF(72&lt;=Hipótesis!$D$97,0,IF(BV89&gt;0,MIN(BV89,Hipótesis!$D$93/MAX(Hipótesis!$D$96-Hipótesis!$D$97,1)),0))</f>
        <v>0</v>
      </c>
      <c r="BW90" s="100" t="n">
        <f aca="false">IF(73&lt;=Hipótesis!$D$97,0,IF(BW89&gt;0,MIN(BW89,Hipótesis!$D$93/MAX(Hipótesis!$D$96-Hipótesis!$D$97,1)),0))</f>
        <v>0</v>
      </c>
      <c r="BX90" s="100" t="n">
        <f aca="false">IF(74&lt;=Hipótesis!$D$97,0,IF(BX89&gt;0,MIN(BX89,Hipótesis!$D$93/MAX(Hipótesis!$D$96-Hipótesis!$D$97,1)),0))</f>
        <v>0</v>
      </c>
      <c r="BY90" s="100" t="n">
        <f aca="false">IF(75&lt;=Hipótesis!$D$97,0,IF(BY89&gt;0,MIN(BY89,Hipótesis!$D$93/MAX(Hipótesis!$D$96-Hipótesis!$D$97,1)),0))</f>
        <v>0</v>
      </c>
      <c r="BZ90" s="100" t="n">
        <f aca="false">IF(76&lt;=Hipótesis!$D$97,0,IF(BZ89&gt;0,MIN(BZ89,Hipótesis!$D$93/MAX(Hipótesis!$D$96-Hipótesis!$D$97,1)),0))</f>
        <v>0</v>
      </c>
      <c r="CA90" s="100" t="n">
        <f aca="false">IF(77&lt;=Hipótesis!$D$97,0,IF(CA89&gt;0,MIN(CA89,Hipótesis!$D$93/MAX(Hipótesis!$D$96-Hipótesis!$D$97,1)),0))</f>
        <v>0</v>
      </c>
      <c r="CB90" s="100" t="n">
        <f aca="false">IF(78&lt;=Hipótesis!$D$97,0,IF(CB89&gt;0,MIN(CB89,Hipótesis!$D$93/MAX(Hipótesis!$D$96-Hipótesis!$D$97,1)),0))</f>
        <v>0</v>
      </c>
      <c r="CC90" s="100" t="n">
        <f aca="false">IF(79&lt;=Hipótesis!$D$97,0,IF(CC89&gt;0,MIN(CC89,Hipótesis!$D$93/MAX(Hipótesis!$D$96-Hipótesis!$D$97,1)),0))</f>
        <v>0</v>
      </c>
      <c r="CD90" s="100" t="n">
        <f aca="false">IF(80&lt;=Hipótesis!$D$97,0,IF(CD89&gt;0,MIN(CD89,Hipótesis!$D$93/MAX(Hipótesis!$D$96-Hipótesis!$D$97,1)),0))</f>
        <v>0</v>
      </c>
      <c r="CE90" s="100" t="n">
        <f aca="false">IF(81&lt;=Hipótesis!$D$97,0,IF(CE89&gt;0,MIN(CE89,Hipótesis!$D$93/MAX(Hipótesis!$D$96-Hipótesis!$D$97,1)),0))</f>
        <v>0</v>
      </c>
      <c r="CF90" s="100" t="n">
        <f aca="false">IF(82&lt;=Hipótesis!$D$97,0,IF(CF89&gt;0,MIN(CF89,Hipótesis!$D$93/MAX(Hipótesis!$D$96-Hipótesis!$D$97,1)),0))</f>
        <v>0</v>
      </c>
      <c r="CG90" s="100" t="n">
        <f aca="false">IF(83&lt;=Hipótesis!$D$97,0,IF(CG89&gt;0,MIN(CG89,Hipótesis!$D$93/MAX(Hipótesis!$D$96-Hipótesis!$D$97,1)),0))</f>
        <v>0</v>
      </c>
      <c r="CH90" s="100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6" t="s">
        <v>564</v>
      </c>
      <c r="C91" s="100" t="n">
        <f aca="false">C89*Hipótesis!$D$95/12</f>
        <v>0</v>
      </c>
      <c r="D91" s="100" t="n">
        <f aca="false">D89*Hipótesis!$D$95/12</f>
        <v>0</v>
      </c>
      <c r="E91" s="100" t="n">
        <f aca="false">E89*Hipótesis!$D$95/12</f>
        <v>0</v>
      </c>
      <c r="F91" s="100" t="n">
        <f aca="false">F89*Hipótesis!$D$95/12</f>
        <v>0</v>
      </c>
      <c r="G91" s="100" t="n">
        <f aca="false">G89*Hipótesis!$D$95/12</f>
        <v>0</v>
      </c>
      <c r="H91" s="100" t="n">
        <f aca="false">H89*Hipótesis!$D$95/12</f>
        <v>0</v>
      </c>
      <c r="I91" s="100" t="n">
        <f aca="false">I89*Hipótesis!$D$95/12</f>
        <v>0</v>
      </c>
      <c r="J91" s="100" t="n">
        <f aca="false">J89*Hipótesis!$D$95/12</f>
        <v>0</v>
      </c>
      <c r="K91" s="100" t="n">
        <f aca="false">K89*Hipótesis!$D$95/12</f>
        <v>0</v>
      </c>
      <c r="L91" s="100" t="n">
        <f aca="false">L89*Hipótesis!$D$95/12</f>
        <v>0</v>
      </c>
      <c r="M91" s="100" t="n">
        <f aca="false">M89*Hipótesis!$D$95/12</f>
        <v>0</v>
      </c>
      <c r="N91" s="100" t="n">
        <f aca="false">N89*Hipótesis!$D$95/12</f>
        <v>0</v>
      </c>
      <c r="O91" s="100" t="n">
        <f aca="false">O89*Hipótesis!$D$95/12</f>
        <v>0</v>
      </c>
      <c r="P91" s="100" t="n">
        <f aca="false">P89*Hipótesis!$D$95/12</f>
        <v>0</v>
      </c>
      <c r="Q91" s="100" t="n">
        <f aca="false">Q89*Hipótesis!$D$95/12</f>
        <v>0</v>
      </c>
      <c r="R91" s="100" t="n">
        <f aca="false">R89*Hipótesis!$D$95/12</f>
        <v>0</v>
      </c>
      <c r="S91" s="100" t="n">
        <f aca="false">S89*Hipótesis!$D$95/12</f>
        <v>0</v>
      </c>
      <c r="T91" s="100" t="n">
        <f aca="false">T89*Hipótesis!$D$95/12</f>
        <v>0</v>
      </c>
      <c r="U91" s="100" t="n">
        <f aca="false">U89*Hipótesis!$D$95/12</f>
        <v>0</v>
      </c>
      <c r="V91" s="100" t="n">
        <f aca="false">V89*Hipótesis!$D$95/12</f>
        <v>0</v>
      </c>
      <c r="W91" s="100" t="n">
        <f aca="false">W89*Hipótesis!$D$95/12</f>
        <v>0</v>
      </c>
      <c r="X91" s="100" t="n">
        <f aca="false">X89*Hipótesis!$D$95/12</f>
        <v>0</v>
      </c>
      <c r="Y91" s="100" t="n">
        <f aca="false">Y89*Hipótesis!$D$95/12</f>
        <v>0</v>
      </c>
      <c r="Z91" s="100" t="n">
        <f aca="false">Z89*Hipótesis!$D$95/12</f>
        <v>0</v>
      </c>
      <c r="AA91" s="100" t="n">
        <f aca="false">AA89*Hipótesis!$D$95/12</f>
        <v>0</v>
      </c>
      <c r="AB91" s="100" t="n">
        <f aca="false">AB89*Hipótesis!$D$95/12</f>
        <v>0</v>
      </c>
      <c r="AC91" s="100" t="n">
        <f aca="false">AC89*Hipótesis!$D$95/12</f>
        <v>0</v>
      </c>
      <c r="AD91" s="100" t="n">
        <f aca="false">AD89*Hipótesis!$D$95/12</f>
        <v>0</v>
      </c>
      <c r="AE91" s="100" t="n">
        <f aca="false">AE89*Hipótesis!$D$95/12</f>
        <v>0</v>
      </c>
      <c r="AF91" s="100" t="n">
        <f aca="false">AF89*Hipótesis!$D$95/12</f>
        <v>0</v>
      </c>
      <c r="AG91" s="100" t="n">
        <f aca="false">AG89*Hipótesis!$D$95/12</f>
        <v>0</v>
      </c>
      <c r="AH91" s="100" t="n">
        <f aca="false">AH89*Hipótesis!$D$95/12</f>
        <v>0</v>
      </c>
      <c r="AI91" s="100" t="n">
        <f aca="false">AI89*Hipótesis!$D$95/12</f>
        <v>0</v>
      </c>
      <c r="AJ91" s="100" t="n">
        <f aca="false">AJ89*Hipótesis!$D$95/12</f>
        <v>0</v>
      </c>
      <c r="AK91" s="100" t="n">
        <f aca="false">AK89*Hipótesis!$D$95/12</f>
        <v>0</v>
      </c>
      <c r="AL91" s="100" t="n">
        <f aca="false">AL89*Hipótesis!$D$95/12</f>
        <v>0</v>
      </c>
      <c r="AM91" s="100" t="n">
        <f aca="false">AM89*Hipótesis!$D$95/12</f>
        <v>0</v>
      </c>
      <c r="AN91" s="100" t="n">
        <f aca="false">AN89*Hipótesis!$D$95/12</f>
        <v>0</v>
      </c>
      <c r="AO91" s="100" t="n">
        <f aca="false">AO89*Hipótesis!$D$95/12</f>
        <v>0</v>
      </c>
      <c r="AP91" s="100" t="n">
        <f aca="false">AP89*Hipótesis!$D$95/12</f>
        <v>0</v>
      </c>
      <c r="AQ91" s="100" t="n">
        <f aca="false">AQ89*Hipótesis!$D$95/12</f>
        <v>0</v>
      </c>
      <c r="AR91" s="100" t="n">
        <f aca="false">AR89*Hipótesis!$D$95/12</f>
        <v>0</v>
      </c>
      <c r="AS91" s="100" t="n">
        <f aca="false">AS89*Hipótesis!$D$95/12</f>
        <v>0</v>
      </c>
      <c r="AT91" s="100" t="n">
        <f aca="false">AT89*Hipótesis!$D$95/12</f>
        <v>0</v>
      </c>
      <c r="AU91" s="100" t="n">
        <f aca="false">AU89*Hipótesis!$D$95/12</f>
        <v>0</v>
      </c>
      <c r="AV91" s="100" t="n">
        <f aca="false">AV89*Hipótesis!$D$95/12</f>
        <v>0</v>
      </c>
      <c r="AW91" s="100" t="n">
        <f aca="false">AW89*Hipótesis!$D$95/12</f>
        <v>0</v>
      </c>
      <c r="AX91" s="100" t="n">
        <f aca="false">AX89*Hipótesis!$D$95/12</f>
        <v>0</v>
      </c>
      <c r="AY91" s="100" t="n">
        <f aca="false">AY89*Hipótesis!$D$95/12</f>
        <v>0</v>
      </c>
      <c r="AZ91" s="100" t="n">
        <f aca="false">AZ89*Hipótesis!$D$95/12</f>
        <v>0</v>
      </c>
      <c r="BA91" s="100" t="n">
        <f aca="false">BA89*Hipótesis!$D$95/12</f>
        <v>0</v>
      </c>
      <c r="BB91" s="100" t="n">
        <f aca="false">BB89*Hipótesis!$D$95/12</f>
        <v>0</v>
      </c>
      <c r="BC91" s="100" t="n">
        <f aca="false">BC89*Hipótesis!$D$95/12</f>
        <v>0</v>
      </c>
      <c r="BD91" s="100" t="n">
        <f aca="false">BD89*Hipótesis!$D$95/12</f>
        <v>0</v>
      </c>
      <c r="BE91" s="100" t="n">
        <f aca="false">BE89*Hipótesis!$D$95/12</f>
        <v>0</v>
      </c>
      <c r="BF91" s="100" t="n">
        <f aca="false">BF89*Hipótesis!$D$95/12</f>
        <v>0</v>
      </c>
      <c r="BG91" s="100" t="n">
        <f aca="false">BG89*Hipótesis!$D$95/12</f>
        <v>0</v>
      </c>
      <c r="BH91" s="100" t="n">
        <f aca="false">BH89*Hipótesis!$D$95/12</f>
        <v>0</v>
      </c>
      <c r="BI91" s="100" t="n">
        <f aca="false">BI89*Hipótesis!$D$95/12</f>
        <v>0</v>
      </c>
      <c r="BJ91" s="100" t="n">
        <f aca="false">BJ89*Hipótesis!$D$95/12</f>
        <v>0</v>
      </c>
      <c r="BK91" s="100" t="n">
        <f aca="false">BK89*Hipótesis!$D$95/12</f>
        <v>0</v>
      </c>
      <c r="BL91" s="100" t="n">
        <f aca="false">BL89*Hipótesis!$D$95/12</f>
        <v>0</v>
      </c>
      <c r="BM91" s="100" t="n">
        <f aca="false">BM89*Hipótesis!$D$95/12</f>
        <v>0</v>
      </c>
      <c r="BN91" s="100" t="n">
        <f aca="false">BN89*Hipótesis!$D$95/12</f>
        <v>0</v>
      </c>
      <c r="BO91" s="100" t="n">
        <f aca="false">BO89*Hipótesis!$D$95/12</f>
        <v>0</v>
      </c>
      <c r="BP91" s="100" t="n">
        <f aca="false">BP89*Hipótesis!$D$95/12</f>
        <v>0</v>
      </c>
      <c r="BQ91" s="100" t="n">
        <f aca="false">BQ89*Hipótesis!$D$95/12</f>
        <v>0</v>
      </c>
      <c r="BR91" s="100" t="n">
        <f aca="false">BR89*Hipótesis!$D$95/12</f>
        <v>0</v>
      </c>
      <c r="BS91" s="100" t="n">
        <f aca="false">BS89*Hipótesis!$D$95/12</f>
        <v>0</v>
      </c>
      <c r="BT91" s="100" t="n">
        <f aca="false">BT89*Hipótesis!$D$95/12</f>
        <v>0</v>
      </c>
      <c r="BU91" s="100" t="n">
        <f aca="false">BU89*Hipótesis!$D$95/12</f>
        <v>0</v>
      </c>
      <c r="BV91" s="100" t="n">
        <f aca="false">BV89*Hipótesis!$D$95/12</f>
        <v>0</v>
      </c>
      <c r="BW91" s="100" t="n">
        <f aca="false">BW89*Hipótesis!$D$95/12</f>
        <v>0</v>
      </c>
      <c r="BX91" s="100" t="n">
        <f aca="false">BX89*Hipótesis!$D$95/12</f>
        <v>0</v>
      </c>
      <c r="BY91" s="100" t="n">
        <f aca="false">BY89*Hipótesis!$D$95/12</f>
        <v>0</v>
      </c>
      <c r="BZ91" s="100" t="n">
        <f aca="false">BZ89*Hipótesis!$D$95/12</f>
        <v>0</v>
      </c>
      <c r="CA91" s="100" t="n">
        <f aca="false">CA89*Hipótesis!$D$95/12</f>
        <v>0</v>
      </c>
      <c r="CB91" s="100" t="n">
        <f aca="false">CB89*Hipótesis!$D$95/12</f>
        <v>0</v>
      </c>
      <c r="CC91" s="100" t="n">
        <f aca="false">CC89*Hipótesis!$D$95/12</f>
        <v>0</v>
      </c>
      <c r="CD91" s="100" t="n">
        <f aca="false">CD89*Hipótesis!$D$95/12</f>
        <v>0</v>
      </c>
      <c r="CE91" s="100" t="n">
        <f aca="false">CE89*Hipótesis!$D$95/12</f>
        <v>0</v>
      </c>
      <c r="CF91" s="100" t="n">
        <f aca="false">CF89*Hipótesis!$D$95/12</f>
        <v>0</v>
      </c>
      <c r="CG91" s="100" t="n">
        <f aca="false">CG89*Hipótesis!$D$95/12</f>
        <v>0</v>
      </c>
      <c r="CH91" s="100" t="n">
        <f aca="false">CH89*Hipótesis!$D$95/12</f>
        <v>0</v>
      </c>
    </row>
    <row r="92" customFormat="false" ht="13.5" hidden="false" customHeight="true" outlineLevel="0" collapsed="false">
      <c r="A92" s="6" t="s">
        <v>565</v>
      </c>
      <c r="C92" s="100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00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00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00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00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00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00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00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00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00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00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00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00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00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00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00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00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00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00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00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00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00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00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00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00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00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00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00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00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00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00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00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00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00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00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00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00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00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00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00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00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00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00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00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00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00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00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00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00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00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00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00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00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00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00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00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00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00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00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00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00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00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00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00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00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00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00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00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00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00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00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00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00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00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00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00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00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00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00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00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00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00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00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00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6" t="s">
        <v>566</v>
      </c>
      <c r="C93" s="100" t="n">
        <f aca="false">IF(Hipótesis!$D$94&lt;=2,C92,MIN(C92,MAX(0,Hipótesis!$D$101*Hipótesis!$D$93-0)))</f>
        <v>0</v>
      </c>
      <c r="D93" s="100" t="n">
        <f aca="false">IF(Hipótesis!$D$94&lt;=2,D92,MIN(D92,MAX(0,Hipótesis!$D$101*Hipótesis!$D$93-C94)))</f>
        <v>0</v>
      </c>
      <c r="E93" s="100" t="n">
        <f aca="false">IF(Hipótesis!$D$94&lt;=2,E92,MIN(E92,MAX(0,Hipótesis!$D$101*Hipótesis!$D$93-D94)))</f>
        <v>0</v>
      </c>
      <c r="F93" s="100" t="n">
        <f aca="false">IF(Hipótesis!$D$94&lt;=2,F92,MIN(F92,MAX(0,Hipótesis!$D$101*Hipótesis!$D$93-E94)))</f>
        <v>0</v>
      </c>
      <c r="G93" s="100" t="n">
        <f aca="false">IF(Hipótesis!$D$94&lt;=2,G92,MIN(G92,MAX(0,Hipótesis!$D$101*Hipótesis!$D$93-F94)))</f>
        <v>0</v>
      </c>
      <c r="H93" s="100" t="n">
        <f aca="false">IF(Hipótesis!$D$94&lt;=2,H92,MIN(H92,MAX(0,Hipótesis!$D$101*Hipótesis!$D$93-G94)))</f>
        <v>0</v>
      </c>
      <c r="I93" s="100" t="n">
        <f aca="false">IF(Hipótesis!$D$94&lt;=2,I92,MIN(I92,MAX(0,Hipótesis!$D$101*Hipótesis!$D$93-H94)))</f>
        <v>0</v>
      </c>
      <c r="J93" s="100" t="n">
        <f aca="false">IF(Hipótesis!$D$94&lt;=2,J92,MIN(J92,MAX(0,Hipótesis!$D$101*Hipótesis!$D$93-I94)))</f>
        <v>0</v>
      </c>
      <c r="K93" s="100" t="n">
        <f aca="false">IF(Hipótesis!$D$94&lt;=2,K92,MIN(K92,MAX(0,Hipótesis!$D$101*Hipótesis!$D$93-J94)))</f>
        <v>0</v>
      </c>
      <c r="L93" s="100" t="n">
        <f aca="false">IF(Hipótesis!$D$94&lt;=2,L92,MIN(L92,MAX(0,Hipótesis!$D$101*Hipótesis!$D$93-K94)))</f>
        <v>0</v>
      </c>
      <c r="M93" s="100" t="n">
        <f aca="false">IF(Hipótesis!$D$94&lt;=2,M92,MIN(M92,MAX(0,Hipótesis!$D$101*Hipótesis!$D$93-L94)))</f>
        <v>0</v>
      </c>
      <c r="N93" s="100" t="n">
        <f aca="false">IF(Hipótesis!$D$94&lt;=2,N92,MIN(N92,MAX(0,Hipótesis!$D$101*Hipótesis!$D$93-M94)))</f>
        <v>0</v>
      </c>
      <c r="O93" s="100" t="n">
        <f aca="false">IF(Hipótesis!$D$94&lt;=2,O92,MIN(O92,MAX(0,Hipótesis!$D$101*Hipótesis!$D$93-N94)))</f>
        <v>0</v>
      </c>
      <c r="P93" s="100" t="n">
        <f aca="false">IF(Hipótesis!$D$94&lt;=2,P92,MIN(P92,MAX(0,Hipótesis!$D$101*Hipótesis!$D$93-O94)))</f>
        <v>0</v>
      </c>
      <c r="Q93" s="100" t="n">
        <f aca="false">IF(Hipótesis!$D$94&lt;=2,Q92,MIN(Q92,MAX(0,Hipótesis!$D$101*Hipótesis!$D$93-P94)))</f>
        <v>0</v>
      </c>
      <c r="R93" s="100" t="n">
        <f aca="false">IF(Hipótesis!$D$94&lt;=2,R92,MIN(R92,MAX(0,Hipótesis!$D$101*Hipótesis!$D$93-Q94)))</f>
        <v>0</v>
      </c>
      <c r="S93" s="100" t="n">
        <f aca="false">IF(Hipótesis!$D$94&lt;=2,S92,MIN(S92,MAX(0,Hipótesis!$D$101*Hipótesis!$D$93-R94)))</f>
        <v>0</v>
      </c>
      <c r="T93" s="100" t="n">
        <f aca="false">IF(Hipótesis!$D$94&lt;=2,T92,MIN(T92,MAX(0,Hipótesis!$D$101*Hipótesis!$D$93-S94)))</f>
        <v>0</v>
      </c>
      <c r="U93" s="100" t="n">
        <f aca="false">IF(Hipótesis!$D$94&lt;=2,U92,MIN(U92,MAX(0,Hipótesis!$D$101*Hipótesis!$D$93-T94)))</f>
        <v>0</v>
      </c>
      <c r="V93" s="100" t="n">
        <f aca="false">IF(Hipótesis!$D$94&lt;=2,V92,MIN(V92,MAX(0,Hipótesis!$D$101*Hipótesis!$D$93-U94)))</f>
        <v>0</v>
      </c>
      <c r="W93" s="100" t="n">
        <f aca="false">IF(Hipótesis!$D$94&lt;=2,W92,MIN(W92,MAX(0,Hipótesis!$D$101*Hipótesis!$D$93-V94)))</f>
        <v>0</v>
      </c>
      <c r="X93" s="100" t="n">
        <f aca="false">IF(Hipótesis!$D$94&lt;=2,X92,MIN(X92,MAX(0,Hipótesis!$D$101*Hipótesis!$D$93-W94)))</f>
        <v>0</v>
      </c>
      <c r="Y93" s="100" t="n">
        <f aca="false">IF(Hipótesis!$D$94&lt;=2,Y92,MIN(Y92,MAX(0,Hipótesis!$D$101*Hipótesis!$D$93-X94)))</f>
        <v>0</v>
      </c>
      <c r="Z93" s="100" t="n">
        <f aca="false">IF(Hipótesis!$D$94&lt;=2,Z92,MIN(Z92,MAX(0,Hipótesis!$D$101*Hipótesis!$D$93-Y94)))</f>
        <v>0</v>
      </c>
      <c r="AA93" s="100" t="n">
        <f aca="false">IF(Hipótesis!$D$94&lt;=2,AA92,MIN(AA92,MAX(0,Hipótesis!$D$101*Hipótesis!$D$93-Z94)))</f>
        <v>0</v>
      </c>
      <c r="AB93" s="100" t="n">
        <f aca="false">IF(Hipótesis!$D$94&lt;=2,AB92,MIN(AB92,MAX(0,Hipótesis!$D$101*Hipótesis!$D$93-AA94)))</f>
        <v>0</v>
      </c>
      <c r="AC93" s="100" t="n">
        <f aca="false">IF(Hipótesis!$D$94&lt;=2,AC92,MIN(AC92,MAX(0,Hipótesis!$D$101*Hipótesis!$D$93-AB94)))</f>
        <v>0</v>
      </c>
      <c r="AD93" s="100" t="n">
        <f aca="false">IF(Hipótesis!$D$94&lt;=2,AD92,MIN(AD92,MAX(0,Hipótesis!$D$101*Hipótesis!$D$93-AC94)))</f>
        <v>0</v>
      </c>
      <c r="AE93" s="100" t="n">
        <f aca="false">IF(Hipótesis!$D$94&lt;=2,AE92,MIN(AE92,MAX(0,Hipótesis!$D$101*Hipótesis!$D$93-AD94)))</f>
        <v>0</v>
      </c>
      <c r="AF93" s="100" t="n">
        <f aca="false">IF(Hipótesis!$D$94&lt;=2,AF92,MIN(AF92,MAX(0,Hipótesis!$D$101*Hipótesis!$D$93-AE94)))</f>
        <v>0</v>
      </c>
      <c r="AG93" s="100" t="n">
        <f aca="false">IF(Hipótesis!$D$94&lt;=2,AG92,MIN(AG92,MAX(0,Hipótesis!$D$101*Hipótesis!$D$93-AF94)))</f>
        <v>0</v>
      </c>
      <c r="AH93" s="100" t="n">
        <f aca="false">IF(Hipótesis!$D$94&lt;=2,AH92,MIN(AH92,MAX(0,Hipótesis!$D$101*Hipótesis!$D$93-AG94)))</f>
        <v>0</v>
      </c>
      <c r="AI93" s="100" t="n">
        <f aca="false">IF(Hipótesis!$D$94&lt;=2,AI92,MIN(AI92,MAX(0,Hipótesis!$D$101*Hipótesis!$D$93-AH94)))</f>
        <v>0</v>
      </c>
      <c r="AJ93" s="100" t="n">
        <f aca="false">IF(Hipótesis!$D$94&lt;=2,AJ92,MIN(AJ92,MAX(0,Hipótesis!$D$101*Hipótesis!$D$93-AI94)))</f>
        <v>0</v>
      </c>
      <c r="AK93" s="100" t="n">
        <f aca="false">IF(Hipótesis!$D$94&lt;=2,AK92,MIN(AK92,MAX(0,Hipótesis!$D$101*Hipótesis!$D$93-AJ94)))</f>
        <v>0</v>
      </c>
      <c r="AL93" s="100" t="n">
        <f aca="false">IF(Hipótesis!$D$94&lt;=2,AL92,MIN(AL92,MAX(0,Hipótesis!$D$101*Hipótesis!$D$93-AK94)))</f>
        <v>0</v>
      </c>
      <c r="AM93" s="100" t="n">
        <f aca="false">IF(Hipótesis!$D$94&lt;=2,AM92,MIN(AM92,MAX(0,Hipótesis!$D$101*Hipótesis!$D$93-AL94)))</f>
        <v>0</v>
      </c>
      <c r="AN93" s="100" t="n">
        <f aca="false">IF(Hipótesis!$D$94&lt;=2,AN92,MIN(AN92,MAX(0,Hipótesis!$D$101*Hipótesis!$D$93-AM94)))</f>
        <v>0</v>
      </c>
      <c r="AO93" s="100" t="n">
        <f aca="false">IF(Hipótesis!$D$94&lt;=2,AO92,MIN(AO92,MAX(0,Hipótesis!$D$101*Hipótesis!$D$93-AN94)))</f>
        <v>0</v>
      </c>
      <c r="AP93" s="100" t="n">
        <f aca="false">IF(Hipótesis!$D$94&lt;=2,AP92,MIN(AP92,MAX(0,Hipótesis!$D$101*Hipótesis!$D$93-AO94)))</f>
        <v>0</v>
      </c>
      <c r="AQ93" s="100" t="n">
        <f aca="false">IF(Hipótesis!$D$94&lt;=2,AQ92,MIN(AQ92,MAX(0,Hipótesis!$D$101*Hipótesis!$D$93-AP94)))</f>
        <v>0</v>
      </c>
      <c r="AR93" s="100" t="n">
        <f aca="false">IF(Hipótesis!$D$94&lt;=2,AR92,MIN(AR92,MAX(0,Hipótesis!$D$101*Hipótesis!$D$93-AQ94)))</f>
        <v>0</v>
      </c>
      <c r="AS93" s="100" t="n">
        <f aca="false">IF(Hipótesis!$D$94&lt;=2,AS92,MIN(AS92,MAX(0,Hipótesis!$D$101*Hipótesis!$D$93-AR94)))</f>
        <v>0</v>
      </c>
      <c r="AT93" s="100" t="n">
        <f aca="false">IF(Hipótesis!$D$94&lt;=2,AT92,MIN(AT92,MAX(0,Hipótesis!$D$101*Hipótesis!$D$93-AS94)))</f>
        <v>0</v>
      </c>
      <c r="AU93" s="100" t="n">
        <f aca="false">IF(Hipótesis!$D$94&lt;=2,AU92,MIN(AU92,MAX(0,Hipótesis!$D$101*Hipótesis!$D$93-AT94)))</f>
        <v>0</v>
      </c>
      <c r="AV93" s="100" t="n">
        <f aca="false">IF(Hipótesis!$D$94&lt;=2,AV92,MIN(AV92,MAX(0,Hipótesis!$D$101*Hipótesis!$D$93-AU94)))</f>
        <v>0</v>
      </c>
      <c r="AW93" s="100" t="n">
        <f aca="false">IF(Hipótesis!$D$94&lt;=2,AW92,MIN(AW92,MAX(0,Hipótesis!$D$101*Hipótesis!$D$93-AV94)))</f>
        <v>0</v>
      </c>
      <c r="AX93" s="100" t="n">
        <f aca="false">IF(Hipótesis!$D$94&lt;=2,AX92,MIN(AX92,MAX(0,Hipótesis!$D$101*Hipótesis!$D$93-AW94)))</f>
        <v>0</v>
      </c>
      <c r="AY93" s="100" t="n">
        <f aca="false">IF(Hipótesis!$D$94&lt;=2,AY92,MIN(AY92,MAX(0,Hipótesis!$D$101*Hipótesis!$D$93-AX94)))</f>
        <v>0</v>
      </c>
      <c r="AZ93" s="100" t="n">
        <f aca="false">IF(Hipótesis!$D$94&lt;=2,AZ92,MIN(AZ92,MAX(0,Hipótesis!$D$101*Hipótesis!$D$93-AY94)))</f>
        <v>0</v>
      </c>
      <c r="BA93" s="100" t="n">
        <f aca="false">IF(Hipótesis!$D$94&lt;=2,BA92,MIN(BA92,MAX(0,Hipótesis!$D$101*Hipótesis!$D$93-AZ94)))</f>
        <v>0</v>
      </c>
      <c r="BB93" s="100" t="n">
        <f aca="false">IF(Hipótesis!$D$94&lt;=2,BB92,MIN(BB92,MAX(0,Hipótesis!$D$101*Hipótesis!$D$93-BA94)))</f>
        <v>0</v>
      </c>
      <c r="BC93" s="100" t="n">
        <f aca="false">IF(Hipótesis!$D$94&lt;=2,BC92,MIN(BC92,MAX(0,Hipótesis!$D$101*Hipótesis!$D$93-BB94)))</f>
        <v>0</v>
      </c>
      <c r="BD93" s="100" t="n">
        <f aca="false">IF(Hipótesis!$D$94&lt;=2,BD92,MIN(BD92,MAX(0,Hipótesis!$D$101*Hipótesis!$D$93-BC94)))</f>
        <v>0</v>
      </c>
      <c r="BE93" s="100" t="n">
        <f aca="false">IF(Hipótesis!$D$94&lt;=2,BE92,MIN(BE92,MAX(0,Hipótesis!$D$101*Hipótesis!$D$93-BD94)))</f>
        <v>0</v>
      </c>
      <c r="BF93" s="100" t="n">
        <f aca="false">IF(Hipótesis!$D$94&lt;=2,BF92,MIN(BF92,MAX(0,Hipótesis!$D$101*Hipótesis!$D$93-BE94)))</f>
        <v>0</v>
      </c>
      <c r="BG93" s="100" t="n">
        <f aca="false">IF(Hipótesis!$D$94&lt;=2,BG92,MIN(BG92,MAX(0,Hipótesis!$D$101*Hipótesis!$D$93-BF94)))</f>
        <v>0</v>
      </c>
      <c r="BH93" s="100" t="n">
        <f aca="false">IF(Hipótesis!$D$94&lt;=2,BH92,MIN(BH92,MAX(0,Hipótesis!$D$101*Hipótesis!$D$93-BG94)))</f>
        <v>0</v>
      </c>
      <c r="BI93" s="100" t="n">
        <f aca="false">IF(Hipótesis!$D$94&lt;=2,BI92,MIN(BI92,MAX(0,Hipótesis!$D$101*Hipótesis!$D$93-BH94)))</f>
        <v>0</v>
      </c>
      <c r="BJ93" s="100" t="n">
        <f aca="false">IF(Hipótesis!$D$94&lt;=2,BJ92,MIN(BJ92,MAX(0,Hipótesis!$D$101*Hipótesis!$D$93-BI94)))</f>
        <v>0</v>
      </c>
      <c r="BK93" s="100" t="n">
        <f aca="false">IF(Hipótesis!$D$94&lt;=2,BK92,MIN(BK92,MAX(0,Hipótesis!$D$101*Hipótesis!$D$93-BJ94)))</f>
        <v>0</v>
      </c>
      <c r="BL93" s="100" t="n">
        <f aca="false">IF(Hipótesis!$D$94&lt;=2,BL92,MIN(BL92,MAX(0,Hipótesis!$D$101*Hipótesis!$D$93-BK94)))</f>
        <v>0</v>
      </c>
      <c r="BM93" s="100" t="n">
        <f aca="false">IF(Hipótesis!$D$94&lt;=2,BM92,MIN(BM92,MAX(0,Hipótesis!$D$101*Hipótesis!$D$93-BL94)))</f>
        <v>0</v>
      </c>
      <c r="BN93" s="100" t="n">
        <f aca="false">IF(Hipótesis!$D$94&lt;=2,BN92,MIN(BN92,MAX(0,Hipótesis!$D$101*Hipótesis!$D$93-BM94)))</f>
        <v>0</v>
      </c>
      <c r="BO93" s="100" t="n">
        <f aca="false">IF(Hipótesis!$D$94&lt;=2,BO92,MIN(BO92,MAX(0,Hipótesis!$D$101*Hipótesis!$D$93-BN94)))</f>
        <v>0</v>
      </c>
      <c r="BP93" s="100" t="n">
        <f aca="false">IF(Hipótesis!$D$94&lt;=2,BP92,MIN(BP92,MAX(0,Hipótesis!$D$101*Hipótesis!$D$93-BO94)))</f>
        <v>0</v>
      </c>
      <c r="BQ93" s="100" t="n">
        <f aca="false">IF(Hipótesis!$D$94&lt;=2,BQ92,MIN(BQ92,MAX(0,Hipótesis!$D$101*Hipótesis!$D$93-BP94)))</f>
        <v>0</v>
      </c>
      <c r="BR93" s="100" t="n">
        <f aca="false">IF(Hipótesis!$D$94&lt;=2,BR92,MIN(BR92,MAX(0,Hipótesis!$D$101*Hipótesis!$D$93-BQ94)))</f>
        <v>0</v>
      </c>
      <c r="BS93" s="100" t="n">
        <f aca="false">IF(Hipótesis!$D$94&lt;=2,BS92,MIN(BS92,MAX(0,Hipótesis!$D$101*Hipótesis!$D$93-BR94)))</f>
        <v>0</v>
      </c>
      <c r="BT93" s="100" t="n">
        <f aca="false">IF(Hipótesis!$D$94&lt;=2,BT92,MIN(BT92,MAX(0,Hipótesis!$D$101*Hipótesis!$D$93-BS94)))</f>
        <v>0</v>
      </c>
      <c r="BU93" s="100" t="n">
        <f aca="false">IF(Hipótesis!$D$94&lt;=2,BU92,MIN(BU92,MAX(0,Hipótesis!$D$101*Hipótesis!$D$93-BT94)))</f>
        <v>0</v>
      </c>
      <c r="BV93" s="100" t="n">
        <f aca="false">IF(Hipótesis!$D$94&lt;=2,BV92,MIN(BV92,MAX(0,Hipótesis!$D$101*Hipótesis!$D$93-BU94)))</f>
        <v>0</v>
      </c>
      <c r="BW93" s="100" t="n">
        <f aca="false">IF(Hipótesis!$D$94&lt;=2,BW92,MIN(BW92,MAX(0,Hipótesis!$D$101*Hipótesis!$D$93-BV94)))</f>
        <v>0</v>
      </c>
      <c r="BX93" s="100" t="n">
        <f aca="false">IF(Hipótesis!$D$94&lt;=2,BX92,MIN(BX92,MAX(0,Hipótesis!$D$101*Hipótesis!$D$93-BW94)))</f>
        <v>0</v>
      </c>
      <c r="BY93" s="100" t="n">
        <f aca="false">IF(Hipótesis!$D$94&lt;=2,BY92,MIN(BY92,MAX(0,Hipótesis!$D$101*Hipótesis!$D$93-BX94)))</f>
        <v>0</v>
      </c>
      <c r="BZ93" s="100" t="n">
        <f aca="false">IF(Hipótesis!$D$94&lt;=2,BZ92,MIN(BZ92,MAX(0,Hipótesis!$D$101*Hipótesis!$D$93-BY94)))</f>
        <v>0</v>
      </c>
      <c r="CA93" s="100" t="n">
        <f aca="false">IF(Hipótesis!$D$94&lt;=2,CA92,MIN(CA92,MAX(0,Hipótesis!$D$101*Hipótesis!$D$93-BZ94)))</f>
        <v>0</v>
      </c>
      <c r="CB93" s="100" t="n">
        <f aca="false">IF(Hipótesis!$D$94&lt;=2,CB92,MIN(CB92,MAX(0,Hipótesis!$D$101*Hipótesis!$D$93-CA94)))</f>
        <v>0</v>
      </c>
      <c r="CC93" s="100" t="n">
        <f aca="false">IF(Hipótesis!$D$94&lt;=2,CC92,MIN(CC92,MAX(0,Hipótesis!$D$101*Hipótesis!$D$93-CB94)))</f>
        <v>0</v>
      </c>
      <c r="CD93" s="100" t="n">
        <f aca="false">IF(Hipótesis!$D$94&lt;=2,CD92,MIN(CD92,MAX(0,Hipótesis!$D$101*Hipótesis!$D$93-CC94)))</f>
        <v>0</v>
      </c>
      <c r="CE93" s="100" t="n">
        <f aca="false">IF(Hipótesis!$D$94&lt;=2,CE92,MIN(CE92,MAX(0,Hipótesis!$D$101*Hipótesis!$D$93-CD94)))</f>
        <v>0</v>
      </c>
      <c r="CF93" s="100" t="n">
        <f aca="false">IF(Hipótesis!$D$94&lt;=2,CF92,MIN(CF92,MAX(0,Hipótesis!$D$101*Hipótesis!$D$93-CE94)))</f>
        <v>0</v>
      </c>
      <c r="CG93" s="100" t="n">
        <f aca="false">IF(Hipótesis!$D$94&lt;=2,CG92,MIN(CG92,MAX(0,Hipótesis!$D$101*Hipótesis!$D$93-CF94)))</f>
        <v>0</v>
      </c>
      <c r="CH93" s="100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6" t="s">
        <v>567</v>
      </c>
      <c r="C94" s="100" t="n">
        <f aca="false">C121</f>
        <v>0</v>
      </c>
      <c r="D94" s="100" t="n">
        <f aca="false">C94+D121</f>
        <v>0</v>
      </c>
      <c r="E94" s="100" t="n">
        <f aca="false">D94+E121</f>
        <v>0</v>
      </c>
      <c r="F94" s="100" t="n">
        <f aca="false">E94+F121</f>
        <v>0</v>
      </c>
      <c r="G94" s="100" t="n">
        <f aca="false">F94+G121</f>
        <v>0</v>
      </c>
      <c r="H94" s="100" t="n">
        <f aca="false">G94+H121</f>
        <v>0</v>
      </c>
      <c r="I94" s="100" t="n">
        <f aca="false">H94+I121</f>
        <v>0</v>
      </c>
      <c r="J94" s="100" t="n">
        <f aca="false">I94+J121</f>
        <v>0</v>
      </c>
      <c r="K94" s="100" t="n">
        <f aca="false">J94+K121</f>
        <v>0</v>
      </c>
      <c r="L94" s="100" t="n">
        <f aca="false">K94+L121</f>
        <v>0</v>
      </c>
      <c r="M94" s="100" t="n">
        <f aca="false">L94+M121</f>
        <v>0</v>
      </c>
      <c r="N94" s="100" t="n">
        <f aca="false">M94+N121</f>
        <v>0</v>
      </c>
      <c r="O94" s="100" t="n">
        <f aca="false">N94+O121</f>
        <v>0</v>
      </c>
      <c r="P94" s="100" t="n">
        <f aca="false">O94+P121</f>
        <v>0</v>
      </c>
      <c r="Q94" s="100" t="n">
        <f aca="false">P94+Q121</f>
        <v>0</v>
      </c>
      <c r="R94" s="100" t="n">
        <f aca="false">Q94+R121</f>
        <v>0</v>
      </c>
      <c r="S94" s="100" t="n">
        <f aca="false">R94+S121</f>
        <v>0</v>
      </c>
      <c r="T94" s="100" t="n">
        <f aca="false">S94+T121</f>
        <v>0</v>
      </c>
      <c r="U94" s="100" t="n">
        <f aca="false">T94+U121</f>
        <v>0</v>
      </c>
      <c r="V94" s="100" t="n">
        <f aca="false">U94+V121</f>
        <v>0</v>
      </c>
      <c r="W94" s="100" t="n">
        <f aca="false">V94+W121</f>
        <v>0</v>
      </c>
      <c r="X94" s="100" t="n">
        <f aca="false">W94+X121</f>
        <v>0</v>
      </c>
      <c r="Y94" s="100" t="n">
        <f aca="false">X94+Y121</f>
        <v>0</v>
      </c>
      <c r="Z94" s="100" t="n">
        <f aca="false">Y94+Z121</f>
        <v>0</v>
      </c>
      <c r="AA94" s="100" t="n">
        <f aca="false">Z94+AA121</f>
        <v>0</v>
      </c>
      <c r="AB94" s="100" t="n">
        <f aca="false">AA94+AB121</f>
        <v>0</v>
      </c>
      <c r="AC94" s="100" t="n">
        <f aca="false">AB94+AC121</f>
        <v>0</v>
      </c>
      <c r="AD94" s="100" t="n">
        <f aca="false">AC94+AD121</f>
        <v>0</v>
      </c>
      <c r="AE94" s="100" t="n">
        <f aca="false">AD94+AE121</f>
        <v>0</v>
      </c>
      <c r="AF94" s="100" t="n">
        <f aca="false">AE94+AF121</f>
        <v>0</v>
      </c>
      <c r="AG94" s="100" t="n">
        <f aca="false">AF94+AG121</f>
        <v>0</v>
      </c>
      <c r="AH94" s="100" t="n">
        <f aca="false">AG94+AH121</f>
        <v>0</v>
      </c>
      <c r="AI94" s="100" t="n">
        <f aca="false">AH94+AI121</f>
        <v>0</v>
      </c>
      <c r="AJ94" s="100" t="n">
        <f aca="false">AI94+AJ121</f>
        <v>0</v>
      </c>
      <c r="AK94" s="100" t="n">
        <f aca="false">AJ94+AK121</f>
        <v>0</v>
      </c>
      <c r="AL94" s="100" t="n">
        <f aca="false">AK94+AL121</f>
        <v>0</v>
      </c>
      <c r="AM94" s="100" t="n">
        <f aca="false">AL94+AM121</f>
        <v>0</v>
      </c>
      <c r="AN94" s="100" t="n">
        <f aca="false">AM94+AN121</f>
        <v>0</v>
      </c>
      <c r="AO94" s="100" t="n">
        <f aca="false">AN94+AO121</f>
        <v>0</v>
      </c>
      <c r="AP94" s="100" t="n">
        <f aca="false">AO94+AP121</f>
        <v>0</v>
      </c>
      <c r="AQ94" s="100" t="n">
        <f aca="false">AP94+AQ121</f>
        <v>0</v>
      </c>
      <c r="AR94" s="100" t="n">
        <f aca="false">AQ94+AR121</f>
        <v>0</v>
      </c>
      <c r="AS94" s="100" t="n">
        <f aca="false">AR94+AS121</f>
        <v>0</v>
      </c>
      <c r="AT94" s="100" t="n">
        <f aca="false">AS94+AT121</f>
        <v>0</v>
      </c>
      <c r="AU94" s="100" t="n">
        <f aca="false">AT94+AU121</f>
        <v>0</v>
      </c>
      <c r="AV94" s="100" t="n">
        <f aca="false">AU94+AV121</f>
        <v>0</v>
      </c>
      <c r="AW94" s="100" t="n">
        <f aca="false">AV94+AW121</f>
        <v>0</v>
      </c>
      <c r="AX94" s="100" t="n">
        <f aca="false">AW94+AX121</f>
        <v>551222.712511957</v>
      </c>
      <c r="AY94" s="100" t="n">
        <f aca="false">AX94+AY121</f>
        <v>551222.712511957</v>
      </c>
      <c r="AZ94" s="100" t="n">
        <f aca="false">AY94+AZ121</f>
        <v>551222.712511957</v>
      </c>
      <c r="BA94" s="100" t="n">
        <f aca="false">AZ94+BA121</f>
        <v>551222.712511957</v>
      </c>
      <c r="BB94" s="100" t="n">
        <f aca="false">BA94+BB121</f>
        <v>551222.712511957</v>
      </c>
      <c r="BC94" s="100" t="n">
        <f aca="false">BB94+BC121</f>
        <v>551222.712511957</v>
      </c>
      <c r="BD94" s="100" t="n">
        <f aca="false">BC94+BD121</f>
        <v>551222.712511957</v>
      </c>
      <c r="BE94" s="100" t="n">
        <f aca="false">BD94+BE121</f>
        <v>551222.712511957</v>
      </c>
      <c r="BF94" s="100" t="n">
        <f aca="false">BE94+BF121</f>
        <v>551222.712511957</v>
      </c>
      <c r="BG94" s="100" t="n">
        <f aca="false">BF94+BG121</f>
        <v>551222.712511957</v>
      </c>
      <c r="BH94" s="100" t="n">
        <f aca="false">BG94+BH121</f>
        <v>551222.712511957</v>
      </c>
      <c r="BI94" s="100" t="n">
        <f aca="false">BH94+BI121</f>
        <v>551222.712511957</v>
      </c>
      <c r="BJ94" s="100" t="n">
        <f aca="false">BI94+BJ121</f>
        <v>551222.712511957</v>
      </c>
      <c r="BK94" s="100" t="n">
        <f aca="false">BJ94+BK121</f>
        <v>551222.712511957</v>
      </c>
      <c r="BL94" s="100" t="n">
        <f aca="false">BK94+BL121</f>
        <v>551222.712511957</v>
      </c>
      <c r="BM94" s="100" t="n">
        <f aca="false">BL94+BM121</f>
        <v>551222.712511957</v>
      </c>
      <c r="BN94" s="100" t="n">
        <f aca="false">BM94+BN121</f>
        <v>551222.712511957</v>
      </c>
      <c r="BO94" s="100" t="n">
        <f aca="false">BN94+BO121</f>
        <v>551222.712511957</v>
      </c>
      <c r="BP94" s="100" t="n">
        <f aca="false">BO94+BP121</f>
        <v>551222.712511957</v>
      </c>
      <c r="BQ94" s="100" t="n">
        <f aca="false">BP94+BQ121</f>
        <v>551222.712511957</v>
      </c>
      <c r="BR94" s="100" t="n">
        <f aca="false">BQ94+BR121</f>
        <v>551222.712511957</v>
      </c>
      <c r="BS94" s="100" t="n">
        <f aca="false">BR94+BS121</f>
        <v>551222.712511957</v>
      </c>
      <c r="BT94" s="100" t="n">
        <f aca="false">BS94+BT121</f>
        <v>551222.712511957</v>
      </c>
      <c r="BU94" s="100" t="n">
        <f aca="false">BT94+BU121</f>
        <v>551222.712511957</v>
      </c>
      <c r="BV94" s="100" t="n">
        <f aca="false">BU94+BV121</f>
        <v>551222.712511957</v>
      </c>
      <c r="BW94" s="100" t="n">
        <f aca="false">BV94+BW121</f>
        <v>551222.712511957</v>
      </c>
      <c r="BX94" s="100" t="n">
        <f aca="false">BW94+BX121</f>
        <v>551222.712511957</v>
      </c>
      <c r="BY94" s="100" t="n">
        <f aca="false">BX94+BY121</f>
        <v>551222.712511957</v>
      </c>
      <c r="BZ94" s="100" t="n">
        <f aca="false">BY94+BZ121</f>
        <v>551222.712511957</v>
      </c>
      <c r="CA94" s="100" t="n">
        <f aca="false">BZ94+CA121</f>
        <v>551222.712511957</v>
      </c>
      <c r="CB94" s="100" t="n">
        <f aca="false">CA94+CB121</f>
        <v>551222.712511957</v>
      </c>
      <c r="CC94" s="100" t="n">
        <f aca="false">CB94+CC121</f>
        <v>551222.712511957</v>
      </c>
      <c r="CD94" s="100" t="n">
        <f aca="false">CC94+CD121</f>
        <v>551222.712511957</v>
      </c>
      <c r="CE94" s="100" t="n">
        <f aca="false">CD94+CE121</f>
        <v>551222.712511957</v>
      </c>
      <c r="CF94" s="100" t="n">
        <f aca="false">CE94+CF121</f>
        <v>551222.712511957</v>
      </c>
      <c r="CG94" s="100" t="n">
        <f aca="false">CF94+CG121</f>
        <v>551222.712511957</v>
      </c>
      <c r="CH94" s="100" t="n">
        <f aca="false">CG94+CH121</f>
        <v>551222.712511957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6" t="s">
        <v>568</v>
      </c>
      <c r="C96" s="100" t="n">
        <f aca="false">Hipótesis!$D$105</f>
        <v>100000</v>
      </c>
      <c r="D96" s="100" t="n">
        <f aca="false">C96-C97</f>
        <v>100000</v>
      </c>
      <c r="E96" s="100" t="n">
        <f aca="false">D96-D97</f>
        <v>100000</v>
      </c>
      <c r="F96" s="100" t="n">
        <f aca="false">E96-E97</f>
        <v>100000</v>
      </c>
      <c r="G96" s="100" t="n">
        <f aca="false">F96-F97</f>
        <v>100000</v>
      </c>
      <c r="H96" s="100" t="n">
        <f aca="false">G96-G97</f>
        <v>100000</v>
      </c>
      <c r="I96" s="100" t="n">
        <f aca="false">H96-H97</f>
        <v>100000</v>
      </c>
      <c r="J96" s="100" t="n">
        <f aca="false">I96-I97</f>
        <v>100000</v>
      </c>
      <c r="K96" s="100" t="n">
        <f aca="false">J96-J97</f>
        <v>100000</v>
      </c>
      <c r="L96" s="100" t="n">
        <f aca="false">K96-K97</f>
        <v>100000</v>
      </c>
      <c r="M96" s="100" t="n">
        <f aca="false">L96-L97</f>
        <v>100000</v>
      </c>
      <c r="N96" s="100" t="n">
        <f aca="false">M96-M97</f>
        <v>100000</v>
      </c>
      <c r="O96" s="100" t="n">
        <f aca="false">N96-N97</f>
        <v>100000</v>
      </c>
      <c r="P96" s="100" t="n">
        <f aca="false">O96-O97</f>
        <v>100000</v>
      </c>
      <c r="Q96" s="100" t="n">
        <f aca="false">P96-P97</f>
        <v>100000</v>
      </c>
      <c r="R96" s="100" t="n">
        <f aca="false">Q96-Q97</f>
        <v>100000</v>
      </c>
      <c r="S96" s="100" t="n">
        <f aca="false">R96-R97</f>
        <v>100000</v>
      </c>
      <c r="T96" s="100" t="n">
        <f aca="false">S96-S97</f>
        <v>100000</v>
      </c>
      <c r="U96" s="100" t="n">
        <f aca="false">T96-T97</f>
        <v>100000</v>
      </c>
      <c r="V96" s="100" t="n">
        <f aca="false">U96-U97</f>
        <v>100000</v>
      </c>
      <c r="W96" s="100" t="n">
        <f aca="false">V96-V97</f>
        <v>100000</v>
      </c>
      <c r="X96" s="100" t="n">
        <f aca="false">W96-W97</f>
        <v>100000</v>
      </c>
      <c r="Y96" s="100" t="n">
        <f aca="false">X96-X97</f>
        <v>100000</v>
      </c>
      <c r="Z96" s="100" t="n">
        <f aca="false">Y96-Y97</f>
        <v>100000</v>
      </c>
      <c r="AA96" s="100" t="n">
        <f aca="false">Z96-Z97</f>
        <v>100000</v>
      </c>
      <c r="AB96" s="100" t="n">
        <f aca="false">AA96-AA97</f>
        <v>98333.3333333333</v>
      </c>
      <c r="AC96" s="100" t="n">
        <f aca="false">AB96-AB97</f>
        <v>96666.6666666667</v>
      </c>
      <c r="AD96" s="100" t="n">
        <f aca="false">AC96-AC97</f>
        <v>95000</v>
      </c>
      <c r="AE96" s="100" t="n">
        <f aca="false">AD96-AD97</f>
        <v>93333.3333333333</v>
      </c>
      <c r="AF96" s="100" t="n">
        <f aca="false">AE96-AE97</f>
        <v>91666.6666666666</v>
      </c>
      <c r="AG96" s="100" t="n">
        <f aca="false">AF96-AF97</f>
        <v>90000</v>
      </c>
      <c r="AH96" s="100" t="n">
        <f aca="false">AG96-AG97</f>
        <v>88333.3333333333</v>
      </c>
      <c r="AI96" s="100" t="n">
        <f aca="false">AH96-AH97</f>
        <v>86666.6666666666</v>
      </c>
      <c r="AJ96" s="100" t="n">
        <f aca="false">AI96-AI97</f>
        <v>85000</v>
      </c>
      <c r="AK96" s="100" t="n">
        <f aca="false">AJ96-AJ97</f>
        <v>83333.3333333333</v>
      </c>
      <c r="AL96" s="100" t="n">
        <f aca="false">AK96-AK97</f>
        <v>81666.6666666666</v>
      </c>
      <c r="AM96" s="100" t="n">
        <f aca="false">AL96-AL97</f>
        <v>79999.9999999999</v>
      </c>
      <c r="AN96" s="100" t="n">
        <f aca="false">AM96-AM97</f>
        <v>78333.3333333333</v>
      </c>
      <c r="AO96" s="100" t="n">
        <f aca="false">AN96-AN97</f>
        <v>76666.6666666666</v>
      </c>
      <c r="AP96" s="100" t="n">
        <f aca="false">AO96-AO97</f>
        <v>74999.9999999999</v>
      </c>
      <c r="AQ96" s="100" t="n">
        <f aca="false">AP96-AP97</f>
        <v>73333.3333333333</v>
      </c>
      <c r="AR96" s="100" t="n">
        <f aca="false">AQ96-AQ97</f>
        <v>71666.6666666666</v>
      </c>
      <c r="AS96" s="100" t="n">
        <f aca="false">AR96-AR97</f>
        <v>69999.9999999999</v>
      </c>
      <c r="AT96" s="100" t="n">
        <f aca="false">AS96-AS97</f>
        <v>68333.3333333332</v>
      </c>
      <c r="AU96" s="100" t="n">
        <f aca="false">AT96-AT97</f>
        <v>66666.6666666666</v>
      </c>
      <c r="AV96" s="100" t="n">
        <f aca="false">AU96-AU97</f>
        <v>64999.9999999999</v>
      </c>
      <c r="AW96" s="100" t="n">
        <f aca="false">AV96-AV97</f>
        <v>63333.3333333332</v>
      </c>
      <c r="AX96" s="100" t="n">
        <f aca="false">AW96-AW97</f>
        <v>61666.6666666666</v>
      </c>
      <c r="AY96" s="100" t="n">
        <f aca="false">AX96-AX97</f>
        <v>59999.9999999999</v>
      </c>
      <c r="AZ96" s="100" t="n">
        <f aca="false">AY96-AY97</f>
        <v>58333.3333333333</v>
      </c>
      <c r="BA96" s="100" t="n">
        <f aca="false">AZ96-AZ97</f>
        <v>56666.6666666666</v>
      </c>
      <c r="BB96" s="100" t="n">
        <f aca="false">BA96-BA97</f>
        <v>54999.9999999999</v>
      </c>
      <c r="BC96" s="100" t="n">
        <f aca="false">BB96-BB97</f>
        <v>53333.3333333333</v>
      </c>
      <c r="BD96" s="100" t="n">
        <f aca="false">BC96-BC97</f>
        <v>51666.6666666666</v>
      </c>
      <c r="BE96" s="100" t="n">
        <f aca="false">BD96-BD97</f>
        <v>49999.9999999999</v>
      </c>
      <c r="BF96" s="100" t="n">
        <f aca="false">BE96-BE97</f>
        <v>48333.3333333333</v>
      </c>
      <c r="BG96" s="100" t="n">
        <f aca="false">BF96-BF97</f>
        <v>46666.6666666666</v>
      </c>
      <c r="BH96" s="100" t="n">
        <f aca="false">BG96-BG97</f>
        <v>44999.9999999999</v>
      </c>
      <c r="BI96" s="100" t="n">
        <f aca="false">BH96-BH97</f>
        <v>43333.3333333333</v>
      </c>
      <c r="BJ96" s="100" t="n">
        <f aca="false">BI96-BI97</f>
        <v>41666.6666666666</v>
      </c>
      <c r="BK96" s="100" t="n">
        <f aca="false">BJ96-BJ97</f>
        <v>39999.9999999999</v>
      </c>
      <c r="BL96" s="100" t="n">
        <f aca="false">BK96-BK97</f>
        <v>38333.3333333333</v>
      </c>
      <c r="BM96" s="100" t="n">
        <f aca="false">BL96-BL97</f>
        <v>36666.6666666666</v>
      </c>
      <c r="BN96" s="100" t="n">
        <f aca="false">BM96-BM97</f>
        <v>35000</v>
      </c>
      <c r="BO96" s="100" t="n">
        <f aca="false">BN96-BN97</f>
        <v>33333.3333333333</v>
      </c>
      <c r="BP96" s="100" t="n">
        <f aca="false">BO96-BO97</f>
        <v>31666.6666666666</v>
      </c>
      <c r="BQ96" s="100" t="n">
        <f aca="false">BP96-BP97</f>
        <v>30000</v>
      </c>
      <c r="BR96" s="100" t="n">
        <f aca="false">BQ96-BQ97</f>
        <v>28333.3333333333</v>
      </c>
      <c r="BS96" s="100" t="n">
        <f aca="false">BR96-BR97</f>
        <v>26666.6666666666</v>
      </c>
      <c r="BT96" s="100" t="n">
        <f aca="false">BS96-BS97</f>
        <v>24999.9999999999</v>
      </c>
      <c r="BU96" s="100" t="n">
        <f aca="false">BT96-BT97</f>
        <v>23333.3333333333</v>
      </c>
      <c r="BV96" s="100" t="n">
        <f aca="false">BU96-BU97</f>
        <v>21666.6666666666</v>
      </c>
      <c r="BW96" s="100" t="n">
        <f aca="false">BV96-BV97</f>
        <v>19999.9999999999</v>
      </c>
      <c r="BX96" s="100" t="n">
        <f aca="false">BW96-BW97</f>
        <v>18333.3333333333</v>
      </c>
      <c r="BY96" s="100" t="n">
        <f aca="false">BX96-BX97</f>
        <v>16666.6666666666</v>
      </c>
      <c r="BZ96" s="100" t="n">
        <f aca="false">BY96-BY97</f>
        <v>14999.9999999999</v>
      </c>
      <c r="CA96" s="100" t="n">
        <f aca="false">BZ96-BZ97</f>
        <v>13333.3333333333</v>
      </c>
      <c r="CB96" s="100" t="n">
        <f aca="false">CA96-CA97</f>
        <v>11666.6666666666</v>
      </c>
      <c r="CC96" s="100" t="n">
        <f aca="false">CB96-CB97</f>
        <v>9999.99999999994</v>
      </c>
      <c r="CD96" s="100" t="n">
        <f aca="false">CC96-CC97</f>
        <v>8333.33333333328</v>
      </c>
      <c r="CE96" s="100" t="n">
        <f aca="false">CD96-CD97</f>
        <v>6666.66666666661</v>
      </c>
      <c r="CF96" s="100" t="n">
        <f aca="false">CE96-CE97</f>
        <v>4999.99999999994</v>
      </c>
      <c r="CG96" s="100" t="n">
        <f aca="false">CF96-CF97</f>
        <v>3333.33333333328</v>
      </c>
      <c r="CH96" s="100" t="n">
        <f aca="false">CG96-CG97</f>
        <v>1666.66666666661</v>
      </c>
    </row>
    <row r="97" customFormat="false" ht="13.5" hidden="false" customHeight="true" outlineLevel="0" collapsed="false">
      <c r="A97" s="6" t="s">
        <v>569</v>
      </c>
      <c r="C97" s="100" t="n">
        <f aca="false">IF(1&lt;=Hipótesis!$D$109,0,IF(C96&gt;0,MIN(C96,Hipótesis!$D$105/MAX(Hipótesis!$D$108-Hipótesis!$D$109,1)),0))</f>
        <v>0</v>
      </c>
      <c r="D97" s="100" t="n">
        <f aca="false">IF(2&lt;=Hipótesis!$D$109,0,IF(D96&gt;0,MIN(D96,Hipótesis!$D$105/MAX(Hipótesis!$D$108-Hipótesis!$D$109,1)),0))</f>
        <v>0</v>
      </c>
      <c r="E97" s="100" t="n">
        <f aca="false">IF(3&lt;=Hipótesis!$D$109,0,IF(E96&gt;0,MIN(E96,Hipótesis!$D$105/MAX(Hipótesis!$D$108-Hipótesis!$D$109,1)),0))</f>
        <v>0</v>
      </c>
      <c r="F97" s="100" t="n">
        <f aca="false">IF(4&lt;=Hipótesis!$D$109,0,IF(F96&gt;0,MIN(F96,Hipótesis!$D$105/MAX(Hipótesis!$D$108-Hipótesis!$D$109,1)),0))</f>
        <v>0</v>
      </c>
      <c r="G97" s="100" t="n">
        <f aca="false">IF(5&lt;=Hipótesis!$D$109,0,IF(G96&gt;0,MIN(G96,Hipótesis!$D$105/MAX(Hipótesis!$D$108-Hipótesis!$D$109,1)),0))</f>
        <v>0</v>
      </c>
      <c r="H97" s="100" t="n">
        <f aca="false">IF(6&lt;=Hipótesis!$D$109,0,IF(H96&gt;0,MIN(H96,Hipótesis!$D$105/MAX(Hipótesis!$D$108-Hipótesis!$D$109,1)),0))</f>
        <v>0</v>
      </c>
      <c r="I97" s="100" t="n">
        <f aca="false">IF(7&lt;=Hipótesis!$D$109,0,IF(I96&gt;0,MIN(I96,Hipótesis!$D$105/MAX(Hipótesis!$D$108-Hipótesis!$D$109,1)),0))</f>
        <v>0</v>
      </c>
      <c r="J97" s="100" t="n">
        <f aca="false">IF(8&lt;=Hipótesis!$D$109,0,IF(J96&gt;0,MIN(J96,Hipótesis!$D$105/MAX(Hipótesis!$D$108-Hipótesis!$D$109,1)),0))</f>
        <v>0</v>
      </c>
      <c r="K97" s="100" t="n">
        <f aca="false">IF(9&lt;=Hipótesis!$D$109,0,IF(K96&gt;0,MIN(K96,Hipótesis!$D$105/MAX(Hipótesis!$D$108-Hipótesis!$D$109,1)),0))</f>
        <v>0</v>
      </c>
      <c r="L97" s="100" t="n">
        <f aca="false">IF(10&lt;=Hipótesis!$D$109,0,IF(L96&gt;0,MIN(L96,Hipótesis!$D$105/MAX(Hipótesis!$D$108-Hipótesis!$D$109,1)),0))</f>
        <v>0</v>
      </c>
      <c r="M97" s="100" t="n">
        <f aca="false">IF(11&lt;=Hipótesis!$D$109,0,IF(M96&gt;0,MIN(M96,Hipótesis!$D$105/MAX(Hipótesis!$D$108-Hipótesis!$D$109,1)),0))</f>
        <v>0</v>
      </c>
      <c r="N97" s="100" t="n">
        <f aca="false">IF(12&lt;=Hipótesis!$D$109,0,IF(N96&gt;0,MIN(N96,Hipótesis!$D$105/MAX(Hipótesis!$D$108-Hipótesis!$D$109,1)),0))</f>
        <v>0</v>
      </c>
      <c r="O97" s="100" t="n">
        <f aca="false">IF(13&lt;=Hipótesis!$D$109,0,IF(O96&gt;0,MIN(O96,Hipótesis!$D$105/MAX(Hipótesis!$D$108-Hipótesis!$D$109,1)),0))</f>
        <v>0</v>
      </c>
      <c r="P97" s="100" t="n">
        <f aca="false">IF(14&lt;=Hipótesis!$D$109,0,IF(P96&gt;0,MIN(P96,Hipótesis!$D$105/MAX(Hipótesis!$D$108-Hipótesis!$D$109,1)),0))</f>
        <v>0</v>
      </c>
      <c r="Q97" s="100" t="n">
        <f aca="false">IF(15&lt;=Hipótesis!$D$109,0,IF(Q96&gt;0,MIN(Q96,Hipótesis!$D$105/MAX(Hipótesis!$D$108-Hipótesis!$D$109,1)),0))</f>
        <v>0</v>
      </c>
      <c r="R97" s="100" t="n">
        <f aca="false">IF(16&lt;=Hipótesis!$D$109,0,IF(R96&gt;0,MIN(R96,Hipótesis!$D$105/MAX(Hipótesis!$D$108-Hipótesis!$D$109,1)),0))</f>
        <v>0</v>
      </c>
      <c r="S97" s="100" t="n">
        <f aca="false">IF(17&lt;=Hipótesis!$D$109,0,IF(S96&gt;0,MIN(S96,Hipótesis!$D$105/MAX(Hipótesis!$D$108-Hipótesis!$D$109,1)),0))</f>
        <v>0</v>
      </c>
      <c r="T97" s="100" t="n">
        <f aca="false">IF(18&lt;=Hipótesis!$D$109,0,IF(T96&gt;0,MIN(T96,Hipótesis!$D$105/MAX(Hipótesis!$D$108-Hipótesis!$D$109,1)),0))</f>
        <v>0</v>
      </c>
      <c r="U97" s="100" t="n">
        <f aca="false">IF(19&lt;=Hipótesis!$D$109,0,IF(U96&gt;0,MIN(U96,Hipótesis!$D$105/MAX(Hipótesis!$D$108-Hipótesis!$D$109,1)),0))</f>
        <v>0</v>
      </c>
      <c r="V97" s="100" t="n">
        <f aca="false">IF(20&lt;=Hipótesis!$D$109,0,IF(V96&gt;0,MIN(V96,Hipótesis!$D$105/MAX(Hipótesis!$D$108-Hipótesis!$D$109,1)),0))</f>
        <v>0</v>
      </c>
      <c r="W97" s="100" t="n">
        <f aca="false">IF(21&lt;=Hipótesis!$D$109,0,IF(W96&gt;0,MIN(W96,Hipótesis!$D$105/MAX(Hipótesis!$D$108-Hipótesis!$D$109,1)),0))</f>
        <v>0</v>
      </c>
      <c r="X97" s="100" t="n">
        <f aca="false">IF(22&lt;=Hipótesis!$D$109,0,IF(X96&gt;0,MIN(X96,Hipótesis!$D$105/MAX(Hipótesis!$D$108-Hipótesis!$D$109,1)),0))</f>
        <v>0</v>
      </c>
      <c r="Y97" s="100" t="n">
        <f aca="false">IF(23&lt;=Hipótesis!$D$109,0,IF(Y96&gt;0,MIN(Y96,Hipótesis!$D$105/MAX(Hipótesis!$D$108-Hipótesis!$D$109,1)),0))</f>
        <v>0</v>
      </c>
      <c r="Z97" s="100" t="n">
        <f aca="false">IF(24&lt;=Hipótesis!$D$109,0,IF(Z96&gt;0,MIN(Z96,Hipótesis!$D$105/MAX(Hipótesis!$D$108-Hipótesis!$D$109,1)),0))</f>
        <v>0</v>
      </c>
      <c r="AA97" s="100" t="n">
        <f aca="false">IF(25&lt;=Hipótesis!$D$109,0,IF(AA96&gt;0,MIN(AA96,Hipótesis!$D$105/MAX(Hipótesis!$D$108-Hipótesis!$D$109,1)),0))</f>
        <v>1666.66666666667</v>
      </c>
      <c r="AB97" s="100" t="n">
        <f aca="false">IF(26&lt;=Hipótesis!$D$109,0,IF(AB96&gt;0,MIN(AB96,Hipótesis!$D$105/MAX(Hipótesis!$D$108-Hipótesis!$D$109,1)),0))</f>
        <v>1666.66666666667</v>
      </c>
      <c r="AC97" s="100" t="n">
        <f aca="false">IF(27&lt;=Hipótesis!$D$109,0,IF(AC96&gt;0,MIN(AC96,Hipótesis!$D$105/MAX(Hipótesis!$D$108-Hipótesis!$D$109,1)),0))</f>
        <v>1666.66666666667</v>
      </c>
      <c r="AD97" s="100" t="n">
        <f aca="false">IF(28&lt;=Hipótesis!$D$109,0,IF(AD96&gt;0,MIN(AD96,Hipótesis!$D$105/MAX(Hipótesis!$D$108-Hipótesis!$D$109,1)),0))</f>
        <v>1666.66666666667</v>
      </c>
      <c r="AE97" s="100" t="n">
        <f aca="false">IF(29&lt;=Hipótesis!$D$109,0,IF(AE96&gt;0,MIN(AE96,Hipótesis!$D$105/MAX(Hipótesis!$D$108-Hipótesis!$D$109,1)),0))</f>
        <v>1666.66666666667</v>
      </c>
      <c r="AF97" s="100" t="n">
        <f aca="false">IF(30&lt;=Hipótesis!$D$109,0,IF(AF96&gt;0,MIN(AF96,Hipótesis!$D$105/MAX(Hipótesis!$D$108-Hipótesis!$D$109,1)),0))</f>
        <v>1666.66666666667</v>
      </c>
      <c r="AG97" s="100" t="n">
        <f aca="false">IF(31&lt;=Hipótesis!$D$109,0,IF(AG96&gt;0,MIN(AG96,Hipótesis!$D$105/MAX(Hipótesis!$D$108-Hipótesis!$D$109,1)),0))</f>
        <v>1666.66666666667</v>
      </c>
      <c r="AH97" s="100" t="n">
        <f aca="false">IF(32&lt;=Hipótesis!$D$109,0,IF(AH96&gt;0,MIN(AH96,Hipótesis!$D$105/MAX(Hipótesis!$D$108-Hipótesis!$D$109,1)),0))</f>
        <v>1666.66666666667</v>
      </c>
      <c r="AI97" s="100" t="n">
        <f aca="false">IF(33&lt;=Hipótesis!$D$109,0,IF(AI96&gt;0,MIN(AI96,Hipótesis!$D$105/MAX(Hipótesis!$D$108-Hipótesis!$D$109,1)),0))</f>
        <v>1666.66666666667</v>
      </c>
      <c r="AJ97" s="100" t="n">
        <f aca="false">IF(34&lt;=Hipótesis!$D$109,0,IF(AJ96&gt;0,MIN(AJ96,Hipótesis!$D$105/MAX(Hipótesis!$D$108-Hipótesis!$D$109,1)),0))</f>
        <v>1666.66666666667</v>
      </c>
      <c r="AK97" s="100" t="n">
        <f aca="false">IF(35&lt;=Hipótesis!$D$109,0,IF(AK96&gt;0,MIN(AK96,Hipótesis!$D$105/MAX(Hipótesis!$D$108-Hipótesis!$D$109,1)),0))</f>
        <v>1666.66666666667</v>
      </c>
      <c r="AL97" s="100" t="n">
        <f aca="false">IF(36&lt;=Hipótesis!$D$109,0,IF(AL96&gt;0,MIN(AL96,Hipótesis!$D$105/MAX(Hipótesis!$D$108-Hipótesis!$D$109,1)),0))</f>
        <v>1666.66666666667</v>
      </c>
      <c r="AM97" s="100" t="n">
        <f aca="false">IF(37&lt;=Hipótesis!$D$109,0,IF(AM96&gt;0,MIN(AM96,Hipótesis!$D$105/MAX(Hipótesis!$D$108-Hipótesis!$D$109,1)),0))</f>
        <v>1666.66666666667</v>
      </c>
      <c r="AN97" s="100" t="n">
        <f aca="false">IF(38&lt;=Hipótesis!$D$109,0,IF(AN96&gt;0,MIN(AN96,Hipótesis!$D$105/MAX(Hipótesis!$D$108-Hipótesis!$D$109,1)),0))</f>
        <v>1666.66666666667</v>
      </c>
      <c r="AO97" s="100" t="n">
        <f aca="false">IF(39&lt;=Hipótesis!$D$109,0,IF(AO96&gt;0,MIN(AO96,Hipótesis!$D$105/MAX(Hipótesis!$D$108-Hipótesis!$D$109,1)),0))</f>
        <v>1666.66666666667</v>
      </c>
      <c r="AP97" s="100" t="n">
        <f aca="false">IF(40&lt;=Hipótesis!$D$109,0,IF(AP96&gt;0,MIN(AP96,Hipótesis!$D$105/MAX(Hipótesis!$D$108-Hipótesis!$D$109,1)),0))</f>
        <v>1666.66666666667</v>
      </c>
      <c r="AQ97" s="100" t="n">
        <f aca="false">IF(41&lt;=Hipótesis!$D$109,0,IF(AQ96&gt;0,MIN(AQ96,Hipótesis!$D$105/MAX(Hipótesis!$D$108-Hipótesis!$D$109,1)),0))</f>
        <v>1666.66666666667</v>
      </c>
      <c r="AR97" s="100" t="n">
        <f aca="false">IF(42&lt;=Hipótesis!$D$109,0,IF(AR96&gt;0,MIN(AR96,Hipótesis!$D$105/MAX(Hipótesis!$D$108-Hipótesis!$D$109,1)),0))</f>
        <v>1666.66666666667</v>
      </c>
      <c r="AS97" s="100" t="n">
        <f aca="false">IF(43&lt;=Hipótesis!$D$109,0,IF(AS96&gt;0,MIN(AS96,Hipótesis!$D$105/MAX(Hipótesis!$D$108-Hipótesis!$D$109,1)),0))</f>
        <v>1666.66666666667</v>
      </c>
      <c r="AT97" s="100" t="n">
        <f aca="false">IF(44&lt;=Hipótesis!$D$109,0,IF(AT96&gt;0,MIN(AT96,Hipótesis!$D$105/MAX(Hipótesis!$D$108-Hipótesis!$D$109,1)),0))</f>
        <v>1666.66666666667</v>
      </c>
      <c r="AU97" s="100" t="n">
        <f aca="false">IF(45&lt;=Hipótesis!$D$109,0,IF(AU96&gt;0,MIN(AU96,Hipótesis!$D$105/MAX(Hipótesis!$D$108-Hipótesis!$D$109,1)),0))</f>
        <v>1666.66666666667</v>
      </c>
      <c r="AV97" s="100" t="n">
        <f aca="false">IF(46&lt;=Hipótesis!$D$109,0,IF(AV96&gt;0,MIN(AV96,Hipótesis!$D$105/MAX(Hipótesis!$D$108-Hipótesis!$D$109,1)),0))</f>
        <v>1666.66666666667</v>
      </c>
      <c r="AW97" s="100" t="n">
        <f aca="false">IF(47&lt;=Hipótesis!$D$109,0,IF(AW96&gt;0,MIN(AW96,Hipótesis!$D$105/MAX(Hipótesis!$D$108-Hipótesis!$D$109,1)),0))</f>
        <v>1666.66666666667</v>
      </c>
      <c r="AX97" s="100" t="n">
        <f aca="false">IF(48&lt;=Hipótesis!$D$109,0,IF(AX96&gt;0,MIN(AX96,Hipótesis!$D$105/MAX(Hipótesis!$D$108-Hipótesis!$D$109,1)),0))</f>
        <v>1666.66666666667</v>
      </c>
      <c r="AY97" s="100" t="n">
        <f aca="false">IF(49&lt;=Hipótesis!$D$109,0,IF(AY96&gt;0,MIN(AY96,Hipótesis!$D$105/MAX(Hipótesis!$D$108-Hipótesis!$D$109,1)),0))</f>
        <v>1666.66666666667</v>
      </c>
      <c r="AZ97" s="100" t="n">
        <f aca="false">IF(50&lt;=Hipótesis!$D$109,0,IF(AZ96&gt;0,MIN(AZ96,Hipótesis!$D$105/MAX(Hipótesis!$D$108-Hipótesis!$D$109,1)),0))</f>
        <v>1666.66666666667</v>
      </c>
      <c r="BA97" s="100" t="n">
        <f aca="false">IF(51&lt;=Hipótesis!$D$109,0,IF(BA96&gt;0,MIN(BA96,Hipótesis!$D$105/MAX(Hipótesis!$D$108-Hipótesis!$D$109,1)),0))</f>
        <v>1666.66666666667</v>
      </c>
      <c r="BB97" s="100" t="n">
        <f aca="false">IF(52&lt;=Hipótesis!$D$109,0,IF(BB96&gt;0,MIN(BB96,Hipótesis!$D$105/MAX(Hipótesis!$D$108-Hipótesis!$D$109,1)),0))</f>
        <v>1666.66666666667</v>
      </c>
      <c r="BC97" s="100" t="n">
        <f aca="false">IF(53&lt;=Hipótesis!$D$109,0,IF(BC96&gt;0,MIN(BC96,Hipótesis!$D$105/MAX(Hipótesis!$D$108-Hipótesis!$D$109,1)),0))</f>
        <v>1666.66666666667</v>
      </c>
      <c r="BD97" s="100" t="n">
        <f aca="false">IF(54&lt;=Hipótesis!$D$109,0,IF(BD96&gt;0,MIN(BD96,Hipótesis!$D$105/MAX(Hipótesis!$D$108-Hipótesis!$D$109,1)),0))</f>
        <v>1666.66666666667</v>
      </c>
      <c r="BE97" s="100" t="n">
        <f aca="false">IF(55&lt;=Hipótesis!$D$109,0,IF(BE96&gt;0,MIN(BE96,Hipótesis!$D$105/MAX(Hipótesis!$D$108-Hipótesis!$D$109,1)),0))</f>
        <v>1666.66666666667</v>
      </c>
      <c r="BF97" s="100" t="n">
        <f aca="false">IF(56&lt;=Hipótesis!$D$109,0,IF(BF96&gt;0,MIN(BF96,Hipótesis!$D$105/MAX(Hipótesis!$D$108-Hipótesis!$D$109,1)),0))</f>
        <v>1666.66666666667</v>
      </c>
      <c r="BG97" s="100" t="n">
        <f aca="false">IF(57&lt;=Hipótesis!$D$109,0,IF(BG96&gt;0,MIN(BG96,Hipótesis!$D$105/MAX(Hipótesis!$D$108-Hipótesis!$D$109,1)),0))</f>
        <v>1666.66666666667</v>
      </c>
      <c r="BH97" s="100" t="n">
        <f aca="false">IF(58&lt;=Hipótesis!$D$109,0,IF(BH96&gt;0,MIN(BH96,Hipótesis!$D$105/MAX(Hipótesis!$D$108-Hipótesis!$D$109,1)),0))</f>
        <v>1666.66666666667</v>
      </c>
      <c r="BI97" s="100" t="n">
        <f aca="false">IF(59&lt;=Hipótesis!$D$109,0,IF(BI96&gt;0,MIN(BI96,Hipótesis!$D$105/MAX(Hipótesis!$D$108-Hipótesis!$D$109,1)),0))</f>
        <v>1666.66666666667</v>
      </c>
      <c r="BJ97" s="100" t="n">
        <f aca="false">IF(60&lt;=Hipótesis!$D$109,0,IF(BJ96&gt;0,MIN(BJ96,Hipótesis!$D$105/MAX(Hipótesis!$D$108-Hipótesis!$D$109,1)),0))</f>
        <v>1666.66666666667</v>
      </c>
      <c r="BK97" s="100" t="n">
        <f aca="false">IF(61&lt;=Hipótesis!$D$109,0,IF(BK96&gt;0,MIN(BK96,Hipótesis!$D$105/MAX(Hipótesis!$D$108-Hipótesis!$D$109,1)),0))</f>
        <v>1666.66666666667</v>
      </c>
      <c r="BL97" s="100" t="n">
        <f aca="false">IF(62&lt;=Hipótesis!$D$109,0,IF(BL96&gt;0,MIN(BL96,Hipótesis!$D$105/MAX(Hipótesis!$D$108-Hipótesis!$D$109,1)),0))</f>
        <v>1666.66666666667</v>
      </c>
      <c r="BM97" s="100" t="n">
        <f aca="false">IF(63&lt;=Hipótesis!$D$109,0,IF(BM96&gt;0,MIN(BM96,Hipótesis!$D$105/MAX(Hipótesis!$D$108-Hipótesis!$D$109,1)),0))</f>
        <v>1666.66666666667</v>
      </c>
      <c r="BN97" s="100" t="n">
        <f aca="false">IF(64&lt;=Hipótesis!$D$109,0,IF(BN96&gt;0,MIN(BN96,Hipótesis!$D$105/MAX(Hipótesis!$D$108-Hipótesis!$D$109,1)),0))</f>
        <v>1666.66666666667</v>
      </c>
      <c r="BO97" s="100" t="n">
        <f aca="false">IF(65&lt;=Hipótesis!$D$109,0,IF(BO96&gt;0,MIN(BO96,Hipótesis!$D$105/MAX(Hipótesis!$D$108-Hipótesis!$D$109,1)),0))</f>
        <v>1666.66666666667</v>
      </c>
      <c r="BP97" s="100" t="n">
        <f aca="false">IF(66&lt;=Hipótesis!$D$109,0,IF(BP96&gt;0,MIN(BP96,Hipótesis!$D$105/MAX(Hipótesis!$D$108-Hipótesis!$D$109,1)),0))</f>
        <v>1666.66666666667</v>
      </c>
      <c r="BQ97" s="100" t="n">
        <f aca="false">IF(67&lt;=Hipótesis!$D$109,0,IF(BQ96&gt;0,MIN(BQ96,Hipótesis!$D$105/MAX(Hipótesis!$D$108-Hipótesis!$D$109,1)),0))</f>
        <v>1666.66666666667</v>
      </c>
      <c r="BR97" s="100" t="n">
        <f aca="false">IF(68&lt;=Hipótesis!$D$109,0,IF(BR96&gt;0,MIN(BR96,Hipótesis!$D$105/MAX(Hipótesis!$D$108-Hipótesis!$D$109,1)),0))</f>
        <v>1666.66666666667</v>
      </c>
      <c r="BS97" s="100" t="n">
        <f aca="false">IF(69&lt;=Hipótesis!$D$109,0,IF(BS96&gt;0,MIN(BS96,Hipótesis!$D$105/MAX(Hipótesis!$D$108-Hipótesis!$D$109,1)),0))</f>
        <v>1666.66666666667</v>
      </c>
      <c r="BT97" s="100" t="n">
        <f aca="false">IF(70&lt;=Hipótesis!$D$109,0,IF(BT96&gt;0,MIN(BT96,Hipótesis!$D$105/MAX(Hipótesis!$D$108-Hipótesis!$D$109,1)),0))</f>
        <v>1666.66666666667</v>
      </c>
      <c r="BU97" s="100" t="n">
        <f aca="false">IF(71&lt;=Hipótesis!$D$109,0,IF(BU96&gt;0,MIN(BU96,Hipótesis!$D$105/MAX(Hipótesis!$D$108-Hipótesis!$D$109,1)),0))</f>
        <v>1666.66666666667</v>
      </c>
      <c r="BV97" s="100" t="n">
        <f aca="false">IF(72&lt;=Hipótesis!$D$109,0,IF(BV96&gt;0,MIN(BV96,Hipótesis!$D$105/MAX(Hipótesis!$D$108-Hipótesis!$D$109,1)),0))</f>
        <v>1666.66666666667</v>
      </c>
      <c r="BW97" s="100" t="n">
        <f aca="false">IF(73&lt;=Hipótesis!$D$109,0,IF(BW96&gt;0,MIN(BW96,Hipótesis!$D$105/MAX(Hipótesis!$D$108-Hipótesis!$D$109,1)),0))</f>
        <v>1666.66666666667</v>
      </c>
      <c r="BX97" s="100" t="n">
        <f aca="false">IF(74&lt;=Hipótesis!$D$109,0,IF(BX96&gt;0,MIN(BX96,Hipótesis!$D$105/MAX(Hipótesis!$D$108-Hipótesis!$D$109,1)),0))</f>
        <v>1666.66666666667</v>
      </c>
      <c r="BY97" s="100" t="n">
        <f aca="false">IF(75&lt;=Hipótesis!$D$109,0,IF(BY96&gt;0,MIN(BY96,Hipótesis!$D$105/MAX(Hipótesis!$D$108-Hipótesis!$D$109,1)),0))</f>
        <v>1666.66666666667</v>
      </c>
      <c r="BZ97" s="100" t="n">
        <f aca="false">IF(76&lt;=Hipótesis!$D$109,0,IF(BZ96&gt;0,MIN(BZ96,Hipótesis!$D$105/MAX(Hipótesis!$D$108-Hipótesis!$D$109,1)),0))</f>
        <v>1666.66666666667</v>
      </c>
      <c r="CA97" s="100" t="n">
        <f aca="false">IF(77&lt;=Hipótesis!$D$109,0,IF(CA96&gt;0,MIN(CA96,Hipótesis!$D$105/MAX(Hipótesis!$D$108-Hipótesis!$D$109,1)),0))</f>
        <v>1666.66666666667</v>
      </c>
      <c r="CB97" s="100" t="n">
        <f aca="false">IF(78&lt;=Hipótesis!$D$109,0,IF(CB96&gt;0,MIN(CB96,Hipótesis!$D$105/MAX(Hipótesis!$D$108-Hipótesis!$D$109,1)),0))</f>
        <v>1666.66666666667</v>
      </c>
      <c r="CC97" s="100" t="n">
        <f aca="false">IF(79&lt;=Hipótesis!$D$109,0,IF(CC96&gt;0,MIN(CC96,Hipótesis!$D$105/MAX(Hipótesis!$D$108-Hipótesis!$D$109,1)),0))</f>
        <v>1666.66666666667</v>
      </c>
      <c r="CD97" s="100" t="n">
        <f aca="false">IF(80&lt;=Hipótesis!$D$109,0,IF(CD96&gt;0,MIN(CD96,Hipótesis!$D$105/MAX(Hipótesis!$D$108-Hipótesis!$D$109,1)),0))</f>
        <v>1666.66666666667</v>
      </c>
      <c r="CE97" s="100" t="n">
        <f aca="false">IF(81&lt;=Hipótesis!$D$109,0,IF(CE96&gt;0,MIN(CE96,Hipótesis!$D$105/MAX(Hipótesis!$D$108-Hipótesis!$D$109,1)),0))</f>
        <v>1666.66666666667</v>
      </c>
      <c r="CF97" s="100" t="n">
        <f aca="false">IF(82&lt;=Hipótesis!$D$109,0,IF(CF96&gt;0,MIN(CF96,Hipótesis!$D$105/MAX(Hipótesis!$D$108-Hipótesis!$D$109,1)),0))</f>
        <v>1666.66666666667</v>
      </c>
      <c r="CG97" s="100" t="n">
        <f aca="false">IF(83&lt;=Hipótesis!$D$109,0,IF(CG96&gt;0,MIN(CG96,Hipótesis!$D$105/MAX(Hipótesis!$D$108-Hipótesis!$D$109,1)),0))</f>
        <v>1666.66666666667</v>
      </c>
      <c r="CH97" s="100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6" t="s">
        <v>570</v>
      </c>
      <c r="C98" s="100" t="n">
        <f aca="false">C96*Hipótesis!$D$106/12+IF(C96&gt;0,Hipótesis!$D$107*MAX(0,C56),0)</f>
        <v>333.333333333333</v>
      </c>
      <c r="D98" s="100" t="n">
        <f aca="false">D96*Hipótesis!$D$106/12+IF(D96&gt;0,Hipótesis!$D$107*MAX(0,D56),0)</f>
        <v>333.333333333333</v>
      </c>
      <c r="E98" s="100" t="n">
        <f aca="false">E96*Hipótesis!$D$106/12+IF(E96&gt;0,Hipótesis!$D$107*MAX(0,E56),0)</f>
        <v>333.333333333333</v>
      </c>
      <c r="F98" s="100" t="n">
        <f aca="false">F96*Hipótesis!$D$106/12+IF(F96&gt;0,Hipótesis!$D$107*MAX(0,F56),0)</f>
        <v>333.333333333333</v>
      </c>
      <c r="G98" s="100" t="n">
        <f aca="false">G96*Hipótesis!$D$106/12+IF(G96&gt;0,Hipótesis!$D$107*MAX(0,G56),0)</f>
        <v>333.333333333333</v>
      </c>
      <c r="H98" s="100" t="n">
        <f aca="false">H96*Hipótesis!$D$106/12+IF(H96&gt;0,Hipótesis!$D$107*MAX(0,H56),0)</f>
        <v>333.333333333333</v>
      </c>
      <c r="I98" s="100" t="n">
        <f aca="false">I96*Hipótesis!$D$106/12+IF(I96&gt;0,Hipótesis!$D$107*MAX(0,I56),0)</f>
        <v>333.333333333333</v>
      </c>
      <c r="J98" s="100" t="n">
        <f aca="false">J96*Hipótesis!$D$106/12+IF(J96&gt;0,Hipótesis!$D$107*MAX(0,J56),0)</f>
        <v>379.028703539617</v>
      </c>
      <c r="K98" s="100" t="n">
        <f aca="false">K96*Hipótesis!$D$106/12+IF(K96&gt;0,Hipótesis!$D$107*MAX(0,K56),0)</f>
        <v>453.95563524641</v>
      </c>
      <c r="L98" s="100" t="n">
        <f aca="false">L96*Hipótesis!$D$106/12+IF(L96&gt;0,Hipótesis!$D$107*MAX(0,L56),0)</f>
        <v>528.882566953204</v>
      </c>
      <c r="M98" s="100" t="n">
        <f aca="false">M96*Hipótesis!$D$106/12+IF(M96&gt;0,Hipótesis!$D$107*MAX(0,M56),0)</f>
        <v>579.039238218851</v>
      </c>
      <c r="N98" s="100" t="n">
        <f aca="false">N96*Hipótesis!$D$106/12+IF(N96&gt;0,Hipótesis!$D$107*MAX(0,N56),0)</f>
        <v>648.214175345461</v>
      </c>
      <c r="O98" s="100" t="n">
        <f aca="false">O96*Hipótesis!$D$106/12+IF(O96&gt;0,Hipótesis!$D$107*MAX(0,O56),0)</f>
        <v>612.845112472071</v>
      </c>
      <c r="P98" s="100" t="n">
        <f aca="false">P96*Hipótesis!$D$106/12+IF(P96&gt;0,Hipótesis!$D$107*MAX(0,P56),0)</f>
        <v>674.827985351155</v>
      </c>
      <c r="Q98" s="100" t="n">
        <f aca="false">Q96*Hipótesis!$D$106/12+IF(Q96&gt;0,Hipótesis!$D$107*MAX(0,Q56),0)</f>
        <v>736.810858230238</v>
      </c>
      <c r="R98" s="100" t="n">
        <f aca="false">R96*Hipótesis!$D$106/12+IF(R96&gt;0,Hipótesis!$D$107*MAX(0,R56),0)</f>
        <v>798.793731109321</v>
      </c>
      <c r="S98" s="100" t="n">
        <f aca="false">S96*Hipótesis!$D$106/12+IF(S96&gt;0,Hipótesis!$D$107*MAX(0,S56),0)</f>
        <v>860.776603988405</v>
      </c>
      <c r="T98" s="100" t="n">
        <f aca="false">T96*Hipótesis!$D$106/12+IF(T96&gt;0,Hipótesis!$D$107*MAX(0,T56),0)</f>
        <v>922.759476867488</v>
      </c>
      <c r="U98" s="100" t="n">
        <f aca="false">U96*Hipótesis!$D$106/12+IF(U96&gt;0,Hipótesis!$D$107*MAX(0,U56),0)</f>
        <v>938.515949746571</v>
      </c>
      <c r="V98" s="100" t="n">
        <f aca="false">V96*Hipótesis!$D$106/12+IF(V96&gt;0,Hipótesis!$D$107*MAX(0,V56),0)</f>
        <v>946.114822625655</v>
      </c>
      <c r="W98" s="100" t="n">
        <f aca="false">W96*Hipótesis!$D$106/12+IF(W96&gt;0,Hipótesis!$D$107*MAX(0,W56),0)</f>
        <v>1008.09769550474</v>
      </c>
      <c r="X98" s="100" t="n">
        <f aca="false">X96*Hipótesis!$D$106/12+IF(X96&gt;0,Hipótesis!$D$107*MAX(0,X56),0)</f>
        <v>1051.06230252286</v>
      </c>
      <c r="Y98" s="100" t="n">
        <f aca="false">Y96*Hipótesis!$D$106/12+IF(Y96&gt;0,Hipótesis!$D$107*MAX(0,Y56),0)</f>
        <v>1094.02690954098</v>
      </c>
      <c r="Z98" s="100" t="n">
        <f aca="false">Z96*Hipótesis!$D$106/12+IF(Z96&gt;0,Hipótesis!$D$107*MAX(0,Z56),0)</f>
        <v>1130.01844021471</v>
      </c>
      <c r="AA98" s="100" t="n">
        <f aca="false">AA96*Hipótesis!$D$106/12+IF(AA96&gt;0,Hipótesis!$D$107*MAX(0,AA56),0)</f>
        <v>1121.76013888845</v>
      </c>
      <c r="AB98" s="100" t="n">
        <f aca="false">AB96*Hipótesis!$D$106/12+IF(AB96&gt;0,Hipótesis!$D$107*MAX(0,AB56),0)</f>
        <v>1152.19611400663</v>
      </c>
      <c r="AC98" s="100" t="n">
        <f aca="false">AC96*Hipótesis!$D$106/12+IF(AC96&gt;0,Hipótesis!$D$107*MAX(0,AC56),0)</f>
        <v>1182.63208912481</v>
      </c>
      <c r="AD98" s="100" t="n">
        <f aca="false">AD96*Hipótesis!$D$106/12+IF(AD96&gt;0,Hipótesis!$D$107*MAX(0,AD56),0)</f>
        <v>1213.06806424299</v>
      </c>
      <c r="AE98" s="100" t="n">
        <f aca="false">AE96*Hipótesis!$D$106/12+IF(AE96&gt;0,Hipótesis!$D$107*MAX(0,AE56),0)</f>
        <v>1243.50403936116</v>
      </c>
      <c r="AF98" s="100" t="n">
        <f aca="false">AF96*Hipótesis!$D$106/12+IF(AF96&gt;0,Hipótesis!$D$107*MAX(0,AF56),0)</f>
        <v>1273.94001447934</v>
      </c>
      <c r="AG98" s="100" t="n">
        <f aca="false">AG96*Hipótesis!$D$106/12+IF(AG96&gt;0,Hipótesis!$D$107*MAX(0,AG56),0)</f>
        <v>1304.37598959752</v>
      </c>
      <c r="AH98" s="100" t="n">
        <f aca="false">AH96*Hipótesis!$D$106/12+IF(AH96&gt;0,Hipótesis!$D$107*MAX(0,AH56),0)</f>
        <v>1287.1987727157</v>
      </c>
      <c r="AI98" s="100" t="n">
        <f aca="false">AI96*Hipótesis!$D$106/12+IF(AI96&gt;0,Hipótesis!$D$107*MAX(0,AI56),0)</f>
        <v>1317.63474783388</v>
      </c>
      <c r="AJ98" s="100" t="n">
        <f aca="false">AJ96*Hipótesis!$D$106/12+IF(AJ96&gt;0,Hipótesis!$D$107*MAX(0,AJ56),0)</f>
        <v>1348.07072295206</v>
      </c>
      <c r="AK98" s="100" t="n">
        <f aca="false">AK96*Hipótesis!$D$106/12+IF(AK96&gt;0,Hipótesis!$D$107*MAX(0,AK56),0)</f>
        <v>1378.50669807024</v>
      </c>
      <c r="AL98" s="100" t="n">
        <f aca="false">AL96*Hipótesis!$D$106/12+IF(AL96&gt;0,Hipótesis!$D$107*MAX(0,AL56),0)</f>
        <v>1408.94267318842</v>
      </c>
      <c r="AM98" s="100" t="n">
        <f aca="false">AM96*Hipótesis!$D$106/12+IF(AM96&gt;0,Hipótesis!$D$107*MAX(0,AM56),0)</f>
        <v>1393.5609255866</v>
      </c>
      <c r="AN98" s="100" t="n">
        <f aca="false">AN96*Hipótesis!$D$106/12+IF(AN96&gt;0,Hipótesis!$D$107*MAX(0,AN56),0)</f>
        <v>1423.99690070478</v>
      </c>
      <c r="AO98" s="100" t="n">
        <f aca="false">AO96*Hipótesis!$D$106/12+IF(AO96&gt;0,Hipótesis!$D$107*MAX(0,AO56),0)</f>
        <v>1454.43287582296</v>
      </c>
      <c r="AP98" s="100" t="n">
        <f aca="false">AP96*Hipótesis!$D$106/12+IF(AP96&gt;0,Hipótesis!$D$107*MAX(0,AP56),0)</f>
        <v>1484.86885094114</v>
      </c>
      <c r="AQ98" s="100" t="n">
        <f aca="false">AQ96*Hipótesis!$D$106/12+IF(AQ96&gt;0,Hipótesis!$D$107*MAX(0,AQ56),0)</f>
        <v>1515.30482605931</v>
      </c>
      <c r="AR98" s="100" t="n">
        <f aca="false">AR96*Hipótesis!$D$106/12+IF(AR96&gt;0,Hipótesis!$D$107*MAX(0,AR56),0)</f>
        <v>1545.74080117749</v>
      </c>
      <c r="AS98" s="100" t="n">
        <f aca="false">AS96*Hipótesis!$D$106/12+IF(AS96&gt;0,Hipótesis!$D$107*MAX(0,AS56),0)</f>
        <v>1540.18524562194</v>
      </c>
      <c r="AT98" s="100" t="n">
        <f aca="false">AT96*Hipótesis!$D$106/12+IF(AT96&gt;0,Hipótesis!$D$107*MAX(0,AT56),0)</f>
        <v>1534.62969006638</v>
      </c>
      <c r="AU98" s="100" t="n">
        <f aca="false">AU96*Hipótesis!$D$106/12+IF(AU96&gt;0,Hipótesis!$D$107*MAX(0,AU56),0)</f>
        <v>1529.07413451083</v>
      </c>
      <c r="AV98" s="100" t="n">
        <f aca="false">AV96*Hipótesis!$D$106/12+IF(AV96&gt;0,Hipótesis!$D$107*MAX(0,AV56),0)</f>
        <v>1523.51857895527</v>
      </c>
      <c r="AW98" s="100" t="n">
        <f aca="false">AW96*Hipótesis!$D$106/12+IF(AW96&gt;0,Hipótesis!$D$107*MAX(0,AW56),0)</f>
        <v>1517.96302339972</v>
      </c>
      <c r="AX98" s="100" t="n">
        <f aca="false">AX96*Hipótesis!$D$106/12+IF(AX96&gt;0,Hipótesis!$D$107*MAX(0,AX56),0)</f>
        <v>1512.40746784416</v>
      </c>
      <c r="AY98" s="100" t="n">
        <f aca="false">AY96*Hipótesis!$D$106/12+IF(AY96&gt;0,Hipótesis!$D$107*MAX(0,AY56),0)</f>
        <v>1460.84765788701</v>
      </c>
      <c r="AZ98" s="100" t="n">
        <f aca="false">AZ96*Hipótesis!$D$106/12+IF(AZ96&gt;0,Hipótesis!$D$107*MAX(0,AZ56),0)</f>
        <v>1455.29210233145</v>
      </c>
      <c r="BA98" s="100" t="n">
        <f aca="false">BA96*Hipótesis!$D$106/12+IF(BA96&gt;0,Hipótesis!$D$107*MAX(0,BA56),0)</f>
        <v>1449.73654677589</v>
      </c>
      <c r="BB98" s="100" t="n">
        <f aca="false">BB96*Hipótesis!$D$106/12+IF(BB96&gt;0,Hipótesis!$D$107*MAX(0,BB56),0)</f>
        <v>1444.18099122034</v>
      </c>
      <c r="BC98" s="100" t="n">
        <f aca="false">BC96*Hipótesis!$D$106/12+IF(BC96&gt;0,Hipótesis!$D$107*MAX(0,BC56),0)</f>
        <v>1438.62543566478</v>
      </c>
      <c r="BD98" s="100" t="n">
        <f aca="false">BD96*Hipótesis!$D$106/12+IF(BD96&gt;0,Hipótesis!$D$107*MAX(0,BD56),0)</f>
        <v>1433.06988010923</v>
      </c>
      <c r="BE98" s="100" t="n">
        <f aca="false">BE96*Hipótesis!$D$106/12+IF(BE96&gt;0,Hipótesis!$D$107*MAX(0,BE56),0)</f>
        <v>1427.51432455367</v>
      </c>
      <c r="BF98" s="100" t="n">
        <f aca="false">BF96*Hipótesis!$D$106/12+IF(BF96&gt;0,Hipótesis!$D$107*MAX(0,BF56),0)</f>
        <v>1421.95876899812</v>
      </c>
      <c r="BG98" s="100" t="n">
        <f aca="false">BG96*Hipótesis!$D$106/12+IF(BG96&gt;0,Hipótesis!$D$107*MAX(0,BG56),0)</f>
        <v>1416.40321344256</v>
      </c>
      <c r="BH98" s="100" t="n">
        <f aca="false">BH96*Hipótesis!$D$106/12+IF(BH96&gt;0,Hipótesis!$D$107*MAX(0,BH56),0)</f>
        <v>1410.84765788701</v>
      </c>
      <c r="BI98" s="100" t="n">
        <f aca="false">BI96*Hipótesis!$D$106/12+IF(BI96&gt;0,Hipótesis!$D$107*MAX(0,BI56),0)</f>
        <v>1405.29210233145</v>
      </c>
      <c r="BJ98" s="100" t="n">
        <f aca="false">BJ96*Hipótesis!$D$106/12+IF(BJ96&gt;0,Hipótesis!$D$107*MAX(0,BJ56),0)</f>
        <v>1399.73654677589</v>
      </c>
      <c r="BK98" s="100" t="n">
        <f aca="false">BK96*Hipótesis!$D$106/12+IF(BK96&gt;0,Hipótesis!$D$107*MAX(0,BK56),0)</f>
        <v>1347.98460918669</v>
      </c>
      <c r="BL98" s="100" t="n">
        <f aca="false">BL96*Hipótesis!$D$106/12+IF(BL96&gt;0,Hipótesis!$D$107*MAX(0,BL56),0)</f>
        <v>1342.42905363113</v>
      </c>
      <c r="BM98" s="100" t="n">
        <f aca="false">BM96*Hipótesis!$D$106/12+IF(BM96&gt;0,Hipótesis!$D$107*MAX(0,BM56),0)</f>
        <v>1336.87349807558</v>
      </c>
      <c r="BN98" s="100" t="n">
        <f aca="false">BN96*Hipótesis!$D$106/12+IF(BN96&gt;0,Hipótesis!$D$107*MAX(0,BN56),0)</f>
        <v>1331.31794252002</v>
      </c>
      <c r="BO98" s="100" t="n">
        <f aca="false">BO96*Hipótesis!$D$106/12+IF(BO96&gt;0,Hipótesis!$D$107*MAX(0,BO56),0)</f>
        <v>1325.76238696447</v>
      </c>
      <c r="BP98" s="100" t="n">
        <f aca="false">BP96*Hipótesis!$D$106/12+IF(BP96&gt;0,Hipótesis!$D$107*MAX(0,BP56),0)</f>
        <v>1320.20683140891</v>
      </c>
      <c r="BQ98" s="100" t="n">
        <f aca="false">BQ96*Hipótesis!$D$106/12+IF(BQ96&gt;0,Hipótesis!$D$107*MAX(0,BQ56),0)</f>
        <v>1314.65127585336</v>
      </c>
      <c r="BR98" s="100" t="n">
        <f aca="false">BR96*Hipótesis!$D$106/12+IF(BR96&gt;0,Hipótesis!$D$107*MAX(0,BR56),0)</f>
        <v>1309.0957202978</v>
      </c>
      <c r="BS98" s="100" t="n">
        <f aca="false">BS96*Hipótesis!$D$106/12+IF(BS96&gt;0,Hipótesis!$D$107*MAX(0,BS56),0)</f>
        <v>1303.54016474225</v>
      </c>
      <c r="BT98" s="100" t="n">
        <f aca="false">BT96*Hipótesis!$D$106/12+IF(BT96&gt;0,Hipótesis!$D$107*MAX(0,BT56),0)</f>
        <v>1297.98460918669</v>
      </c>
      <c r="BU98" s="100" t="n">
        <f aca="false">BU96*Hipótesis!$D$106/12+IF(BU96&gt;0,Hipótesis!$D$107*MAX(0,BU56),0)</f>
        <v>1292.42905363113</v>
      </c>
      <c r="BV98" s="100" t="n">
        <f aca="false">BV96*Hipótesis!$D$106/12+IF(BV96&gt;0,Hipótesis!$D$107*MAX(0,BV56),0)</f>
        <v>1286.87349807558</v>
      </c>
      <c r="BW98" s="100" t="n">
        <f aca="false">BW96*Hipótesis!$D$106/12+IF(BW96&gt;0,Hipótesis!$D$107*MAX(0,BW56),0)</f>
        <v>1234.92366902537</v>
      </c>
      <c r="BX98" s="100" t="n">
        <f aca="false">BX96*Hipótesis!$D$106/12+IF(BX96&gt;0,Hipótesis!$D$107*MAX(0,BX56),0)</f>
        <v>1229.36811346981</v>
      </c>
      <c r="BY98" s="100" t="n">
        <f aca="false">BY96*Hipótesis!$D$106/12+IF(BY96&gt;0,Hipótesis!$D$107*MAX(0,BY56),0)</f>
        <v>1223.81255791426</v>
      </c>
      <c r="BZ98" s="100" t="n">
        <f aca="false">BZ96*Hipótesis!$D$106/12+IF(BZ96&gt;0,Hipótesis!$D$107*MAX(0,BZ56),0)</f>
        <v>1218.2570023587</v>
      </c>
      <c r="CA98" s="100" t="n">
        <f aca="false">CA96*Hipótesis!$D$106/12+IF(CA96&gt;0,Hipótesis!$D$107*MAX(0,CA56),0)</f>
        <v>1212.70144680314</v>
      </c>
      <c r="CB98" s="100" t="n">
        <f aca="false">CB96*Hipótesis!$D$106/12+IF(CB96&gt;0,Hipótesis!$D$107*MAX(0,CB56),0)</f>
        <v>1207.14589124759</v>
      </c>
      <c r="CC98" s="100" t="n">
        <f aca="false">CC96*Hipótesis!$D$106/12+IF(CC96&gt;0,Hipótesis!$D$107*MAX(0,CC56),0)</f>
        <v>1201.59033569203</v>
      </c>
      <c r="CD98" s="100" t="n">
        <f aca="false">CD96*Hipótesis!$D$106/12+IF(CD96&gt;0,Hipótesis!$D$107*MAX(0,CD56),0)</f>
        <v>1196.03478013648</v>
      </c>
      <c r="CE98" s="100" t="n">
        <f aca="false">CE96*Hipótesis!$D$106/12+IF(CE96&gt;0,Hipótesis!$D$107*MAX(0,CE56),0)</f>
        <v>1190.47922458092</v>
      </c>
      <c r="CF98" s="100" t="n">
        <f aca="false">CF96*Hipótesis!$D$106/12+IF(CF96&gt;0,Hipótesis!$D$107*MAX(0,CF56),0)</f>
        <v>1184.92366902537</v>
      </c>
      <c r="CG98" s="100" t="n">
        <f aca="false">CG96*Hipótesis!$D$106/12+IF(CG96&gt;0,Hipótesis!$D$107*MAX(0,CG56),0)</f>
        <v>1179.36811346981</v>
      </c>
      <c r="CH98" s="100" t="n">
        <f aca="false">CH96*Hipótesis!$D$106/12+IF(CH96&gt;0,Hipótesis!$D$107*MAX(0,CH56),0)</f>
        <v>1173.81255791426</v>
      </c>
    </row>
    <row r="99" customFormat="false" ht="13.5" hidden="false" customHeight="true" outlineLevel="0" collapsed="false">
      <c r="A99" s="6" t="s">
        <v>571</v>
      </c>
      <c r="C99" s="100" t="n">
        <f aca="false">C97+C98</f>
        <v>333.333333333333</v>
      </c>
      <c r="D99" s="100" t="n">
        <f aca="false">D97+D98</f>
        <v>333.333333333333</v>
      </c>
      <c r="E99" s="100" t="n">
        <f aca="false">E97+E98</f>
        <v>333.333333333333</v>
      </c>
      <c r="F99" s="100" t="n">
        <f aca="false">F97+F98</f>
        <v>333.333333333333</v>
      </c>
      <c r="G99" s="100" t="n">
        <f aca="false">G97+G98</f>
        <v>333.333333333333</v>
      </c>
      <c r="H99" s="100" t="n">
        <f aca="false">H97+H98</f>
        <v>333.333333333333</v>
      </c>
      <c r="I99" s="100" t="n">
        <f aca="false">I97+I98</f>
        <v>333.333333333333</v>
      </c>
      <c r="J99" s="100" t="n">
        <f aca="false">J97+J98</f>
        <v>379.028703539617</v>
      </c>
      <c r="K99" s="100" t="n">
        <f aca="false">K97+K98</f>
        <v>453.95563524641</v>
      </c>
      <c r="L99" s="100" t="n">
        <f aca="false">L97+L98</f>
        <v>528.882566953204</v>
      </c>
      <c r="M99" s="100" t="n">
        <f aca="false">M97+M98</f>
        <v>579.039238218851</v>
      </c>
      <c r="N99" s="100" t="n">
        <f aca="false">N97+N98</f>
        <v>648.214175345461</v>
      </c>
      <c r="O99" s="100" t="n">
        <f aca="false">O97+O98</f>
        <v>612.845112472071</v>
      </c>
      <c r="P99" s="100" t="n">
        <f aca="false">P97+P98</f>
        <v>674.827985351155</v>
      </c>
      <c r="Q99" s="100" t="n">
        <f aca="false">Q97+Q98</f>
        <v>736.810858230238</v>
      </c>
      <c r="R99" s="100" t="n">
        <f aca="false">R97+R98</f>
        <v>798.793731109321</v>
      </c>
      <c r="S99" s="100" t="n">
        <f aca="false">S97+S98</f>
        <v>860.776603988405</v>
      </c>
      <c r="T99" s="100" t="n">
        <f aca="false">T97+T98</f>
        <v>922.759476867488</v>
      </c>
      <c r="U99" s="100" t="n">
        <f aca="false">U97+U98</f>
        <v>938.515949746571</v>
      </c>
      <c r="V99" s="100" t="n">
        <f aca="false">V97+V98</f>
        <v>946.114822625655</v>
      </c>
      <c r="W99" s="100" t="n">
        <f aca="false">W97+W98</f>
        <v>1008.09769550474</v>
      </c>
      <c r="X99" s="100" t="n">
        <f aca="false">X97+X98</f>
        <v>1051.06230252286</v>
      </c>
      <c r="Y99" s="100" t="n">
        <f aca="false">Y97+Y98</f>
        <v>1094.02690954098</v>
      </c>
      <c r="Z99" s="100" t="n">
        <f aca="false">Z97+Z98</f>
        <v>1130.01844021471</v>
      </c>
      <c r="AA99" s="100" t="n">
        <f aca="false">AA97+AA98</f>
        <v>2788.42680555511</v>
      </c>
      <c r="AB99" s="100" t="n">
        <f aca="false">AB97+AB98</f>
        <v>2818.86278067329</v>
      </c>
      <c r="AC99" s="100" t="n">
        <f aca="false">AC97+AC98</f>
        <v>2849.29875579147</v>
      </c>
      <c r="AD99" s="100" t="n">
        <f aca="false">AD97+AD98</f>
        <v>2879.73473090965</v>
      </c>
      <c r="AE99" s="100" t="n">
        <f aca="false">AE97+AE98</f>
        <v>2910.17070602783</v>
      </c>
      <c r="AF99" s="100" t="n">
        <f aca="false">AF97+AF98</f>
        <v>2940.60668114601</v>
      </c>
      <c r="AG99" s="100" t="n">
        <f aca="false">AG97+AG98</f>
        <v>2971.04265626419</v>
      </c>
      <c r="AH99" s="100" t="n">
        <f aca="false">AH97+AH98</f>
        <v>2953.86543938237</v>
      </c>
      <c r="AI99" s="100" t="n">
        <f aca="false">AI97+AI98</f>
        <v>2984.30141450055</v>
      </c>
      <c r="AJ99" s="100" t="n">
        <f aca="false">AJ97+AJ98</f>
        <v>3014.73738961873</v>
      </c>
      <c r="AK99" s="100" t="n">
        <f aca="false">AK97+AK98</f>
        <v>3045.17336473691</v>
      </c>
      <c r="AL99" s="100" t="n">
        <f aca="false">AL97+AL98</f>
        <v>3075.60933985509</v>
      </c>
      <c r="AM99" s="100" t="n">
        <f aca="false">AM97+AM98</f>
        <v>3060.22759225326</v>
      </c>
      <c r="AN99" s="100" t="n">
        <f aca="false">AN97+AN98</f>
        <v>3090.66356737144</v>
      </c>
      <c r="AO99" s="100" t="n">
        <f aca="false">AO97+AO98</f>
        <v>3121.09954248962</v>
      </c>
      <c r="AP99" s="100" t="n">
        <f aca="false">AP97+AP98</f>
        <v>3151.5355176078</v>
      </c>
      <c r="AQ99" s="100" t="n">
        <f aca="false">AQ97+AQ98</f>
        <v>3181.97149272598</v>
      </c>
      <c r="AR99" s="100" t="n">
        <f aca="false">AR97+AR98</f>
        <v>3212.40746784416</v>
      </c>
      <c r="AS99" s="100" t="n">
        <f aca="false">AS97+AS98</f>
        <v>3206.85191228861</v>
      </c>
      <c r="AT99" s="100" t="n">
        <f aca="false">AT97+AT98</f>
        <v>3201.29635673305</v>
      </c>
      <c r="AU99" s="100" t="n">
        <f aca="false">AU97+AU98</f>
        <v>3195.74080117749</v>
      </c>
      <c r="AV99" s="100" t="n">
        <f aca="false">AV97+AV98</f>
        <v>3190.18524562194</v>
      </c>
      <c r="AW99" s="100" t="n">
        <f aca="false">AW97+AW98</f>
        <v>3184.62969006638</v>
      </c>
      <c r="AX99" s="100" t="n">
        <f aca="false">AX97+AX98</f>
        <v>3179.07413451083</v>
      </c>
      <c r="AY99" s="100" t="n">
        <f aca="false">AY97+AY98</f>
        <v>3127.51432455367</v>
      </c>
      <c r="AZ99" s="100" t="n">
        <f aca="false">AZ97+AZ98</f>
        <v>3121.95876899812</v>
      </c>
      <c r="BA99" s="100" t="n">
        <f aca="false">BA97+BA98</f>
        <v>3116.40321344256</v>
      </c>
      <c r="BB99" s="100" t="n">
        <f aca="false">BB97+BB98</f>
        <v>3110.84765788701</v>
      </c>
      <c r="BC99" s="100" t="n">
        <f aca="false">BC97+BC98</f>
        <v>3105.29210233145</v>
      </c>
      <c r="BD99" s="100" t="n">
        <f aca="false">BD97+BD98</f>
        <v>3099.73654677589</v>
      </c>
      <c r="BE99" s="100" t="n">
        <f aca="false">BE97+BE98</f>
        <v>3094.18099122034</v>
      </c>
      <c r="BF99" s="100" t="n">
        <f aca="false">BF97+BF98</f>
        <v>3088.62543566478</v>
      </c>
      <c r="BG99" s="100" t="n">
        <f aca="false">BG97+BG98</f>
        <v>3083.06988010923</v>
      </c>
      <c r="BH99" s="100" t="n">
        <f aca="false">BH97+BH98</f>
        <v>3077.51432455367</v>
      </c>
      <c r="BI99" s="100" t="n">
        <f aca="false">BI97+BI98</f>
        <v>3071.95876899812</v>
      </c>
      <c r="BJ99" s="100" t="n">
        <f aca="false">BJ97+BJ98</f>
        <v>3066.40321344256</v>
      </c>
      <c r="BK99" s="100" t="n">
        <f aca="false">BK97+BK98</f>
        <v>3014.65127585336</v>
      </c>
      <c r="BL99" s="100" t="n">
        <f aca="false">BL97+BL98</f>
        <v>3009.0957202978</v>
      </c>
      <c r="BM99" s="100" t="n">
        <f aca="false">BM97+BM98</f>
        <v>3003.54016474225</v>
      </c>
      <c r="BN99" s="100" t="n">
        <f aca="false">BN97+BN98</f>
        <v>2997.98460918669</v>
      </c>
      <c r="BO99" s="100" t="n">
        <f aca="false">BO97+BO98</f>
        <v>2992.42905363113</v>
      </c>
      <c r="BP99" s="100" t="n">
        <f aca="false">BP97+BP98</f>
        <v>2986.87349807558</v>
      </c>
      <c r="BQ99" s="100" t="n">
        <f aca="false">BQ97+BQ98</f>
        <v>2981.31794252002</v>
      </c>
      <c r="BR99" s="100" t="n">
        <f aca="false">BR97+BR98</f>
        <v>2975.76238696447</v>
      </c>
      <c r="BS99" s="100" t="n">
        <f aca="false">BS97+BS98</f>
        <v>2970.20683140891</v>
      </c>
      <c r="BT99" s="100" t="n">
        <f aca="false">BT97+BT98</f>
        <v>2964.65127585336</v>
      </c>
      <c r="BU99" s="100" t="n">
        <f aca="false">BU97+BU98</f>
        <v>2959.0957202978</v>
      </c>
      <c r="BV99" s="100" t="n">
        <f aca="false">BV97+BV98</f>
        <v>2953.54016474225</v>
      </c>
      <c r="BW99" s="100" t="n">
        <f aca="false">BW97+BW98</f>
        <v>2901.59033569203</v>
      </c>
      <c r="BX99" s="100" t="n">
        <f aca="false">BX97+BX98</f>
        <v>2896.03478013648</v>
      </c>
      <c r="BY99" s="100" t="n">
        <f aca="false">BY97+BY98</f>
        <v>2890.47922458092</v>
      </c>
      <c r="BZ99" s="100" t="n">
        <f aca="false">BZ97+BZ98</f>
        <v>2884.92366902537</v>
      </c>
      <c r="CA99" s="100" t="n">
        <f aca="false">CA97+CA98</f>
        <v>2879.36811346981</v>
      </c>
      <c r="CB99" s="100" t="n">
        <f aca="false">CB97+CB98</f>
        <v>2873.81255791426</v>
      </c>
      <c r="CC99" s="100" t="n">
        <f aca="false">CC97+CC98</f>
        <v>2868.2570023587</v>
      </c>
      <c r="CD99" s="100" t="n">
        <f aca="false">CD97+CD98</f>
        <v>2862.70144680314</v>
      </c>
      <c r="CE99" s="100" t="n">
        <f aca="false">CE97+CE98</f>
        <v>2857.14589124759</v>
      </c>
      <c r="CF99" s="100" t="n">
        <f aca="false">CF97+CF98</f>
        <v>2851.59033569203</v>
      </c>
      <c r="CG99" s="100" t="n">
        <f aca="false">CG97+CG98</f>
        <v>2846.03478013648</v>
      </c>
      <c r="CH99" s="100" t="n">
        <f aca="false">CH97+CH98</f>
        <v>2840.47922458086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6" t="s">
        <v>572</v>
      </c>
      <c r="C101" s="100" t="n">
        <f aca="false">Hipótesis!$D$113*(1-Hipótesis!$D$117)</f>
        <v>0</v>
      </c>
      <c r="D101" s="100" t="n">
        <f aca="false">C101-C102</f>
        <v>0</v>
      </c>
      <c r="E101" s="100" t="n">
        <f aca="false">D101-D102</f>
        <v>0</v>
      </c>
      <c r="F101" s="100" t="n">
        <f aca="false">E101-E102</f>
        <v>0</v>
      </c>
      <c r="G101" s="100" t="n">
        <f aca="false">F101-F102</f>
        <v>0</v>
      </c>
      <c r="H101" s="100" t="n">
        <f aca="false">G101-G102</f>
        <v>0</v>
      </c>
      <c r="I101" s="100" t="n">
        <f aca="false">H101-H102</f>
        <v>0</v>
      </c>
      <c r="J101" s="100" t="n">
        <f aca="false">I101-I102</f>
        <v>0</v>
      </c>
      <c r="K101" s="100" t="n">
        <f aca="false">J101-J102</f>
        <v>0</v>
      </c>
      <c r="L101" s="100" t="n">
        <f aca="false">K101-K102</f>
        <v>0</v>
      </c>
      <c r="M101" s="100" t="n">
        <f aca="false">L101-L102</f>
        <v>0</v>
      </c>
      <c r="N101" s="100" t="n">
        <f aca="false">M101-M102</f>
        <v>0</v>
      </c>
      <c r="O101" s="100" t="n">
        <f aca="false">N101-N102</f>
        <v>0</v>
      </c>
      <c r="P101" s="100" t="n">
        <f aca="false">O101-O102</f>
        <v>0</v>
      </c>
      <c r="Q101" s="100" t="n">
        <f aca="false">P101-P102</f>
        <v>0</v>
      </c>
      <c r="R101" s="100" t="n">
        <f aca="false">Q101-Q102</f>
        <v>0</v>
      </c>
      <c r="S101" s="100" t="n">
        <f aca="false">R101-R102</f>
        <v>0</v>
      </c>
      <c r="T101" s="100" t="n">
        <f aca="false">S101-S102</f>
        <v>0</v>
      </c>
      <c r="U101" s="100" t="n">
        <f aca="false">T101-T102</f>
        <v>0</v>
      </c>
      <c r="V101" s="100" t="n">
        <f aca="false">U101-U102</f>
        <v>0</v>
      </c>
      <c r="W101" s="100" t="n">
        <f aca="false">V101-V102</f>
        <v>0</v>
      </c>
      <c r="X101" s="100" t="n">
        <f aca="false">W101-W102</f>
        <v>0</v>
      </c>
      <c r="Y101" s="100" t="n">
        <f aca="false">X101-X102</f>
        <v>0</v>
      </c>
      <c r="Z101" s="100" t="n">
        <f aca="false">Y101-Y102</f>
        <v>0</v>
      </c>
      <c r="AA101" s="100" t="n">
        <f aca="false">Z101-Z102</f>
        <v>0</v>
      </c>
      <c r="AB101" s="100" t="n">
        <f aca="false">AA101-AA102</f>
        <v>0</v>
      </c>
      <c r="AC101" s="100" t="n">
        <f aca="false">AB101-AB102</f>
        <v>0</v>
      </c>
      <c r="AD101" s="100" t="n">
        <f aca="false">AC101-AC102</f>
        <v>0</v>
      </c>
      <c r="AE101" s="100" t="n">
        <f aca="false">AD101-AD102</f>
        <v>0</v>
      </c>
      <c r="AF101" s="100" t="n">
        <f aca="false">AE101-AE102</f>
        <v>0</v>
      </c>
      <c r="AG101" s="100" t="n">
        <f aca="false">AF101-AF102</f>
        <v>0</v>
      </c>
      <c r="AH101" s="100" t="n">
        <f aca="false">AG101-AG102</f>
        <v>0</v>
      </c>
      <c r="AI101" s="100" t="n">
        <f aca="false">AH101-AH102</f>
        <v>0</v>
      </c>
      <c r="AJ101" s="100" t="n">
        <f aca="false">AI101-AI102</f>
        <v>0</v>
      </c>
      <c r="AK101" s="100" t="n">
        <f aca="false">AJ101-AJ102</f>
        <v>0</v>
      </c>
      <c r="AL101" s="100" t="n">
        <f aca="false">AK101-AK102</f>
        <v>0</v>
      </c>
      <c r="AM101" s="100" t="n">
        <f aca="false">AL101-AL102</f>
        <v>0</v>
      </c>
      <c r="AN101" s="100" t="n">
        <f aca="false">AM101-AM102</f>
        <v>0</v>
      </c>
      <c r="AO101" s="100" t="n">
        <f aca="false">AN101-AN102</f>
        <v>0</v>
      </c>
      <c r="AP101" s="100" t="n">
        <f aca="false">AO101-AO102</f>
        <v>0</v>
      </c>
      <c r="AQ101" s="100" t="n">
        <f aca="false">AP101-AP102</f>
        <v>0</v>
      </c>
      <c r="AR101" s="100" t="n">
        <f aca="false">AQ101-AQ102</f>
        <v>0</v>
      </c>
      <c r="AS101" s="100" t="n">
        <f aca="false">AR101-AR102</f>
        <v>0</v>
      </c>
      <c r="AT101" s="100" t="n">
        <f aca="false">AS101-AS102</f>
        <v>0</v>
      </c>
      <c r="AU101" s="100" t="n">
        <f aca="false">AT101-AT102</f>
        <v>0</v>
      </c>
      <c r="AV101" s="100" t="n">
        <f aca="false">AU101-AU102</f>
        <v>0</v>
      </c>
      <c r="AW101" s="100" t="n">
        <f aca="false">AV101-AV102</f>
        <v>0</v>
      </c>
      <c r="AX101" s="100" t="n">
        <f aca="false">AW101-AW102</f>
        <v>0</v>
      </c>
      <c r="AY101" s="100" t="n">
        <f aca="false">AX101-AX102</f>
        <v>0</v>
      </c>
      <c r="AZ101" s="100" t="n">
        <f aca="false">AY101-AY102</f>
        <v>0</v>
      </c>
      <c r="BA101" s="100" t="n">
        <f aca="false">AZ101-AZ102</f>
        <v>0</v>
      </c>
      <c r="BB101" s="100" t="n">
        <f aca="false">BA101-BA102</f>
        <v>0</v>
      </c>
      <c r="BC101" s="100" t="n">
        <f aca="false">BB101-BB102</f>
        <v>0</v>
      </c>
      <c r="BD101" s="100" t="n">
        <f aca="false">BC101-BC102</f>
        <v>0</v>
      </c>
      <c r="BE101" s="100" t="n">
        <f aca="false">BD101-BD102</f>
        <v>0</v>
      </c>
      <c r="BF101" s="100" t="n">
        <f aca="false">BE101-BE102</f>
        <v>0</v>
      </c>
      <c r="BG101" s="100" t="n">
        <f aca="false">BF101-BF102</f>
        <v>0</v>
      </c>
      <c r="BH101" s="100" t="n">
        <f aca="false">BG101-BG102</f>
        <v>0</v>
      </c>
      <c r="BI101" s="100" t="n">
        <f aca="false">BH101-BH102</f>
        <v>0</v>
      </c>
      <c r="BJ101" s="100" t="n">
        <f aca="false">BI101-BI102</f>
        <v>0</v>
      </c>
      <c r="BK101" s="100" t="n">
        <f aca="false">BJ101-BJ102</f>
        <v>0</v>
      </c>
      <c r="BL101" s="100" t="n">
        <f aca="false">BK101-BK102</f>
        <v>0</v>
      </c>
      <c r="BM101" s="100" t="n">
        <f aca="false">BL101-BL102</f>
        <v>0</v>
      </c>
      <c r="BN101" s="100" t="n">
        <f aca="false">BM101-BM102</f>
        <v>0</v>
      </c>
      <c r="BO101" s="100" t="n">
        <f aca="false">BN101-BN102</f>
        <v>0</v>
      </c>
      <c r="BP101" s="100" t="n">
        <f aca="false">BO101-BO102</f>
        <v>0</v>
      </c>
      <c r="BQ101" s="100" t="n">
        <f aca="false">BP101-BP102</f>
        <v>0</v>
      </c>
      <c r="BR101" s="100" t="n">
        <f aca="false">BQ101-BQ102</f>
        <v>0</v>
      </c>
      <c r="BS101" s="100" t="n">
        <f aca="false">BR101-BR102</f>
        <v>0</v>
      </c>
      <c r="BT101" s="100" t="n">
        <f aca="false">BS101-BS102</f>
        <v>0</v>
      </c>
      <c r="BU101" s="100" t="n">
        <f aca="false">BT101-BT102</f>
        <v>0</v>
      </c>
      <c r="BV101" s="100" t="n">
        <f aca="false">BU101-BU102</f>
        <v>0</v>
      </c>
      <c r="BW101" s="100" t="n">
        <f aca="false">BV101-BV102</f>
        <v>0</v>
      </c>
      <c r="BX101" s="100" t="n">
        <f aca="false">BW101-BW102</f>
        <v>0</v>
      </c>
      <c r="BY101" s="100" t="n">
        <f aca="false">BX101-BX102</f>
        <v>0</v>
      </c>
      <c r="BZ101" s="100" t="n">
        <f aca="false">BY101-BY102</f>
        <v>0</v>
      </c>
      <c r="CA101" s="100" t="n">
        <f aca="false">BZ101-BZ102</f>
        <v>0</v>
      </c>
      <c r="CB101" s="100" t="n">
        <f aca="false">CA101-CA102</f>
        <v>0</v>
      </c>
      <c r="CC101" s="100" t="n">
        <f aca="false">CB101-CB102</f>
        <v>0</v>
      </c>
      <c r="CD101" s="100" t="n">
        <f aca="false">CC101-CC102</f>
        <v>0</v>
      </c>
      <c r="CE101" s="100" t="n">
        <f aca="false">CD101-CD102</f>
        <v>0</v>
      </c>
      <c r="CF101" s="100" t="n">
        <f aca="false">CE101-CE102</f>
        <v>0</v>
      </c>
      <c r="CG101" s="100" t="n">
        <f aca="false">CF101-CF102</f>
        <v>0</v>
      </c>
      <c r="CH101" s="100" t="n">
        <f aca="false">CG101-CG102</f>
        <v>0</v>
      </c>
    </row>
    <row r="102" customFormat="false" ht="13.5" hidden="false" customHeight="true" outlineLevel="0" collapsed="false">
      <c r="A102" s="6" t="s">
        <v>573</v>
      </c>
      <c r="C102" s="100" t="n">
        <f aca="false">IF(1&lt;=Hipótesis!$D$116,0,IF(C101&gt;0,MIN(C101,Hipótesis!$D$113*(1-Hipótesis!$D$117)/MAX(Hipótesis!$D$115-Hipótesis!$D$116,1)),0))</f>
        <v>0</v>
      </c>
      <c r="D102" s="100" t="n">
        <f aca="false">IF(2&lt;=Hipótesis!$D$116,0,IF(D101&gt;0,MIN(D101,Hipótesis!$D$113*(1-Hipótesis!$D$117)/MAX(Hipótesis!$D$115-Hipótesis!$D$116,1)),0))</f>
        <v>0</v>
      </c>
      <c r="E102" s="100" t="n">
        <f aca="false">IF(3&lt;=Hipótesis!$D$116,0,IF(E101&gt;0,MIN(E101,Hipótesis!$D$113*(1-Hipótesis!$D$117)/MAX(Hipótesis!$D$115-Hipótesis!$D$116,1)),0))</f>
        <v>0</v>
      </c>
      <c r="F102" s="100" t="n">
        <f aca="false">IF(4&lt;=Hipótesis!$D$116,0,IF(F101&gt;0,MIN(F101,Hipótesis!$D$113*(1-Hipótesis!$D$117)/MAX(Hipótesis!$D$115-Hipótesis!$D$116,1)),0))</f>
        <v>0</v>
      </c>
      <c r="G102" s="100" t="n">
        <f aca="false">IF(5&lt;=Hipótesis!$D$116,0,IF(G101&gt;0,MIN(G101,Hipótesis!$D$113*(1-Hipótesis!$D$117)/MAX(Hipótesis!$D$115-Hipótesis!$D$116,1)),0))</f>
        <v>0</v>
      </c>
      <c r="H102" s="100" t="n">
        <f aca="false">IF(6&lt;=Hipótesis!$D$116,0,IF(H101&gt;0,MIN(H101,Hipótesis!$D$113*(1-Hipótesis!$D$117)/MAX(Hipótesis!$D$115-Hipótesis!$D$116,1)),0))</f>
        <v>0</v>
      </c>
      <c r="I102" s="100" t="n">
        <f aca="false">IF(7&lt;=Hipótesis!$D$116,0,IF(I101&gt;0,MIN(I101,Hipótesis!$D$113*(1-Hipótesis!$D$117)/MAX(Hipótesis!$D$115-Hipótesis!$D$116,1)),0))</f>
        <v>0</v>
      </c>
      <c r="J102" s="100" t="n">
        <f aca="false">IF(8&lt;=Hipótesis!$D$116,0,IF(J101&gt;0,MIN(J101,Hipótesis!$D$113*(1-Hipótesis!$D$117)/MAX(Hipótesis!$D$115-Hipótesis!$D$116,1)),0))</f>
        <v>0</v>
      </c>
      <c r="K102" s="100" t="n">
        <f aca="false">IF(9&lt;=Hipótesis!$D$116,0,IF(K101&gt;0,MIN(K101,Hipótesis!$D$113*(1-Hipótesis!$D$117)/MAX(Hipótesis!$D$115-Hipótesis!$D$116,1)),0))</f>
        <v>0</v>
      </c>
      <c r="L102" s="100" t="n">
        <f aca="false">IF(10&lt;=Hipótesis!$D$116,0,IF(L101&gt;0,MIN(L101,Hipótesis!$D$113*(1-Hipótesis!$D$117)/MAX(Hipótesis!$D$115-Hipótesis!$D$116,1)),0))</f>
        <v>0</v>
      </c>
      <c r="M102" s="100" t="n">
        <f aca="false">IF(11&lt;=Hipótesis!$D$116,0,IF(M101&gt;0,MIN(M101,Hipótesis!$D$113*(1-Hipótesis!$D$117)/MAX(Hipótesis!$D$115-Hipótesis!$D$116,1)),0))</f>
        <v>0</v>
      </c>
      <c r="N102" s="100" t="n">
        <f aca="false">IF(12&lt;=Hipótesis!$D$116,0,IF(N101&gt;0,MIN(N101,Hipótesis!$D$113*(1-Hipótesis!$D$117)/MAX(Hipótesis!$D$115-Hipótesis!$D$116,1)),0))</f>
        <v>0</v>
      </c>
      <c r="O102" s="100" t="n">
        <f aca="false">IF(13&lt;=Hipótesis!$D$116,0,IF(O101&gt;0,MIN(O101,Hipótesis!$D$113*(1-Hipótesis!$D$117)/MAX(Hipótesis!$D$115-Hipótesis!$D$116,1)),0))</f>
        <v>0</v>
      </c>
      <c r="P102" s="100" t="n">
        <f aca="false">IF(14&lt;=Hipótesis!$D$116,0,IF(P101&gt;0,MIN(P101,Hipótesis!$D$113*(1-Hipótesis!$D$117)/MAX(Hipótesis!$D$115-Hipótesis!$D$116,1)),0))</f>
        <v>0</v>
      </c>
      <c r="Q102" s="100" t="n">
        <f aca="false">IF(15&lt;=Hipótesis!$D$116,0,IF(Q101&gt;0,MIN(Q101,Hipótesis!$D$113*(1-Hipótesis!$D$117)/MAX(Hipótesis!$D$115-Hipótesis!$D$116,1)),0))</f>
        <v>0</v>
      </c>
      <c r="R102" s="100" t="n">
        <f aca="false">IF(16&lt;=Hipótesis!$D$116,0,IF(R101&gt;0,MIN(R101,Hipótesis!$D$113*(1-Hipótesis!$D$117)/MAX(Hipótesis!$D$115-Hipótesis!$D$116,1)),0))</f>
        <v>0</v>
      </c>
      <c r="S102" s="100" t="n">
        <f aca="false">IF(17&lt;=Hipótesis!$D$116,0,IF(S101&gt;0,MIN(S101,Hipótesis!$D$113*(1-Hipótesis!$D$117)/MAX(Hipótesis!$D$115-Hipótesis!$D$116,1)),0))</f>
        <v>0</v>
      </c>
      <c r="T102" s="100" t="n">
        <f aca="false">IF(18&lt;=Hipótesis!$D$116,0,IF(T101&gt;0,MIN(T101,Hipótesis!$D$113*(1-Hipótesis!$D$117)/MAX(Hipótesis!$D$115-Hipótesis!$D$116,1)),0))</f>
        <v>0</v>
      </c>
      <c r="U102" s="100" t="n">
        <f aca="false">IF(19&lt;=Hipótesis!$D$116,0,IF(U101&gt;0,MIN(U101,Hipótesis!$D$113*(1-Hipótesis!$D$117)/MAX(Hipótesis!$D$115-Hipótesis!$D$116,1)),0))</f>
        <v>0</v>
      </c>
      <c r="V102" s="100" t="n">
        <f aca="false">IF(20&lt;=Hipótesis!$D$116,0,IF(V101&gt;0,MIN(V101,Hipótesis!$D$113*(1-Hipótesis!$D$117)/MAX(Hipótesis!$D$115-Hipótesis!$D$116,1)),0))</f>
        <v>0</v>
      </c>
      <c r="W102" s="100" t="n">
        <f aca="false">IF(21&lt;=Hipótesis!$D$116,0,IF(W101&gt;0,MIN(W101,Hipótesis!$D$113*(1-Hipótesis!$D$117)/MAX(Hipótesis!$D$115-Hipótesis!$D$116,1)),0))</f>
        <v>0</v>
      </c>
      <c r="X102" s="100" t="n">
        <f aca="false">IF(22&lt;=Hipótesis!$D$116,0,IF(X101&gt;0,MIN(X101,Hipótesis!$D$113*(1-Hipótesis!$D$117)/MAX(Hipótesis!$D$115-Hipótesis!$D$116,1)),0))</f>
        <v>0</v>
      </c>
      <c r="Y102" s="100" t="n">
        <f aca="false">IF(23&lt;=Hipótesis!$D$116,0,IF(Y101&gt;0,MIN(Y101,Hipótesis!$D$113*(1-Hipótesis!$D$117)/MAX(Hipótesis!$D$115-Hipótesis!$D$116,1)),0))</f>
        <v>0</v>
      </c>
      <c r="Z102" s="100" t="n">
        <f aca="false">IF(24&lt;=Hipótesis!$D$116,0,IF(Z101&gt;0,MIN(Z101,Hipótesis!$D$113*(1-Hipótesis!$D$117)/MAX(Hipótesis!$D$115-Hipótesis!$D$116,1)),0))</f>
        <v>0</v>
      </c>
      <c r="AA102" s="100" t="n">
        <f aca="false">IF(25&lt;=Hipótesis!$D$116,0,IF(AA101&gt;0,MIN(AA101,Hipótesis!$D$113*(1-Hipótesis!$D$117)/MAX(Hipótesis!$D$115-Hipótesis!$D$116,1)),0))</f>
        <v>0</v>
      </c>
      <c r="AB102" s="100" t="n">
        <f aca="false">IF(26&lt;=Hipótesis!$D$116,0,IF(AB101&gt;0,MIN(AB101,Hipótesis!$D$113*(1-Hipótesis!$D$117)/MAX(Hipótesis!$D$115-Hipótesis!$D$116,1)),0))</f>
        <v>0</v>
      </c>
      <c r="AC102" s="100" t="n">
        <f aca="false">IF(27&lt;=Hipótesis!$D$116,0,IF(AC101&gt;0,MIN(AC101,Hipótesis!$D$113*(1-Hipótesis!$D$117)/MAX(Hipótesis!$D$115-Hipótesis!$D$116,1)),0))</f>
        <v>0</v>
      </c>
      <c r="AD102" s="100" t="n">
        <f aca="false">IF(28&lt;=Hipótesis!$D$116,0,IF(AD101&gt;0,MIN(AD101,Hipótesis!$D$113*(1-Hipótesis!$D$117)/MAX(Hipótesis!$D$115-Hipótesis!$D$116,1)),0))</f>
        <v>0</v>
      </c>
      <c r="AE102" s="100" t="n">
        <f aca="false">IF(29&lt;=Hipótesis!$D$116,0,IF(AE101&gt;0,MIN(AE101,Hipótesis!$D$113*(1-Hipótesis!$D$117)/MAX(Hipótesis!$D$115-Hipótesis!$D$116,1)),0))</f>
        <v>0</v>
      </c>
      <c r="AF102" s="100" t="n">
        <f aca="false">IF(30&lt;=Hipótesis!$D$116,0,IF(AF101&gt;0,MIN(AF101,Hipótesis!$D$113*(1-Hipótesis!$D$117)/MAX(Hipótesis!$D$115-Hipótesis!$D$116,1)),0))</f>
        <v>0</v>
      </c>
      <c r="AG102" s="100" t="n">
        <f aca="false">IF(31&lt;=Hipótesis!$D$116,0,IF(AG101&gt;0,MIN(AG101,Hipótesis!$D$113*(1-Hipótesis!$D$117)/MAX(Hipótesis!$D$115-Hipótesis!$D$116,1)),0))</f>
        <v>0</v>
      </c>
      <c r="AH102" s="100" t="n">
        <f aca="false">IF(32&lt;=Hipótesis!$D$116,0,IF(AH101&gt;0,MIN(AH101,Hipótesis!$D$113*(1-Hipótesis!$D$117)/MAX(Hipótesis!$D$115-Hipótesis!$D$116,1)),0))</f>
        <v>0</v>
      </c>
      <c r="AI102" s="100" t="n">
        <f aca="false">IF(33&lt;=Hipótesis!$D$116,0,IF(AI101&gt;0,MIN(AI101,Hipótesis!$D$113*(1-Hipótesis!$D$117)/MAX(Hipótesis!$D$115-Hipótesis!$D$116,1)),0))</f>
        <v>0</v>
      </c>
      <c r="AJ102" s="100" t="n">
        <f aca="false">IF(34&lt;=Hipótesis!$D$116,0,IF(AJ101&gt;0,MIN(AJ101,Hipótesis!$D$113*(1-Hipótesis!$D$117)/MAX(Hipótesis!$D$115-Hipótesis!$D$116,1)),0))</f>
        <v>0</v>
      </c>
      <c r="AK102" s="100" t="n">
        <f aca="false">IF(35&lt;=Hipótesis!$D$116,0,IF(AK101&gt;0,MIN(AK101,Hipótesis!$D$113*(1-Hipótesis!$D$117)/MAX(Hipótesis!$D$115-Hipótesis!$D$116,1)),0))</f>
        <v>0</v>
      </c>
      <c r="AL102" s="100" t="n">
        <f aca="false">IF(36&lt;=Hipótesis!$D$116,0,IF(AL101&gt;0,MIN(AL101,Hipótesis!$D$113*(1-Hipótesis!$D$117)/MAX(Hipótesis!$D$115-Hipótesis!$D$116,1)),0))</f>
        <v>0</v>
      </c>
      <c r="AM102" s="100" t="n">
        <f aca="false">IF(37&lt;=Hipótesis!$D$116,0,IF(AM101&gt;0,MIN(AM101,Hipótesis!$D$113*(1-Hipótesis!$D$117)/MAX(Hipótesis!$D$115-Hipótesis!$D$116,1)),0))</f>
        <v>0</v>
      </c>
      <c r="AN102" s="100" t="n">
        <f aca="false">IF(38&lt;=Hipótesis!$D$116,0,IF(AN101&gt;0,MIN(AN101,Hipótesis!$D$113*(1-Hipótesis!$D$117)/MAX(Hipótesis!$D$115-Hipótesis!$D$116,1)),0))</f>
        <v>0</v>
      </c>
      <c r="AO102" s="100" t="n">
        <f aca="false">IF(39&lt;=Hipótesis!$D$116,0,IF(AO101&gt;0,MIN(AO101,Hipótesis!$D$113*(1-Hipótesis!$D$117)/MAX(Hipótesis!$D$115-Hipótesis!$D$116,1)),0))</f>
        <v>0</v>
      </c>
      <c r="AP102" s="100" t="n">
        <f aca="false">IF(40&lt;=Hipótesis!$D$116,0,IF(AP101&gt;0,MIN(AP101,Hipótesis!$D$113*(1-Hipótesis!$D$117)/MAX(Hipótesis!$D$115-Hipótesis!$D$116,1)),0))</f>
        <v>0</v>
      </c>
      <c r="AQ102" s="100" t="n">
        <f aca="false">IF(41&lt;=Hipótesis!$D$116,0,IF(AQ101&gt;0,MIN(AQ101,Hipótesis!$D$113*(1-Hipótesis!$D$117)/MAX(Hipótesis!$D$115-Hipótesis!$D$116,1)),0))</f>
        <v>0</v>
      </c>
      <c r="AR102" s="100" t="n">
        <f aca="false">IF(42&lt;=Hipótesis!$D$116,0,IF(AR101&gt;0,MIN(AR101,Hipótesis!$D$113*(1-Hipótesis!$D$117)/MAX(Hipótesis!$D$115-Hipótesis!$D$116,1)),0))</f>
        <v>0</v>
      </c>
      <c r="AS102" s="100" t="n">
        <f aca="false">IF(43&lt;=Hipótesis!$D$116,0,IF(AS101&gt;0,MIN(AS101,Hipótesis!$D$113*(1-Hipótesis!$D$117)/MAX(Hipótesis!$D$115-Hipótesis!$D$116,1)),0))</f>
        <v>0</v>
      </c>
      <c r="AT102" s="100" t="n">
        <f aca="false">IF(44&lt;=Hipótesis!$D$116,0,IF(AT101&gt;0,MIN(AT101,Hipótesis!$D$113*(1-Hipótesis!$D$117)/MAX(Hipótesis!$D$115-Hipótesis!$D$116,1)),0))</f>
        <v>0</v>
      </c>
      <c r="AU102" s="100" t="n">
        <f aca="false">IF(45&lt;=Hipótesis!$D$116,0,IF(AU101&gt;0,MIN(AU101,Hipótesis!$D$113*(1-Hipótesis!$D$117)/MAX(Hipótesis!$D$115-Hipótesis!$D$116,1)),0))</f>
        <v>0</v>
      </c>
      <c r="AV102" s="100" t="n">
        <f aca="false">IF(46&lt;=Hipótesis!$D$116,0,IF(AV101&gt;0,MIN(AV101,Hipótesis!$D$113*(1-Hipótesis!$D$117)/MAX(Hipótesis!$D$115-Hipótesis!$D$116,1)),0))</f>
        <v>0</v>
      </c>
      <c r="AW102" s="100" t="n">
        <f aca="false">IF(47&lt;=Hipótesis!$D$116,0,IF(AW101&gt;0,MIN(AW101,Hipótesis!$D$113*(1-Hipótesis!$D$117)/MAX(Hipótesis!$D$115-Hipótesis!$D$116,1)),0))</f>
        <v>0</v>
      </c>
      <c r="AX102" s="100" t="n">
        <f aca="false">IF(48&lt;=Hipótesis!$D$116,0,IF(AX101&gt;0,MIN(AX101,Hipótesis!$D$113*(1-Hipótesis!$D$117)/MAX(Hipótesis!$D$115-Hipótesis!$D$116,1)),0))</f>
        <v>0</v>
      </c>
      <c r="AY102" s="100" t="n">
        <f aca="false">IF(49&lt;=Hipótesis!$D$116,0,IF(AY101&gt;0,MIN(AY101,Hipótesis!$D$113*(1-Hipótesis!$D$117)/MAX(Hipótesis!$D$115-Hipótesis!$D$116,1)),0))</f>
        <v>0</v>
      </c>
      <c r="AZ102" s="100" t="n">
        <f aca="false">IF(50&lt;=Hipótesis!$D$116,0,IF(AZ101&gt;0,MIN(AZ101,Hipótesis!$D$113*(1-Hipótesis!$D$117)/MAX(Hipótesis!$D$115-Hipótesis!$D$116,1)),0))</f>
        <v>0</v>
      </c>
      <c r="BA102" s="100" t="n">
        <f aca="false">IF(51&lt;=Hipótesis!$D$116,0,IF(BA101&gt;0,MIN(BA101,Hipótesis!$D$113*(1-Hipótesis!$D$117)/MAX(Hipótesis!$D$115-Hipótesis!$D$116,1)),0))</f>
        <v>0</v>
      </c>
      <c r="BB102" s="100" t="n">
        <f aca="false">IF(52&lt;=Hipótesis!$D$116,0,IF(BB101&gt;0,MIN(BB101,Hipótesis!$D$113*(1-Hipótesis!$D$117)/MAX(Hipótesis!$D$115-Hipótesis!$D$116,1)),0))</f>
        <v>0</v>
      </c>
      <c r="BC102" s="100" t="n">
        <f aca="false">IF(53&lt;=Hipótesis!$D$116,0,IF(BC101&gt;0,MIN(BC101,Hipótesis!$D$113*(1-Hipótesis!$D$117)/MAX(Hipótesis!$D$115-Hipótesis!$D$116,1)),0))</f>
        <v>0</v>
      </c>
      <c r="BD102" s="100" t="n">
        <f aca="false">IF(54&lt;=Hipótesis!$D$116,0,IF(BD101&gt;0,MIN(BD101,Hipótesis!$D$113*(1-Hipótesis!$D$117)/MAX(Hipótesis!$D$115-Hipótesis!$D$116,1)),0))</f>
        <v>0</v>
      </c>
      <c r="BE102" s="100" t="n">
        <f aca="false">IF(55&lt;=Hipótesis!$D$116,0,IF(BE101&gt;0,MIN(BE101,Hipótesis!$D$113*(1-Hipótesis!$D$117)/MAX(Hipótesis!$D$115-Hipótesis!$D$116,1)),0))</f>
        <v>0</v>
      </c>
      <c r="BF102" s="100" t="n">
        <f aca="false">IF(56&lt;=Hipótesis!$D$116,0,IF(BF101&gt;0,MIN(BF101,Hipótesis!$D$113*(1-Hipótesis!$D$117)/MAX(Hipótesis!$D$115-Hipótesis!$D$116,1)),0))</f>
        <v>0</v>
      </c>
      <c r="BG102" s="100" t="n">
        <f aca="false">IF(57&lt;=Hipótesis!$D$116,0,IF(BG101&gt;0,MIN(BG101,Hipótesis!$D$113*(1-Hipótesis!$D$117)/MAX(Hipótesis!$D$115-Hipótesis!$D$116,1)),0))</f>
        <v>0</v>
      </c>
      <c r="BH102" s="100" t="n">
        <f aca="false">IF(58&lt;=Hipótesis!$D$116,0,IF(BH101&gt;0,MIN(BH101,Hipótesis!$D$113*(1-Hipótesis!$D$117)/MAX(Hipótesis!$D$115-Hipótesis!$D$116,1)),0))</f>
        <v>0</v>
      </c>
      <c r="BI102" s="100" t="n">
        <f aca="false">IF(59&lt;=Hipótesis!$D$116,0,IF(BI101&gt;0,MIN(BI101,Hipótesis!$D$113*(1-Hipótesis!$D$117)/MAX(Hipótesis!$D$115-Hipótesis!$D$116,1)),0))</f>
        <v>0</v>
      </c>
      <c r="BJ102" s="100" t="n">
        <f aca="false">IF(60&lt;=Hipótesis!$D$116,0,IF(BJ101&gt;0,MIN(BJ101,Hipótesis!$D$113*(1-Hipótesis!$D$117)/MAX(Hipótesis!$D$115-Hipótesis!$D$116,1)),0))</f>
        <v>0</v>
      </c>
      <c r="BK102" s="100" t="n">
        <f aca="false">IF(61&lt;=Hipótesis!$D$116,0,IF(BK101&gt;0,MIN(BK101,Hipótesis!$D$113*(1-Hipótesis!$D$117)/MAX(Hipótesis!$D$115-Hipótesis!$D$116,1)),0))</f>
        <v>0</v>
      </c>
      <c r="BL102" s="100" t="n">
        <f aca="false">IF(62&lt;=Hipótesis!$D$116,0,IF(BL101&gt;0,MIN(BL101,Hipótesis!$D$113*(1-Hipótesis!$D$117)/MAX(Hipótesis!$D$115-Hipótesis!$D$116,1)),0))</f>
        <v>0</v>
      </c>
      <c r="BM102" s="100" t="n">
        <f aca="false">IF(63&lt;=Hipótesis!$D$116,0,IF(BM101&gt;0,MIN(BM101,Hipótesis!$D$113*(1-Hipótesis!$D$117)/MAX(Hipótesis!$D$115-Hipótesis!$D$116,1)),0))</f>
        <v>0</v>
      </c>
      <c r="BN102" s="100" t="n">
        <f aca="false">IF(64&lt;=Hipótesis!$D$116,0,IF(BN101&gt;0,MIN(BN101,Hipótesis!$D$113*(1-Hipótesis!$D$117)/MAX(Hipótesis!$D$115-Hipótesis!$D$116,1)),0))</f>
        <v>0</v>
      </c>
      <c r="BO102" s="100" t="n">
        <f aca="false">IF(65&lt;=Hipótesis!$D$116,0,IF(BO101&gt;0,MIN(BO101,Hipótesis!$D$113*(1-Hipótesis!$D$117)/MAX(Hipótesis!$D$115-Hipótesis!$D$116,1)),0))</f>
        <v>0</v>
      </c>
      <c r="BP102" s="100" t="n">
        <f aca="false">IF(66&lt;=Hipótesis!$D$116,0,IF(BP101&gt;0,MIN(BP101,Hipótesis!$D$113*(1-Hipótesis!$D$117)/MAX(Hipótesis!$D$115-Hipótesis!$D$116,1)),0))</f>
        <v>0</v>
      </c>
      <c r="BQ102" s="100" t="n">
        <f aca="false">IF(67&lt;=Hipótesis!$D$116,0,IF(BQ101&gt;0,MIN(BQ101,Hipótesis!$D$113*(1-Hipótesis!$D$117)/MAX(Hipótesis!$D$115-Hipótesis!$D$116,1)),0))</f>
        <v>0</v>
      </c>
      <c r="BR102" s="100" t="n">
        <f aca="false">IF(68&lt;=Hipótesis!$D$116,0,IF(BR101&gt;0,MIN(BR101,Hipótesis!$D$113*(1-Hipótesis!$D$117)/MAX(Hipótesis!$D$115-Hipótesis!$D$116,1)),0))</f>
        <v>0</v>
      </c>
      <c r="BS102" s="100" t="n">
        <f aca="false">IF(69&lt;=Hipótesis!$D$116,0,IF(BS101&gt;0,MIN(BS101,Hipótesis!$D$113*(1-Hipótesis!$D$117)/MAX(Hipótesis!$D$115-Hipótesis!$D$116,1)),0))</f>
        <v>0</v>
      </c>
      <c r="BT102" s="100" t="n">
        <f aca="false">IF(70&lt;=Hipótesis!$D$116,0,IF(BT101&gt;0,MIN(BT101,Hipótesis!$D$113*(1-Hipótesis!$D$117)/MAX(Hipótesis!$D$115-Hipótesis!$D$116,1)),0))</f>
        <v>0</v>
      </c>
      <c r="BU102" s="100" t="n">
        <f aca="false">IF(71&lt;=Hipótesis!$D$116,0,IF(BU101&gt;0,MIN(BU101,Hipótesis!$D$113*(1-Hipótesis!$D$117)/MAX(Hipótesis!$D$115-Hipótesis!$D$116,1)),0))</f>
        <v>0</v>
      </c>
      <c r="BV102" s="100" t="n">
        <f aca="false">IF(72&lt;=Hipótesis!$D$116,0,IF(BV101&gt;0,MIN(BV101,Hipótesis!$D$113*(1-Hipótesis!$D$117)/MAX(Hipótesis!$D$115-Hipótesis!$D$116,1)),0))</f>
        <v>0</v>
      </c>
      <c r="BW102" s="100" t="n">
        <f aca="false">IF(73&lt;=Hipótesis!$D$116,0,IF(BW101&gt;0,MIN(BW101,Hipótesis!$D$113*(1-Hipótesis!$D$117)/MAX(Hipótesis!$D$115-Hipótesis!$D$116,1)),0))</f>
        <v>0</v>
      </c>
      <c r="BX102" s="100" t="n">
        <f aca="false">IF(74&lt;=Hipótesis!$D$116,0,IF(BX101&gt;0,MIN(BX101,Hipótesis!$D$113*(1-Hipótesis!$D$117)/MAX(Hipótesis!$D$115-Hipótesis!$D$116,1)),0))</f>
        <v>0</v>
      </c>
      <c r="BY102" s="100" t="n">
        <f aca="false">IF(75&lt;=Hipótesis!$D$116,0,IF(BY101&gt;0,MIN(BY101,Hipótesis!$D$113*(1-Hipótesis!$D$117)/MAX(Hipótesis!$D$115-Hipótesis!$D$116,1)),0))</f>
        <v>0</v>
      </c>
      <c r="BZ102" s="100" t="n">
        <f aca="false">IF(76&lt;=Hipótesis!$D$116,0,IF(BZ101&gt;0,MIN(BZ101,Hipótesis!$D$113*(1-Hipótesis!$D$117)/MAX(Hipótesis!$D$115-Hipótesis!$D$116,1)),0))</f>
        <v>0</v>
      </c>
      <c r="CA102" s="100" t="n">
        <f aca="false">IF(77&lt;=Hipótesis!$D$116,0,IF(CA101&gt;0,MIN(CA101,Hipótesis!$D$113*(1-Hipótesis!$D$117)/MAX(Hipótesis!$D$115-Hipótesis!$D$116,1)),0))</f>
        <v>0</v>
      </c>
      <c r="CB102" s="100" t="n">
        <f aca="false">IF(78&lt;=Hipótesis!$D$116,0,IF(CB101&gt;0,MIN(CB101,Hipótesis!$D$113*(1-Hipótesis!$D$117)/MAX(Hipótesis!$D$115-Hipótesis!$D$116,1)),0))</f>
        <v>0</v>
      </c>
      <c r="CC102" s="100" t="n">
        <f aca="false">IF(79&lt;=Hipótesis!$D$116,0,IF(CC101&gt;0,MIN(CC101,Hipótesis!$D$113*(1-Hipótesis!$D$117)/MAX(Hipótesis!$D$115-Hipótesis!$D$116,1)),0))</f>
        <v>0</v>
      </c>
      <c r="CD102" s="100" t="n">
        <f aca="false">IF(80&lt;=Hipótesis!$D$116,0,IF(CD101&gt;0,MIN(CD101,Hipótesis!$D$113*(1-Hipótesis!$D$117)/MAX(Hipótesis!$D$115-Hipótesis!$D$116,1)),0))</f>
        <v>0</v>
      </c>
      <c r="CE102" s="100" t="n">
        <f aca="false">IF(81&lt;=Hipótesis!$D$116,0,IF(CE101&gt;0,MIN(CE101,Hipótesis!$D$113*(1-Hipótesis!$D$117)/MAX(Hipótesis!$D$115-Hipótesis!$D$116,1)),0))</f>
        <v>0</v>
      </c>
      <c r="CF102" s="100" t="n">
        <f aca="false">IF(82&lt;=Hipótesis!$D$116,0,IF(CF101&gt;0,MIN(CF101,Hipótesis!$D$113*(1-Hipótesis!$D$117)/MAX(Hipótesis!$D$115-Hipótesis!$D$116,1)),0))</f>
        <v>0</v>
      </c>
      <c r="CG102" s="100" t="n">
        <f aca="false">IF(83&lt;=Hipótesis!$D$116,0,IF(CG101&gt;0,MIN(CG101,Hipótesis!$D$113*(1-Hipótesis!$D$117)/MAX(Hipótesis!$D$115-Hipótesis!$D$116,1)),0))</f>
        <v>0</v>
      </c>
      <c r="CH102" s="100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6" t="s">
        <v>574</v>
      </c>
      <c r="C103" s="100" t="n">
        <f aca="false">C101*Hipótesis!$D$114/12</f>
        <v>0</v>
      </c>
      <c r="D103" s="100" t="n">
        <f aca="false">D101*Hipótesis!$D$114/12</f>
        <v>0</v>
      </c>
      <c r="E103" s="100" t="n">
        <f aca="false">E101*Hipótesis!$D$114/12</f>
        <v>0</v>
      </c>
      <c r="F103" s="100" t="n">
        <f aca="false">F101*Hipótesis!$D$114/12</f>
        <v>0</v>
      </c>
      <c r="G103" s="100" t="n">
        <f aca="false">G101*Hipótesis!$D$114/12</f>
        <v>0</v>
      </c>
      <c r="H103" s="100" t="n">
        <f aca="false">H101*Hipótesis!$D$114/12</f>
        <v>0</v>
      </c>
      <c r="I103" s="100" t="n">
        <f aca="false">I101*Hipótesis!$D$114/12</f>
        <v>0</v>
      </c>
      <c r="J103" s="100" t="n">
        <f aca="false">J101*Hipótesis!$D$114/12</f>
        <v>0</v>
      </c>
      <c r="K103" s="100" t="n">
        <f aca="false">K101*Hipótesis!$D$114/12</f>
        <v>0</v>
      </c>
      <c r="L103" s="100" t="n">
        <f aca="false">L101*Hipótesis!$D$114/12</f>
        <v>0</v>
      </c>
      <c r="M103" s="100" t="n">
        <f aca="false">M101*Hipótesis!$D$114/12</f>
        <v>0</v>
      </c>
      <c r="N103" s="100" t="n">
        <f aca="false">N101*Hipótesis!$D$114/12</f>
        <v>0</v>
      </c>
      <c r="O103" s="100" t="n">
        <f aca="false">O101*Hipótesis!$D$114/12</f>
        <v>0</v>
      </c>
      <c r="P103" s="100" t="n">
        <f aca="false">P101*Hipótesis!$D$114/12</f>
        <v>0</v>
      </c>
      <c r="Q103" s="100" t="n">
        <f aca="false">Q101*Hipótesis!$D$114/12</f>
        <v>0</v>
      </c>
      <c r="R103" s="100" t="n">
        <f aca="false">R101*Hipótesis!$D$114/12</f>
        <v>0</v>
      </c>
      <c r="S103" s="100" t="n">
        <f aca="false">S101*Hipótesis!$D$114/12</f>
        <v>0</v>
      </c>
      <c r="T103" s="100" t="n">
        <f aca="false">T101*Hipótesis!$D$114/12</f>
        <v>0</v>
      </c>
      <c r="U103" s="100" t="n">
        <f aca="false">U101*Hipótesis!$D$114/12</f>
        <v>0</v>
      </c>
      <c r="V103" s="100" t="n">
        <f aca="false">V101*Hipótesis!$D$114/12</f>
        <v>0</v>
      </c>
      <c r="W103" s="100" t="n">
        <f aca="false">W101*Hipótesis!$D$114/12</f>
        <v>0</v>
      </c>
      <c r="X103" s="100" t="n">
        <f aca="false">X101*Hipótesis!$D$114/12</f>
        <v>0</v>
      </c>
      <c r="Y103" s="100" t="n">
        <f aca="false">Y101*Hipótesis!$D$114/12</f>
        <v>0</v>
      </c>
      <c r="Z103" s="100" t="n">
        <f aca="false">Z101*Hipótesis!$D$114/12</f>
        <v>0</v>
      </c>
      <c r="AA103" s="100" t="n">
        <f aca="false">AA101*Hipótesis!$D$114/12</f>
        <v>0</v>
      </c>
      <c r="AB103" s="100" t="n">
        <f aca="false">AB101*Hipótesis!$D$114/12</f>
        <v>0</v>
      </c>
      <c r="AC103" s="100" t="n">
        <f aca="false">AC101*Hipótesis!$D$114/12</f>
        <v>0</v>
      </c>
      <c r="AD103" s="100" t="n">
        <f aca="false">AD101*Hipótesis!$D$114/12</f>
        <v>0</v>
      </c>
      <c r="AE103" s="100" t="n">
        <f aca="false">AE101*Hipótesis!$D$114/12</f>
        <v>0</v>
      </c>
      <c r="AF103" s="100" t="n">
        <f aca="false">AF101*Hipótesis!$D$114/12</f>
        <v>0</v>
      </c>
      <c r="AG103" s="100" t="n">
        <f aca="false">AG101*Hipótesis!$D$114/12</f>
        <v>0</v>
      </c>
      <c r="AH103" s="100" t="n">
        <f aca="false">AH101*Hipótesis!$D$114/12</f>
        <v>0</v>
      </c>
      <c r="AI103" s="100" t="n">
        <f aca="false">AI101*Hipótesis!$D$114/12</f>
        <v>0</v>
      </c>
      <c r="AJ103" s="100" t="n">
        <f aca="false">AJ101*Hipótesis!$D$114/12</f>
        <v>0</v>
      </c>
      <c r="AK103" s="100" t="n">
        <f aca="false">AK101*Hipótesis!$D$114/12</f>
        <v>0</v>
      </c>
      <c r="AL103" s="100" t="n">
        <f aca="false">AL101*Hipótesis!$D$114/12</f>
        <v>0</v>
      </c>
      <c r="AM103" s="100" t="n">
        <f aca="false">AM101*Hipótesis!$D$114/12</f>
        <v>0</v>
      </c>
      <c r="AN103" s="100" t="n">
        <f aca="false">AN101*Hipótesis!$D$114/12</f>
        <v>0</v>
      </c>
      <c r="AO103" s="100" t="n">
        <f aca="false">AO101*Hipótesis!$D$114/12</f>
        <v>0</v>
      </c>
      <c r="AP103" s="100" t="n">
        <f aca="false">AP101*Hipótesis!$D$114/12</f>
        <v>0</v>
      </c>
      <c r="AQ103" s="100" t="n">
        <f aca="false">AQ101*Hipótesis!$D$114/12</f>
        <v>0</v>
      </c>
      <c r="AR103" s="100" t="n">
        <f aca="false">AR101*Hipótesis!$D$114/12</f>
        <v>0</v>
      </c>
      <c r="AS103" s="100" t="n">
        <f aca="false">AS101*Hipótesis!$D$114/12</f>
        <v>0</v>
      </c>
      <c r="AT103" s="100" t="n">
        <f aca="false">AT101*Hipótesis!$D$114/12</f>
        <v>0</v>
      </c>
      <c r="AU103" s="100" t="n">
        <f aca="false">AU101*Hipótesis!$D$114/12</f>
        <v>0</v>
      </c>
      <c r="AV103" s="100" t="n">
        <f aca="false">AV101*Hipótesis!$D$114/12</f>
        <v>0</v>
      </c>
      <c r="AW103" s="100" t="n">
        <f aca="false">AW101*Hipótesis!$D$114/12</f>
        <v>0</v>
      </c>
      <c r="AX103" s="100" t="n">
        <f aca="false">AX101*Hipótesis!$D$114/12</f>
        <v>0</v>
      </c>
      <c r="AY103" s="100" t="n">
        <f aca="false">AY101*Hipótesis!$D$114/12</f>
        <v>0</v>
      </c>
      <c r="AZ103" s="100" t="n">
        <f aca="false">AZ101*Hipótesis!$D$114/12</f>
        <v>0</v>
      </c>
      <c r="BA103" s="100" t="n">
        <f aca="false">BA101*Hipótesis!$D$114/12</f>
        <v>0</v>
      </c>
      <c r="BB103" s="100" t="n">
        <f aca="false">BB101*Hipótesis!$D$114/12</f>
        <v>0</v>
      </c>
      <c r="BC103" s="100" t="n">
        <f aca="false">BC101*Hipótesis!$D$114/12</f>
        <v>0</v>
      </c>
      <c r="BD103" s="100" t="n">
        <f aca="false">BD101*Hipótesis!$D$114/12</f>
        <v>0</v>
      </c>
      <c r="BE103" s="100" t="n">
        <f aca="false">BE101*Hipótesis!$D$114/12</f>
        <v>0</v>
      </c>
      <c r="BF103" s="100" t="n">
        <f aca="false">BF101*Hipótesis!$D$114/12</f>
        <v>0</v>
      </c>
      <c r="BG103" s="100" t="n">
        <f aca="false">BG101*Hipótesis!$D$114/12</f>
        <v>0</v>
      </c>
      <c r="BH103" s="100" t="n">
        <f aca="false">BH101*Hipótesis!$D$114/12</f>
        <v>0</v>
      </c>
      <c r="BI103" s="100" t="n">
        <f aca="false">BI101*Hipótesis!$D$114/12</f>
        <v>0</v>
      </c>
      <c r="BJ103" s="100" t="n">
        <f aca="false">BJ101*Hipótesis!$D$114/12</f>
        <v>0</v>
      </c>
      <c r="BK103" s="100" t="n">
        <f aca="false">BK101*Hipótesis!$D$114/12</f>
        <v>0</v>
      </c>
      <c r="BL103" s="100" t="n">
        <f aca="false">BL101*Hipótesis!$D$114/12</f>
        <v>0</v>
      </c>
      <c r="BM103" s="100" t="n">
        <f aca="false">BM101*Hipótesis!$D$114/12</f>
        <v>0</v>
      </c>
      <c r="BN103" s="100" t="n">
        <f aca="false">BN101*Hipótesis!$D$114/12</f>
        <v>0</v>
      </c>
      <c r="BO103" s="100" t="n">
        <f aca="false">BO101*Hipótesis!$D$114/12</f>
        <v>0</v>
      </c>
      <c r="BP103" s="100" t="n">
        <f aca="false">BP101*Hipótesis!$D$114/12</f>
        <v>0</v>
      </c>
      <c r="BQ103" s="100" t="n">
        <f aca="false">BQ101*Hipótesis!$D$114/12</f>
        <v>0</v>
      </c>
      <c r="BR103" s="100" t="n">
        <f aca="false">BR101*Hipótesis!$D$114/12</f>
        <v>0</v>
      </c>
      <c r="BS103" s="100" t="n">
        <f aca="false">BS101*Hipótesis!$D$114/12</f>
        <v>0</v>
      </c>
      <c r="BT103" s="100" t="n">
        <f aca="false">BT101*Hipótesis!$D$114/12</f>
        <v>0</v>
      </c>
      <c r="BU103" s="100" t="n">
        <f aca="false">BU101*Hipótesis!$D$114/12</f>
        <v>0</v>
      </c>
      <c r="BV103" s="100" t="n">
        <f aca="false">BV101*Hipótesis!$D$114/12</f>
        <v>0</v>
      </c>
      <c r="BW103" s="100" t="n">
        <f aca="false">BW101*Hipótesis!$D$114/12</f>
        <v>0</v>
      </c>
      <c r="BX103" s="100" t="n">
        <f aca="false">BX101*Hipótesis!$D$114/12</f>
        <v>0</v>
      </c>
      <c r="BY103" s="100" t="n">
        <f aca="false">BY101*Hipótesis!$D$114/12</f>
        <v>0</v>
      </c>
      <c r="BZ103" s="100" t="n">
        <f aca="false">BZ101*Hipótesis!$D$114/12</f>
        <v>0</v>
      </c>
      <c r="CA103" s="100" t="n">
        <f aca="false">CA101*Hipótesis!$D$114/12</f>
        <v>0</v>
      </c>
      <c r="CB103" s="100" t="n">
        <f aca="false">CB101*Hipótesis!$D$114/12</f>
        <v>0</v>
      </c>
      <c r="CC103" s="100" t="n">
        <f aca="false">CC101*Hipótesis!$D$114/12</f>
        <v>0</v>
      </c>
      <c r="CD103" s="100" t="n">
        <f aca="false">CD101*Hipótesis!$D$114/12</f>
        <v>0</v>
      </c>
      <c r="CE103" s="100" t="n">
        <f aca="false">CE101*Hipótesis!$D$114/12</f>
        <v>0</v>
      </c>
      <c r="CF103" s="100" t="n">
        <f aca="false">CF101*Hipótesis!$D$114/12</f>
        <v>0</v>
      </c>
      <c r="CG103" s="100" t="n">
        <f aca="false">CG101*Hipótesis!$D$114/12</f>
        <v>0</v>
      </c>
      <c r="CH103" s="100" t="n">
        <f aca="false">CH101*Hipótesis!$D$114/12</f>
        <v>0</v>
      </c>
    </row>
    <row r="104" customFormat="false" ht="13.5" hidden="false" customHeight="true" outlineLevel="0" collapsed="false">
      <c r="A104" s="6" t="s">
        <v>575</v>
      </c>
      <c r="C104" s="100" t="n">
        <f aca="false">C102+C103</f>
        <v>0</v>
      </c>
      <c r="D104" s="100" t="n">
        <f aca="false">D102+D103</f>
        <v>0</v>
      </c>
      <c r="E104" s="100" t="n">
        <f aca="false">E102+E103</f>
        <v>0</v>
      </c>
      <c r="F104" s="100" t="n">
        <f aca="false">F102+F103</f>
        <v>0</v>
      </c>
      <c r="G104" s="100" t="n">
        <f aca="false">G102+G103</f>
        <v>0</v>
      </c>
      <c r="H104" s="100" t="n">
        <f aca="false">H102+H103</f>
        <v>0</v>
      </c>
      <c r="I104" s="100" t="n">
        <f aca="false">I102+I103</f>
        <v>0</v>
      </c>
      <c r="J104" s="100" t="n">
        <f aca="false">J102+J103</f>
        <v>0</v>
      </c>
      <c r="K104" s="100" t="n">
        <f aca="false">K102+K103</f>
        <v>0</v>
      </c>
      <c r="L104" s="100" t="n">
        <f aca="false">L102+L103</f>
        <v>0</v>
      </c>
      <c r="M104" s="100" t="n">
        <f aca="false">M102+M103</f>
        <v>0</v>
      </c>
      <c r="N104" s="100" t="n">
        <f aca="false">N102+N103</f>
        <v>0</v>
      </c>
      <c r="O104" s="100" t="n">
        <f aca="false">O102+O103</f>
        <v>0</v>
      </c>
      <c r="P104" s="100" t="n">
        <f aca="false">P102+P103</f>
        <v>0</v>
      </c>
      <c r="Q104" s="100" t="n">
        <f aca="false">Q102+Q103</f>
        <v>0</v>
      </c>
      <c r="R104" s="100" t="n">
        <f aca="false">R102+R103</f>
        <v>0</v>
      </c>
      <c r="S104" s="100" t="n">
        <f aca="false">S102+S103</f>
        <v>0</v>
      </c>
      <c r="T104" s="100" t="n">
        <f aca="false">T102+T103</f>
        <v>0</v>
      </c>
      <c r="U104" s="100" t="n">
        <f aca="false">U102+U103</f>
        <v>0</v>
      </c>
      <c r="V104" s="100" t="n">
        <f aca="false">V102+V103</f>
        <v>0</v>
      </c>
      <c r="W104" s="100" t="n">
        <f aca="false">W102+W103</f>
        <v>0</v>
      </c>
      <c r="X104" s="100" t="n">
        <f aca="false">X102+X103</f>
        <v>0</v>
      </c>
      <c r="Y104" s="100" t="n">
        <f aca="false">Y102+Y103</f>
        <v>0</v>
      </c>
      <c r="Z104" s="100" t="n">
        <f aca="false">Z102+Z103</f>
        <v>0</v>
      </c>
      <c r="AA104" s="100" t="n">
        <f aca="false">AA102+AA103</f>
        <v>0</v>
      </c>
      <c r="AB104" s="100" t="n">
        <f aca="false">AB102+AB103</f>
        <v>0</v>
      </c>
      <c r="AC104" s="100" t="n">
        <f aca="false">AC102+AC103</f>
        <v>0</v>
      </c>
      <c r="AD104" s="100" t="n">
        <f aca="false">AD102+AD103</f>
        <v>0</v>
      </c>
      <c r="AE104" s="100" t="n">
        <f aca="false">AE102+AE103</f>
        <v>0</v>
      </c>
      <c r="AF104" s="100" t="n">
        <f aca="false">AF102+AF103</f>
        <v>0</v>
      </c>
      <c r="AG104" s="100" t="n">
        <f aca="false">AG102+AG103</f>
        <v>0</v>
      </c>
      <c r="AH104" s="100" t="n">
        <f aca="false">AH102+AH103</f>
        <v>0</v>
      </c>
      <c r="AI104" s="100" t="n">
        <f aca="false">AI102+AI103</f>
        <v>0</v>
      </c>
      <c r="AJ104" s="100" t="n">
        <f aca="false">AJ102+AJ103</f>
        <v>0</v>
      </c>
      <c r="AK104" s="100" t="n">
        <f aca="false">AK102+AK103</f>
        <v>0</v>
      </c>
      <c r="AL104" s="100" t="n">
        <f aca="false">AL102+AL103</f>
        <v>0</v>
      </c>
      <c r="AM104" s="100" t="n">
        <f aca="false">AM102+AM103</f>
        <v>0</v>
      </c>
      <c r="AN104" s="100" t="n">
        <f aca="false">AN102+AN103</f>
        <v>0</v>
      </c>
      <c r="AO104" s="100" t="n">
        <f aca="false">AO102+AO103</f>
        <v>0</v>
      </c>
      <c r="AP104" s="100" t="n">
        <f aca="false">AP102+AP103</f>
        <v>0</v>
      </c>
      <c r="AQ104" s="100" t="n">
        <f aca="false">AQ102+AQ103</f>
        <v>0</v>
      </c>
      <c r="AR104" s="100" t="n">
        <f aca="false">AR102+AR103</f>
        <v>0</v>
      </c>
      <c r="AS104" s="100" t="n">
        <f aca="false">AS102+AS103</f>
        <v>0</v>
      </c>
      <c r="AT104" s="100" t="n">
        <f aca="false">AT102+AT103</f>
        <v>0</v>
      </c>
      <c r="AU104" s="100" t="n">
        <f aca="false">AU102+AU103</f>
        <v>0</v>
      </c>
      <c r="AV104" s="100" t="n">
        <f aca="false">AV102+AV103</f>
        <v>0</v>
      </c>
      <c r="AW104" s="100" t="n">
        <f aca="false">AW102+AW103</f>
        <v>0</v>
      </c>
      <c r="AX104" s="100" t="n">
        <f aca="false">AX102+AX103</f>
        <v>0</v>
      </c>
      <c r="AY104" s="100" t="n">
        <f aca="false">AY102+AY103</f>
        <v>0</v>
      </c>
      <c r="AZ104" s="100" t="n">
        <f aca="false">AZ102+AZ103</f>
        <v>0</v>
      </c>
      <c r="BA104" s="100" t="n">
        <f aca="false">BA102+BA103</f>
        <v>0</v>
      </c>
      <c r="BB104" s="100" t="n">
        <f aca="false">BB102+BB103</f>
        <v>0</v>
      </c>
      <c r="BC104" s="100" t="n">
        <f aca="false">BC102+BC103</f>
        <v>0</v>
      </c>
      <c r="BD104" s="100" t="n">
        <f aca="false">BD102+BD103</f>
        <v>0</v>
      </c>
      <c r="BE104" s="100" t="n">
        <f aca="false">BE102+BE103</f>
        <v>0</v>
      </c>
      <c r="BF104" s="100" t="n">
        <f aca="false">BF102+BF103</f>
        <v>0</v>
      </c>
      <c r="BG104" s="100" t="n">
        <f aca="false">BG102+BG103</f>
        <v>0</v>
      </c>
      <c r="BH104" s="100" t="n">
        <f aca="false">BH102+BH103</f>
        <v>0</v>
      </c>
      <c r="BI104" s="100" t="n">
        <f aca="false">BI102+BI103</f>
        <v>0</v>
      </c>
      <c r="BJ104" s="100" t="n">
        <f aca="false">BJ102+BJ103</f>
        <v>0</v>
      </c>
      <c r="BK104" s="100" t="n">
        <f aca="false">BK102+BK103</f>
        <v>0</v>
      </c>
      <c r="BL104" s="100" t="n">
        <f aca="false">BL102+BL103</f>
        <v>0</v>
      </c>
      <c r="BM104" s="100" t="n">
        <f aca="false">BM102+BM103</f>
        <v>0</v>
      </c>
      <c r="BN104" s="100" t="n">
        <f aca="false">BN102+BN103</f>
        <v>0</v>
      </c>
      <c r="BO104" s="100" t="n">
        <f aca="false">BO102+BO103</f>
        <v>0</v>
      </c>
      <c r="BP104" s="100" t="n">
        <f aca="false">BP102+BP103</f>
        <v>0</v>
      </c>
      <c r="BQ104" s="100" t="n">
        <f aca="false">BQ102+BQ103</f>
        <v>0</v>
      </c>
      <c r="BR104" s="100" t="n">
        <f aca="false">BR102+BR103</f>
        <v>0</v>
      </c>
      <c r="BS104" s="100" t="n">
        <f aca="false">BS102+BS103</f>
        <v>0</v>
      </c>
      <c r="BT104" s="100" t="n">
        <f aca="false">BT102+BT103</f>
        <v>0</v>
      </c>
      <c r="BU104" s="100" t="n">
        <f aca="false">BU102+BU103</f>
        <v>0</v>
      </c>
      <c r="BV104" s="100" t="n">
        <f aca="false">BV102+BV103</f>
        <v>0</v>
      </c>
      <c r="BW104" s="100" t="n">
        <f aca="false">BW102+BW103</f>
        <v>0</v>
      </c>
      <c r="BX104" s="100" t="n">
        <f aca="false">BX102+BX103</f>
        <v>0</v>
      </c>
      <c r="BY104" s="100" t="n">
        <f aca="false">BY102+BY103</f>
        <v>0</v>
      </c>
      <c r="BZ104" s="100" t="n">
        <f aca="false">BZ102+BZ103</f>
        <v>0</v>
      </c>
      <c r="CA104" s="100" t="n">
        <f aca="false">CA102+CA103</f>
        <v>0</v>
      </c>
      <c r="CB104" s="100" t="n">
        <f aca="false">CB102+CB103</f>
        <v>0</v>
      </c>
      <c r="CC104" s="100" t="n">
        <f aca="false">CC102+CC103</f>
        <v>0</v>
      </c>
      <c r="CD104" s="100" t="n">
        <f aca="false">CD102+CD103</f>
        <v>0</v>
      </c>
      <c r="CE104" s="100" t="n">
        <f aca="false">CE102+CE103</f>
        <v>0</v>
      </c>
      <c r="CF104" s="100" t="n">
        <f aca="false">CF102+CF103</f>
        <v>0</v>
      </c>
      <c r="CG104" s="100" t="n">
        <f aca="false">CG102+CG103</f>
        <v>0</v>
      </c>
      <c r="CH104" s="100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46" t="s">
        <v>576</v>
      </c>
      <c r="C106" s="63" t="n">
        <f aca="false">C93+C99+C104</f>
        <v>333.333333333333</v>
      </c>
      <c r="D106" s="63" t="n">
        <f aca="false">D93+D99+D104</f>
        <v>333.333333333333</v>
      </c>
      <c r="E106" s="63" t="n">
        <f aca="false">E93+E99+E104</f>
        <v>333.333333333333</v>
      </c>
      <c r="F106" s="63" t="n">
        <f aca="false">F93+F99+F104</f>
        <v>333.333333333333</v>
      </c>
      <c r="G106" s="63" t="n">
        <f aca="false">G93+G99+G104</f>
        <v>333.333333333333</v>
      </c>
      <c r="H106" s="63" t="n">
        <f aca="false">H93+H99+H104</f>
        <v>333.333333333333</v>
      </c>
      <c r="I106" s="63" t="n">
        <f aca="false">I93+I99+I104</f>
        <v>333.333333333333</v>
      </c>
      <c r="J106" s="63" t="n">
        <f aca="false">J93+J99+J104</f>
        <v>379.028703539617</v>
      </c>
      <c r="K106" s="63" t="n">
        <f aca="false">K93+K99+K104</f>
        <v>453.95563524641</v>
      </c>
      <c r="L106" s="63" t="n">
        <f aca="false">L93+L99+L104</f>
        <v>528.882566953204</v>
      </c>
      <c r="M106" s="63" t="n">
        <f aca="false">M93+M99+M104</f>
        <v>579.039238218851</v>
      </c>
      <c r="N106" s="63" t="n">
        <f aca="false">N93+N99+N104</f>
        <v>648.214175345461</v>
      </c>
      <c r="O106" s="63" t="n">
        <f aca="false">O93+O99+O104</f>
        <v>612.845112472071</v>
      </c>
      <c r="P106" s="63" t="n">
        <f aca="false">P93+P99+P104</f>
        <v>674.827985351155</v>
      </c>
      <c r="Q106" s="63" t="n">
        <f aca="false">Q93+Q99+Q104</f>
        <v>736.810858230238</v>
      </c>
      <c r="R106" s="63" t="n">
        <f aca="false">R93+R99+R104</f>
        <v>798.793731109321</v>
      </c>
      <c r="S106" s="63" t="n">
        <f aca="false">S93+S99+S104</f>
        <v>860.776603988405</v>
      </c>
      <c r="T106" s="63" t="n">
        <f aca="false">T93+T99+T104</f>
        <v>922.759476867488</v>
      </c>
      <c r="U106" s="63" t="n">
        <f aca="false">U93+U99+U104</f>
        <v>938.515949746571</v>
      </c>
      <c r="V106" s="63" t="n">
        <f aca="false">V93+V99+V104</f>
        <v>946.114822625655</v>
      </c>
      <c r="W106" s="63" t="n">
        <f aca="false">W93+W99+W104</f>
        <v>1008.09769550474</v>
      </c>
      <c r="X106" s="63" t="n">
        <f aca="false">X93+X99+X104</f>
        <v>1051.06230252286</v>
      </c>
      <c r="Y106" s="63" t="n">
        <f aca="false">Y93+Y99+Y104</f>
        <v>1094.02690954098</v>
      </c>
      <c r="Z106" s="63" t="n">
        <f aca="false">Z93+Z99+Z104</f>
        <v>1130.01844021471</v>
      </c>
      <c r="AA106" s="63" t="n">
        <f aca="false">AA93+AA99+AA104</f>
        <v>2788.42680555511</v>
      </c>
      <c r="AB106" s="63" t="n">
        <f aca="false">AB93+AB99+AB104</f>
        <v>2818.86278067329</v>
      </c>
      <c r="AC106" s="63" t="n">
        <f aca="false">AC93+AC99+AC104</f>
        <v>2849.29875579147</v>
      </c>
      <c r="AD106" s="63" t="n">
        <f aca="false">AD93+AD99+AD104</f>
        <v>2879.73473090965</v>
      </c>
      <c r="AE106" s="63" t="n">
        <f aca="false">AE93+AE99+AE104</f>
        <v>2910.17070602783</v>
      </c>
      <c r="AF106" s="63" t="n">
        <f aca="false">AF93+AF99+AF104</f>
        <v>2940.60668114601</v>
      </c>
      <c r="AG106" s="63" t="n">
        <f aca="false">AG93+AG99+AG104</f>
        <v>2971.04265626419</v>
      </c>
      <c r="AH106" s="63" t="n">
        <f aca="false">AH93+AH99+AH104</f>
        <v>2953.86543938237</v>
      </c>
      <c r="AI106" s="63" t="n">
        <f aca="false">AI93+AI99+AI104</f>
        <v>2984.30141450055</v>
      </c>
      <c r="AJ106" s="63" t="n">
        <f aca="false">AJ93+AJ99+AJ104</f>
        <v>3014.73738961873</v>
      </c>
      <c r="AK106" s="63" t="n">
        <f aca="false">AK93+AK99+AK104</f>
        <v>3045.17336473691</v>
      </c>
      <c r="AL106" s="63" t="n">
        <f aca="false">AL93+AL99+AL104</f>
        <v>3075.60933985509</v>
      </c>
      <c r="AM106" s="63" t="n">
        <f aca="false">AM93+AM99+AM104</f>
        <v>3060.22759225326</v>
      </c>
      <c r="AN106" s="63" t="n">
        <f aca="false">AN93+AN99+AN104</f>
        <v>3090.66356737144</v>
      </c>
      <c r="AO106" s="63" t="n">
        <f aca="false">AO93+AO99+AO104</f>
        <v>3121.09954248962</v>
      </c>
      <c r="AP106" s="63" t="n">
        <f aca="false">AP93+AP99+AP104</f>
        <v>3151.5355176078</v>
      </c>
      <c r="AQ106" s="63" t="n">
        <f aca="false">AQ93+AQ99+AQ104</f>
        <v>3181.97149272598</v>
      </c>
      <c r="AR106" s="63" t="n">
        <f aca="false">AR93+AR99+AR104</f>
        <v>3212.40746784416</v>
      </c>
      <c r="AS106" s="63" t="n">
        <f aca="false">AS93+AS99+AS104</f>
        <v>3206.85191228861</v>
      </c>
      <c r="AT106" s="63" t="n">
        <f aca="false">AT93+AT99+AT104</f>
        <v>3201.29635673305</v>
      </c>
      <c r="AU106" s="63" t="n">
        <f aca="false">AU93+AU99+AU104</f>
        <v>3195.74080117749</v>
      </c>
      <c r="AV106" s="63" t="n">
        <f aca="false">AV93+AV99+AV104</f>
        <v>3190.18524562194</v>
      </c>
      <c r="AW106" s="63" t="n">
        <f aca="false">AW93+AW99+AW104</f>
        <v>3184.62969006638</v>
      </c>
      <c r="AX106" s="63" t="n">
        <f aca="false">AX93+AX99+AX104</f>
        <v>3179.07413451083</v>
      </c>
      <c r="AY106" s="63" t="n">
        <f aca="false">AY93+AY99+AY104</f>
        <v>3127.51432455367</v>
      </c>
      <c r="AZ106" s="63" t="n">
        <f aca="false">AZ93+AZ99+AZ104</f>
        <v>3121.95876899812</v>
      </c>
      <c r="BA106" s="63" t="n">
        <f aca="false">BA93+BA99+BA104</f>
        <v>3116.40321344256</v>
      </c>
      <c r="BB106" s="63" t="n">
        <f aca="false">BB93+BB99+BB104</f>
        <v>3110.84765788701</v>
      </c>
      <c r="BC106" s="63" t="n">
        <f aca="false">BC93+BC99+BC104</f>
        <v>3105.29210233145</v>
      </c>
      <c r="BD106" s="63" t="n">
        <f aca="false">BD93+BD99+BD104</f>
        <v>3099.73654677589</v>
      </c>
      <c r="BE106" s="63" t="n">
        <f aca="false">BE93+BE99+BE104</f>
        <v>3094.18099122034</v>
      </c>
      <c r="BF106" s="63" t="n">
        <f aca="false">BF93+BF99+BF104</f>
        <v>3088.62543566478</v>
      </c>
      <c r="BG106" s="63" t="n">
        <f aca="false">BG93+BG99+BG104</f>
        <v>3083.06988010923</v>
      </c>
      <c r="BH106" s="63" t="n">
        <f aca="false">BH93+BH99+BH104</f>
        <v>3077.51432455367</v>
      </c>
      <c r="BI106" s="63" t="n">
        <f aca="false">BI93+BI99+BI104</f>
        <v>3071.95876899812</v>
      </c>
      <c r="BJ106" s="63" t="n">
        <f aca="false">BJ93+BJ99+BJ104</f>
        <v>3066.40321344256</v>
      </c>
      <c r="BK106" s="63" t="n">
        <f aca="false">BK93+BK99+BK104</f>
        <v>3014.65127585336</v>
      </c>
      <c r="BL106" s="63" t="n">
        <f aca="false">BL93+BL99+BL104</f>
        <v>3009.0957202978</v>
      </c>
      <c r="BM106" s="63" t="n">
        <f aca="false">BM93+BM99+BM104</f>
        <v>3003.54016474225</v>
      </c>
      <c r="BN106" s="63" t="n">
        <f aca="false">BN93+BN99+BN104</f>
        <v>2997.98460918669</v>
      </c>
      <c r="BO106" s="63" t="n">
        <f aca="false">BO93+BO99+BO104</f>
        <v>2992.42905363113</v>
      </c>
      <c r="BP106" s="63" t="n">
        <f aca="false">BP93+BP99+BP104</f>
        <v>2986.87349807558</v>
      </c>
      <c r="BQ106" s="63" t="n">
        <f aca="false">BQ93+BQ99+BQ104</f>
        <v>2981.31794252002</v>
      </c>
      <c r="BR106" s="63" t="n">
        <f aca="false">BR93+BR99+BR104</f>
        <v>2975.76238696447</v>
      </c>
      <c r="BS106" s="63" t="n">
        <f aca="false">BS93+BS99+BS104</f>
        <v>2970.20683140891</v>
      </c>
      <c r="BT106" s="63" t="n">
        <f aca="false">BT93+BT99+BT104</f>
        <v>2964.65127585336</v>
      </c>
      <c r="BU106" s="63" t="n">
        <f aca="false">BU93+BU99+BU104</f>
        <v>2959.0957202978</v>
      </c>
      <c r="BV106" s="63" t="n">
        <f aca="false">BV93+BV99+BV104</f>
        <v>2953.54016474225</v>
      </c>
      <c r="BW106" s="63" t="n">
        <f aca="false">BW93+BW99+BW104</f>
        <v>2901.59033569203</v>
      </c>
      <c r="BX106" s="63" t="n">
        <f aca="false">BX93+BX99+BX104</f>
        <v>2896.03478013648</v>
      </c>
      <c r="BY106" s="63" t="n">
        <f aca="false">BY93+BY99+BY104</f>
        <v>2890.47922458092</v>
      </c>
      <c r="BZ106" s="63" t="n">
        <f aca="false">BZ93+BZ99+BZ104</f>
        <v>2884.92366902537</v>
      </c>
      <c r="CA106" s="63" t="n">
        <f aca="false">CA93+CA99+CA104</f>
        <v>2879.36811346981</v>
      </c>
      <c r="CB106" s="63" t="n">
        <f aca="false">CB93+CB99+CB104</f>
        <v>2873.81255791426</v>
      </c>
      <c r="CC106" s="63" t="n">
        <f aca="false">CC93+CC99+CC104</f>
        <v>2868.2570023587</v>
      </c>
      <c r="CD106" s="63" t="n">
        <f aca="false">CD93+CD99+CD104</f>
        <v>2862.70144680314</v>
      </c>
      <c r="CE106" s="63" t="n">
        <f aca="false">CE93+CE99+CE104</f>
        <v>2857.14589124759</v>
      </c>
      <c r="CF106" s="63" t="n">
        <f aca="false">CF93+CF99+CF104</f>
        <v>2851.59033569203</v>
      </c>
      <c r="CG106" s="63" t="n">
        <f aca="false">CG93+CG99+CG104</f>
        <v>2846.03478013648</v>
      </c>
      <c r="CH106" s="63" t="n">
        <f aca="false">CH93+CH99+CH104</f>
        <v>2840.47922458086</v>
      </c>
    </row>
    <row r="107" customFormat="false" ht="13.5" hidden="false" customHeight="true" outlineLevel="0" collapsed="false">
      <c r="A107" s="6" t="s">
        <v>577</v>
      </c>
      <c r="C107" s="100" t="n">
        <f aca="false">C106</f>
        <v>333.333333333333</v>
      </c>
      <c r="D107" s="100" t="n">
        <f aca="false">C107+D106</f>
        <v>666.666666666667</v>
      </c>
      <c r="E107" s="100" t="n">
        <f aca="false">D107+E106</f>
        <v>1000</v>
      </c>
      <c r="F107" s="100" t="n">
        <f aca="false">E107+F106</f>
        <v>1333.33333333333</v>
      </c>
      <c r="G107" s="100" t="n">
        <f aca="false">F107+G106</f>
        <v>1666.66666666667</v>
      </c>
      <c r="H107" s="100" t="n">
        <f aca="false">G107+H106</f>
        <v>2000</v>
      </c>
      <c r="I107" s="100" t="n">
        <f aca="false">H107+I106</f>
        <v>2333.33333333333</v>
      </c>
      <c r="J107" s="100" t="n">
        <f aca="false">I107+J106</f>
        <v>2712.36203687295</v>
      </c>
      <c r="K107" s="100" t="n">
        <f aca="false">J107+K106</f>
        <v>3166.31767211936</v>
      </c>
      <c r="L107" s="100" t="n">
        <f aca="false">K107+L106</f>
        <v>3695.20023907256</v>
      </c>
      <c r="M107" s="100" t="n">
        <f aca="false">L107+M106</f>
        <v>4274.23947729142</v>
      </c>
      <c r="N107" s="100" t="n">
        <f aca="false">M107+N106</f>
        <v>4922.45365263688</v>
      </c>
      <c r="O107" s="100" t="n">
        <f aca="false">N107+O106</f>
        <v>5535.29876510895</v>
      </c>
      <c r="P107" s="100" t="n">
        <f aca="false">O107+P106</f>
        <v>6210.1267504601</v>
      </c>
      <c r="Q107" s="100" t="n">
        <f aca="false">P107+Q106</f>
        <v>6946.93760869034</v>
      </c>
      <c r="R107" s="100" t="n">
        <f aca="false">Q107+R106</f>
        <v>7745.73133979966</v>
      </c>
      <c r="S107" s="100" t="n">
        <f aca="false">R107+S106</f>
        <v>8606.50794378807</v>
      </c>
      <c r="T107" s="100" t="n">
        <f aca="false">S107+T106</f>
        <v>9529.26742065555</v>
      </c>
      <c r="U107" s="100" t="n">
        <f aca="false">T107+U106</f>
        <v>10467.7833704021</v>
      </c>
      <c r="V107" s="100" t="n">
        <f aca="false">U107+V106</f>
        <v>11413.8981930278</v>
      </c>
      <c r="W107" s="100" t="n">
        <f aca="false">V107+W106</f>
        <v>12421.9958885325</v>
      </c>
      <c r="X107" s="100" t="n">
        <f aca="false">W107+X106</f>
        <v>13473.0581910554</v>
      </c>
      <c r="Y107" s="100" t="n">
        <f aca="false">X107+Y106</f>
        <v>14567.0851005964</v>
      </c>
      <c r="Z107" s="100" t="n">
        <f aca="false">Y107+Z106</f>
        <v>15697.1035408111</v>
      </c>
      <c r="AA107" s="100" t="n">
        <f aca="false">Z107+AA106</f>
        <v>18485.5303463662</v>
      </c>
      <c r="AB107" s="100" t="n">
        <f aca="false">AA107+AB106</f>
        <v>21304.3931270395</v>
      </c>
      <c r="AC107" s="100" t="n">
        <f aca="false">AB107+AC106</f>
        <v>24153.6918828309</v>
      </c>
      <c r="AD107" s="100" t="n">
        <f aca="false">AC107+AD106</f>
        <v>27033.4266137406</v>
      </c>
      <c r="AE107" s="100" t="n">
        <f aca="false">AD107+AE106</f>
        <v>29943.5973197684</v>
      </c>
      <c r="AF107" s="100" t="n">
        <f aca="false">AE107+AF106</f>
        <v>32884.2040009144</v>
      </c>
      <c r="AG107" s="100" t="n">
        <f aca="false">AF107+AG106</f>
        <v>35855.2466571786</v>
      </c>
      <c r="AH107" s="100" t="n">
        <f aca="false">AG107+AH106</f>
        <v>38809.112096561</v>
      </c>
      <c r="AI107" s="100" t="n">
        <f aca="false">AH107+AI106</f>
        <v>41793.4135110615</v>
      </c>
      <c r="AJ107" s="100" t="n">
        <f aca="false">AI107+AJ106</f>
        <v>44808.1509006803</v>
      </c>
      <c r="AK107" s="100" t="n">
        <f aca="false">AJ107+AK106</f>
        <v>47853.3242654172</v>
      </c>
      <c r="AL107" s="100" t="n">
        <f aca="false">AK107+AL106</f>
        <v>50928.9336052723</v>
      </c>
      <c r="AM107" s="100" t="n">
        <f aca="false">AL107+AM106</f>
        <v>53989.1611975255</v>
      </c>
      <c r="AN107" s="100" t="n">
        <f aca="false">AM107+AN106</f>
        <v>57079.824764897</v>
      </c>
      <c r="AO107" s="100" t="n">
        <f aca="false">AN107+AO106</f>
        <v>60200.9243073866</v>
      </c>
      <c r="AP107" s="100" t="n">
        <f aca="false">AO107+AP106</f>
        <v>63352.4598249944</v>
      </c>
      <c r="AQ107" s="100" t="n">
        <f aca="false">AP107+AQ106</f>
        <v>66534.4313177204</v>
      </c>
      <c r="AR107" s="100" t="n">
        <f aca="false">AQ107+AR106</f>
        <v>69746.8387855645</v>
      </c>
      <c r="AS107" s="100" t="n">
        <f aca="false">AR107+AS106</f>
        <v>72953.6906978531</v>
      </c>
      <c r="AT107" s="100" t="n">
        <f aca="false">AS107+AT106</f>
        <v>76154.9870545862</v>
      </c>
      <c r="AU107" s="100" t="n">
        <f aca="false">AT107+AU106</f>
        <v>79350.7278557637</v>
      </c>
      <c r="AV107" s="100" t="n">
        <f aca="false">AU107+AV106</f>
        <v>82540.9131013856</v>
      </c>
      <c r="AW107" s="100" t="n">
        <f aca="false">AV107+AW106</f>
        <v>85725.542791452</v>
      </c>
      <c r="AX107" s="100" t="n">
        <f aca="false">AW107+AX106</f>
        <v>88904.6169259628</v>
      </c>
      <c r="AY107" s="100" t="n">
        <f aca="false">AX107+AY106</f>
        <v>92032.1312505165</v>
      </c>
      <c r="AZ107" s="100" t="n">
        <f aca="false">AY107+AZ106</f>
        <v>95154.0900195146</v>
      </c>
      <c r="BA107" s="100" t="n">
        <f aca="false">AZ107+BA106</f>
        <v>98270.4932329572</v>
      </c>
      <c r="BB107" s="100" t="n">
        <f aca="false">BA107+BB106</f>
        <v>101381.340890844</v>
      </c>
      <c r="BC107" s="100" t="n">
        <f aca="false">BB107+BC106</f>
        <v>104486.632993176</v>
      </c>
      <c r="BD107" s="100" t="n">
        <f aca="false">BC107+BD106</f>
        <v>107586.369539952</v>
      </c>
      <c r="BE107" s="100" t="n">
        <f aca="false">BD107+BE106</f>
        <v>110680.550531172</v>
      </c>
      <c r="BF107" s="100" t="n">
        <f aca="false">BE107+BF106</f>
        <v>113769.175966837</v>
      </c>
      <c r="BG107" s="100" t="n">
        <f aca="false">BF107+BG106</f>
        <v>116852.245846946</v>
      </c>
      <c r="BH107" s="100" t="n">
        <f aca="false">BG107+BH106</f>
        <v>119929.7601715</v>
      </c>
      <c r="BI107" s="100" t="n">
        <f aca="false">BH107+BI106</f>
        <v>123001.718940498</v>
      </c>
      <c r="BJ107" s="100" t="n">
        <f aca="false">BI107+BJ106</f>
        <v>126068.12215394</v>
      </c>
      <c r="BK107" s="100" t="n">
        <f aca="false">BJ107+BK106</f>
        <v>129082.773429794</v>
      </c>
      <c r="BL107" s="100" t="n">
        <f aca="false">BK107+BL106</f>
        <v>132091.869150091</v>
      </c>
      <c r="BM107" s="100" t="n">
        <f aca="false">BL107+BM106</f>
        <v>135095.409314834</v>
      </c>
      <c r="BN107" s="100" t="n">
        <f aca="false">BM107+BN106</f>
        <v>138093.39392402</v>
      </c>
      <c r="BO107" s="100" t="n">
        <f aca="false">BN107+BO106</f>
        <v>141085.822977651</v>
      </c>
      <c r="BP107" s="100" t="n">
        <f aca="false">BO107+BP106</f>
        <v>144072.696475727</v>
      </c>
      <c r="BQ107" s="100" t="n">
        <f aca="false">BP107+BQ106</f>
        <v>147054.014418247</v>
      </c>
      <c r="BR107" s="100" t="n">
        <f aca="false">BQ107+BR106</f>
        <v>150029.776805212</v>
      </c>
      <c r="BS107" s="100" t="n">
        <f aca="false">BR107+BS106</f>
        <v>152999.98363662</v>
      </c>
      <c r="BT107" s="100" t="n">
        <f aca="false">BS107+BT106</f>
        <v>155964.634912474</v>
      </c>
      <c r="BU107" s="100" t="n">
        <f aca="false">BT107+BU106</f>
        <v>158923.730632772</v>
      </c>
      <c r="BV107" s="100" t="n">
        <f aca="false">BU107+BV106</f>
        <v>161877.270797514</v>
      </c>
      <c r="BW107" s="100" t="n">
        <f aca="false">BV107+BW106</f>
        <v>164778.861133206</v>
      </c>
      <c r="BX107" s="100" t="n">
        <f aca="false">BW107+BX106</f>
        <v>167674.895913342</v>
      </c>
      <c r="BY107" s="100" t="n">
        <f aca="false">BX107+BY106</f>
        <v>170565.375137923</v>
      </c>
      <c r="BZ107" s="100" t="n">
        <f aca="false">BY107+BZ106</f>
        <v>173450.298806949</v>
      </c>
      <c r="CA107" s="100" t="n">
        <f aca="false">BZ107+CA106</f>
        <v>176329.666920418</v>
      </c>
      <c r="CB107" s="100" t="n">
        <f aca="false">CA107+CB106</f>
        <v>179203.479478333</v>
      </c>
      <c r="CC107" s="100" t="n">
        <f aca="false">CB107+CC106</f>
        <v>182071.736480691</v>
      </c>
      <c r="CD107" s="100" t="n">
        <f aca="false">CC107+CD106</f>
        <v>184934.437927495</v>
      </c>
      <c r="CE107" s="100" t="n">
        <f aca="false">CD107+CE106</f>
        <v>187791.583818742</v>
      </c>
      <c r="CF107" s="100" t="n">
        <f aca="false">CE107+CF106</f>
        <v>190643.174154434</v>
      </c>
      <c r="CG107" s="100" t="n">
        <f aca="false">CF107+CG106</f>
        <v>193489.208934571</v>
      </c>
      <c r="CH107" s="100" t="n">
        <f aca="false">CG107+CH106</f>
        <v>196329.688159152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9" t="s">
        <v>578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</row>
    <row r="110" customFormat="false" ht="13.5" hidden="false" customHeight="true" outlineLevel="0" collapsed="false">
      <c r="A110" s="6" t="s">
        <v>579</v>
      </c>
      <c r="C110" s="100" t="n">
        <f aca="false">C63</f>
        <v>-15192.9724864625</v>
      </c>
      <c r="D110" s="100" t="n">
        <f aca="false">C113+D63</f>
        <v>-29196.138236879</v>
      </c>
      <c r="E110" s="100" t="n">
        <f aca="false">D113+E63</f>
        <v>-40775.4591430105</v>
      </c>
      <c r="F110" s="100" t="n">
        <f aca="false">E113+F63</f>
        <v>-51040.2008136326</v>
      </c>
      <c r="G110" s="100" t="n">
        <f aca="false">F113+G63</f>
        <v>-60070.9043760158</v>
      </c>
      <c r="H110" s="100" t="n">
        <f aca="false">G113+H63</f>
        <v>-67162.0380075957</v>
      </c>
      <c r="I110" s="100" t="n">
        <f aca="false">H113+I63</f>
        <v>-70520.5788792862</v>
      </c>
      <c r="J110" s="100" t="n">
        <f aca="false">I113+J63</f>
        <v>-70243.0628528426</v>
      </c>
      <c r="K110" s="100" t="n">
        <f aca="false">J113+K63</f>
        <v>-66878.2510449178</v>
      </c>
      <c r="L110" s="100" t="n">
        <f aca="false">K113+L63</f>
        <v>-60409.4792441565</v>
      </c>
      <c r="M110" s="100" t="n">
        <f aca="false">L113+M63</f>
        <v>-51847.8959888415</v>
      </c>
      <c r="N110" s="100" t="n">
        <f aca="false">M113+N63</f>
        <v>-40399.5324635701</v>
      </c>
      <c r="O110" s="100" t="n">
        <f aca="false">N113+O63</f>
        <v>-30435.336244558</v>
      </c>
      <c r="P110" s="100" t="n">
        <f aca="false">O113+P63</f>
        <v>-17899.4620531442</v>
      </c>
      <c r="Q110" s="100" t="n">
        <f aca="false">P113+Q63</f>
        <v>-2791.90988932892</v>
      </c>
      <c r="R110" s="100" t="n">
        <f aca="false">Q113+R63</f>
        <v>14887.3202468879</v>
      </c>
      <c r="S110" s="100" t="n">
        <f aca="false">R113+S63</f>
        <v>35138.2283555064</v>
      </c>
      <c r="T110" s="100" t="n">
        <f aca="false">S113+T63</f>
        <v>57960.8144365264</v>
      </c>
      <c r="U110" s="100" t="n">
        <f aca="false">T113+U63</f>
        <v>81429.748929948</v>
      </c>
      <c r="V110" s="100" t="n">
        <f aca="false">U113+V63</f>
        <v>105205.267795771</v>
      </c>
      <c r="W110" s="100" t="n">
        <f aca="false">V113+W63</f>
        <v>131552.464633996</v>
      </c>
      <c r="X110" s="100" t="n">
        <f aca="false">W113+X63</f>
        <v>159682.387434208</v>
      </c>
      <c r="Y110" s="100" t="n">
        <f aca="false">X113+Y63</f>
        <v>189595.036196409</v>
      </c>
      <c r="Z110" s="100" t="n">
        <f aca="false">Y113+Z63</f>
        <v>221001.161562259</v>
      </c>
      <c r="AA110" s="100" t="n">
        <f aca="false">Z113+AA63</f>
        <v>252057.75802896</v>
      </c>
      <c r="AB110" s="100" t="n">
        <f aca="false">AA113+AB63</f>
        <v>284612.553321534</v>
      </c>
      <c r="AC110" s="100" t="n">
        <f aca="false">AB113+AC63</f>
        <v>318665.54743998</v>
      </c>
      <c r="AD110" s="100" t="n">
        <f aca="false">AC113+AD63</f>
        <v>354216.740384299</v>
      </c>
      <c r="AE110" s="100" t="n">
        <f aca="false">AD113+AE63</f>
        <v>391266.13215449</v>
      </c>
      <c r="AF110" s="100" t="n">
        <f aca="false">AE113+AF63</f>
        <v>429813.722750554</v>
      </c>
      <c r="AG110" s="100" t="n">
        <f aca="false">AF113+AG63</f>
        <v>469859.51217249</v>
      </c>
      <c r="AH110" s="100" t="n">
        <f aca="false">AG113+AH63</f>
        <v>509420.410973499</v>
      </c>
      <c r="AI110" s="100" t="n">
        <f aca="false">AH113+AI63</f>
        <v>550479.508600381</v>
      </c>
      <c r="AJ110" s="100" t="n">
        <f aca="false">AI113+AJ63</f>
        <v>593036.805053135</v>
      </c>
      <c r="AK110" s="100" t="n">
        <f aca="false">AJ113+AK63</f>
        <v>637092.300331762</v>
      </c>
      <c r="AL110" s="100" t="n">
        <f aca="false">AK113+AL63</f>
        <v>682645.994436261</v>
      </c>
      <c r="AM110" s="100" t="n">
        <f aca="false">AL113+AM63</f>
        <v>722478.569241336</v>
      </c>
      <c r="AN110" s="100" t="n">
        <f aca="false">AM113+AN63</f>
        <v>763633.084186885</v>
      </c>
      <c r="AO110" s="100" t="n">
        <f aca="false">AN113+AO63</f>
        <v>806109.539272911</v>
      </c>
      <c r="AP110" s="100" t="n">
        <f aca="false">AO113+AP63</f>
        <v>849907.934499413</v>
      </c>
      <c r="AQ110" s="100" t="n">
        <f aca="false">AP113+AQ63</f>
        <v>895028.26986639</v>
      </c>
      <c r="AR110" s="100" t="n">
        <f aca="false">AQ113+AR63</f>
        <v>941470.545373843</v>
      </c>
      <c r="AS110" s="100" t="n">
        <f aca="false">AR113+AS63</f>
        <v>987916.987547963</v>
      </c>
      <c r="AT110" s="100" t="n">
        <f aca="false">AS113+AT63</f>
        <v>1034367.59638875</v>
      </c>
      <c r="AU110" s="100" t="n">
        <f aca="false">AT113+AU63</f>
        <v>1080822.3718962</v>
      </c>
      <c r="AV110" s="100" t="n">
        <f aca="false">AU113+AV63</f>
        <v>1127281.31407032</v>
      </c>
      <c r="AW110" s="100" t="n">
        <f aca="false">AV113+AW63</f>
        <v>1173744.42291111</v>
      </c>
      <c r="AX110" s="100" t="n">
        <f aca="false">AW113+AX63</f>
        <v>1220211.69841856</v>
      </c>
      <c r="AY110" s="100" t="n">
        <f aca="false">AX113+AY63</f>
        <v>1264992.48424342</v>
      </c>
      <c r="AZ110" s="100" t="n">
        <f aca="false">AY113+AZ63</f>
        <v>1309777.43673495</v>
      </c>
      <c r="BA110" s="100" t="n">
        <f aca="false">AZ113+BA63</f>
        <v>1354566.55589315</v>
      </c>
      <c r="BB110" s="100" t="n">
        <f aca="false">BA113+BB63</f>
        <v>1399359.84171801</v>
      </c>
      <c r="BC110" s="100" t="n">
        <f aca="false">BB113+BC63</f>
        <v>1444157.29420953</v>
      </c>
      <c r="BD110" s="100" t="n">
        <f aca="false">BC113+BD63</f>
        <v>1488958.91336773</v>
      </c>
      <c r="BE110" s="100" t="n">
        <f aca="false">BD113+BE63</f>
        <v>1533764.69919259</v>
      </c>
      <c r="BF110" s="100" t="n">
        <f aca="false">BE113+BF63</f>
        <v>1578574.65168412</v>
      </c>
      <c r="BG110" s="100" t="n">
        <f aca="false">BF113+BG63</f>
        <v>1623388.77084231</v>
      </c>
      <c r="BH110" s="100" t="n">
        <f aca="false">BG113+BH63</f>
        <v>1668207.05666717</v>
      </c>
      <c r="BI110" s="100" t="n">
        <f aca="false">BH113+BI63</f>
        <v>1713029.5091587</v>
      </c>
      <c r="BJ110" s="100" t="n">
        <f aca="false">BI113+BJ63</f>
        <v>1757856.12831689</v>
      </c>
      <c r="BK110" s="100" t="n">
        <f aca="false">BJ113+BK63</f>
        <v>1800989.19710202</v>
      </c>
      <c r="BL110" s="100" t="n">
        <f aca="false">BK113+BL63</f>
        <v>1844126.43255381</v>
      </c>
      <c r="BM110" s="100" t="n">
        <f aca="false">BL113+BM63</f>
        <v>1887267.83467227</v>
      </c>
      <c r="BN110" s="100" t="n">
        <f aca="false">BM113+BN63</f>
        <v>1930413.40345739</v>
      </c>
      <c r="BO110" s="100" t="n">
        <f aca="false">BN113+BO63</f>
        <v>1973563.13890918</v>
      </c>
      <c r="BP110" s="100" t="n">
        <f aca="false">BO113+BP63</f>
        <v>2016717.04102764</v>
      </c>
      <c r="BQ110" s="100" t="n">
        <f aca="false">BP113+BQ63</f>
        <v>2059875.10981277</v>
      </c>
      <c r="BR110" s="100" t="n">
        <f aca="false">BQ113+BR63</f>
        <v>2103037.34526456</v>
      </c>
      <c r="BS110" s="100" t="n">
        <f aca="false">BR113+BS63</f>
        <v>2146203.74738302</v>
      </c>
      <c r="BT110" s="100" t="n">
        <f aca="false">BS113+BT63</f>
        <v>2189374.31616814</v>
      </c>
      <c r="BU110" s="100" t="n">
        <f aca="false">BT113+BU63</f>
        <v>2232549.05161993</v>
      </c>
      <c r="BV110" s="100" t="n">
        <f aca="false">BU113+BV63</f>
        <v>2275727.95373839</v>
      </c>
      <c r="BW110" s="100" t="n">
        <f aca="false">BV113+BW63</f>
        <v>2317206.03297258</v>
      </c>
      <c r="BX110" s="100" t="n">
        <f aca="false">BW113+BX63</f>
        <v>2358688.27887345</v>
      </c>
      <c r="BY110" s="100" t="n">
        <f aca="false">BX113+BY63</f>
        <v>2400174.69144098</v>
      </c>
      <c r="BZ110" s="100" t="n">
        <f aca="false">BY113+BZ63</f>
        <v>2441665.27067517</v>
      </c>
      <c r="CA110" s="100" t="n">
        <f aca="false">BZ113+CA63</f>
        <v>2483160.01657603</v>
      </c>
      <c r="CB110" s="100" t="n">
        <f aca="false">CA113+CB63</f>
        <v>2524658.92914356</v>
      </c>
      <c r="CC110" s="100" t="n">
        <f aca="false">CB113+CC63</f>
        <v>2566162.00837776</v>
      </c>
      <c r="CD110" s="100" t="n">
        <f aca="false">CC113+CD63</f>
        <v>2607669.25427862</v>
      </c>
      <c r="CE110" s="100" t="n">
        <f aca="false">CD113+CE63</f>
        <v>2649180.66684615</v>
      </c>
      <c r="CF110" s="100" t="n">
        <f aca="false">CE113+CF63</f>
        <v>2690696.24608035</v>
      </c>
      <c r="CG110" s="100" t="n">
        <f aca="false">CF113+CG63</f>
        <v>2732215.99198121</v>
      </c>
      <c r="CH110" s="100" t="n">
        <f aca="false">CG113+CH63</f>
        <v>2773739.90454874</v>
      </c>
    </row>
    <row r="111" customFormat="false" ht="13.5" hidden="false" customHeight="true" outlineLevel="0" collapsed="false">
      <c r="A111" s="6" t="s">
        <v>580</v>
      </c>
      <c r="C111" s="100" t="n">
        <f aca="false">MIN(0.2*Hipótesis!$D$81,MAX(0,C110)*0.1)</f>
        <v>0</v>
      </c>
      <c r="D111" s="100" t="n">
        <f aca="false">MIN(0.2*Hipótesis!$D$81,MAX(0,D110)*0.1)</f>
        <v>0</v>
      </c>
      <c r="E111" s="100" t="n">
        <f aca="false">MIN(0.2*Hipótesis!$D$81,MAX(0,E110)*0.1)</f>
        <v>0</v>
      </c>
      <c r="F111" s="100" t="n">
        <f aca="false">MIN(0.2*Hipótesis!$D$81,MAX(0,F110)*0.1)</f>
        <v>0</v>
      </c>
      <c r="G111" s="100" t="n">
        <f aca="false">MIN(0.2*Hipótesis!$D$81,MAX(0,G110)*0.1)</f>
        <v>0</v>
      </c>
      <c r="H111" s="100" t="n">
        <f aca="false">MIN(0.2*Hipótesis!$D$81,MAX(0,H110)*0.1)</f>
        <v>0</v>
      </c>
      <c r="I111" s="100" t="n">
        <f aca="false">MIN(0.2*Hipótesis!$D$81,MAX(0,I110)*0.1)</f>
        <v>0</v>
      </c>
      <c r="J111" s="100" t="n">
        <f aca="false">MIN(0.2*Hipótesis!$D$81,MAX(0,J110)*0.1)</f>
        <v>0</v>
      </c>
      <c r="K111" s="100" t="n">
        <f aca="false">MIN(0.2*Hipótesis!$D$81,MAX(0,K110)*0.1)</f>
        <v>0</v>
      </c>
      <c r="L111" s="100" t="n">
        <f aca="false">MIN(0.2*Hipótesis!$D$81,MAX(0,L110)*0.1)</f>
        <v>0</v>
      </c>
      <c r="M111" s="100" t="n">
        <f aca="false">MIN(0.2*Hipótesis!$D$81,MAX(0,M110)*0.1)</f>
        <v>0</v>
      </c>
      <c r="N111" s="100" t="n">
        <f aca="false">MIN(0.2*Hipótesis!$D$81,MAX(0,N110)*0.1)</f>
        <v>0</v>
      </c>
      <c r="O111" s="100" t="n">
        <f aca="false">MIN(0.2*Hipótesis!$D$81,MAX(0,O110)*0.1)</f>
        <v>0</v>
      </c>
      <c r="P111" s="100" t="n">
        <f aca="false">MIN(0.2*Hipótesis!$D$81,MAX(0,P110)*0.1)</f>
        <v>0</v>
      </c>
      <c r="Q111" s="100" t="n">
        <f aca="false">MIN(0.2*Hipótesis!$D$81,MAX(0,Q110)*0.1)</f>
        <v>0</v>
      </c>
      <c r="R111" s="100" t="n">
        <f aca="false">MIN(0.2*Hipótesis!$D$81,MAX(0,R110)*0.1)</f>
        <v>1488.73202468879</v>
      </c>
      <c r="S111" s="100" t="n">
        <f aca="false">MIN(0.2*Hipótesis!$D$81,MAX(0,S110)*0.1)</f>
        <v>3513.82283555064</v>
      </c>
      <c r="T111" s="100" t="n">
        <f aca="false">MIN(0.2*Hipótesis!$D$81,MAX(0,T110)*0.1)</f>
        <v>5796.08144365264</v>
      </c>
      <c r="U111" s="100" t="n">
        <f aca="false">MIN(0.2*Hipótesis!$D$81,MAX(0,U110)*0.1)</f>
        <v>8142.9748929948</v>
      </c>
      <c r="V111" s="100" t="n">
        <f aca="false">MIN(0.2*Hipótesis!$D$81,MAX(0,V110)*0.1)</f>
        <v>10520.5267795771</v>
      </c>
      <c r="W111" s="100" t="n">
        <f aca="false">MIN(0.2*Hipótesis!$D$81,MAX(0,W110)*0.1)</f>
        <v>13155.2464633996</v>
      </c>
      <c r="X111" s="100" t="n">
        <f aca="false">MIN(0.2*Hipótesis!$D$81,MAX(0,X110)*0.1)</f>
        <v>15968.2387434208</v>
      </c>
      <c r="Y111" s="100" t="n">
        <f aca="false">MIN(0.2*Hipótesis!$D$81,MAX(0,Y110)*0.1)</f>
        <v>18959.5036196409</v>
      </c>
      <c r="Z111" s="100" t="n">
        <f aca="false">MIN(0.2*Hipótesis!$D$81,MAX(0,Z110)*0.1)</f>
        <v>20006</v>
      </c>
      <c r="AA111" s="100" t="n">
        <f aca="false">MIN(0.2*Hipótesis!$D$81,MAX(0,AA110)*0.1)</f>
        <v>20006</v>
      </c>
      <c r="AB111" s="100" t="n">
        <f aca="false">MIN(0.2*Hipótesis!$D$81,MAX(0,AB110)*0.1)</f>
        <v>20006</v>
      </c>
      <c r="AC111" s="100" t="n">
        <f aca="false">MIN(0.2*Hipótesis!$D$81,MAX(0,AC110)*0.1)</f>
        <v>20006</v>
      </c>
      <c r="AD111" s="100" t="n">
        <f aca="false">MIN(0.2*Hipótesis!$D$81,MAX(0,AD110)*0.1)</f>
        <v>20006</v>
      </c>
      <c r="AE111" s="100" t="n">
        <f aca="false">MIN(0.2*Hipótesis!$D$81,MAX(0,AE110)*0.1)</f>
        <v>20006</v>
      </c>
      <c r="AF111" s="100" t="n">
        <f aca="false">MIN(0.2*Hipótesis!$D$81,MAX(0,AF110)*0.1)</f>
        <v>20006</v>
      </c>
      <c r="AG111" s="100" t="n">
        <f aca="false">MIN(0.2*Hipótesis!$D$81,MAX(0,AG110)*0.1)</f>
        <v>20006</v>
      </c>
      <c r="AH111" s="100" t="n">
        <f aca="false">MIN(0.2*Hipótesis!$D$81,MAX(0,AH110)*0.1)</f>
        <v>20006</v>
      </c>
      <c r="AI111" s="100" t="n">
        <f aca="false">MIN(0.2*Hipótesis!$D$81,MAX(0,AI110)*0.1)</f>
        <v>20006</v>
      </c>
      <c r="AJ111" s="100" t="n">
        <f aca="false">MIN(0.2*Hipótesis!$D$81,MAX(0,AJ110)*0.1)</f>
        <v>20006</v>
      </c>
      <c r="AK111" s="100" t="n">
        <f aca="false">MIN(0.2*Hipótesis!$D$81,MAX(0,AK110)*0.1)</f>
        <v>20006</v>
      </c>
      <c r="AL111" s="100" t="n">
        <f aca="false">MIN(0.2*Hipótesis!$D$81,MAX(0,AL110)*0.1)</f>
        <v>20006</v>
      </c>
      <c r="AM111" s="100" t="n">
        <f aca="false">MIN(0.2*Hipótesis!$D$81,MAX(0,AM110)*0.1)</f>
        <v>20006</v>
      </c>
      <c r="AN111" s="100" t="n">
        <f aca="false">MIN(0.2*Hipótesis!$D$81,MAX(0,AN110)*0.1)</f>
        <v>20006</v>
      </c>
      <c r="AO111" s="100" t="n">
        <f aca="false">MIN(0.2*Hipótesis!$D$81,MAX(0,AO110)*0.1)</f>
        <v>20006</v>
      </c>
      <c r="AP111" s="100" t="n">
        <f aca="false">MIN(0.2*Hipótesis!$D$81,MAX(0,AP110)*0.1)</f>
        <v>20006</v>
      </c>
      <c r="AQ111" s="100" t="n">
        <f aca="false">MIN(0.2*Hipótesis!$D$81,MAX(0,AQ110)*0.1)</f>
        <v>20006</v>
      </c>
      <c r="AR111" s="100" t="n">
        <f aca="false">MIN(0.2*Hipótesis!$D$81,MAX(0,AR110)*0.1)</f>
        <v>20006</v>
      </c>
      <c r="AS111" s="100" t="n">
        <f aca="false">MIN(0.2*Hipótesis!$D$81,MAX(0,AS110)*0.1)</f>
        <v>20006</v>
      </c>
      <c r="AT111" s="100" t="n">
        <f aca="false">MIN(0.2*Hipótesis!$D$81,MAX(0,AT110)*0.1)</f>
        <v>20006</v>
      </c>
      <c r="AU111" s="100" t="n">
        <f aca="false">MIN(0.2*Hipótesis!$D$81,MAX(0,AU110)*0.1)</f>
        <v>20006</v>
      </c>
      <c r="AV111" s="100" t="n">
        <f aca="false">MIN(0.2*Hipótesis!$D$81,MAX(0,AV110)*0.1)</f>
        <v>20006</v>
      </c>
      <c r="AW111" s="100" t="n">
        <f aca="false">MIN(0.2*Hipótesis!$D$81,MAX(0,AW110)*0.1)</f>
        <v>20006</v>
      </c>
      <c r="AX111" s="100" t="n">
        <f aca="false">MIN(0.2*Hipótesis!$D$81,MAX(0,AX110)*0.1)</f>
        <v>20006</v>
      </c>
      <c r="AY111" s="100" t="n">
        <f aca="false">MIN(0.2*Hipótesis!$D$81,MAX(0,AY110)*0.1)</f>
        <v>20006</v>
      </c>
      <c r="AZ111" s="100" t="n">
        <f aca="false">MIN(0.2*Hipótesis!$D$81,MAX(0,AZ110)*0.1)</f>
        <v>20006</v>
      </c>
      <c r="BA111" s="100" t="n">
        <f aca="false">MIN(0.2*Hipótesis!$D$81,MAX(0,BA110)*0.1)</f>
        <v>20006</v>
      </c>
      <c r="BB111" s="100" t="n">
        <f aca="false">MIN(0.2*Hipótesis!$D$81,MAX(0,BB110)*0.1)</f>
        <v>20006</v>
      </c>
      <c r="BC111" s="100" t="n">
        <f aca="false">MIN(0.2*Hipótesis!$D$81,MAX(0,BC110)*0.1)</f>
        <v>20006</v>
      </c>
      <c r="BD111" s="100" t="n">
        <f aca="false">MIN(0.2*Hipótesis!$D$81,MAX(0,BD110)*0.1)</f>
        <v>20006</v>
      </c>
      <c r="BE111" s="100" t="n">
        <f aca="false">MIN(0.2*Hipótesis!$D$81,MAX(0,BE110)*0.1)</f>
        <v>20006</v>
      </c>
      <c r="BF111" s="100" t="n">
        <f aca="false">MIN(0.2*Hipótesis!$D$81,MAX(0,BF110)*0.1)</f>
        <v>20006</v>
      </c>
      <c r="BG111" s="100" t="n">
        <f aca="false">MIN(0.2*Hipótesis!$D$81,MAX(0,BG110)*0.1)</f>
        <v>20006</v>
      </c>
      <c r="BH111" s="100" t="n">
        <f aca="false">MIN(0.2*Hipótesis!$D$81,MAX(0,BH110)*0.1)</f>
        <v>20006</v>
      </c>
      <c r="BI111" s="100" t="n">
        <f aca="false">MIN(0.2*Hipótesis!$D$81,MAX(0,BI110)*0.1)</f>
        <v>20006</v>
      </c>
      <c r="BJ111" s="100" t="n">
        <f aca="false">MIN(0.2*Hipótesis!$D$81,MAX(0,BJ110)*0.1)</f>
        <v>20006</v>
      </c>
      <c r="BK111" s="100" t="n">
        <f aca="false">MIN(0.2*Hipótesis!$D$81,MAX(0,BK110)*0.1)</f>
        <v>20006</v>
      </c>
      <c r="BL111" s="100" t="n">
        <f aca="false">MIN(0.2*Hipótesis!$D$81,MAX(0,BL110)*0.1)</f>
        <v>20006</v>
      </c>
      <c r="BM111" s="100" t="n">
        <f aca="false">MIN(0.2*Hipótesis!$D$81,MAX(0,BM110)*0.1)</f>
        <v>20006</v>
      </c>
      <c r="BN111" s="100" t="n">
        <f aca="false">MIN(0.2*Hipótesis!$D$81,MAX(0,BN110)*0.1)</f>
        <v>20006</v>
      </c>
      <c r="BO111" s="100" t="n">
        <f aca="false">MIN(0.2*Hipótesis!$D$81,MAX(0,BO110)*0.1)</f>
        <v>20006</v>
      </c>
      <c r="BP111" s="100" t="n">
        <f aca="false">MIN(0.2*Hipótesis!$D$81,MAX(0,BP110)*0.1)</f>
        <v>20006</v>
      </c>
      <c r="BQ111" s="100" t="n">
        <f aca="false">MIN(0.2*Hipótesis!$D$81,MAX(0,BQ110)*0.1)</f>
        <v>20006</v>
      </c>
      <c r="BR111" s="100" t="n">
        <f aca="false">MIN(0.2*Hipótesis!$D$81,MAX(0,BR110)*0.1)</f>
        <v>20006</v>
      </c>
      <c r="BS111" s="100" t="n">
        <f aca="false">MIN(0.2*Hipótesis!$D$81,MAX(0,BS110)*0.1)</f>
        <v>20006</v>
      </c>
      <c r="BT111" s="100" t="n">
        <f aca="false">MIN(0.2*Hipótesis!$D$81,MAX(0,BT110)*0.1)</f>
        <v>20006</v>
      </c>
      <c r="BU111" s="100" t="n">
        <f aca="false">MIN(0.2*Hipótesis!$D$81,MAX(0,BU110)*0.1)</f>
        <v>20006</v>
      </c>
      <c r="BV111" s="100" t="n">
        <f aca="false">MIN(0.2*Hipótesis!$D$81,MAX(0,BV110)*0.1)</f>
        <v>20006</v>
      </c>
      <c r="BW111" s="100" t="n">
        <f aca="false">MIN(0.2*Hipótesis!$D$81,MAX(0,BW110)*0.1)</f>
        <v>20006</v>
      </c>
      <c r="BX111" s="100" t="n">
        <f aca="false">MIN(0.2*Hipótesis!$D$81,MAX(0,BX110)*0.1)</f>
        <v>20006</v>
      </c>
      <c r="BY111" s="100" t="n">
        <f aca="false">MIN(0.2*Hipótesis!$D$81,MAX(0,BY110)*0.1)</f>
        <v>20006</v>
      </c>
      <c r="BZ111" s="100" t="n">
        <f aca="false">MIN(0.2*Hipótesis!$D$81,MAX(0,BZ110)*0.1)</f>
        <v>20006</v>
      </c>
      <c r="CA111" s="100" t="n">
        <f aca="false">MIN(0.2*Hipótesis!$D$81,MAX(0,CA110)*0.1)</f>
        <v>20006</v>
      </c>
      <c r="CB111" s="100" t="n">
        <f aca="false">MIN(0.2*Hipótesis!$D$81,MAX(0,CB110)*0.1)</f>
        <v>20006</v>
      </c>
      <c r="CC111" s="100" t="n">
        <f aca="false">MIN(0.2*Hipótesis!$D$81,MAX(0,CC110)*0.1)</f>
        <v>20006</v>
      </c>
      <c r="CD111" s="100" t="n">
        <f aca="false">MIN(0.2*Hipótesis!$D$81,MAX(0,CD110)*0.1)</f>
        <v>20006</v>
      </c>
      <c r="CE111" s="100" t="n">
        <f aca="false">MIN(0.2*Hipótesis!$D$81,MAX(0,CE110)*0.1)</f>
        <v>20006</v>
      </c>
      <c r="CF111" s="100" t="n">
        <f aca="false">MIN(0.2*Hipótesis!$D$81,MAX(0,CF110)*0.1)</f>
        <v>20006</v>
      </c>
      <c r="CG111" s="100" t="n">
        <f aca="false">MIN(0.2*Hipótesis!$D$81,MAX(0,CG110)*0.1)</f>
        <v>20006</v>
      </c>
      <c r="CH111" s="100" t="n">
        <f aca="false">MIN(0.2*Hipótesis!$D$81,MAX(0,CH110)*0.1)</f>
        <v>20006</v>
      </c>
    </row>
    <row r="112" customFormat="false" ht="13.5" hidden="false" customHeight="true" outlineLevel="0" collapsed="false">
      <c r="A112" s="22" t="s">
        <v>581</v>
      </c>
      <c r="C112" s="100" t="n">
        <f aca="false">MAX(0,C110-C111)</f>
        <v>0</v>
      </c>
      <c r="D112" s="100" t="n">
        <f aca="false">MAX(0,D110-D111)</f>
        <v>0</v>
      </c>
      <c r="E112" s="100" t="n">
        <f aca="false">MAX(0,E110-E111)</f>
        <v>0</v>
      </c>
      <c r="F112" s="100" t="n">
        <f aca="false">MAX(0,F110-F111)</f>
        <v>0</v>
      </c>
      <c r="G112" s="100" t="n">
        <f aca="false">MAX(0,G110-G111)</f>
        <v>0</v>
      </c>
      <c r="H112" s="100" t="n">
        <f aca="false">MAX(0,H110-H111)</f>
        <v>0</v>
      </c>
      <c r="I112" s="100" t="n">
        <f aca="false">MAX(0,I110-I111)</f>
        <v>0</v>
      </c>
      <c r="J112" s="100" t="n">
        <f aca="false">MAX(0,J110-J111)</f>
        <v>0</v>
      </c>
      <c r="K112" s="100" t="n">
        <f aca="false">MAX(0,K110-K111)</f>
        <v>0</v>
      </c>
      <c r="L112" s="100" t="n">
        <f aca="false">MAX(0,L110-L111)</f>
        <v>0</v>
      </c>
      <c r="M112" s="100" t="n">
        <f aca="false">MAX(0,M110-M111)</f>
        <v>0</v>
      </c>
      <c r="N112" s="100" t="n">
        <f aca="false">MAX(0,N110-N111)</f>
        <v>0</v>
      </c>
      <c r="O112" s="100" t="n">
        <f aca="false">MAX(0,O110-O111)</f>
        <v>0</v>
      </c>
      <c r="P112" s="100" t="n">
        <f aca="false">MAX(0,P110-P111)</f>
        <v>0</v>
      </c>
      <c r="Q112" s="100" t="n">
        <f aca="false">MAX(0,Q110-Q111)</f>
        <v>0</v>
      </c>
      <c r="R112" s="100" t="n">
        <f aca="false">MAX(0,R110-R111)</f>
        <v>13398.5882221992</v>
      </c>
      <c r="S112" s="100" t="n">
        <f aca="false">MAX(0,S110-S111)</f>
        <v>31624.4055199558</v>
      </c>
      <c r="T112" s="100" t="n">
        <f aca="false">MAX(0,T110-T111)</f>
        <v>52164.7329928737</v>
      </c>
      <c r="U112" s="100" t="n">
        <f aca="false">MAX(0,U110-U111)</f>
        <v>73286.7740369532</v>
      </c>
      <c r="V112" s="100" t="n">
        <f aca="false">MAX(0,V110-V111)</f>
        <v>94684.741016194</v>
      </c>
      <c r="W112" s="100" t="n">
        <f aca="false">MAX(0,W110-W111)</f>
        <v>118397.218170596</v>
      </c>
      <c r="X112" s="100" t="n">
        <f aca="false">MAX(0,X110-X111)</f>
        <v>143714.148690787</v>
      </c>
      <c r="Y112" s="100" t="n">
        <f aca="false">MAX(0,Y110-Y111)</f>
        <v>170635.532576768</v>
      </c>
      <c r="Z112" s="100" t="n">
        <f aca="false">MAX(0,Z110-Z111)</f>
        <v>200995.161562259</v>
      </c>
      <c r="AA112" s="100" t="n">
        <f aca="false">MAX(0,AA110-AA111)</f>
        <v>232051.75802896</v>
      </c>
      <c r="AB112" s="100" t="n">
        <f aca="false">MAX(0,AB110-AB111)</f>
        <v>264606.553321534</v>
      </c>
      <c r="AC112" s="100" t="n">
        <f aca="false">MAX(0,AC110-AC111)</f>
        <v>298659.54743998</v>
      </c>
      <c r="AD112" s="100" t="n">
        <f aca="false">MAX(0,AD110-AD111)</f>
        <v>334210.740384299</v>
      </c>
      <c r="AE112" s="100" t="n">
        <f aca="false">MAX(0,AE110-AE111)</f>
        <v>371260.13215449</v>
      </c>
      <c r="AF112" s="100" t="n">
        <f aca="false">MAX(0,AF110-AF111)</f>
        <v>409807.722750554</v>
      </c>
      <c r="AG112" s="100" t="n">
        <f aca="false">MAX(0,AG110-AG111)</f>
        <v>449853.51217249</v>
      </c>
      <c r="AH112" s="100" t="n">
        <f aca="false">MAX(0,AH110-AH111)</f>
        <v>489414.410973499</v>
      </c>
      <c r="AI112" s="100" t="n">
        <f aca="false">MAX(0,AI110-AI111)</f>
        <v>530473.508600381</v>
      </c>
      <c r="AJ112" s="100" t="n">
        <f aca="false">MAX(0,AJ110-AJ111)</f>
        <v>573030.805053135</v>
      </c>
      <c r="AK112" s="100" t="n">
        <f aca="false">MAX(0,AK110-AK111)</f>
        <v>617086.300331762</v>
      </c>
      <c r="AL112" s="100" t="n">
        <f aca="false">MAX(0,AL110-AL111)</f>
        <v>662639.994436261</v>
      </c>
      <c r="AM112" s="100" t="n">
        <f aca="false">MAX(0,AM110-AM111)</f>
        <v>702472.569241336</v>
      </c>
      <c r="AN112" s="100" t="n">
        <f aca="false">MAX(0,AN110-AN111)</f>
        <v>743627.084186885</v>
      </c>
      <c r="AO112" s="100" t="n">
        <f aca="false">MAX(0,AO110-AO111)</f>
        <v>786103.539272911</v>
      </c>
      <c r="AP112" s="100" t="n">
        <f aca="false">MAX(0,AP110-AP111)</f>
        <v>829901.934499413</v>
      </c>
      <c r="AQ112" s="100" t="n">
        <f aca="false">MAX(0,AQ110-AQ111)</f>
        <v>875022.26986639</v>
      </c>
      <c r="AR112" s="100" t="n">
        <f aca="false">MAX(0,AR110-AR111)</f>
        <v>921464.545373843</v>
      </c>
      <c r="AS112" s="100" t="n">
        <f aca="false">MAX(0,AS110-AS111)</f>
        <v>967910.987547963</v>
      </c>
      <c r="AT112" s="100" t="n">
        <f aca="false">MAX(0,AT110-AT111)</f>
        <v>1014361.59638875</v>
      </c>
      <c r="AU112" s="100" t="n">
        <f aca="false">MAX(0,AU110-AU111)</f>
        <v>1060816.3718962</v>
      </c>
      <c r="AV112" s="100" t="n">
        <f aca="false">MAX(0,AV110-AV111)</f>
        <v>1107275.31407032</v>
      </c>
      <c r="AW112" s="100" t="n">
        <f aca="false">MAX(0,AW110-AW111)</f>
        <v>1153738.42291111</v>
      </c>
      <c r="AX112" s="100" t="n">
        <f aca="false">MAX(0,AX110-AX111)</f>
        <v>1200205.69841856</v>
      </c>
      <c r="AY112" s="100" t="n">
        <f aca="false">MAX(0,AY110-AY111)</f>
        <v>1244986.48424342</v>
      </c>
      <c r="AZ112" s="100" t="n">
        <f aca="false">MAX(0,AZ110-AZ111)</f>
        <v>1289771.43673495</v>
      </c>
      <c r="BA112" s="100" t="n">
        <f aca="false">MAX(0,BA110-BA111)</f>
        <v>1334560.55589315</v>
      </c>
      <c r="BB112" s="100" t="n">
        <f aca="false">MAX(0,BB110-BB111)</f>
        <v>1379353.84171801</v>
      </c>
      <c r="BC112" s="100" t="n">
        <f aca="false">MAX(0,BC110-BC111)</f>
        <v>1424151.29420953</v>
      </c>
      <c r="BD112" s="100" t="n">
        <f aca="false">MAX(0,BD110-BD111)</f>
        <v>1468952.91336773</v>
      </c>
      <c r="BE112" s="100" t="n">
        <f aca="false">MAX(0,BE110-BE111)</f>
        <v>1513758.69919259</v>
      </c>
      <c r="BF112" s="100" t="n">
        <f aca="false">MAX(0,BF110-BF111)</f>
        <v>1558568.65168412</v>
      </c>
      <c r="BG112" s="100" t="n">
        <f aca="false">MAX(0,BG110-BG111)</f>
        <v>1603382.77084231</v>
      </c>
      <c r="BH112" s="100" t="n">
        <f aca="false">MAX(0,BH110-BH111)</f>
        <v>1648201.05666717</v>
      </c>
      <c r="BI112" s="100" t="n">
        <f aca="false">MAX(0,BI110-BI111)</f>
        <v>1693023.5091587</v>
      </c>
      <c r="BJ112" s="100" t="n">
        <f aca="false">MAX(0,BJ110-BJ111)</f>
        <v>1737850.12831689</v>
      </c>
      <c r="BK112" s="100" t="n">
        <f aca="false">MAX(0,BK110-BK111)</f>
        <v>1780983.19710202</v>
      </c>
      <c r="BL112" s="100" t="n">
        <f aca="false">MAX(0,BL110-BL111)</f>
        <v>1824120.43255381</v>
      </c>
      <c r="BM112" s="100" t="n">
        <f aca="false">MAX(0,BM110-BM111)</f>
        <v>1867261.83467227</v>
      </c>
      <c r="BN112" s="100" t="n">
        <f aca="false">MAX(0,BN110-BN111)</f>
        <v>1910407.40345739</v>
      </c>
      <c r="BO112" s="100" t="n">
        <f aca="false">MAX(0,BO110-BO111)</f>
        <v>1953557.13890918</v>
      </c>
      <c r="BP112" s="100" t="n">
        <f aca="false">MAX(0,BP110-BP111)</f>
        <v>1996711.04102764</v>
      </c>
      <c r="BQ112" s="100" t="n">
        <f aca="false">MAX(0,BQ110-BQ111)</f>
        <v>2039869.10981277</v>
      </c>
      <c r="BR112" s="100" t="n">
        <f aca="false">MAX(0,BR110-BR111)</f>
        <v>2083031.34526456</v>
      </c>
      <c r="BS112" s="100" t="n">
        <f aca="false">MAX(0,BS110-BS111)</f>
        <v>2126197.74738302</v>
      </c>
      <c r="BT112" s="100" t="n">
        <f aca="false">MAX(0,BT110-BT111)</f>
        <v>2169368.31616814</v>
      </c>
      <c r="BU112" s="100" t="n">
        <f aca="false">MAX(0,BU110-BU111)</f>
        <v>2212543.05161993</v>
      </c>
      <c r="BV112" s="100" t="n">
        <f aca="false">MAX(0,BV110-BV111)</f>
        <v>2255721.95373839</v>
      </c>
      <c r="BW112" s="100" t="n">
        <f aca="false">MAX(0,BW110-BW111)</f>
        <v>2297200.03297258</v>
      </c>
      <c r="BX112" s="100" t="n">
        <f aca="false">MAX(0,BX110-BX111)</f>
        <v>2338682.27887345</v>
      </c>
      <c r="BY112" s="100" t="n">
        <f aca="false">MAX(0,BY110-BY111)</f>
        <v>2380168.69144098</v>
      </c>
      <c r="BZ112" s="100" t="n">
        <f aca="false">MAX(0,BZ110-BZ111)</f>
        <v>2421659.27067517</v>
      </c>
      <c r="CA112" s="100" t="n">
        <f aca="false">MAX(0,CA110-CA111)</f>
        <v>2463154.01657603</v>
      </c>
      <c r="CB112" s="100" t="n">
        <f aca="false">MAX(0,CB110-CB111)</f>
        <v>2504652.92914356</v>
      </c>
      <c r="CC112" s="100" t="n">
        <f aca="false">MAX(0,CC110-CC111)</f>
        <v>2546156.00837776</v>
      </c>
      <c r="CD112" s="100" t="n">
        <f aca="false">MAX(0,CD110-CD111)</f>
        <v>2587663.25427862</v>
      </c>
      <c r="CE112" s="100" t="n">
        <f aca="false">MAX(0,CE110-CE111)</f>
        <v>2629174.66684615</v>
      </c>
      <c r="CF112" s="100" t="n">
        <f aca="false">MAX(0,CF110-CF111)</f>
        <v>2670690.24608035</v>
      </c>
      <c r="CG112" s="100" t="n">
        <f aca="false">MAX(0,CG110-CG111)</f>
        <v>2712209.99198121</v>
      </c>
      <c r="CH112" s="100" t="n">
        <f aca="false">MAX(0,CH110-CH111)</f>
        <v>2753733.90454874</v>
      </c>
    </row>
    <row r="113" customFormat="false" ht="13.5" hidden="false" customHeight="true" outlineLevel="0" collapsed="false">
      <c r="A113" s="6" t="s">
        <v>582</v>
      </c>
      <c r="C113" s="100" t="n">
        <f aca="false">C110+C84</f>
        <v>-15192.9724864625</v>
      </c>
      <c r="D113" s="100" t="n">
        <f aca="false">D110+D84</f>
        <v>-29196.138236879</v>
      </c>
      <c r="E113" s="100" t="n">
        <f aca="false">E110+E84</f>
        <v>-40775.4591430105</v>
      </c>
      <c r="F113" s="100" t="n">
        <f aca="false">F110+F84</f>
        <v>-51040.2008136326</v>
      </c>
      <c r="G113" s="100" t="n">
        <f aca="false">G110+G84</f>
        <v>-60070.9043760158</v>
      </c>
      <c r="H113" s="100" t="n">
        <f aca="false">H110+H84</f>
        <v>-67162.0380075957</v>
      </c>
      <c r="I113" s="100" t="n">
        <f aca="false">I110+I84</f>
        <v>-70520.5788792862</v>
      </c>
      <c r="J113" s="100" t="n">
        <f aca="false">J110+J84</f>
        <v>-70243.0628528426</v>
      </c>
      <c r="K113" s="100" t="n">
        <f aca="false">K110+K84</f>
        <v>-66878.2510449178</v>
      </c>
      <c r="L113" s="100" t="n">
        <f aca="false">L110+L84</f>
        <v>-60409.4792441565</v>
      </c>
      <c r="M113" s="100" t="n">
        <f aca="false">M110+M84</f>
        <v>-51847.8959888415</v>
      </c>
      <c r="N113" s="100" t="n">
        <f aca="false">N110+N84</f>
        <v>-40399.5324635701</v>
      </c>
      <c r="O113" s="100" t="n">
        <f aca="false">O110+O84</f>
        <v>-30435.336244558</v>
      </c>
      <c r="P113" s="100" t="n">
        <f aca="false">P110+P84</f>
        <v>-17899.4620531442</v>
      </c>
      <c r="Q113" s="100" t="n">
        <f aca="false">Q110+Q84</f>
        <v>-2791.90988932892</v>
      </c>
      <c r="R113" s="100" t="n">
        <f aca="false">R110+R84</f>
        <v>14887.3202468879</v>
      </c>
      <c r="S113" s="100" t="n">
        <f aca="false">S110+S84</f>
        <v>35138.2283555064</v>
      </c>
      <c r="T113" s="100" t="n">
        <f aca="false">T110+T84</f>
        <v>57960.8144365264</v>
      </c>
      <c r="U113" s="100" t="n">
        <f aca="false">U110+U84</f>
        <v>81429.748929948</v>
      </c>
      <c r="V113" s="100" t="n">
        <f aca="false">V110+V84</f>
        <v>105205.267795771</v>
      </c>
      <c r="W113" s="100" t="n">
        <f aca="false">W110+W84</f>
        <v>131552.464633996</v>
      </c>
      <c r="X113" s="100" t="n">
        <f aca="false">X110+X84</f>
        <v>159682.387434208</v>
      </c>
      <c r="Y113" s="100" t="n">
        <f aca="false">Y110+Y84</f>
        <v>189595.036196409</v>
      </c>
      <c r="Z113" s="100" t="n">
        <f aca="false">Z110+Z84</f>
        <v>221001.161562259</v>
      </c>
      <c r="AA113" s="100" t="n">
        <f aca="false">AA110+AA84</f>
        <v>252057.75802896</v>
      </c>
      <c r="AB113" s="100" t="n">
        <f aca="false">AB110+AB84</f>
        <v>284612.553321534</v>
      </c>
      <c r="AC113" s="100" t="n">
        <f aca="false">AC110+AC84</f>
        <v>318665.54743998</v>
      </c>
      <c r="AD113" s="100" t="n">
        <f aca="false">AD110+AD84</f>
        <v>354216.740384299</v>
      </c>
      <c r="AE113" s="100" t="n">
        <f aca="false">AE110+AE84</f>
        <v>391266.13215449</v>
      </c>
      <c r="AF113" s="100" t="n">
        <f aca="false">AF110+AF84</f>
        <v>429813.722750554</v>
      </c>
      <c r="AG113" s="100" t="n">
        <f aca="false">AG110+AG84</f>
        <v>469859.51217249</v>
      </c>
      <c r="AH113" s="100" t="n">
        <f aca="false">AH110+AH84</f>
        <v>509420.410973499</v>
      </c>
      <c r="AI113" s="100" t="n">
        <f aca="false">AI110+AI84</f>
        <v>550479.508600381</v>
      </c>
      <c r="AJ113" s="100" t="n">
        <f aca="false">AJ110+AJ84</f>
        <v>593036.805053135</v>
      </c>
      <c r="AK113" s="100" t="n">
        <f aca="false">AK110+AK84</f>
        <v>637092.300331762</v>
      </c>
      <c r="AL113" s="100" t="n">
        <f aca="false">AL110+AL84</f>
        <v>682645.994436261</v>
      </c>
      <c r="AM113" s="100" t="n">
        <f aca="false">AM110+AM84</f>
        <v>722478.569241336</v>
      </c>
      <c r="AN113" s="100" t="n">
        <f aca="false">AN110+AN84</f>
        <v>763633.084186885</v>
      </c>
      <c r="AO113" s="100" t="n">
        <f aca="false">AO110+AO84</f>
        <v>806109.539272911</v>
      </c>
      <c r="AP113" s="100" t="n">
        <f aca="false">AP110+AP84</f>
        <v>849907.934499413</v>
      </c>
      <c r="AQ113" s="100" t="n">
        <f aca="false">AQ110+AQ84</f>
        <v>895028.26986639</v>
      </c>
      <c r="AR113" s="100" t="n">
        <f aca="false">AR110+AR84</f>
        <v>941470.545373843</v>
      </c>
      <c r="AS113" s="100" t="n">
        <f aca="false">AS110+AS84</f>
        <v>987916.987547963</v>
      </c>
      <c r="AT113" s="100" t="n">
        <f aca="false">AT110+AT84</f>
        <v>1034367.59638875</v>
      </c>
      <c r="AU113" s="100" t="n">
        <f aca="false">AU110+AU84</f>
        <v>1080822.3718962</v>
      </c>
      <c r="AV113" s="100" t="n">
        <f aca="false">AV110+AV84</f>
        <v>1127281.31407032</v>
      </c>
      <c r="AW113" s="100" t="n">
        <f aca="false">AW110+AW84</f>
        <v>1173744.42291111</v>
      </c>
      <c r="AX113" s="100" t="n">
        <f aca="false">AX110+AX84</f>
        <v>1220211.69841856</v>
      </c>
      <c r="AY113" s="100" t="n">
        <f aca="false">AY110+AY84</f>
        <v>1264992.48424342</v>
      </c>
      <c r="AZ113" s="100" t="n">
        <f aca="false">AZ110+AZ84</f>
        <v>1309777.43673495</v>
      </c>
      <c r="BA113" s="100" t="n">
        <f aca="false">BA110+BA84</f>
        <v>1354566.55589315</v>
      </c>
      <c r="BB113" s="100" t="n">
        <f aca="false">BB110+BB84</f>
        <v>1399359.84171801</v>
      </c>
      <c r="BC113" s="100" t="n">
        <f aca="false">BC110+BC84</f>
        <v>1444157.29420953</v>
      </c>
      <c r="BD113" s="100" t="n">
        <f aca="false">BD110+BD84</f>
        <v>1488958.91336773</v>
      </c>
      <c r="BE113" s="100" t="n">
        <f aca="false">BE110+BE84</f>
        <v>1533764.69919259</v>
      </c>
      <c r="BF113" s="100" t="n">
        <f aca="false">BF110+BF84</f>
        <v>1578574.65168412</v>
      </c>
      <c r="BG113" s="100" t="n">
        <f aca="false">BG110+BG84</f>
        <v>1623388.77084231</v>
      </c>
      <c r="BH113" s="100" t="n">
        <f aca="false">BH110+BH84</f>
        <v>1668207.05666717</v>
      </c>
      <c r="BI113" s="100" t="n">
        <f aca="false">BI110+BI84</f>
        <v>1713029.5091587</v>
      </c>
      <c r="BJ113" s="100" t="n">
        <f aca="false">BJ110+BJ84</f>
        <v>1757856.12831689</v>
      </c>
      <c r="BK113" s="100" t="n">
        <f aca="false">BK110+BK84</f>
        <v>1800989.19710202</v>
      </c>
      <c r="BL113" s="100" t="n">
        <f aca="false">BL110+BL84</f>
        <v>1844126.43255381</v>
      </c>
      <c r="BM113" s="100" t="n">
        <f aca="false">BM110+BM84</f>
        <v>1887267.83467227</v>
      </c>
      <c r="BN113" s="100" t="n">
        <f aca="false">BN110+BN84</f>
        <v>1930413.40345739</v>
      </c>
      <c r="BO113" s="100" t="n">
        <f aca="false">BO110+BO84</f>
        <v>1973563.13890918</v>
      </c>
      <c r="BP113" s="100" t="n">
        <f aca="false">BP110+BP84</f>
        <v>2016717.04102764</v>
      </c>
      <c r="BQ113" s="100" t="n">
        <f aca="false">BQ110+BQ84</f>
        <v>2059875.10981277</v>
      </c>
      <c r="BR113" s="100" t="n">
        <f aca="false">BR110+BR84</f>
        <v>2103037.34526456</v>
      </c>
      <c r="BS113" s="100" t="n">
        <f aca="false">BS110+BS84</f>
        <v>2146203.74738302</v>
      </c>
      <c r="BT113" s="100" t="n">
        <f aca="false">BT110+BT84</f>
        <v>2189374.31616814</v>
      </c>
      <c r="BU113" s="100" t="n">
        <f aca="false">BU110+BU84</f>
        <v>2232549.05161993</v>
      </c>
      <c r="BV113" s="100" t="n">
        <f aca="false">BV110+BV84</f>
        <v>2275727.95373839</v>
      </c>
      <c r="BW113" s="100" t="n">
        <f aca="false">BW110+BW84</f>
        <v>2317206.03297258</v>
      </c>
      <c r="BX113" s="100" t="n">
        <f aca="false">BX110+BX84</f>
        <v>2358688.27887345</v>
      </c>
      <c r="BY113" s="100" t="n">
        <f aca="false">BY110+BY84</f>
        <v>2400174.69144098</v>
      </c>
      <c r="BZ113" s="100" t="n">
        <f aca="false">BZ110+BZ84</f>
        <v>2441665.27067517</v>
      </c>
      <c r="CA113" s="100" t="n">
        <f aca="false">CA110+CA84</f>
        <v>2483160.01657603</v>
      </c>
      <c r="CB113" s="100" t="n">
        <f aca="false">CB110+CB84</f>
        <v>2524658.92914356</v>
      </c>
      <c r="CC113" s="100" t="n">
        <f aca="false">CC110+CC84</f>
        <v>2566162.00837776</v>
      </c>
      <c r="CD113" s="100" t="n">
        <f aca="false">CD110+CD84</f>
        <v>2607669.25427862</v>
      </c>
      <c r="CE113" s="100" t="n">
        <f aca="false">CE110+CE84</f>
        <v>2649180.66684615</v>
      </c>
      <c r="CF113" s="100" t="n">
        <f aca="false">CF110+CF84</f>
        <v>2690696.24608035</v>
      </c>
      <c r="CG113" s="100" t="n">
        <f aca="false">CG110+CG84</f>
        <v>2732215.99198121</v>
      </c>
      <c r="CH113" s="100" t="n">
        <f aca="false">CH110+CH84</f>
        <v>2773739.90454874</v>
      </c>
    </row>
    <row r="114" customFormat="false" ht="13.5" hidden="false" customHeight="true" outlineLevel="0" collapsed="false">
      <c r="A114" s="6" t="s">
        <v>583</v>
      </c>
      <c r="C114" s="100" t="n">
        <f aca="false">-C84</f>
        <v>0</v>
      </c>
      <c r="D114" s="100" t="n">
        <f aca="false">C114-D84</f>
        <v>0</v>
      </c>
      <c r="E114" s="100" t="n">
        <f aca="false">D114-E84</f>
        <v>0</v>
      </c>
      <c r="F114" s="100" t="n">
        <f aca="false">E114-F84</f>
        <v>0</v>
      </c>
      <c r="G114" s="100" t="n">
        <f aca="false">F114-G84</f>
        <v>0</v>
      </c>
      <c r="H114" s="100" t="n">
        <f aca="false">G114-H84</f>
        <v>0</v>
      </c>
      <c r="I114" s="100" t="n">
        <f aca="false">H114-I84</f>
        <v>0</v>
      </c>
      <c r="J114" s="100" t="n">
        <f aca="false">I114-J84</f>
        <v>0</v>
      </c>
      <c r="K114" s="100" t="n">
        <f aca="false">J114-K84</f>
        <v>0</v>
      </c>
      <c r="L114" s="100" t="n">
        <f aca="false">K114-L84</f>
        <v>0</v>
      </c>
      <c r="M114" s="100" t="n">
        <f aca="false">L114-M84</f>
        <v>0</v>
      </c>
      <c r="N114" s="100" t="n">
        <f aca="false">M114-N84</f>
        <v>0</v>
      </c>
      <c r="O114" s="100" t="n">
        <f aca="false">N114-O84</f>
        <v>0</v>
      </c>
      <c r="P114" s="100" t="n">
        <f aca="false">O114-P84</f>
        <v>0</v>
      </c>
      <c r="Q114" s="100" t="n">
        <f aca="false">P114-Q84</f>
        <v>0</v>
      </c>
      <c r="R114" s="100" t="n">
        <f aca="false">Q114-R84</f>
        <v>0</v>
      </c>
      <c r="S114" s="100" t="n">
        <f aca="false">R114-S84</f>
        <v>0</v>
      </c>
      <c r="T114" s="100" t="n">
        <f aca="false">S114-T84</f>
        <v>0</v>
      </c>
      <c r="U114" s="100" t="n">
        <f aca="false">T114-U84</f>
        <v>0</v>
      </c>
      <c r="V114" s="100" t="n">
        <f aca="false">U114-V84</f>
        <v>0</v>
      </c>
      <c r="W114" s="100" t="n">
        <f aca="false">V114-W84</f>
        <v>0</v>
      </c>
      <c r="X114" s="100" t="n">
        <f aca="false">W114-X84</f>
        <v>0</v>
      </c>
      <c r="Y114" s="100" t="n">
        <f aca="false">X114-Y84</f>
        <v>0</v>
      </c>
      <c r="Z114" s="100" t="n">
        <f aca="false">Y114-Z84</f>
        <v>0</v>
      </c>
      <c r="AA114" s="100" t="n">
        <f aca="false">Z114-AA84</f>
        <v>0</v>
      </c>
      <c r="AB114" s="100" t="n">
        <f aca="false">AA114-AB84</f>
        <v>0</v>
      </c>
      <c r="AC114" s="100" t="n">
        <f aca="false">AB114-AC84</f>
        <v>0</v>
      </c>
      <c r="AD114" s="100" t="n">
        <f aca="false">AC114-AD84</f>
        <v>0</v>
      </c>
      <c r="AE114" s="100" t="n">
        <f aca="false">AD114-AE84</f>
        <v>0</v>
      </c>
      <c r="AF114" s="100" t="n">
        <f aca="false">AE114-AF84</f>
        <v>0</v>
      </c>
      <c r="AG114" s="100" t="n">
        <f aca="false">AF114-AG84</f>
        <v>0</v>
      </c>
      <c r="AH114" s="100" t="n">
        <f aca="false">AG114-AH84</f>
        <v>0</v>
      </c>
      <c r="AI114" s="100" t="n">
        <f aca="false">AH114-AI84</f>
        <v>0</v>
      </c>
      <c r="AJ114" s="100" t="n">
        <f aca="false">AI114-AJ84</f>
        <v>0</v>
      </c>
      <c r="AK114" s="100" t="n">
        <f aca="false">AJ114-AK84</f>
        <v>0</v>
      </c>
      <c r="AL114" s="100" t="n">
        <f aca="false">AK114-AL84</f>
        <v>0</v>
      </c>
      <c r="AM114" s="100" t="n">
        <f aca="false">AL114-AM84</f>
        <v>0</v>
      </c>
      <c r="AN114" s="100" t="n">
        <f aca="false">AM114-AN84</f>
        <v>0</v>
      </c>
      <c r="AO114" s="100" t="n">
        <f aca="false">AN114-AO84</f>
        <v>0</v>
      </c>
      <c r="AP114" s="100" t="n">
        <f aca="false">AO114-AP84</f>
        <v>0</v>
      </c>
      <c r="AQ114" s="100" t="n">
        <f aca="false">AP114-AQ84</f>
        <v>0</v>
      </c>
      <c r="AR114" s="100" t="n">
        <f aca="false">AQ114-AR84</f>
        <v>0</v>
      </c>
      <c r="AS114" s="100" t="n">
        <f aca="false">AR114-AS84</f>
        <v>0</v>
      </c>
      <c r="AT114" s="100" t="n">
        <f aca="false">AS114-AT84</f>
        <v>0</v>
      </c>
      <c r="AU114" s="100" t="n">
        <f aca="false">AT114-AU84</f>
        <v>0</v>
      </c>
      <c r="AV114" s="100" t="n">
        <f aca="false">AU114-AV84</f>
        <v>0</v>
      </c>
      <c r="AW114" s="100" t="n">
        <f aca="false">AV114-AW84</f>
        <v>0</v>
      </c>
      <c r="AX114" s="100" t="n">
        <f aca="false">AW114-AX84</f>
        <v>0</v>
      </c>
      <c r="AY114" s="100" t="n">
        <f aca="false">AX114-AY84</f>
        <v>0</v>
      </c>
      <c r="AZ114" s="100" t="n">
        <f aca="false">AY114-AZ84</f>
        <v>0</v>
      </c>
      <c r="BA114" s="100" t="n">
        <f aca="false">AZ114-BA84</f>
        <v>0</v>
      </c>
      <c r="BB114" s="100" t="n">
        <f aca="false">BA114-BB84</f>
        <v>0</v>
      </c>
      <c r="BC114" s="100" t="n">
        <f aca="false">BB114-BC84</f>
        <v>0</v>
      </c>
      <c r="BD114" s="100" t="n">
        <f aca="false">BC114-BD84</f>
        <v>0</v>
      </c>
      <c r="BE114" s="100" t="n">
        <f aca="false">BD114-BE84</f>
        <v>0</v>
      </c>
      <c r="BF114" s="100" t="n">
        <f aca="false">BE114-BF84</f>
        <v>0</v>
      </c>
      <c r="BG114" s="100" t="n">
        <f aca="false">BF114-BG84</f>
        <v>0</v>
      </c>
      <c r="BH114" s="100" t="n">
        <f aca="false">BG114-BH84</f>
        <v>0</v>
      </c>
      <c r="BI114" s="100" t="n">
        <f aca="false">BH114-BI84</f>
        <v>0</v>
      </c>
      <c r="BJ114" s="100" t="n">
        <f aca="false">BI114-BJ84</f>
        <v>0</v>
      </c>
      <c r="BK114" s="100" t="n">
        <f aca="false">BJ114-BK84</f>
        <v>0</v>
      </c>
      <c r="BL114" s="100" t="n">
        <f aca="false">BK114-BL84</f>
        <v>0</v>
      </c>
      <c r="BM114" s="100" t="n">
        <f aca="false">BL114-BM84</f>
        <v>0</v>
      </c>
      <c r="BN114" s="100" t="n">
        <f aca="false">BM114-BN84</f>
        <v>0</v>
      </c>
      <c r="BO114" s="100" t="n">
        <f aca="false">BN114-BO84</f>
        <v>0</v>
      </c>
      <c r="BP114" s="100" t="n">
        <f aca="false">BO114-BP84</f>
        <v>0</v>
      </c>
      <c r="BQ114" s="100" t="n">
        <f aca="false">BP114-BQ84</f>
        <v>0</v>
      </c>
      <c r="BR114" s="100" t="n">
        <f aca="false">BQ114-BR84</f>
        <v>0</v>
      </c>
      <c r="BS114" s="100" t="n">
        <f aca="false">BR114-BS84</f>
        <v>0</v>
      </c>
      <c r="BT114" s="100" t="n">
        <f aca="false">BS114-BT84</f>
        <v>0</v>
      </c>
      <c r="BU114" s="100" t="n">
        <f aca="false">BT114-BU84</f>
        <v>0</v>
      </c>
      <c r="BV114" s="100" t="n">
        <f aca="false">BU114-BV84</f>
        <v>0</v>
      </c>
      <c r="BW114" s="100" t="n">
        <f aca="false">BV114-BW84</f>
        <v>0</v>
      </c>
      <c r="BX114" s="100" t="n">
        <f aca="false">BW114-BX84</f>
        <v>0</v>
      </c>
      <c r="BY114" s="100" t="n">
        <f aca="false">BX114-BY84</f>
        <v>0</v>
      </c>
      <c r="BZ114" s="100" t="n">
        <f aca="false">BY114-BZ84</f>
        <v>0</v>
      </c>
      <c r="CA114" s="100" t="n">
        <f aca="false">BZ114-CA84</f>
        <v>0</v>
      </c>
      <c r="CB114" s="100" t="n">
        <f aca="false">CA114-CB84</f>
        <v>0</v>
      </c>
      <c r="CC114" s="100" t="n">
        <f aca="false">CB114-CC84</f>
        <v>0</v>
      </c>
      <c r="CD114" s="100" t="n">
        <f aca="false">CC114-CD84</f>
        <v>0</v>
      </c>
      <c r="CE114" s="100" t="n">
        <f aca="false">CD114-CE84</f>
        <v>0</v>
      </c>
      <c r="CF114" s="100" t="n">
        <f aca="false">CE114-CF84</f>
        <v>0</v>
      </c>
      <c r="CG114" s="100" t="n">
        <f aca="false">CF114-CG84</f>
        <v>0</v>
      </c>
      <c r="CH114" s="100" t="n">
        <f aca="false">CG114-CH84</f>
        <v>0</v>
      </c>
    </row>
    <row r="115" customFormat="false" ht="13.5" hidden="false" customHeight="true" outlineLevel="0" collapsed="false">
      <c r="A115" s="6" t="s">
        <v>584</v>
      </c>
      <c r="C115" s="100" t="n">
        <f aca="false">-C83</f>
        <v>0</v>
      </c>
      <c r="D115" s="100" t="n">
        <f aca="false">C115-D83</f>
        <v>0</v>
      </c>
      <c r="E115" s="100" t="n">
        <f aca="false">D115-E83</f>
        <v>0</v>
      </c>
      <c r="F115" s="100" t="n">
        <f aca="false">E115-F83</f>
        <v>0</v>
      </c>
      <c r="G115" s="100" t="n">
        <f aca="false">F115-G83</f>
        <v>0</v>
      </c>
      <c r="H115" s="100" t="n">
        <f aca="false">G115-H83</f>
        <v>0</v>
      </c>
      <c r="I115" s="100" t="n">
        <f aca="false">H115-I83</f>
        <v>0</v>
      </c>
      <c r="J115" s="100" t="n">
        <f aca="false">I115-J83</f>
        <v>0</v>
      </c>
      <c r="K115" s="100" t="n">
        <f aca="false">J115-K83</f>
        <v>0</v>
      </c>
      <c r="L115" s="100" t="n">
        <f aca="false">K115-L83</f>
        <v>0</v>
      </c>
      <c r="M115" s="100" t="n">
        <f aca="false">L115-M83</f>
        <v>0</v>
      </c>
      <c r="N115" s="100" t="n">
        <f aca="false">M115-N83</f>
        <v>0</v>
      </c>
      <c r="O115" s="100" t="n">
        <f aca="false">N115-O83</f>
        <v>0</v>
      </c>
      <c r="P115" s="100" t="n">
        <f aca="false">O115-P83</f>
        <v>0</v>
      </c>
      <c r="Q115" s="100" t="n">
        <f aca="false">P115-Q83</f>
        <v>0</v>
      </c>
      <c r="R115" s="100" t="n">
        <f aca="false">Q115-R83</f>
        <v>0</v>
      </c>
      <c r="S115" s="100" t="n">
        <f aca="false">R115-S83</f>
        <v>0</v>
      </c>
      <c r="T115" s="100" t="n">
        <f aca="false">S115-T83</f>
        <v>0</v>
      </c>
      <c r="U115" s="100" t="n">
        <f aca="false">T115-U83</f>
        <v>0</v>
      </c>
      <c r="V115" s="100" t="n">
        <f aca="false">U115-V83</f>
        <v>0</v>
      </c>
      <c r="W115" s="100" t="n">
        <f aca="false">V115-W83</f>
        <v>0</v>
      </c>
      <c r="X115" s="100" t="n">
        <f aca="false">W115-X83</f>
        <v>0</v>
      </c>
      <c r="Y115" s="100" t="n">
        <f aca="false">X115-Y83</f>
        <v>0</v>
      </c>
      <c r="Z115" s="100" t="n">
        <f aca="false">Y115-Z83</f>
        <v>0</v>
      </c>
      <c r="AA115" s="100" t="n">
        <f aca="false">Z115-AA83</f>
        <v>0</v>
      </c>
      <c r="AB115" s="100" t="n">
        <f aca="false">AA115-AB83</f>
        <v>0</v>
      </c>
      <c r="AC115" s="100" t="n">
        <f aca="false">AB115-AC83</f>
        <v>0</v>
      </c>
      <c r="AD115" s="100" t="n">
        <f aca="false">AC115-AD83</f>
        <v>0</v>
      </c>
      <c r="AE115" s="100" t="n">
        <f aca="false">AD115-AE83</f>
        <v>0</v>
      </c>
      <c r="AF115" s="100" t="n">
        <f aca="false">AE115-AF83</f>
        <v>0</v>
      </c>
      <c r="AG115" s="100" t="n">
        <f aca="false">AF115-AG83</f>
        <v>0</v>
      </c>
      <c r="AH115" s="100" t="n">
        <f aca="false">AG115-AH83</f>
        <v>0</v>
      </c>
      <c r="AI115" s="100" t="n">
        <f aca="false">AH115-AI83</f>
        <v>0</v>
      </c>
      <c r="AJ115" s="100" t="n">
        <f aca="false">AI115-AJ83</f>
        <v>0</v>
      </c>
      <c r="AK115" s="100" t="n">
        <f aca="false">AJ115-AK83</f>
        <v>0</v>
      </c>
      <c r="AL115" s="100" t="n">
        <f aca="false">AK115-AL83</f>
        <v>0</v>
      </c>
      <c r="AM115" s="100" t="n">
        <f aca="false">AL115-AM83</f>
        <v>0</v>
      </c>
      <c r="AN115" s="100" t="n">
        <f aca="false">AM115-AN83</f>
        <v>0</v>
      </c>
      <c r="AO115" s="100" t="n">
        <f aca="false">AN115-AO83</f>
        <v>0</v>
      </c>
      <c r="AP115" s="100" t="n">
        <f aca="false">AO115-AP83</f>
        <v>0</v>
      </c>
      <c r="AQ115" s="100" t="n">
        <f aca="false">AP115-AQ83</f>
        <v>0</v>
      </c>
      <c r="AR115" s="100" t="n">
        <f aca="false">AQ115-AR83</f>
        <v>0</v>
      </c>
      <c r="AS115" s="100" t="n">
        <f aca="false">AR115-AS83</f>
        <v>0</v>
      </c>
      <c r="AT115" s="100" t="n">
        <f aca="false">AS115-AT83</f>
        <v>0</v>
      </c>
      <c r="AU115" s="100" t="n">
        <f aca="false">AT115-AU83</f>
        <v>0</v>
      </c>
      <c r="AV115" s="100" t="n">
        <f aca="false">AU115-AV83</f>
        <v>0</v>
      </c>
      <c r="AW115" s="100" t="n">
        <f aca="false">AV115-AW83</f>
        <v>0</v>
      </c>
      <c r="AX115" s="100" t="n">
        <f aca="false">AW115-AX83</f>
        <v>215026.28159292</v>
      </c>
      <c r="AY115" s="100" t="n">
        <f aca="false">AX115-AY83</f>
        <v>215026.28159292</v>
      </c>
      <c r="AZ115" s="100" t="n">
        <f aca="false">AY115-AZ83</f>
        <v>215026.28159292</v>
      </c>
      <c r="BA115" s="100" t="n">
        <f aca="false">AZ115-BA83</f>
        <v>215026.28159292</v>
      </c>
      <c r="BB115" s="100" t="n">
        <f aca="false">BA115-BB83</f>
        <v>215026.28159292</v>
      </c>
      <c r="BC115" s="100" t="n">
        <f aca="false">BB115-BC83</f>
        <v>215026.28159292</v>
      </c>
      <c r="BD115" s="100" t="n">
        <f aca="false">BC115-BD83</f>
        <v>215026.28159292</v>
      </c>
      <c r="BE115" s="100" t="n">
        <f aca="false">BD115-BE83</f>
        <v>215026.28159292</v>
      </c>
      <c r="BF115" s="100" t="n">
        <f aca="false">BE115-BF83</f>
        <v>215026.28159292</v>
      </c>
      <c r="BG115" s="100" t="n">
        <f aca="false">BF115-BG83</f>
        <v>215026.28159292</v>
      </c>
      <c r="BH115" s="100" t="n">
        <f aca="false">BG115-BH83</f>
        <v>215026.28159292</v>
      </c>
      <c r="BI115" s="100" t="n">
        <f aca="false">BH115-BI83</f>
        <v>215026.28159292</v>
      </c>
      <c r="BJ115" s="100" t="n">
        <f aca="false">BI115-BJ83</f>
        <v>430084.053552253</v>
      </c>
      <c r="BK115" s="100" t="n">
        <f aca="false">BJ115-BK83</f>
        <v>430084.053552253</v>
      </c>
      <c r="BL115" s="100" t="n">
        <f aca="false">BK115-BL83</f>
        <v>430084.053552253</v>
      </c>
      <c r="BM115" s="100" t="n">
        <f aca="false">BL115-BM83</f>
        <v>430084.053552253</v>
      </c>
      <c r="BN115" s="100" t="n">
        <f aca="false">BM115-BN83</f>
        <v>430084.053552253</v>
      </c>
      <c r="BO115" s="100" t="n">
        <f aca="false">BN115-BO83</f>
        <v>430084.053552253</v>
      </c>
      <c r="BP115" s="100" t="n">
        <f aca="false">BO115-BP83</f>
        <v>430084.053552253</v>
      </c>
      <c r="BQ115" s="100" t="n">
        <f aca="false">BP115-BQ83</f>
        <v>430084.053552253</v>
      </c>
      <c r="BR115" s="100" t="n">
        <f aca="false">BQ115-BR83</f>
        <v>430084.053552253</v>
      </c>
      <c r="BS115" s="100" t="n">
        <f aca="false">BR115-BS83</f>
        <v>430084.053552253</v>
      </c>
      <c r="BT115" s="100" t="n">
        <f aca="false">BS115-BT83</f>
        <v>430084.053552253</v>
      </c>
      <c r="BU115" s="100" t="n">
        <f aca="false">BT115-BU83</f>
        <v>430084.053552253</v>
      </c>
      <c r="BV115" s="100" t="n">
        <f aca="false">BU115-BV83</f>
        <v>637232.783720851</v>
      </c>
      <c r="BW115" s="100" t="n">
        <f aca="false">BV115-BW83</f>
        <v>637232.783720851</v>
      </c>
      <c r="BX115" s="100" t="n">
        <f aca="false">BW115-BX83</f>
        <v>637232.783720851</v>
      </c>
      <c r="BY115" s="100" t="n">
        <f aca="false">BX115-BY83</f>
        <v>637232.783720851</v>
      </c>
      <c r="BZ115" s="100" t="n">
        <f aca="false">BY115-BZ83</f>
        <v>637232.783720851</v>
      </c>
      <c r="CA115" s="100" t="n">
        <f aca="false">BZ115-CA83</f>
        <v>637232.783720851</v>
      </c>
      <c r="CB115" s="100" t="n">
        <f aca="false">CA115-CB83</f>
        <v>637232.783720851</v>
      </c>
      <c r="CC115" s="100" t="n">
        <f aca="false">CB115-CC83</f>
        <v>637232.783720851</v>
      </c>
      <c r="CD115" s="100" t="n">
        <f aca="false">CC115-CD83</f>
        <v>637232.783720851</v>
      </c>
      <c r="CE115" s="100" t="n">
        <f aca="false">CD115-CE83</f>
        <v>637232.783720851</v>
      </c>
      <c r="CF115" s="100" t="n">
        <f aca="false">CE115-CF83</f>
        <v>637232.783720851</v>
      </c>
      <c r="CG115" s="100" t="n">
        <f aca="false">CF115-CG83</f>
        <v>637232.783720851</v>
      </c>
      <c r="CH115" s="100" t="n">
        <f aca="false">CG115-CH83</f>
        <v>836437.564044991</v>
      </c>
    </row>
    <row r="116" customFormat="false" ht="13.5" hidden="false" customHeight="true" outlineLevel="0" collapsed="false">
      <c r="A116" s="6" t="s">
        <v>585</v>
      </c>
      <c r="C116" s="100" t="n">
        <f aca="false">Hipótesis!$C$44*(1-Hipótesis!$D$83)</f>
        <v>1540</v>
      </c>
      <c r="D116" s="100" t="n">
        <f aca="false">Hipótesis!$C$44*(1-Hipótesis!$D$83)</f>
        <v>1540</v>
      </c>
      <c r="E116" s="100" t="n">
        <f aca="false">Hipótesis!$C$44*(1-Hipótesis!$D$83)</f>
        <v>1540</v>
      </c>
      <c r="F116" s="100" t="n">
        <f aca="false">Hipótesis!$C$44*(1-Hipótesis!$D$83)</f>
        <v>1540</v>
      </c>
      <c r="G116" s="100" t="n">
        <f aca="false">Hipótesis!$C$44*(1-Hipótesis!$D$83)</f>
        <v>1540</v>
      </c>
      <c r="H116" s="100" t="n">
        <f aca="false">Hipótesis!$C$44*(1-Hipótesis!$D$83)</f>
        <v>1540</v>
      </c>
      <c r="I116" s="100" t="n">
        <f aca="false">Hipótesis!$C$44*(1-Hipótesis!$D$83)</f>
        <v>1540</v>
      </c>
      <c r="J116" s="100" t="n">
        <f aca="false">Hipótesis!$C$44*(1-Hipótesis!$D$83)</f>
        <v>1540</v>
      </c>
      <c r="K116" s="100" t="n">
        <f aca="false">Hipótesis!$C$44*(1-Hipótesis!$D$83)</f>
        <v>1540</v>
      </c>
      <c r="L116" s="100" t="n">
        <f aca="false">Hipótesis!$C$44*(1-Hipótesis!$D$83)</f>
        <v>1540</v>
      </c>
      <c r="M116" s="100" t="n">
        <f aca="false">Hipótesis!$C$44*(1-Hipótesis!$D$83)</f>
        <v>1540</v>
      </c>
      <c r="N116" s="100" t="n">
        <f aca="false">Hipótesis!$C$44*(1-Hipótesis!$D$83)</f>
        <v>1540</v>
      </c>
      <c r="O116" s="100" t="n">
        <f aca="false">Hipótesis!$D$44*(1-Hipótesis!$D$83)</f>
        <v>2450</v>
      </c>
      <c r="P116" s="100" t="n">
        <f aca="false">Hipótesis!$D$44*(1-Hipótesis!$D$83)</f>
        <v>2450</v>
      </c>
      <c r="Q116" s="100" t="n">
        <f aca="false">Hipótesis!$D$44*(1-Hipótesis!$D$83)</f>
        <v>2450</v>
      </c>
      <c r="R116" s="100" t="n">
        <f aca="false">Hipótesis!$D$44*(1-Hipótesis!$D$83)</f>
        <v>2450</v>
      </c>
      <c r="S116" s="100" t="n">
        <f aca="false">Hipótesis!$D$44*(1-Hipótesis!$D$83)</f>
        <v>2450</v>
      </c>
      <c r="T116" s="100" t="n">
        <f aca="false">Hipótesis!$D$44*(1-Hipótesis!$D$83)</f>
        <v>2450</v>
      </c>
      <c r="U116" s="100" t="n">
        <f aca="false">Hipótesis!$D$44*(1-Hipótesis!$D$83)</f>
        <v>2450</v>
      </c>
      <c r="V116" s="100" t="n">
        <f aca="false">Hipótesis!$D$44*(1-Hipótesis!$D$83)</f>
        <v>2450</v>
      </c>
      <c r="W116" s="100" t="n">
        <f aca="false">Hipótesis!$D$44*(1-Hipótesis!$D$83)</f>
        <v>2450</v>
      </c>
      <c r="X116" s="100" t="n">
        <f aca="false">Hipótesis!$D$44*(1-Hipótesis!$D$83)</f>
        <v>2450</v>
      </c>
      <c r="Y116" s="100" t="n">
        <f aca="false">Hipótesis!$D$44*(1-Hipótesis!$D$83)</f>
        <v>2450</v>
      </c>
      <c r="Z116" s="100" t="n">
        <f aca="false">Hipótesis!$D$44*(1-Hipótesis!$D$83)</f>
        <v>2450</v>
      </c>
      <c r="AA116" s="100" t="n">
        <f aca="false">Hipótesis!$E$44*(1-Hipótesis!$D$83)</f>
        <v>2800</v>
      </c>
      <c r="AB116" s="100" t="n">
        <f aca="false">Hipótesis!$E$44*(1-Hipótesis!$D$83)</f>
        <v>2800</v>
      </c>
      <c r="AC116" s="100" t="n">
        <f aca="false">Hipótesis!$E$44*(1-Hipótesis!$D$83)</f>
        <v>2800</v>
      </c>
      <c r="AD116" s="100" t="n">
        <f aca="false">Hipótesis!$E$44*(1-Hipótesis!$D$83)</f>
        <v>2800</v>
      </c>
      <c r="AE116" s="100" t="n">
        <f aca="false">Hipótesis!$E$44*(1-Hipótesis!$D$83)</f>
        <v>2800</v>
      </c>
      <c r="AF116" s="100" t="n">
        <f aca="false">Hipótesis!$E$44*(1-Hipótesis!$D$83)</f>
        <v>2800</v>
      </c>
      <c r="AG116" s="100" t="n">
        <f aca="false">Hipótesis!$E$44*(1-Hipótesis!$D$83)</f>
        <v>2800</v>
      </c>
      <c r="AH116" s="100" t="n">
        <f aca="false">Hipótesis!$E$44*(1-Hipótesis!$D$83)</f>
        <v>2800</v>
      </c>
      <c r="AI116" s="100" t="n">
        <f aca="false">Hipótesis!$E$44*(1-Hipótesis!$D$83)</f>
        <v>2800</v>
      </c>
      <c r="AJ116" s="100" t="n">
        <f aca="false">Hipótesis!$E$44*(1-Hipótesis!$D$83)</f>
        <v>2800</v>
      </c>
      <c r="AK116" s="100" t="n">
        <f aca="false">Hipótesis!$E$44*(1-Hipótesis!$D$83)</f>
        <v>2800</v>
      </c>
      <c r="AL116" s="100" t="n">
        <f aca="false">Hipótesis!$E$44*(1-Hipótesis!$D$83)</f>
        <v>2800</v>
      </c>
      <c r="AM116" s="100" t="n">
        <f aca="false">Hipótesis!$F$44*(1-Hipótesis!$D$83)</f>
        <v>3150</v>
      </c>
      <c r="AN116" s="100" t="n">
        <f aca="false">Hipótesis!$F$44*(1-Hipótesis!$D$83)</f>
        <v>3150</v>
      </c>
      <c r="AO116" s="100" t="n">
        <f aca="false">Hipótesis!$F$44*(1-Hipótesis!$D$83)</f>
        <v>3150</v>
      </c>
      <c r="AP116" s="100" t="n">
        <f aca="false">Hipótesis!$F$44*(1-Hipótesis!$D$83)</f>
        <v>3150</v>
      </c>
      <c r="AQ116" s="100" t="n">
        <f aca="false">Hipótesis!$F$44*(1-Hipótesis!$D$83)</f>
        <v>3150</v>
      </c>
      <c r="AR116" s="100" t="n">
        <f aca="false">Hipótesis!$F$44*(1-Hipótesis!$D$83)</f>
        <v>3150</v>
      </c>
      <c r="AS116" s="100" t="n">
        <f aca="false">Hipótesis!$F$44*(1-Hipótesis!$D$83)</f>
        <v>3150</v>
      </c>
      <c r="AT116" s="100" t="n">
        <f aca="false">Hipótesis!$F$44*(1-Hipótesis!$D$83)</f>
        <v>3150</v>
      </c>
      <c r="AU116" s="100" t="n">
        <f aca="false">Hipótesis!$F$44*(1-Hipótesis!$D$83)</f>
        <v>3150</v>
      </c>
      <c r="AV116" s="100" t="n">
        <f aca="false">Hipótesis!$F$44*(1-Hipótesis!$D$83)</f>
        <v>3150</v>
      </c>
      <c r="AW116" s="100" t="n">
        <f aca="false">Hipótesis!$F$44*(1-Hipótesis!$D$83)</f>
        <v>3150</v>
      </c>
      <c r="AX116" s="100" t="n">
        <f aca="false">Hipótesis!$F$44*(1-Hipótesis!$D$83)</f>
        <v>3150</v>
      </c>
      <c r="AY116" s="100" t="n">
        <f aca="false">Hipótesis!$G$44*(1-Hipótesis!$D$83)</f>
        <v>3500</v>
      </c>
      <c r="AZ116" s="100" t="n">
        <f aca="false">Hipótesis!$G$44*(1-Hipótesis!$D$83)</f>
        <v>3500</v>
      </c>
      <c r="BA116" s="100" t="n">
        <f aca="false">Hipótesis!$G$44*(1-Hipótesis!$D$83)</f>
        <v>3500</v>
      </c>
      <c r="BB116" s="100" t="n">
        <f aca="false">Hipótesis!$G$44*(1-Hipótesis!$D$83)</f>
        <v>3500</v>
      </c>
      <c r="BC116" s="100" t="n">
        <f aca="false">Hipótesis!$G$44*(1-Hipótesis!$D$83)</f>
        <v>3500</v>
      </c>
      <c r="BD116" s="100" t="n">
        <f aca="false">Hipótesis!$G$44*(1-Hipótesis!$D$83)</f>
        <v>3500</v>
      </c>
      <c r="BE116" s="100" t="n">
        <f aca="false">Hipótesis!$G$44*(1-Hipótesis!$D$83)</f>
        <v>3500</v>
      </c>
      <c r="BF116" s="100" t="n">
        <f aca="false">Hipótesis!$G$44*(1-Hipótesis!$D$83)</f>
        <v>3500</v>
      </c>
      <c r="BG116" s="100" t="n">
        <f aca="false">Hipótesis!$G$44*(1-Hipótesis!$D$83)</f>
        <v>3500</v>
      </c>
      <c r="BH116" s="100" t="n">
        <f aca="false">Hipótesis!$G$44*(1-Hipótesis!$D$83)</f>
        <v>3500</v>
      </c>
      <c r="BI116" s="100" t="n">
        <f aca="false">Hipótesis!$G$44*(1-Hipótesis!$D$83)</f>
        <v>3500</v>
      </c>
      <c r="BJ116" s="100" t="n">
        <f aca="false">Hipótesis!$G$44*(1-Hipótesis!$D$83)</f>
        <v>3500</v>
      </c>
      <c r="BK116" s="100" t="n">
        <f aca="false">Hipótesis!$H$44*(1-Hipótesis!$D$83)</f>
        <v>3850</v>
      </c>
      <c r="BL116" s="100" t="n">
        <f aca="false">Hipótesis!$H$44*(1-Hipótesis!$D$83)</f>
        <v>3850</v>
      </c>
      <c r="BM116" s="100" t="n">
        <f aca="false">Hipótesis!$H$44*(1-Hipótesis!$D$83)</f>
        <v>3850</v>
      </c>
      <c r="BN116" s="100" t="n">
        <f aca="false">Hipótesis!$H$44*(1-Hipótesis!$D$83)</f>
        <v>3850</v>
      </c>
      <c r="BO116" s="100" t="n">
        <f aca="false">Hipótesis!$H$44*(1-Hipótesis!$D$83)</f>
        <v>3850</v>
      </c>
      <c r="BP116" s="100" t="n">
        <f aca="false">Hipótesis!$H$44*(1-Hipótesis!$D$83)</f>
        <v>3850</v>
      </c>
      <c r="BQ116" s="100" t="n">
        <f aca="false">Hipótesis!$H$44*(1-Hipótesis!$D$83)</f>
        <v>3850</v>
      </c>
      <c r="BR116" s="100" t="n">
        <f aca="false">Hipótesis!$H$44*(1-Hipótesis!$D$83)</f>
        <v>3850</v>
      </c>
      <c r="BS116" s="100" t="n">
        <f aca="false">Hipótesis!$H$44*(1-Hipótesis!$D$83)</f>
        <v>3850</v>
      </c>
      <c r="BT116" s="100" t="n">
        <f aca="false">Hipótesis!$H$44*(1-Hipótesis!$D$83)</f>
        <v>3850</v>
      </c>
      <c r="BU116" s="100" t="n">
        <f aca="false">Hipótesis!$H$44*(1-Hipótesis!$D$83)</f>
        <v>3850</v>
      </c>
      <c r="BV116" s="100" t="n">
        <f aca="false">Hipótesis!$H$44*(1-Hipótesis!$D$83)</f>
        <v>3850</v>
      </c>
      <c r="BW116" s="100" t="n">
        <f aca="false">Hipótesis!$I$44*(1-Hipótesis!$D$83)</f>
        <v>4200</v>
      </c>
      <c r="BX116" s="100" t="n">
        <f aca="false">Hipótesis!$I$44*(1-Hipótesis!$D$83)</f>
        <v>4200</v>
      </c>
      <c r="BY116" s="100" t="n">
        <f aca="false">Hipótesis!$I$44*(1-Hipótesis!$D$83)</f>
        <v>4200</v>
      </c>
      <c r="BZ116" s="100" t="n">
        <f aca="false">Hipótesis!$I$44*(1-Hipótesis!$D$83)</f>
        <v>4200</v>
      </c>
      <c r="CA116" s="100" t="n">
        <f aca="false">Hipótesis!$I$44*(1-Hipótesis!$D$83)</f>
        <v>4200</v>
      </c>
      <c r="CB116" s="100" t="n">
        <f aca="false">Hipótesis!$I$44*(1-Hipótesis!$D$83)</f>
        <v>4200</v>
      </c>
      <c r="CC116" s="100" t="n">
        <f aca="false">Hipótesis!$I$44*(1-Hipótesis!$D$83)</f>
        <v>4200</v>
      </c>
      <c r="CD116" s="100" t="n">
        <f aca="false">Hipótesis!$I$44*(1-Hipótesis!$D$83)</f>
        <v>4200</v>
      </c>
      <c r="CE116" s="100" t="n">
        <f aca="false">Hipótesis!$I$44*(1-Hipótesis!$D$83)</f>
        <v>4200</v>
      </c>
      <c r="CF116" s="100" t="n">
        <f aca="false">Hipótesis!$I$44*(1-Hipótesis!$D$83)</f>
        <v>4200</v>
      </c>
      <c r="CG116" s="100" t="n">
        <f aca="false">Hipótesis!$I$44*(1-Hipótesis!$D$83)</f>
        <v>4200</v>
      </c>
      <c r="CH116" s="100" t="n">
        <f aca="false">Hipótesis!$I$44*(1-Hipótesis!$D$83)</f>
        <v>4200</v>
      </c>
    </row>
    <row r="117" customFormat="false" ht="13.5" hidden="false" customHeight="true" outlineLevel="0" collapsed="false">
      <c r="A117" s="6" t="s">
        <v>586</v>
      </c>
      <c r="C117" s="100" t="n">
        <f aca="false">-C84*Hipótesis!$D$82*(1-Hipótesis!$D$84)</f>
        <v>0</v>
      </c>
      <c r="D117" s="100" t="n">
        <f aca="false">-D84*Hipótesis!$D$82*(1-Hipótesis!$D$84)</f>
        <v>0</v>
      </c>
      <c r="E117" s="100" t="n">
        <f aca="false">-E84*Hipótesis!$D$82*(1-Hipótesis!$D$84)</f>
        <v>0</v>
      </c>
      <c r="F117" s="100" t="n">
        <f aca="false">-F84*Hipótesis!$D$82*(1-Hipótesis!$D$84)</f>
        <v>0</v>
      </c>
      <c r="G117" s="100" t="n">
        <f aca="false">-G84*Hipótesis!$D$82*(1-Hipótesis!$D$84)</f>
        <v>0</v>
      </c>
      <c r="H117" s="100" t="n">
        <f aca="false">-H84*Hipótesis!$D$82*(1-Hipótesis!$D$84)</f>
        <v>0</v>
      </c>
      <c r="I117" s="100" t="n">
        <f aca="false">-I84*Hipótesis!$D$82*(1-Hipótesis!$D$84)</f>
        <v>0</v>
      </c>
      <c r="J117" s="100" t="n">
        <f aca="false">-J84*Hipótesis!$D$82*(1-Hipótesis!$D$84)</f>
        <v>0</v>
      </c>
      <c r="K117" s="100" t="n">
        <f aca="false">-K84*Hipótesis!$D$82*(1-Hipótesis!$D$84)</f>
        <v>0</v>
      </c>
      <c r="L117" s="100" t="n">
        <f aca="false">-L84*Hipótesis!$D$82*(1-Hipótesis!$D$84)</f>
        <v>0</v>
      </c>
      <c r="M117" s="100" t="n">
        <f aca="false">-M84*Hipótesis!$D$82*(1-Hipótesis!$D$84)</f>
        <v>0</v>
      </c>
      <c r="N117" s="100" t="n">
        <f aca="false">-N84*Hipótesis!$D$82*(1-Hipótesis!$D$84)</f>
        <v>0</v>
      </c>
      <c r="O117" s="100" t="n">
        <f aca="false">-O84*Hipótesis!$D$82*(1-Hipótesis!$D$84)</f>
        <v>0</v>
      </c>
      <c r="P117" s="100" t="n">
        <f aca="false">-P84*Hipótesis!$D$82*(1-Hipótesis!$D$84)</f>
        <v>0</v>
      </c>
      <c r="Q117" s="100" t="n">
        <f aca="false">-Q84*Hipótesis!$D$82*(1-Hipótesis!$D$84)</f>
        <v>0</v>
      </c>
      <c r="R117" s="100" t="n">
        <f aca="false">-R84*Hipótesis!$D$82*(1-Hipótesis!$D$84)</f>
        <v>0</v>
      </c>
      <c r="S117" s="100" t="n">
        <f aca="false">-S84*Hipótesis!$D$82*(1-Hipótesis!$D$84)</f>
        <v>0</v>
      </c>
      <c r="T117" s="100" t="n">
        <f aca="false">-T84*Hipótesis!$D$82*(1-Hipótesis!$D$84)</f>
        <v>0</v>
      </c>
      <c r="U117" s="100" t="n">
        <f aca="false">-U84*Hipótesis!$D$82*(1-Hipótesis!$D$84)</f>
        <v>0</v>
      </c>
      <c r="V117" s="100" t="n">
        <f aca="false">-V84*Hipótesis!$D$82*(1-Hipótesis!$D$84)</f>
        <v>0</v>
      </c>
      <c r="W117" s="100" t="n">
        <f aca="false">-W84*Hipótesis!$D$82*(1-Hipótesis!$D$84)</f>
        <v>0</v>
      </c>
      <c r="X117" s="100" t="n">
        <f aca="false">-X84*Hipótesis!$D$82*(1-Hipótesis!$D$84)</f>
        <v>0</v>
      </c>
      <c r="Y117" s="100" t="n">
        <f aca="false">-Y84*Hipótesis!$D$82*(1-Hipótesis!$D$84)</f>
        <v>0</v>
      </c>
      <c r="Z117" s="100" t="n">
        <f aca="false">-Z84*Hipótesis!$D$82*(1-Hipótesis!$D$84)</f>
        <v>0</v>
      </c>
      <c r="AA117" s="100" t="n">
        <f aca="false">-AA84*Hipótesis!$D$82*(1-Hipótesis!$D$84)</f>
        <v>0</v>
      </c>
      <c r="AB117" s="100" t="n">
        <f aca="false">-AB84*Hipótesis!$D$82*(1-Hipótesis!$D$84)</f>
        <v>0</v>
      </c>
      <c r="AC117" s="100" t="n">
        <f aca="false">-AC84*Hipótesis!$D$82*(1-Hipótesis!$D$84)</f>
        <v>0</v>
      </c>
      <c r="AD117" s="100" t="n">
        <f aca="false">-AD84*Hipótesis!$D$82*(1-Hipótesis!$D$84)</f>
        <v>0</v>
      </c>
      <c r="AE117" s="100" t="n">
        <f aca="false">-AE84*Hipótesis!$D$82*(1-Hipótesis!$D$84)</f>
        <v>0</v>
      </c>
      <c r="AF117" s="100" t="n">
        <f aca="false">-AF84*Hipótesis!$D$82*(1-Hipótesis!$D$84)</f>
        <v>0</v>
      </c>
      <c r="AG117" s="100" t="n">
        <f aca="false">-AG84*Hipótesis!$D$82*(1-Hipótesis!$D$84)</f>
        <v>0</v>
      </c>
      <c r="AH117" s="100" t="n">
        <f aca="false">-AH84*Hipótesis!$D$82*(1-Hipótesis!$D$84)</f>
        <v>0</v>
      </c>
      <c r="AI117" s="100" t="n">
        <f aca="false">-AI84*Hipótesis!$D$82*(1-Hipótesis!$D$84)</f>
        <v>0</v>
      </c>
      <c r="AJ117" s="100" t="n">
        <f aca="false">-AJ84*Hipótesis!$D$82*(1-Hipótesis!$D$84)</f>
        <v>0</v>
      </c>
      <c r="AK117" s="100" t="n">
        <f aca="false">-AK84*Hipótesis!$D$82*(1-Hipótesis!$D$84)</f>
        <v>0</v>
      </c>
      <c r="AL117" s="100" t="n">
        <f aca="false">-AL84*Hipótesis!$D$82*(1-Hipótesis!$D$84)</f>
        <v>0</v>
      </c>
      <c r="AM117" s="100" t="n">
        <f aca="false">-AM84*Hipótesis!$D$82*(1-Hipótesis!$D$84)</f>
        <v>0</v>
      </c>
      <c r="AN117" s="100" t="n">
        <f aca="false">-AN84*Hipótesis!$D$82*(1-Hipótesis!$D$84)</f>
        <v>0</v>
      </c>
      <c r="AO117" s="100" t="n">
        <f aca="false">-AO84*Hipótesis!$D$82*(1-Hipótesis!$D$84)</f>
        <v>0</v>
      </c>
      <c r="AP117" s="100" t="n">
        <f aca="false">-AP84*Hipótesis!$D$82*(1-Hipótesis!$D$84)</f>
        <v>0</v>
      </c>
      <c r="AQ117" s="100" t="n">
        <f aca="false">-AQ84*Hipótesis!$D$82*(1-Hipótesis!$D$84)</f>
        <v>0</v>
      </c>
      <c r="AR117" s="100" t="n">
        <f aca="false">-AR84*Hipótesis!$D$82*(1-Hipótesis!$D$84)</f>
        <v>0</v>
      </c>
      <c r="AS117" s="100" t="n">
        <f aca="false">-AS84*Hipótesis!$D$82*(1-Hipótesis!$D$84)</f>
        <v>0</v>
      </c>
      <c r="AT117" s="100" t="n">
        <f aca="false">-AT84*Hipótesis!$D$82*(1-Hipótesis!$D$84)</f>
        <v>0</v>
      </c>
      <c r="AU117" s="100" t="n">
        <f aca="false">-AU84*Hipótesis!$D$82*(1-Hipótesis!$D$84)</f>
        <v>0</v>
      </c>
      <c r="AV117" s="100" t="n">
        <f aca="false">-AV84*Hipótesis!$D$82*(1-Hipótesis!$D$84)</f>
        <v>0</v>
      </c>
      <c r="AW117" s="100" t="n">
        <f aca="false">-AW84*Hipótesis!$D$82*(1-Hipótesis!$D$84)</f>
        <v>0</v>
      </c>
      <c r="AX117" s="100" t="n">
        <f aca="false">-AX84*Hipótesis!$D$82*(1-Hipótesis!$D$84)</f>
        <v>0</v>
      </c>
      <c r="AY117" s="100" t="n">
        <f aca="false">-AY84*Hipótesis!$D$82*(1-Hipótesis!$D$84)</f>
        <v>0</v>
      </c>
      <c r="AZ117" s="100" t="n">
        <f aca="false">-AZ84*Hipótesis!$D$82*(1-Hipótesis!$D$84)</f>
        <v>0</v>
      </c>
      <c r="BA117" s="100" t="n">
        <f aca="false">-BA84*Hipótesis!$D$82*(1-Hipótesis!$D$84)</f>
        <v>0</v>
      </c>
      <c r="BB117" s="100" t="n">
        <f aca="false">-BB84*Hipótesis!$D$82*(1-Hipótesis!$D$84)</f>
        <v>0</v>
      </c>
      <c r="BC117" s="100" t="n">
        <f aca="false">-BC84*Hipótesis!$D$82*(1-Hipótesis!$D$84)</f>
        <v>0</v>
      </c>
      <c r="BD117" s="100" t="n">
        <f aca="false">-BD84*Hipótesis!$D$82*(1-Hipótesis!$D$84)</f>
        <v>0</v>
      </c>
      <c r="BE117" s="100" t="n">
        <f aca="false">-BE84*Hipótesis!$D$82*(1-Hipótesis!$D$84)</f>
        <v>0</v>
      </c>
      <c r="BF117" s="100" t="n">
        <f aca="false">-BF84*Hipótesis!$D$82*(1-Hipótesis!$D$84)</f>
        <v>0</v>
      </c>
      <c r="BG117" s="100" t="n">
        <f aca="false">-BG84*Hipótesis!$D$82*(1-Hipótesis!$D$84)</f>
        <v>0</v>
      </c>
      <c r="BH117" s="100" t="n">
        <f aca="false">-BH84*Hipótesis!$D$82*(1-Hipótesis!$D$84)</f>
        <v>0</v>
      </c>
      <c r="BI117" s="100" t="n">
        <f aca="false">-BI84*Hipótesis!$D$82*(1-Hipótesis!$D$84)</f>
        <v>0</v>
      </c>
      <c r="BJ117" s="100" t="n">
        <f aca="false">-BJ84*Hipótesis!$D$82*(1-Hipótesis!$D$84)</f>
        <v>0</v>
      </c>
      <c r="BK117" s="100" t="n">
        <f aca="false">-BK84*Hipótesis!$D$82*(1-Hipótesis!$D$84)</f>
        <v>0</v>
      </c>
      <c r="BL117" s="100" t="n">
        <f aca="false">-BL84*Hipótesis!$D$82*(1-Hipótesis!$D$84)</f>
        <v>0</v>
      </c>
      <c r="BM117" s="100" t="n">
        <f aca="false">-BM84*Hipótesis!$D$82*(1-Hipótesis!$D$84)</f>
        <v>0</v>
      </c>
      <c r="BN117" s="100" t="n">
        <f aca="false">-BN84*Hipótesis!$D$82*(1-Hipótesis!$D$84)</f>
        <v>0</v>
      </c>
      <c r="BO117" s="100" t="n">
        <f aca="false">-BO84*Hipótesis!$D$82*(1-Hipótesis!$D$84)</f>
        <v>0</v>
      </c>
      <c r="BP117" s="100" t="n">
        <f aca="false">-BP84*Hipótesis!$D$82*(1-Hipótesis!$D$84)</f>
        <v>0</v>
      </c>
      <c r="BQ117" s="100" t="n">
        <f aca="false">-BQ84*Hipótesis!$D$82*(1-Hipótesis!$D$84)</f>
        <v>0</v>
      </c>
      <c r="BR117" s="100" t="n">
        <f aca="false">-BR84*Hipótesis!$D$82*(1-Hipótesis!$D$84)</f>
        <v>0</v>
      </c>
      <c r="BS117" s="100" t="n">
        <f aca="false">-BS84*Hipótesis!$D$82*(1-Hipótesis!$D$84)</f>
        <v>0</v>
      </c>
      <c r="BT117" s="100" t="n">
        <f aca="false">-BT84*Hipótesis!$D$82*(1-Hipótesis!$D$84)</f>
        <v>0</v>
      </c>
      <c r="BU117" s="100" t="n">
        <f aca="false">-BU84*Hipótesis!$D$82*(1-Hipótesis!$D$84)</f>
        <v>0</v>
      </c>
      <c r="BV117" s="100" t="n">
        <f aca="false">-BV84*Hipótesis!$D$82*(1-Hipótesis!$D$84)</f>
        <v>0</v>
      </c>
      <c r="BW117" s="100" t="n">
        <f aca="false">-BW84*Hipótesis!$D$82*(1-Hipótesis!$D$84)</f>
        <v>0</v>
      </c>
      <c r="BX117" s="100" t="n">
        <f aca="false">-BX84*Hipótesis!$D$82*(1-Hipótesis!$D$84)</f>
        <v>0</v>
      </c>
      <c r="BY117" s="100" t="n">
        <f aca="false">-BY84*Hipótesis!$D$82*(1-Hipótesis!$D$84)</f>
        <v>0</v>
      </c>
      <c r="BZ117" s="100" t="n">
        <f aca="false">-BZ84*Hipótesis!$D$82*(1-Hipótesis!$D$84)</f>
        <v>0</v>
      </c>
      <c r="CA117" s="100" t="n">
        <f aca="false">-CA84*Hipótesis!$D$82*(1-Hipótesis!$D$84)</f>
        <v>0</v>
      </c>
      <c r="CB117" s="100" t="n">
        <f aca="false">-CB84*Hipótesis!$D$82*(1-Hipótesis!$D$84)</f>
        <v>0</v>
      </c>
      <c r="CC117" s="100" t="n">
        <f aca="false">-CC84*Hipótesis!$D$82*(1-Hipótesis!$D$84)</f>
        <v>0</v>
      </c>
      <c r="CD117" s="100" t="n">
        <f aca="false">-CD84*Hipótesis!$D$82*(1-Hipótesis!$D$84)</f>
        <v>0</v>
      </c>
      <c r="CE117" s="100" t="n">
        <f aca="false">-CE84*Hipótesis!$D$82*(1-Hipótesis!$D$84)</f>
        <v>0</v>
      </c>
      <c r="CF117" s="100" t="n">
        <f aca="false">-CF84*Hipótesis!$D$82*(1-Hipótesis!$D$84)</f>
        <v>0</v>
      </c>
      <c r="CG117" s="100" t="n">
        <f aca="false">-CG84*Hipótesis!$D$82*(1-Hipótesis!$D$84)</f>
        <v>0</v>
      </c>
      <c r="CH117" s="100" t="n">
        <f aca="false">-CH84*Hipótesis!$D$82*(1-Hipótesis!$D$84)</f>
        <v>0</v>
      </c>
    </row>
    <row r="118" customFormat="false" ht="13.5" hidden="false" customHeight="true" outlineLevel="0" collapsed="false">
      <c r="A118" s="22" t="s">
        <v>587</v>
      </c>
      <c r="C118" s="100" t="n">
        <f aca="false">C116+C117</f>
        <v>1540</v>
      </c>
      <c r="D118" s="100" t="n">
        <f aca="false">D116+D117</f>
        <v>1540</v>
      </c>
      <c r="E118" s="100" t="n">
        <f aca="false">E116+E117</f>
        <v>1540</v>
      </c>
      <c r="F118" s="100" t="n">
        <f aca="false">F116+F117</f>
        <v>1540</v>
      </c>
      <c r="G118" s="100" t="n">
        <f aca="false">G116+G117</f>
        <v>1540</v>
      </c>
      <c r="H118" s="100" t="n">
        <f aca="false">H116+H117</f>
        <v>1540</v>
      </c>
      <c r="I118" s="100" t="n">
        <f aca="false">I116+I117</f>
        <v>1540</v>
      </c>
      <c r="J118" s="100" t="n">
        <f aca="false">J116+J117</f>
        <v>1540</v>
      </c>
      <c r="K118" s="100" t="n">
        <f aca="false">K116+K117</f>
        <v>1540</v>
      </c>
      <c r="L118" s="100" t="n">
        <f aca="false">L116+L117</f>
        <v>1540</v>
      </c>
      <c r="M118" s="100" t="n">
        <f aca="false">M116+M117</f>
        <v>1540</v>
      </c>
      <c r="N118" s="100" t="n">
        <f aca="false">N116+N117</f>
        <v>1540</v>
      </c>
      <c r="O118" s="100" t="n">
        <f aca="false">O116+O117</f>
        <v>2450</v>
      </c>
      <c r="P118" s="100" t="n">
        <f aca="false">P116+P117</f>
        <v>2450</v>
      </c>
      <c r="Q118" s="100" t="n">
        <f aca="false">Q116+Q117</f>
        <v>2450</v>
      </c>
      <c r="R118" s="100" t="n">
        <f aca="false">R116+R117</f>
        <v>2450</v>
      </c>
      <c r="S118" s="100" t="n">
        <f aca="false">S116+S117</f>
        <v>2450</v>
      </c>
      <c r="T118" s="100" t="n">
        <f aca="false">T116+T117</f>
        <v>2450</v>
      </c>
      <c r="U118" s="100" t="n">
        <f aca="false">U116+U117</f>
        <v>2450</v>
      </c>
      <c r="V118" s="100" t="n">
        <f aca="false">V116+V117</f>
        <v>2450</v>
      </c>
      <c r="W118" s="100" t="n">
        <f aca="false">W116+W117</f>
        <v>2450</v>
      </c>
      <c r="X118" s="100" t="n">
        <f aca="false">X116+X117</f>
        <v>2450</v>
      </c>
      <c r="Y118" s="100" t="n">
        <f aca="false">Y116+Y117</f>
        <v>2450</v>
      </c>
      <c r="Z118" s="100" t="n">
        <f aca="false">Z116+Z117</f>
        <v>2450</v>
      </c>
      <c r="AA118" s="100" t="n">
        <f aca="false">AA116+AA117</f>
        <v>2800</v>
      </c>
      <c r="AB118" s="100" t="n">
        <f aca="false">AB116+AB117</f>
        <v>2800</v>
      </c>
      <c r="AC118" s="100" t="n">
        <f aca="false">AC116+AC117</f>
        <v>2800</v>
      </c>
      <c r="AD118" s="100" t="n">
        <f aca="false">AD116+AD117</f>
        <v>2800</v>
      </c>
      <c r="AE118" s="100" t="n">
        <f aca="false">AE116+AE117</f>
        <v>2800</v>
      </c>
      <c r="AF118" s="100" t="n">
        <f aca="false">AF116+AF117</f>
        <v>2800</v>
      </c>
      <c r="AG118" s="100" t="n">
        <f aca="false">AG116+AG117</f>
        <v>2800</v>
      </c>
      <c r="AH118" s="100" t="n">
        <f aca="false">AH116+AH117</f>
        <v>2800</v>
      </c>
      <c r="AI118" s="100" t="n">
        <f aca="false">AI116+AI117</f>
        <v>2800</v>
      </c>
      <c r="AJ118" s="100" t="n">
        <f aca="false">AJ116+AJ117</f>
        <v>2800</v>
      </c>
      <c r="AK118" s="100" t="n">
        <f aca="false">AK116+AK117</f>
        <v>2800</v>
      </c>
      <c r="AL118" s="100" t="n">
        <f aca="false">AL116+AL117</f>
        <v>2800</v>
      </c>
      <c r="AM118" s="100" t="n">
        <f aca="false">AM116+AM117</f>
        <v>3150</v>
      </c>
      <c r="AN118" s="100" t="n">
        <f aca="false">AN116+AN117</f>
        <v>3150</v>
      </c>
      <c r="AO118" s="100" t="n">
        <f aca="false">AO116+AO117</f>
        <v>3150</v>
      </c>
      <c r="AP118" s="100" t="n">
        <f aca="false">AP116+AP117</f>
        <v>3150</v>
      </c>
      <c r="AQ118" s="100" t="n">
        <f aca="false">AQ116+AQ117</f>
        <v>3150</v>
      </c>
      <c r="AR118" s="100" t="n">
        <f aca="false">AR116+AR117</f>
        <v>3150</v>
      </c>
      <c r="AS118" s="100" t="n">
        <f aca="false">AS116+AS117</f>
        <v>3150</v>
      </c>
      <c r="AT118" s="100" t="n">
        <f aca="false">AT116+AT117</f>
        <v>3150</v>
      </c>
      <c r="AU118" s="100" t="n">
        <f aca="false">AU116+AU117</f>
        <v>3150</v>
      </c>
      <c r="AV118" s="100" t="n">
        <f aca="false">AV116+AV117</f>
        <v>3150</v>
      </c>
      <c r="AW118" s="100" t="n">
        <f aca="false">AW116+AW117</f>
        <v>3150</v>
      </c>
      <c r="AX118" s="100" t="n">
        <f aca="false">AX116+AX117</f>
        <v>3150</v>
      </c>
      <c r="AY118" s="100" t="n">
        <f aca="false">AY116+AY117</f>
        <v>3500</v>
      </c>
      <c r="AZ118" s="100" t="n">
        <f aca="false">AZ116+AZ117</f>
        <v>3500</v>
      </c>
      <c r="BA118" s="100" t="n">
        <f aca="false">BA116+BA117</f>
        <v>3500</v>
      </c>
      <c r="BB118" s="100" t="n">
        <f aca="false">BB116+BB117</f>
        <v>3500</v>
      </c>
      <c r="BC118" s="100" t="n">
        <f aca="false">BC116+BC117</f>
        <v>3500</v>
      </c>
      <c r="BD118" s="100" t="n">
        <f aca="false">BD116+BD117</f>
        <v>3500</v>
      </c>
      <c r="BE118" s="100" t="n">
        <f aca="false">BE116+BE117</f>
        <v>3500</v>
      </c>
      <c r="BF118" s="100" t="n">
        <f aca="false">BF116+BF117</f>
        <v>3500</v>
      </c>
      <c r="BG118" s="100" t="n">
        <f aca="false">BG116+BG117</f>
        <v>3500</v>
      </c>
      <c r="BH118" s="100" t="n">
        <f aca="false">BH116+BH117</f>
        <v>3500</v>
      </c>
      <c r="BI118" s="100" t="n">
        <f aca="false">BI116+BI117</f>
        <v>3500</v>
      </c>
      <c r="BJ118" s="100" t="n">
        <f aca="false">BJ116+BJ117</f>
        <v>3500</v>
      </c>
      <c r="BK118" s="100" t="n">
        <f aca="false">BK116+BK117</f>
        <v>3850</v>
      </c>
      <c r="BL118" s="100" t="n">
        <f aca="false">BL116+BL117</f>
        <v>3850</v>
      </c>
      <c r="BM118" s="100" t="n">
        <f aca="false">BM116+BM117</f>
        <v>3850</v>
      </c>
      <c r="BN118" s="100" t="n">
        <f aca="false">BN116+BN117</f>
        <v>3850</v>
      </c>
      <c r="BO118" s="100" t="n">
        <f aca="false">BO116+BO117</f>
        <v>3850</v>
      </c>
      <c r="BP118" s="100" t="n">
        <f aca="false">BP116+BP117</f>
        <v>3850</v>
      </c>
      <c r="BQ118" s="100" t="n">
        <f aca="false">BQ116+BQ117</f>
        <v>3850</v>
      </c>
      <c r="BR118" s="100" t="n">
        <f aca="false">BR116+BR117</f>
        <v>3850</v>
      </c>
      <c r="BS118" s="100" t="n">
        <f aca="false">BS116+BS117</f>
        <v>3850</v>
      </c>
      <c r="BT118" s="100" t="n">
        <f aca="false">BT116+BT117</f>
        <v>3850</v>
      </c>
      <c r="BU118" s="100" t="n">
        <f aca="false">BU116+BU117</f>
        <v>3850</v>
      </c>
      <c r="BV118" s="100" t="n">
        <f aca="false">BV116+BV117</f>
        <v>3850</v>
      </c>
      <c r="BW118" s="100" t="n">
        <f aca="false">BW116+BW117</f>
        <v>4200</v>
      </c>
      <c r="BX118" s="100" t="n">
        <f aca="false">BX116+BX117</f>
        <v>4200</v>
      </c>
      <c r="BY118" s="100" t="n">
        <f aca="false">BY116+BY117</f>
        <v>4200</v>
      </c>
      <c r="BZ118" s="100" t="n">
        <f aca="false">BZ116+BZ117</f>
        <v>4200</v>
      </c>
      <c r="CA118" s="100" t="n">
        <f aca="false">CA116+CA117</f>
        <v>4200</v>
      </c>
      <c r="CB118" s="100" t="n">
        <f aca="false">CB116+CB117</f>
        <v>4200</v>
      </c>
      <c r="CC118" s="100" t="n">
        <f aca="false">CC116+CC117</f>
        <v>4200</v>
      </c>
      <c r="CD118" s="100" t="n">
        <f aca="false">CD116+CD117</f>
        <v>4200</v>
      </c>
      <c r="CE118" s="100" t="n">
        <f aca="false">CE116+CE117</f>
        <v>4200</v>
      </c>
      <c r="CF118" s="100" t="n">
        <f aca="false">CF116+CF117</f>
        <v>4200</v>
      </c>
      <c r="CG118" s="100" t="n">
        <f aca="false">CG116+CG117</f>
        <v>4200</v>
      </c>
      <c r="CH118" s="100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9" t="s">
        <v>588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</row>
    <row r="121" customFormat="false" ht="12.75" hidden="false" customHeight="true" outlineLevel="0" collapsed="false">
      <c r="A121" s="22" t="s">
        <v>589</v>
      </c>
      <c r="B121" s="111" t="n">
        <f aca="false">-Hipótesis!$D$93</f>
        <v>-100000</v>
      </c>
      <c r="C121" s="111" t="n">
        <f aca="false">C93+IF(Hipótesis!$D$94=5,IF(C$3=Hipótesis!$D$124,$C$158,0),IF(C$3=84,$C$134,0))</f>
        <v>0</v>
      </c>
      <c r="D121" s="111" t="n">
        <f aca="false">D93+IF(Hipótesis!$D$94=5,IF(D$3=Hipótesis!$D$124,$C$158,0),IF(D$3=84,$C$134,0))</f>
        <v>0</v>
      </c>
      <c r="E121" s="111" t="n">
        <f aca="false">E93+IF(Hipótesis!$D$94=5,IF(E$3=Hipótesis!$D$124,$C$158,0),IF(E$3=84,$C$134,0))</f>
        <v>0</v>
      </c>
      <c r="F121" s="111" t="n">
        <f aca="false">F93+IF(Hipótesis!$D$94=5,IF(F$3=Hipótesis!$D$124,$C$158,0),IF(F$3=84,$C$134,0))</f>
        <v>0</v>
      </c>
      <c r="G121" s="111" t="n">
        <f aca="false">G93+IF(Hipótesis!$D$94=5,IF(G$3=Hipótesis!$D$124,$C$158,0),IF(G$3=84,$C$134,0))</f>
        <v>0</v>
      </c>
      <c r="H121" s="111" t="n">
        <f aca="false">H93+IF(Hipótesis!$D$94=5,IF(H$3=Hipótesis!$D$124,$C$158,0),IF(H$3=84,$C$134,0))</f>
        <v>0</v>
      </c>
      <c r="I121" s="111" t="n">
        <f aca="false">I93+IF(Hipótesis!$D$94=5,IF(I$3=Hipótesis!$D$124,$C$158,0),IF(I$3=84,$C$134,0))</f>
        <v>0</v>
      </c>
      <c r="J121" s="111" t="n">
        <f aca="false">J93+IF(Hipótesis!$D$94=5,IF(J$3=Hipótesis!$D$124,$C$158,0),IF(J$3=84,$C$134,0))</f>
        <v>0</v>
      </c>
      <c r="K121" s="111" t="n">
        <f aca="false">K93+IF(Hipótesis!$D$94=5,IF(K$3=Hipótesis!$D$124,$C$158,0),IF(K$3=84,$C$134,0))</f>
        <v>0</v>
      </c>
      <c r="L121" s="111" t="n">
        <f aca="false">L93+IF(Hipótesis!$D$94=5,IF(L$3=Hipótesis!$D$124,$C$158,0),IF(L$3=84,$C$134,0))</f>
        <v>0</v>
      </c>
      <c r="M121" s="111" t="n">
        <f aca="false">M93+IF(Hipótesis!$D$94=5,IF(M$3=Hipótesis!$D$124,$C$158,0),IF(M$3=84,$C$134,0))</f>
        <v>0</v>
      </c>
      <c r="N121" s="111" t="n">
        <f aca="false">N93+IF(Hipótesis!$D$94=5,IF(N$3=Hipótesis!$D$124,$C$158,0),IF(N$3=84,$C$134,0))</f>
        <v>0</v>
      </c>
      <c r="O121" s="111" t="n">
        <f aca="false">O93+IF(Hipótesis!$D$94=5,IF(O$3=Hipótesis!$D$124,$C$158,0),IF(O$3=84,$C$134,0))</f>
        <v>0</v>
      </c>
      <c r="P121" s="111" t="n">
        <f aca="false">P93+IF(Hipótesis!$D$94=5,IF(P$3=Hipótesis!$D$124,$C$158,0),IF(P$3=84,$C$134,0))</f>
        <v>0</v>
      </c>
      <c r="Q121" s="111" t="n">
        <f aca="false">Q93+IF(Hipótesis!$D$94=5,IF(Q$3=Hipótesis!$D$124,$C$158,0),IF(Q$3=84,$C$134,0))</f>
        <v>0</v>
      </c>
      <c r="R121" s="111" t="n">
        <f aca="false">R93+IF(Hipótesis!$D$94=5,IF(R$3=Hipótesis!$D$124,$C$158,0),IF(R$3=84,$C$134,0))</f>
        <v>0</v>
      </c>
      <c r="S121" s="111" t="n">
        <f aca="false">S93+IF(Hipótesis!$D$94=5,IF(S$3=Hipótesis!$D$124,$C$158,0),IF(S$3=84,$C$134,0))</f>
        <v>0</v>
      </c>
      <c r="T121" s="111" t="n">
        <f aca="false">T93+IF(Hipótesis!$D$94=5,IF(T$3=Hipótesis!$D$124,$C$158,0),IF(T$3=84,$C$134,0))</f>
        <v>0</v>
      </c>
      <c r="U121" s="111" t="n">
        <f aca="false">U93+IF(Hipótesis!$D$94=5,IF(U$3=Hipótesis!$D$124,$C$158,0),IF(U$3=84,$C$134,0))</f>
        <v>0</v>
      </c>
      <c r="V121" s="111" t="n">
        <f aca="false">V93+IF(Hipótesis!$D$94=5,IF(V$3=Hipótesis!$D$124,$C$158,0),IF(V$3=84,$C$134,0))</f>
        <v>0</v>
      </c>
      <c r="W121" s="111" t="n">
        <f aca="false">W93+IF(Hipótesis!$D$94=5,IF(W$3=Hipótesis!$D$124,$C$158,0),IF(W$3=84,$C$134,0))</f>
        <v>0</v>
      </c>
      <c r="X121" s="111" t="n">
        <f aca="false">X93+IF(Hipótesis!$D$94=5,IF(X$3=Hipótesis!$D$124,$C$158,0),IF(X$3=84,$C$134,0))</f>
        <v>0</v>
      </c>
      <c r="Y121" s="111" t="n">
        <f aca="false">Y93+IF(Hipótesis!$D$94=5,IF(Y$3=Hipótesis!$D$124,$C$158,0),IF(Y$3=84,$C$134,0))</f>
        <v>0</v>
      </c>
      <c r="Z121" s="111" t="n">
        <f aca="false">Z93+IF(Hipótesis!$D$94=5,IF(Z$3=Hipótesis!$D$124,$C$158,0),IF(Z$3=84,$C$134,0))</f>
        <v>0</v>
      </c>
      <c r="AA121" s="111" t="n">
        <f aca="false">AA93+IF(Hipótesis!$D$94=5,IF(AA$3=Hipótesis!$D$124,$C$158,0),IF(AA$3=84,$C$134,0))</f>
        <v>0</v>
      </c>
      <c r="AB121" s="111" t="n">
        <f aca="false">AB93+IF(Hipótesis!$D$94=5,IF(AB$3=Hipótesis!$D$124,$C$158,0),IF(AB$3=84,$C$134,0))</f>
        <v>0</v>
      </c>
      <c r="AC121" s="111" t="n">
        <f aca="false">AC93+IF(Hipótesis!$D$94=5,IF(AC$3=Hipótesis!$D$124,$C$158,0),IF(AC$3=84,$C$134,0))</f>
        <v>0</v>
      </c>
      <c r="AD121" s="111" t="n">
        <f aca="false">AD93+IF(Hipótesis!$D$94=5,IF(AD$3=Hipótesis!$D$124,$C$158,0),IF(AD$3=84,$C$134,0))</f>
        <v>0</v>
      </c>
      <c r="AE121" s="111" t="n">
        <f aca="false">AE93+IF(Hipótesis!$D$94=5,IF(AE$3=Hipótesis!$D$124,$C$158,0),IF(AE$3=84,$C$134,0))</f>
        <v>0</v>
      </c>
      <c r="AF121" s="111" t="n">
        <f aca="false">AF93+IF(Hipótesis!$D$94=5,IF(AF$3=Hipótesis!$D$124,$C$158,0),IF(AF$3=84,$C$134,0))</f>
        <v>0</v>
      </c>
      <c r="AG121" s="111" t="n">
        <f aca="false">AG93+IF(Hipótesis!$D$94=5,IF(AG$3=Hipótesis!$D$124,$C$158,0),IF(AG$3=84,$C$134,0))</f>
        <v>0</v>
      </c>
      <c r="AH121" s="111" t="n">
        <f aca="false">AH93+IF(Hipótesis!$D$94=5,IF(AH$3=Hipótesis!$D$124,$C$158,0),IF(AH$3=84,$C$134,0))</f>
        <v>0</v>
      </c>
      <c r="AI121" s="111" t="n">
        <f aca="false">AI93+IF(Hipótesis!$D$94=5,IF(AI$3=Hipótesis!$D$124,$C$158,0),IF(AI$3=84,$C$134,0))</f>
        <v>0</v>
      </c>
      <c r="AJ121" s="111" t="n">
        <f aca="false">AJ93+IF(Hipótesis!$D$94=5,IF(AJ$3=Hipótesis!$D$124,$C$158,0),IF(AJ$3=84,$C$134,0))</f>
        <v>0</v>
      </c>
      <c r="AK121" s="111" t="n">
        <f aca="false">AK93+IF(Hipótesis!$D$94=5,IF(AK$3=Hipótesis!$D$124,$C$158,0),IF(AK$3=84,$C$134,0))</f>
        <v>0</v>
      </c>
      <c r="AL121" s="111" t="n">
        <f aca="false">AL93+IF(Hipótesis!$D$94=5,IF(AL$3=Hipótesis!$D$124,$C$158,0),IF(AL$3=84,$C$134,0))</f>
        <v>0</v>
      </c>
      <c r="AM121" s="111" t="n">
        <f aca="false">AM93+IF(Hipótesis!$D$94=5,IF(AM$3=Hipótesis!$D$124,$C$158,0),IF(AM$3=84,$C$134,0))</f>
        <v>0</v>
      </c>
      <c r="AN121" s="111" t="n">
        <f aca="false">AN93+IF(Hipótesis!$D$94=5,IF(AN$3=Hipótesis!$D$124,$C$158,0),IF(AN$3=84,$C$134,0))</f>
        <v>0</v>
      </c>
      <c r="AO121" s="111" t="n">
        <f aca="false">AO93+IF(Hipótesis!$D$94=5,IF(AO$3=Hipótesis!$D$124,$C$158,0),IF(AO$3=84,$C$134,0))</f>
        <v>0</v>
      </c>
      <c r="AP121" s="111" t="n">
        <f aca="false">AP93+IF(Hipótesis!$D$94=5,IF(AP$3=Hipótesis!$D$124,$C$158,0),IF(AP$3=84,$C$134,0))</f>
        <v>0</v>
      </c>
      <c r="AQ121" s="111" t="n">
        <f aca="false">AQ93+IF(Hipótesis!$D$94=5,IF(AQ$3=Hipótesis!$D$124,$C$158,0),IF(AQ$3=84,$C$134,0))</f>
        <v>0</v>
      </c>
      <c r="AR121" s="111" t="n">
        <f aca="false">AR93+IF(Hipótesis!$D$94=5,IF(AR$3=Hipótesis!$D$124,$C$158,0),IF(AR$3=84,$C$134,0))</f>
        <v>0</v>
      </c>
      <c r="AS121" s="111" t="n">
        <f aca="false">AS93+IF(Hipótesis!$D$94=5,IF(AS$3=Hipótesis!$D$124,$C$158,0),IF(AS$3=84,$C$134,0))</f>
        <v>0</v>
      </c>
      <c r="AT121" s="111" t="n">
        <f aca="false">AT93+IF(Hipótesis!$D$94=5,IF(AT$3=Hipótesis!$D$124,$C$158,0),IF(AT$3=84,$C$134,0))</f>
        <v>0</v>
      </c>
      <c r="AU121" s="111" t="n">
        <f aca="false">AU93+IF(Hipótesis!$D$94=5,IF(AU$3=Hipótesis!$D$124,$C$158,0),IF(AU$3=84,$C$134,0))</f>
        <v>0</v>
      </c>
      <c r="AV121" s="111" t="n">
        <f aca="false">AV93+IF(Hipótesis!$D$94=5,IF(AV$3=Hipótesis!$D$124,$C$158,0),IF(AV$3=84,$C$134,0))</f>
        <v>0</v>
      </c>
      <c r="AW121" s="111" t="n">
        <f aca="false">AW93+IF(Hipótesis!$D$94=5,IF(AW$3=Hipótesis!$D$124,$C$158,0),IF(AW$3=84,$C$134,0))</f>
        <v>0</v>
      </c>
      <c r="AX121" s="111" t="n">
        <f aca="false">AX93+IF(Hipótesis!$D$94=5,IF(AX$3=Hipótesis!$D$124,$C$158,0),IF(AX$3=84,$C$134,0))</f>
        <v>551222.712511957</v>
      </c>
      <c r="AY121" s="111" t="n">
        <f aca="false">AY93+IF(Hipótesis!$D$94=5,IF(AY$3=Hipótesis!$D$124,$C$158,0),IF(AY$3=84,$C$134,0))</f>
        <v>0</v>
      </c>
      <c r="AZ121" s="111" t="n">
        <f aca="false">AZ93+IF(Hipótesis!$D$94=5,IF(AZ$3=Hipótesis!$D$124,$C$158,0),IF(AZ$3=84,$C$134,0))</f>
        <v>0</v>
      </c>
      <c r="BA121" s="111" t="n">
        <f aca="false">BA93+IF(Hipótesis!$D$94=5,IF(BA$3=Hipótesis!$D$124,$C$158,0),IF(BA$3=84,$C$134,0))</f>
        <v>0</v>
      </c>
      <c r="BB121" s="111" t="n">
        <f aca="false">BB93+IF(Hipótesis!$D$94=5,IF(BB$3=Hipótesis!$D$124,$C$158,0),IF(BB$3=84,$C$134,0))</f>
        <v>0</v>
      </c>
      <c r="BC121" s="111" t="n">
        <f aca="false">BC93+IF(Hipótesis!$D$94=5,IF(BC$3=Hipótesis!$D$124,$C$158,0),IF(BC$3=84,$C$134,0))</f>
        <v>0</v>
      </c>
      <c r="BD121" s="111" t="n">
        <f aca="false">BD93+IF(Hipótesis!$D$94=5,IF(BD$3=Hipótesis!$D$124,$C$158,0),IF(BD$3=84,$C$134,0))</f>
        <v>0</v>
      </c>
      <c r="BE121" s="111" t="n">
        <f aca="false">BE93+IF(Hipótesis!$D$94=5,IF(BE$3=Hipótesis!$D$124,$C$158,0),IF(BE$3=84,$C$134,0))</f>
        <v>0</v>
      </c>
      <c r="BF121" s="111" t="n">
        <f aca="false">BF93+IF(Hipótesis!$D$94=5,IF(BF$3=Hipótesis!$D$124,$C$158,0),IF(BF$3=84,$C$134,0))</f>
        <v>0</v>
      </c>
      <c r="BG121" s="111" t="n">
        <f aca="false">BG93+IF(Hipótesis!$D$94=5,IF(BG$3=Hipótesis!$D$124,$C$158,0),IF(BG$3=84,$C$134,0))</f>
        <v>0</v>
      </c>
      <c r="BH121" s="111" t="n">
        <f aca="false">BH93+IF(Hipótesis!$D$94=5,IF(BH$3=Hipótesis!$D$124,$C$158,0),IF(BH$3=84,$C$134,0))</f>
        <v>0</v>
      </c>
      <c r="BI121" s="111" t="n">
        <f aca="false">BI93+IF(Hipótesis!$D$94=5,IF(BI$3=Hipótesis!$D$124,$C$158,0),IF(BI$3=84,$C$134,0))</f>
        <v>0</v>
      </c>
      <c r="BJ121" s="111" t="n">
        <f aca="false">BJ93+IF(Hipótesis!$D$94=5,IF(BJ$3=Hipótesis!$D$124,$C$158,0),IF(BJ$3=84,$C$134,0))</f>
        <v>0</v>
      </c>
      <c r="BK121" s="111" t="n">
        <f aca="false">BK93+IF(Hipótesis!$D$94=5,IF(BK$3=Hipótesis!$D$124,$C$158,0),IF(BK$3=84,$C$134,0))</f>
        <v>0</v>
      </c>
      <c r="BL121" s="111" t="n">
        <f aca="false">BL93+IF(Hipótesis!$D$94=5,IF(BL$3=Hipótesis!$D$124,$C$158,0),IF(BL$3=84,$C$134,0))</f>
        <v>0</v>
      </c>
      <c r="BM121" s="111" t="n">
        <f aca="false">BM93+IF(Hipótesis!$D$94=5,IF(BM$3=Hipótesis!$D$124,$C$158,0),IF(BM$3=84,$C$134,0))</f>
        <v>0</v>
      </c>
      <c r="BN121" s="111" t="n">
        <f aca="false">BN93+IF(Hipótesis!$D$94=5,IF(BN$3=Hipótesis!$D$124,$C$158,0),IF(BN$3=84,$C$134,0))</f>
        <v>0</v>
      </c>
      <c r="BO121" s="111" t="n">
        <f aca="false">BO93+IF(Hipótesis!$D$94=5,IF(BO$3=Hipótesis!$D$124,$C$158,0),IF(BO$3=84,$C$134,0))</f>
        <v>0</v>
      </c>
      <c r="BP121" s="111" t="n">
        <f aca="false">BP93+IF(Hipótesis!$D$94=5,IF(BP$3=Hipótesis!$D$124,$C$158,0),IF(BP$3=84,$C$134,0))</f>
        <v>0</v>
      </c>
      <c r="BQ121" s="111" t="n">
        <f aca="false">BQ93+IF(Hipótesis!$D$94=5,IF(BQ$3=Hipótesis!$D$124,$C$158,0),IF(BQ$3=84,$C$134,0))</f>
        <v>0</v>
      </c>
      <c r="BR121" s="111" t="n">
        <f aca="false">BR93+IF(Hipótesis!$D$94=5,IF(BR$3=Hipótesis!$D$124,$C$158,0),IF(BR$3=84,$C$134,0))</f>
        <v>0</v>
      </c>
      <c r="BS121" s="111" t="n">
        <f aca="false">BS93+IF(Hipótesis!$D$94=5,IF(BS$3=Hipótesis!$D$124,$C$158,0),IF(BS$3=84,$C$134,0))</f>
        <v>0</v>
      </c>
      <c r="BT121" s="111" t="n">
        <f aca="false">BT93+IF(Hipótesis!$D$94=5,IF(BT$3=Hipótesis!$D$124,$C$158,0),IF(BT$3=84,$C$134,0))</f>
        <v>0</v>
      </c>
      <c r="BU121" s="111" t="n">
        <f aca="false">BU93+IF(Hipótesis!$D$94=5,IF(BU$3=Hipótesis!$D$124,$C$158,0),IF(BU$3=84,$C$134,0))</f>
        <v>0</v>
      </c>
      <c r="BV121" s="111" t="n">
        <f aca="false">BV93+IF(Hipótesis!$D$94=5,IF(BV$3=Hipótesis!$D$124,$C$158,0),IF(BV$3=84,$C$134,0))</f>
        <v>0</v>
      </c>
      <c r="BW121" s="111" t="n">
        <f aca="false">BW93+IF(Hipótesis!$D$94=5,IF(BW$3=Hipótesis!$D$124,$C$158,0),IF(BW$3=84,$C$134,0))</f>
        <v>0</v>
      </c>
      <c r="BX121" s="111" t="n">
        <f aca="false">BX93+IF(Hipótesis!$D$94=5,IF(BX$3=Hipótesis!$D$124,$C$158,0),IF(BX$3=84,$C$134,0))</f>
        <v>0</v>
      </c>
      <c r="BY121" s="111" t="n">
        <f aca="false">BY93+IF(Hipótesis!$D$94=5,IF(BY$3=Hipótesis!$D$124,$C$158,0),IF(BY$3=84,$C$134,0))</f>
        <v>0</v>
      </c>
      <c r="BZ121" s="111" t="n">
        <f aca="false">BZ93+IF(Hipótesis!$D$94=5,IF(BZ$3=Hipótesis!$D$124,$C$158,0),IF(BZ$3=84,$C$134,0))</f>
        <v>0</v>
      </c>
      <c r="CA121" s="111" t="n">
        <f aca="false">CA93+IF(Hipótesis!$D$94=5,IF(CA$3=Hipótesis!$D$124,$C$158,0),IF(CA$3=84,$C$134,0))</f>
        <v>0</v>
      </c>
      <c r="CB121" s="111" t="n">
        <f aca="false">CB93+IF(Hipótesis!$D$94=5,IF(CB$3=Hipótesis!$D$124,$C$158,0),IF(CB$3=84,$C$134,0))</f>
        <v>0</v>
      </c>
      <c r="CC121" s="111" t="n">
        <f aca="false">CC93+IF(Hipótesis!$D$94=5,IF(CC$3=Hipótesis!$D$124,$C$158,0),IF(CC$3=84,$C$134,0))</f>
        <v>0</v>
      </c>
      <c r="CD121" s="111" t="n">
        <f aca="false">CD93+IF(Hipótesis!$D$94=5,IF(CD$3=Hipótesis!$D$124,$C$158,0),IF(CD$3=84,$C$134,0))</f>
        <v>0</v>
      </c>
      <c r="CE121" s="111" t="n">
        <f aca="false">CE93+IF(Hipótesis!$D$94=5,IF(CE$3=Hipótesis!$D$124,$C$158,0),IF(CE$3=84,$C$134,0))</f>
        <v>0</v>
      </c>
      <c r="CF121" s="111" t="n">
        <f aca="false">CF93+IF(Hipótesis!$D$94=5,IF(CF$3=Hipótesis!$D$124,$C$158,0),IF(CF$3=84,$C$134,0))</f>
        <v>0</v>
      </c>
      <c r="CG121" s="111" t="n">
        <f aca="false">CG93+IF(Hipótesis!$D$94=5,IF(CG$3=Hipótesis!$D$124,$C$158,0),IF(CG$3=84,$C$134,0))</f>
        <v>0</v>
      </c>
      <c r="CH121" s="111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6" t="s">
        <v>590</v>
      </c>
      <c r="B122" s="100" t="n">
        <f aca="false">Hipótesis!$D$122</f>
        <v>200000</v>
      </c>
      <c r="C122" s="100" t="n">
        <f aca="false">-C106-IF(Hipótesis!$D$94=5,IF(C$3=Hipótesis!$D$124,$C$158,0),IF(C$3=84,$C$134,0))</f>
        <v>-333.333333333333</v>
      </c>
      <c r="D122" s="100" t="n">
        <f aca="false">-D106-IF(Hipótesis!$D$94=5,IF(D$3=Hipótesis!$D$124,$C$158,0),IF(D$3=84,$C$134,0))</f>
        <v>-333.333333333333</v>
      </c>
      <c r="E122" s="100" t="n">
        <f aca="false">-E106-IF(Hipótesis!$D$94=5,IF(E$3=Hipótesis!$D$124,$C$158,0),IF(E$3=84,$C$134,0))</f>
        <v>-333.333333333333</v>
      </c>
      <c r="F122" s="100" t="n">
        <f aca="false">-F106-IF(Hipótesis!$D$94=5,IF(F$3=Hipótesis!$D$124,$C$158,0),IF(F$3=84,$C$134,0))</f>
        <v>-333.333333333333</v>
      </c>
      <c r="G122" s="100" t="n">
        <f aca="false">-G106-IF(Hipótesis!$D$94=5,IF(G$3=Hipótesis!$D$124,$C$158,0),IF(G$3=84,$C$134,0))</f>
        <v>-333.333333333333</v>
      </c>
      <c r="H122" s="100" t="n">
        <f aca="false">-H106-IF(Hipótesis!$D$94=5,IF(H$3=Hipótesis!$D$124,$C$158,0),IF(H$3=84,$C$134,0))</f>
        <v>-333.333333333333</v>
      </c>
      <c r="I122" s="100" t="n">
        <f aca="false">-I106-IF(Hipótesis!$D$94=5,IF(I$3=Hipótesis!$D$124,$C$158,0),IF(I$3=84,$C$134,0))</f>
        <v>-333.333333333333</v>
      </c>
      <c r="J122" s="100" t="n">
        <f aca="false">-J106-IF(Hipótesis!$D$94=5,IF(J$3=Hipótesis!$D$124,$C$158,0),IF(J$3=84,$C$134,0))</f>
        <v>-379.028703539617</v>
      </c>
      <c r="K122" s="100" t="n">
        <f aca="false">-K106-IF(Hipótesis!$D$94=5,IF(K$3=Hipótesis!$D$124,$C$158,0),IF(K$3=84,$C$134,0))</f>
        <v>-453.95563524641</v>
      </c>
      <c r="L122" s="100" t="n">
        <f aca="false">-L106-IF(Hipótesis!$D$94=5,IF(L$3=Hipótesis!$D$124,$C$158,0),IF(L$3=84,$C$134,0))</f>
        <v>-528.882566953204</v>
      </c>
      <c r="M122" s="100" t="n">
        <f aca="false">-M106-IF(Hipótesis!$D$94=5,IF(M$3=Hipótesis!$D$124,$C$158,0),IF(M$3=84,$C$134,0))</f>
        <v>-579.039238218851</v>
      </c>
      <c r="N122" s="100" t="n">
        <f aca="false">-N106-IF(Hipótesis!$D$94=5,IF(N$3=Hipótesis!$D$124,$C$158,0),IF(N$3=84,$C$134,0))</f>
        <v>-648.214175345461</v>
      </c>
      <c r="O122" s="100" t="n">
        <f aca="false">-O106-IF(Hipótesis!$D$94=5,IF(O$3=Hipótesis!$D$124,$C$158,0),IF(O$3=84,$C$134,0))</f>
        <v>-612.845112472071</v>
      </c>
      <c r="P122" s="100" t="n">
        <f aca="false">-P106-IF(Hipótesis!$D$94=5,IF(P$3=Hipótesis!$D$124,$C$158,0),IF(P$3=84,$C$134,0))</f>
        <v>-674.827985351155</v>
      </c>
      <c r="Q122" s="100" t="n">
        <f aca="false">-Q106-IF(Hipótesis!$D$94=5,IF(Q$3=Hipótesis!$D$124,$C$158,0),IF(Q$3=84,$C$134,0))</f>
        <v>-736.810858230238</v>
      </c>
      <c r="R122" s="100" t="n">
        <f aca="false">-R106-IF(Hipótesis!$D$94=5,IF(R$3=Hipótesis!$D$124,$C$158,0),IF(R$3=84,$C$134,0))</f>
        <v>-798.793731109321</v>
      </c>
      <c r="S122" s="100" t="n">
        <f aca="false">-S106-IF(Hipótesis!$D$94=5,IF(S$3=Hipótesis!$D$124,$C$158,0),IF(S$3=84,$C$134,0))</f>
        <v>-860.776603988405</v>
      </c>
      <c r="T122" s="100" t="n">
        <f aca="false">-T106-IF(Hipótesis!$D$94=5,IF(T$3=Hipótesis!$D$124,$C$158,0),IF(T$3=84,$C$134,0))</f>
        <v>-922.759476867488</v>
      </c>
      <c r="U122" s="100" t="n">
        <f aca="false">-U106-IF(Hipótesis!$D$94=5,IF(U$3=Hipótesis!$D$124,$C$158,0),IF(U$3=84,$C$134,0))</f>
        <v>-938.515949746571</v>
      </c>
      <c r="V122" s="100" t="n">
        <f aca="false">-V106-IF(Hipótesis!$D$94=5,IF(V$3=Hipótesis!$D$124,$C$158,0),IF(V$3=84,$C$134,0))</f>
        <v>-946.114822625655</v>
      </c>
      <c r="W122" s="100" t="n">
        <f aca="false">-W106-IF(Hipótesis!$D$94=5,IF(W$3=Hipótesis!$D$124,$C$158,0),IF(W$3=84,$C$134,0))</f>
        <v>-1008.09769550474</v>
      </c>
      <c r="X122" s="100" t="n">
        <f aca="false">-X106-IF(Hipótesis!$D$94=5,IF(X$3=Hipótesis!$D$124,$C$158,0),IF(X$3=84,$C$134,0))</f>
        <v>-1051.06230252286</v>
      </c>
      <c r="Y122" s="100" t="n">
        <f aca="false">-Y106-IF(Hipótesis!$D$94=5,IF(Y$3=Hipótesis!$D$124,$C$158,0),IF(Y$3=84,$C$134,0))</f>
        <v>-1094.02690954098</v>
      </c>
      <c r="Z122" s="100" t="n">
        <f aca="false">-Z106-IF(Hipótesis!$D$94=5,IF(Z$3=Hipótesis!$D$124,$C$158,0),IF(Z$3=84,$C$134,0))</f>
        <v>-1130.01844021471</v>
      </c>
      <c r="AA122" s="100" t="n">
        <f aca="false">-AA106-IF(Hipótesis!$D$94=5,IF(AA$3=Hipótesis!$D$124,$C$158,0),IF(AA$3=84,$C$134,0))</f>
        <v>-2788.42680555511</v>
      </c>
      <c r="AB122" s="100" t="n">
        <f aca="false">-AB106-IF(Hipótesis!$D$94=5,IF(AB$3=Hipótesis!$D$124,$C$158,0),IF(AB$3=84,$C$134,0))</f>
        <v>-2818.86278067329</v>
      </c>
      <c r="AC122" s="100" t="n">
        <f aca="false">-AC106-IF(Hipótesis!$D$94=5,IF(AC$3=Hipótesis!$D$124,$C$158,0),IF(AC$3=84,$C$134,0))</f>
        <v>-2849.29875579147</v>
      </c>
      <c r="AD122" s="100" t="n">
        <f aca="false">-AD106-IF(Hipótesis!$D$94=5,IF(AD$3=Hipótesis!$D$124,$C$158,0),IF(AD$3=84,$C$134,0))</f>
        <v>-2879.73473090965</v>
      </c>
      <c r="AE122" s="100" t="n">
        <f aca="false">-AE106-IF(Hipótesis!$D$94=5,IF(AE$3=Hipótesis!$D$124,$C$158,0),IF(AE$3=84,$C$134,0))</f>
        <v>-2910.17070602783</v>
      </c>
      <c r="AF122" s="100" t="n">
        <f aca="false">-AF106-IF(Hipótesis!$D$94=5,IF(AF$3=Hipótesis!$D$124,$C$158,0),IF(AF$3=84,$C$134,0))</f>
        <v>-2940.60668114601</v>
      </c>
      <c r="AG122" s="100" t="n">
        <f aca="false">-AG106-IF(Hipótesis!$D$94=5,IF(AG$3=Hipótesis!$D$124,$C$158,0),IF(AG$3=84,$C$134,0))</f>
        <v>-2971.04265626419</v>
      </c>
      <c r="AH122" s="100" t="n">
        <f aca="false">-AH106-IF(Hipótesis!$D$94=5,IF(AH$3=Hipótesis!$D$124,$C$158,0),IF(AH$3=84,$C$134,0))</f>
        <v>-2953.86543938237</v>
      </c>
      <c r="AI122" s="100" t="n">
        <f aca="false">-AI106-IF(Hipótesis!$D$94=5,IF(AI$3=Hipótesis!$D$124,$C$158,0),IF(AI$3=84,$C$134,0))</f>
        <v>-2984.30141450055</v>
      </c>
      <c r="AJ122" s="100" t="n">
        <f aca="false">-AJ106-IF(Hipótesis!$D$94=5,IF(AJ$3=Hipótesis!$D$124,$C$158,0),IF(AJ$3=84,$C$134,0))</f>
        <v>-3014.73738961873</v>
      </c>
      <c r="AK122" s="100" t="n">
        <f aca="false">-AK106-IF(Hipótesis!$D$94=5,IF(AK$3=Hipótesis!$D$124,$C$158,0),IF(AK$3=84,$C$134,0))</f>
        <v>-3045.17336473691</v>
      </c>
      <c r="AL122" s="100" t="n">
        <f aca="false">-AL106-IF(Hipótesis!$D$94=5,IF(AL$3=Hipótesis!$D$124,$C$158,0),IF(AL$3=84,$C$134,0))</f>
        <v>-3075.60933985509</v>
      </c>
      <c r="AM122" s="100" t="n">
        <f aca="false">-AM106-IF(Hipótesis!$D$94=5,IF(AM$3=Hipótesis!$D$124,$C$158,0),IF(AM$3=84,$C$134,0))</f>
        <v>-3060.22759225326</v>
      </c>
      <c r="AN122" s="100" t="n">
        <f aca="false">-AN106-IF(Hipótesis!$D$94=5,IF(AN$3=Hipótesis!$D$124,$C$158,0),IF(AN$3=84,$C$134,0))</f>
        <v>-3090.66356737144</v>
      </c>
      <c r="AO122" s="100" t="n">
        <f aca="false">-AO106-IF(Hipótesis!$D$94=5,IF(AO$3=Hipótesis!$D$124,$C$158,0),IF(AO$3=84,$C$134,0))</f>
        <v>-3121.09954248962</v>
      </c>
      <c r="AP122" s="100" t="n">
        <f aca="false">-AP106-IF(Hipótesis!$D$94=5,IF(AP$3=Hipótesis!$D$124,$C$158,0),IF(AP$3=84,$C$134,0))</f>
        <v>-3151.5355176078</v>
      </c>
      <c r="AQ122" s="100" t="n">
        <f aca="false">-AQ106-IF(Hipótesis!$D$94=5,IF(AQ$3=Hipótesis!$D$124,$C$158,0),IF(AQ$3=84,$C$134,0))</f>
        <v>-3181.97149272598</v>
      </c>
      <c r="AR122" s="100" t="n">
        <f aca="false">-AR106-IF(Hipótesis!$D$94=5,IF(AR$3=Hipótesis!$D$124,$C$158,0),IF(AR$3=84,$C$134,0))</f>
        <v>-3212.40746784416</v>
      </c>
      <c r="AS122" s="100" t="n">
        <f aca="false">-AS106-IF(Hipótesis!$D$94=5,IF(AS$3=Hipótesis!$D$124,$C$158,0),IF(AS$3=84,$C$134,0))</f>
        <v>-3206.85191228861</v>
      </c>
      <c r="AT122" s="100" t="n">
        <f aca="false">-AT106-IF(Hipótesis!$D$94=5,IF(AT$3=Hipótesis!$D$124,$C$158,0),IF(AT$3=84,$C$134,0))</f>
        <v>-3201.29635673305</v>
      </c>
      <c r="AU122" s="100" t="n">
        <f aca="false">-AU106-IF(Hipótesis!$D$94=5,IF(AU$3=Hipótesis!$D$124,$C$158,0),IF(AU$3=84,$C$134,0))</f>
        <v>-3195.74080117749</v>
      </c>
      <c r="AV122" s="100" t="n">
        <f aca="false">-AV106-IF(Hipótesis!$D$94=5,IF(AV$3=Hipótesis!$D$124,$C$158,0),IF(AV$3=84,$C$134,0))</f>
        <v>-3190.18524562194</v>
      </c>
      <c r="AW122" s="100" t="n">
        <f aca="false">-AW106-IF(Hipótesis!$D$94=5,IF(AW$3=Hipótesis!$D$124,$C$158,0),IF(AW$3=84,$C$134,0))</f>
        <v>-3184.62969006638</v>
      </c>
      <c r="AX122" s="100" t="n">
        <f aca="false">-AX106-IF(Hipótesis!$D$94=5,IF(AX$3=Hipótesis!$D$124,$C$158,0),IF(AX$3=84,$C$134,0))</f>
        <v>-554401.786646468</v>
      </c>
      <c r="AY122" s="100" t="n">
        <f aca="false">-AY106-IF(Hipótesis!$D$94=5,IF(AY$3=Hipótesis!$D$124,$C$158,0),IF(AY$3=84,$C$134,0))</f>
        <v>-3127.51432455367</v>
      </c>
      <c r="AZ122" s="100" t="n">
        <f aca="false">-AZ106-IF(Hipótesis!$D$94=5,IF(AZ$3=Hipótesis!$D$124,$C$158,0),IF(AZ$3=84,$C$134,0))</f>
        <v>-3121.95876899812</v>
      </c>
      <c r="BA122" s="100" t="n">
        <f aca="false">-BA106-IF(Hipótesis!$D$94=5,IF(BA$3=Hipótesis!$D$124,$C$158,0),IF(BA$3=84,$C$134,0))</f>
        <v>-3116.40321344256</v>
      </c>
      <c r="BB122" s="100" t="n">
        <f aca="false">-BB106-IF(Hipótesis!$D$94=5,IF(BB$3=Hipótesis!$D$124,$C$158,0),IF(BB$3=84,$C$134,0))</f>
        <v>-3110.84765788701</v>
      </c>
      <c r="BC122" s="100" t="n">
        <f aca="false">-BC106-IF(Hipótesis!$D$94=5,IF(BC$3=Hipótesis!$D$124,$C$158,0),IF(BC$3=84,$C$134,0))</f>
        <v>-3105.29210233145</v>
      </c>
      <c r="BD122" s="100" t="n">
        <f aca="false">-BD106-IF(Hipótesis!$D$94=5,IF(BD$3=Hipótesis!$D$124,$C$158,0),IF(BD$3=84,$C$134,0))</f>
        <v>-3099.73654677589</v>
      </c>
      <c r="BE122" s="100" t="n">
        <f aca="false">-BE106-IF(Hipótesis!$D$94=5,IF(BE$3=Hipótesis!$D$124,$C$158,0),IF(BE$3=84,$C$134,0))</f>
        <v>-3094.18099122034</v>
      </c>
      <c r="BF122" s="100" t="n">
        <f aca="false">-BF106-IF(Hipótesis!$D$94=5,IF(BF$3=Hipótesis!$D$124,$C$158,0),IF(BF$3=84,$C$134,0))</f>
        <v>-3088.62543566478</v>
      </c>
      <c r="BG122" s="100" t="n">
        <f aca="false">-BG106-IF(Hipótesis!$D$94=5,IF(BG$3=Hipótesis!$D$124,$C$158,0),IF(BG$3=84,$C$134,0))</f>
        <v>-3083.06988010923</v>
      </c>
      <c r="BH122" s="100" t="n">
        <f aca="false">-BH106-IF(Hipótesis!$D$94=5,IF(BH$3=Hipótesis!$D$124,$C$158,0),IF(BH$3=84,$C$134,0))</f>
        <v>-3077.51432455367</v>
      </c>
      <c r="BI122" s="100" t="n">
        <f aca="false">-BI106-IF(Hipótesis!$D$94=5,IF(BI$3=Hipótesis!$D$124,$C$158,0),IF(BI$3=84,$C$134,0))</f>
        <v>-3071.95876899812</v>
      </c>
      <c r="BJ122" s="100" t="n">
        <f aca="false">-BJ106-IF(Hipótesis!$D$94=5,IF(BJ$3=Hipótesis!$D$124,$C$158,0),IF(BJ$3=84,$C$134,0))</f>
        <v>-3066.40321344256</v>
      </c>
      <c r="BK122" s="100" t="n">
        <f aca="false">-BK106-IF(Hipótesis!$D$94=5,IF(BK$3=Hipótesis!$D$124,$C$158,0),IF(BK$3=84,$C$134,0))</f>
        <v>-3014.65127585336</v>
      </c>
      <c r="BL122" s="100" t="n">
        <f aca="false">-BL106-IF(Hipótesis!$D$94=5,IF(BL$3=Hipótesis!$D$124,$C$158,0),IF(BL$3=84,$C$134,0))</f>
        <v>-3009.0957202978</v>
      </c>
      <c r="BM122" s="100" t="n">
        <f aca="false">-BM106-IF(Hipótesis!$D$94=5,IF(BM$3=Hipótesis!$D$124,$C$158,0),IF(BM$3=84,$C$134,0))</f>
        <v>-3003.54016474225</v>
      </c>
      <c r="BN122" s="100" t="n">
        <f aca="false">-BN106-IF(Hipótesis!$D$94=5,IF(BN$3=Hipótesis!$D$124,$C$158,0),IF(BN$3=84,$C$134,0))</f>
        <v>-2997.98460918669</v>
      </c>
      <c r="BO122" s="100" t="n">
        <f aca="false">-BO106-IF(Hipótesis!$D$94=5,IF(BO$3=Hipótesis!$D$124,$C$158,0),IF(BO$3=84,$C$134,0))</f>
        <v>-2992.42905363113</v>
      </c>
      <c r="BP122" s="100" t="n">
        <f aca="false">-BP106-IF(Hipótesis!$D$94=5,IF(BP$3=Hipótesis!$D$124,$C$158,0),IF(BP$3=84,$C$134,0))</f>
        <v>-2986.87349807558</v>
      </c>
      <c r="BQ122" s="100" t="n">
        <f aca="false">-BQ106-IF(Hipótesis!$D$94=5,IF(BQ$3=Hipótesis!$D$124,$C$158,0),IF(BQ$3=84,$C$134,0))</f>
        <v>-2981.31794252002</v>
      </c>
      <c r="BR122" s="100" t="n">
        <f aca="false">-BR106-IF(Hipótesis!$D$94=5,IF(BR$3=Hipótesis!$D$124,$C$158,0),IF(BR$3=84,$C$134,0))</f>
        <v>-2975.76238696447</v>
      </c>
      <c r="BS122" s="100" t="n">
        <f aca="false">-BS106-IF(Hipótesis!$D$94=5,IF(BS$3=Hipótesis!$D$124,$C$158,0),IF(BS$3=84,$C$134,0))</f>
        <v>-2970.20683140891</v>
      </c>
      <c r="BT122" s="100" t="n">
        <f aca="false">-BT106-IF(Hipótesis!$D$94=5,IF(BT$3=Hipótesis!$D$124,$C$158,0),IF(BT$3=84,$C$134,0))</f>
        <v>-2964.65127585336</v>
      </c>
      <c r="BU122" s="100" t="n">
        <f aca="false">-BU106-IF(Hipótesis!$D$94=5,IF(BU$3=Hipótesis!$D$124,$C$158,0),IF(BU$3=84,$C$134,0))</f>
        <v>-2959.0957202978</v>
      </c>
      <c r="BV122" s="100" t="n">
        <f aca="false">-BV106-IF(Hipótesis!$D$94=5,IF(BV$3=Hipótesis!$D$124,$C$158,0),IF(BV$3=84,$C$134,0))</f>
        <v>-2953.54016474225</v>
      </c>
      <c r="BW122" s="100" t="n">
        <f aca="false">-BW106-IF(Hipótesis!$D$94=5,IF(BW$3=Hipótesis!$D$124,$C$158,0),IF(BW$3=84,$C$134,0))</f>
        <v>-2901.59033569203</v>
      </c>
      <c r="BX122" s="100" t="n">
        <f aca="false">-BX106-IF(Hipótesis!$D$94=5,IF(BX$3=Hipótesis!$D$124,$C$158,0),IF(BX$3=84,$C$134,0))</f>
        <v>-2896.03478013648</v>
      </c>
      <c r="BY122" s="100" t="n">
        <f aca="false">-BY106-IF(Hipótesis!$D$94=5,IF(BY$3=Hipótesis!$D$124,$C$158,0),IF(BY$3=84,$C$134,0))</f>
        <v>-2890.47922458092</v>
      </c>
      <c r="BZ122" s="100" t="n">
        <f aca="false">-BZ106-IF(Hipótesis!$D$94=5,IF(BZ$3=Hipótesis!$D$124,$C$158,0),IF(BZ$3=84,$C$134,0))</f>
        <v>-2884.92366902537</v>
      </c>
      <c r="CA122" s="100" t="n">
        <f aca="false">-CA106-IF(Hipótesis!$D$94=5,IF(CA$3=Hipótesis!$D$124,$C$158,0),IF(CA$3=84,$C$134,0))</f>
        <v>-2879.36811346981</v>
      </c>
      <c r="CB122" s="100" t="n">
        <f aca="false">-CB106-IF(Hipótesis!$D$94=5,IF(CB$3=Hipótesis!$D$124,$C$158,0),IF(CB$3=84,$C$134,0))</f>
        <v>-2873.81255791426</v>
      </c>
      <c r="CC122" s="100" t="n">
        <f aca="false">-CC106-IF(Hipótesis!$D$94=5,IF(CC$3=Hipótesis!$D$124,$C$158,0),IF(CC$3=84,$C$134,0))</f>
        <v>-2868.2570023587</v>
      </c>
      <c r="CD122" s="100" t="n">
        <f aca="false">-CD106-IF(Hipótesis!$D$94=5,IF(CD$3=Hipótesis!$D$124,$C$158,0),IF(CD$3=84,$C$134,0))</f>
        <v>-2862.70144680314</v>
      </c>
      <c r="CE122" s="100" t="n">
        <f aca="false">-CE106-IF(Hipótesis!$D$94=5,IF(CE$3=Hipótesis!$D$124,$C$158,0),IF(CE$3=84,$C$134,0))</f>
        <v>-2857.14589124759</v>
      </c>
      <c r="CF122" s="100" t="n">
        <f aca="false">-CF106-IF(Hipótesis!$D$94=5,IF(CF$3=Hipótesis!$D$124,$C$158,0),IF(CF$3=84,$C$134,0))</f>
        <v>-2851.59033569203</v>
      </c>
      <c r="CG122" s="100" t="n">
        <f aca="false">-CG106-IF(Hipótesis!$D$94=5,IF(CG$3=Hipótesis!$D$124,$C$158,0),IF(CG$3=84,$C$134,0))</f>
        <v>-2846.03478013648</v>
      </c>
      <c r="CH122" s="100" t="n">
        <f aca="false">-CH106-IF(Hipótesis!$D$94=5,IF(CH$3=Hipótesis!$D$124,$C$158,0),IF(CH$3=84,$C$134,0))</f>
        <v>-2840.47922458086</v>
      </c>
    </row>
    <row r="123" customFormat="false" ht="12.75" hidden="false" customHeight="true" outlineLevel="0" collapsed="false">
      <c r="A123" s="6" t="s">
        <v>591</v>
      </c>
      <c r="B123" s="100" t="n">
        <f aca="false">-Hipótesis!$D$105</f>
        <v>-100000</v>
      </c>
      <c r="C123" s="100" t="n">
        <f aca="false">C99</f>
        <v>333.333333333333</v>
      </c>
      <c r="D123" s="100" t="n">
        <f aca="false">D99</f>
        <v>333.333333333333</v>
      </c>
      <c r="E123" s="100" t="n">
        <f aca="false">E99</f>
        <v>333.333333333333</v>
      </c>
      <c r="F123" s="100" t="n">
        <f aca="false">F99</f>
        <v>333.333333333333</v>
      </c>
      <c r="G123" s="100" t="n">
        <f aca="false">G99</f>
        <v>333.333333333333</v>
      </c>
      <c r="H123" s="100" t="n">
        <f aca="false">H99</f>
        <v>333.333333333333</v>
      </c>
      <c r="I123" s="100" t="n">
        <f aca="false">I99</f>
        <v>333.333333333333</v>
      </c>
      <c r="J123" s="100" t="n">
        <f aca="false">J99</f>
        <v>379.028703539617</v>
      </c>
      <c r="K123" s="100" t="n">
        <f aca="false">K99</f>
        <v>453.95563524641</v>
      </c>
      <c r="L123" s="100" t="n">
        <f aca="false">L99</f>
        <v>528.882566953204</v>
      </c>
      <c r="M123" s="100" t="n">
        <f aca="false">M99</f>
        <v>579.039238218851</v>
      </c>
      <c r="N123" s="100" t="n">
        <f aca="false">N99</f>
        <v>648.214175345461</v>
      </c>
      <c r="O123" s="100" t="n">
        <f aca="false">O99</f>
        <v>612.845112472071</v>
      </c>
      <c r="P123" s="100" t="n">
        <f aca="false">P99</f>
        <v>674.827985351155</v>
      </c>
      <c r="Q123" s="100" t="n">
        <f aca="false">Q99</f>
        <v>736.810858230238</v>
      </c>
      <c r="R123" s="100" t="n">
        <f aca="false">R99</f>
        <v>798.793731109321</v>
      </c>
      <c r="S123" s="100" t="n">
        <f aca="false">S99</f>
        <v>860.776603988405</v>
      </c>
      <c r="T123" s="100" t="n">
        <f aca="false">T99</f>
        <v>922.759476867488</v>
      </c>
      <c r="U123" s="100" t="n">
        <f aca="false">U99</f>
        <v>938.515949746571</v>
      </c>
      <c r="V123" s="100" t="n">
        <f aca="false">V99</f>
        <v>946.114822625655</v>
      </c>
      <c r="W123" s="100" t="n">
        <f aca="false">W99</f>
        <v>1008.09769550474</v>
      </c>
      <c r="X123" s="100" t="n">
        <f aca="false">X99</f>
        <v>1051.06230252286</v>
      </c>
      <c r="Y123" s="100" t="n">
        <f aca="false">Y99</f>
        <v>1094.02690954098</v>
      </c>
      <c r="Z123" s="100" t="n">
        <f aca="false">Z99</f>
        <v>1130.01844021471</v>
      </c>
      <c r="AA123" s="100" t="n">
        <f aca="false">AA99</f>
        <v>2788.42680555511</v>
      </c>
      <c r="AB123" s="100" t="n">
        <f aca="false">AB99</f>
        <v>2818.86278067329</v>
      </c>
      <c r="AC123" s="100" t="n">
        <f aca="false">AC99</f>
        <v>2849.29875579147</v>
      </c>
      <c r="AD123" s="100" t="n">
        <f aca="false">AD99</f>
        <v>2879.73473090965</v>
      </c>
      <c r="AE123" s="100" t="n">
        <f aca="false">AE99</f>
        <v>2910.17070602783</v>
      </c>
      <c r="AF123" s="100" t="n">
        <f aca="false">AF99</f>
        <v>2940.60668114601</v>
      </c>
      <c r="AG123" s="100" t="n">
        <f aca="false">AG99</f>
        <v>2971.04265626419</v>
      </c>
      <c r="AH123" s="100" t="n">
        <f aca="false">AH99</f>
        <v>2953.86543938237</v>
      </c>
      <c r="AI123" s="100" t="n">
        <f aca="false">AI99</f>
        <v>2984.30141450055</v>
      </c>
      <c r="AJ123" s="100" t="n">
        <f aca="false">AJ99</f>
        <v>3014.73738961873</v>
      </c>
      <c r="AK123" s="100" t="n">
        <f aca="false">AK99</f>
        <v>3045.17336473691</v>
      </c>
      <c r="AL123" s="100" t="n">
        <f aca="false">AL99</f>
        <v>3075.60933985509</v>
      </c>
      <c r="AM123" s="100" t="n">
        <f aca="false">AM99</f>
        <v>3060.22759225326</v>
      </c>
      <c r="AN123" s="100" t="n">
        <f aca="false">AN99</f>
        <v>3090.66356737144</v>
      </c>
      <c r="AO123" s="100" t="n">
        <f aca="false">AO99</f>
        <v>3121.09954248962</v>
      </c>
      <c r="AP123" s="100" t="n">
        <f aca="false">AP99</f>
        <v>3151.5355176078</v>
      </c>
      <c r="AQ123" s="100" t="n">
        <f aca="false">AQ99</f>
        <v>3181.97149272598</v>
      </c>
      <c r="AR123" s="100" t="n">
        <f aca="false">AR99</f>
        <v>3212.40746784416</v>
      </c>
      <c r="AS123" s="100" t="n">
        <f aca="false">AS99</f>
        <v>3206.85191228861</v>
      </c>
      <c r="AT123" s="100" t="n">
        <f aca="false">AT99</f>
        <v>3201.29635673305</v>
      </c>
      <c r="AU123" s="100" t="n">
        <f aca="false">AU99</f>
        <v>3195.74080117749</v>
      </c>
      <c r="AV123" s="100" t="n">
        <f aca="false">AV99</f>
        <v>3190.18524562194</v>
      </c>
      <c r="AW123" s="100" t="n">
        <f aca="false">AW99</f>
        <v>3184.62969006638</v>
      </c>
      <c r="AX123" s="100" t="n">
        <f aca="false">AX99</f>
        <v>3179.07413451083</v>
      </c>
      <c r="AY123" s="100" t="n">
        <f aca="false">AY99</f>
        <v>3127.51432455367</v>
      </c>
      <c r="AZ123" s="100" t="n">
        <f aca="false">AZ99</f>
        <v>3121.95876899812</v>
      </c>
      <c r="BA123" s="100" t="n">
        <f aca="false">BA99</f>
        <v>3116.40321344256</v>
      </c>
      <c r="BB123" s="100" t="n">
        <f aca="false">BB99</f>
        <v>3110.84765788701</v>
      </c>
      <c r="BC123" s="100" t="n">
        <f aca="false">BC99</f>
        <v>3105.29210233145</v>
      </c>
      <c r="BD123" s="100" t="n">
        <f aca="false">BD99</f>
        <v>3099.73654677589</v>
      </c>
      <c r="BE123" s="100" t="n">
        <f aca="false">BE99</f>
        <v>3094.18099122034</v>
      </c>
      <c r="BF123" s="100" t="n">
        <f aca="false">BF99</f>
        <v>3088.62543566478</v>
      </c>
      <c r="BG123" s="100" t="n">
        <f aca="false">BG99</f>
        <v>3083.06988010923</v>
      </c>
      <c r="BH123" s="100" t="n">
        <f aca="false">BH99</f>
        <v>3077.51432455367</v>
      </c>
      <c r="BI123" s="100" t="n">
        <f aca="false">BI99</f>
        <v>3071.95876899812</v>
      </c>
      <c r="BJ123" s="100" t="n">
        <f aca="false">BJ99</f>
        <v>3066.40321344256</v>
      </c>
      <c r="BK123" s="100" t="n">
        <f aca="false">BK99</f>
        <v>3014.65127585336</v>
      </c>
      <c r="BL123" s="100" t="n">
        <f aca="false">BL99</f>
        <v>3009.0957202978</v>
      </c>
      <c r="BM123" s="100" t="n">
        <f aca="false">BM99</f>
        <v>3003.54016474225</v>
      </c>
      <c r="BN123" s="100" t="n">
        <f aca="false">BN99</f>
        <v>2997.98460918669</v>
      </c>
      <c r="BO123" s="100" t="n">
        <f aca="false">BO99</f>
        <v>2992.42905363113</v>
      </c>
      <c r="BP123" s="100" t="n">
        <f aca="false">BP99</f>
        <v>2986.87349807558</v>
      </c>
      <c r="BQ123" s="100" t="n">
        <f aca="false">BQ99</f>
        <v>2981.31794252002</v>
      </c>
      <c r="BR123" s="100" t="n">
        <f aca="false">BR99</f>
        <v>2975.76238696447</v>
      </c>
      <c r="BS123" s="100" t="n">
        <f aca="false">BS99</f>
        <v>2970.20683140891</v>
      </c>
      <c r="BT123" s="100" t="n">
        <f aca="false">BT99</f>
        <v>2964.65127585336</v>
      </c>
      <c r="BU123" s="100" t="n">
        <f aca="false">BU99</f>
        <v>2959.0957202978</v>
      </c>
      <c r="BV123" s="100" t="n">
        <f aca="false">BV99</f>
        <v>2953.54016474225</v>
      </c>
      <c r="BW123" s="100" t="n">
        <f aca="false">BW99</f>
        <v>2901.59033569203</v>
      </c>
      <c r="BX123" s="100" t="n">
        <f aca="false">BX99</f>
        <v>2896.03478013648</v>
      </c>
      <c r="BY123" s="100" t="n">
        <f aca="false">BY99</f>
        <v>2890.47922458092</v>
      </c>
      <c r="BZ123" s="100" t="n">
        <f aca="false">BZ99</f>
        <v>2884.92366902537</v>
      </c>
      <c r="CA123" s="100" t="n">
        <f aca="false">CA99</f>
        <v>2879.36811346981</v>
      </c>
      <c r="CB123" s="100" t="n">
        <f aca="false">CB99</f>
        <v>2873.81255791426</v>
      </c>
      <c r="CC123" s="100" t="n">
        <f aca="false">CC99</f>
        <v>2868.2570023587</v>
      </c>
      <c r="CD123" s="100" t="n">
        <f aca="false">CD99</f>
        <v>2862.70144680314</v>
      </c>
      <c r="CE123" s="100" t="n">
        <f aca="false">CE99</f>
        <v>2857.14589124759</v>
      </c>
      <c r="CF123" s="100" t="n">
        <f aca="false">CF99</f>
        <v>2851.59033569203</v>
      </c>
      <c r="CG123" s="100" t="n">
        <f aca="false">CG99</f>
        <v>2846.03478013648</v>
      </c>
      <c r="CH123" s="100" t="n">
        <f aca="false">CH99</f>
        <v>2840.47922458086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9" t="s">
        <v>592</v>
      </c>
      <c r="B125" s="9"/>
    </row>
    <row r="126" customFormat="false" ht="13.5" hidden="false" customHeight="true" outlineLevel="0" collapsed="false">
      <c r="A126" s="6" t="s">
        <v>593</v>
      </c>
      <c r="C126" s="14" t="n">
        <f aca="false">Hipótesis!$D$93</f>
        <v>100000</v>
      </c>
    </row>
    <row r="127" customFormat="false" ht="13.5" hidden="false" customHeight="true" outlineLevel="0" collapsed="false">
      <c r="A127" s="6" t="s">
        <v>594</v>
      </c>
      <c r="C127" s="17" t="n">
        <f aca="false">IFERROR(IRR($B$121:$CH$121,0.02),"n.d.")</f>
        <v>0.0362017338944518</v>
      </c>
    </row>
    <row r="128" customFormat="false" ht="13.5" hidden="false" customHeight="true" outlineLevel="0" collapsed="false">
      <c r="A128" s="6" t="s">
        <v>85</v>
      </c>
      <c r="C128" s="17" t="n">
        <f aca="false">IFERROR((1+IRR($B$121:$CH$121,0.02))^12-1,"n.d.")</f>
        <v>0.53225757121103</v>
      </c>
    </row>
    <row r="129" customFormat="false" ht="13.5" hidden="false" customHeight="true" outlineLevel="0" collapsed="false">
      <c r="A129" s="6" t="s">
        <v>595</v>
      </c>
      <c r="C129" s="21" t="n">
        <f aca="false">IFERROR(SUM($C$121:$CH$121)/$C$126,0)</f>
        <v>5.51222712511957</v>
      </c>
    </row>
    <row r="130" customFormat="false" ht="13.5" hidden="false" customHeight="true" outlineLevel="0" collapsed="false">
      <c r="A130" s="6" t="s">
        <v>57</v>
      </c>
      <c r="C130" s="15" t="n">
        <f aca="false">IFERROR(COUNTIF($C$94:$CH$94,"&lt;"&amp;$C$126)+1,"n.d.")</f>
        <v>48</v>
      </c>
    </row>
    <row r="131" customFormat="false" ht="13.5" hidden="false" customHeight="true" outlineLevel="0" collapsed="false">
      <c r="A131" s="6" t="s">
        <v>596</v>
      </c>
      <c r="C131" s="14" t="n">
        <f aca="false">IFERROR($B$121+NPV((1+Hipótesis!$D$121)^(1/12)-1,$C$121:$CH$121),0)</f>
        <v>250311.999028697</v>
      </c>
    </row>
    <row r="132" customFormat="false" ht="13.5" hidden="false" customHeight="true" outlineLevel="0" collapsed="false">
      <c r="A132" s="6" t="s">
        <v>597</v>
      </c>
      <c r="C132" s="100" t="n">
        <f aca="false">SUM($AY$56:$BJ$56)</f>
        <v>756508.594732203</v>
      </c>
    </row>
    <row r="133" customFormat="false" ht="13.5" hidden="false" customHeight="true" outlineLevel="0" collapsed="false">
      <c r="A133" s="6" t="s">
        <v>598</v>
      </c>
      <c r="C133" s="100" t="n">
        <f aca="false">IF(Hipótesis!$D$94=5,$C$157,$C$132*Hipótesis!$D$120)</f>
        <v>5512227.12511957</v>
      </c>
    </row>
    <row r="134" customFormat="false" ht="13.5" hidden="false" customHeight="true" outlineLevel="0" collapsed="false">
      <c r="A134" s="6" t="s">
        <v>599</v>
      </c>
      <c r="C134" s="100" t="n">
        <f aca="false">MAX(0,$C$133)*Hipótesis!$D$119</f>
        <v>551222.712511957</v>
      </c>
    </row>
    <row r="135" customFormat="false" ht="13.5" hidden="false" customHeight="true" outlineLevel="0" collapsed="false">
      <c r="A135" s="6" t="s">
        <v>600</v>
      </c>
      <c r="C135" s="17" t="n">
        <f aca="false">IF(ISNUMBER($C$128),$C$128,"n.d.")</f>
        <v>0.53225757121103</v>
      </c>
    </row>
    <row r="136" customFormat="false" ht="13.5" hidden="false" customHeight="true" outlineLevel="0" collapsed="false">
      <c r="A136" s="6" t="s">
        <v>82</v>
      </c>
      <c r="C136" s="17" t="n">
        <f aca="false">IFERROR((1+IRR($B$123:$CH$123,0.01))^12-1,"n.d.")</f>
        <v>0.181795084768015</v>
      </c>
    </row>
    <row r="137" customFormat="false" ht="13.5" hidden="false" customHeight="true" outlineLevel="0" collapsed="false">
      <c r="A137" s="6" t="s">
        <v>601</v>
      </c>
      <c r="C137" s="17" t="n">
        <f aca="false">IFERROR((1+IRR($B$122:$CH$122,0.01))^12-1,"n.d.")</f>
        <v>0.396244697517782</v>
      </c>
    </row>
    <row r="138" customFormat="false" ht="13.5" hidden="false" customHeight="true" outlineLevel="0" collapsed="false">
      <c r="A138" s="6" t="s">
        <v>88</v>
      </c>
      <c r="C138" s="14" t="n">
        <f aca="false">Hipótesis!$D$122</f>
        <v>200000</v>
      </c>
    </row>
    <row r="139" customFormat="false" ht="13.5" hidden="false" customHeight="true" outlineLevel="0" collapsed="false">
      <c r="A139" s="6" t="s">
        <v>602</v>
      </c>
      <c r="C139" s="14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05" t="s">
        <v>485</v>
      </c>
      <c r="C141" s="106" t="n">
        <v>1</v>
      </c>
      <c r="D141" s="106" t="n">
        <v>2</v>
      </c>
      <c r="E141" s="106" t="n">
        <v>3</v>
      </c>
      <c r="F141" s="106" t="n">
        <v>4</v>
      </c>
      <c r="G141" s="106" t="n">
        <v>5</v>
      </c>
      <c r="H141" s="106" t="n">
        <v>6</v>
      </c>
      <c r="I141" s="106" t="n">
        <v>7</v>
      </c>
    </row>
    <row r="142" customFormat="false" ht="13.5" hidden="false" customHeight="true" outlineLevel="0" collapsed="false">
      <c r="A142" s="6" t="s">
        <v>603</v>
      </c>
      <c r="C142" s="100" t="n">
        <f aca="false">SUM($C$56:$N$56)</f>
        <v>-11291.1923517121</v>
      </c>
      <c r="D142" s="100" t="n">
        <f aca="false">SUM($O$56:$Z$56)</f>
        <v>338732.494408709</v>
      </c>
      <c r="E142" s="100" t="n">
        <f aca="false">SUM($AA$56:$AL$56)</f>
        <v>579924.836556393</v>
      </c>
      <c r="F142" s="100" t="n">
        <f aca="false">SUM($AM$56:$AX$56)</f>
        <v>757117.499367862</v>
      </c>
      <c r="G142" s="100" t="n">
        <f aca="false">SUM($AY$56:$BJ$56)</f>
        <v>756508.594732203</v>
      </c>
      <c r="H142" s="100" t="n">
        <f aca="false">SUM($BK$56:$BV$56)</f>
        <v>728790.765512014</v>
      </c>
      <c r="I142" s="100" t="n">
        <f aca="false">SUM($BW$56:$CH$56)</f>
        <v>700954.20141522</v>
      </c>
    </row>
    <row r="143" customFormat="false" ht="13.5" hidden="false" customHeight="true" outlineLevel="0" collapsed="false">
      <c r="A143" s="6" t="s">
        <v>604</v>
      </c>
      <c r="C143" s="100" t="n">
        <f aca="false">SUM($C$106:$N$106)</f>
        <v>4922.45365263688</v>
      </c>
      <c r="D143" s="100" t="n">
        <f aca="false">SUM($O$106:$Z$106)</f>
        <v>10774.6498881742</v>
      </c>
      <c r="E143" s="100" t="n">
        <f aca="false">SUM($AA$106:$AL$106)</f>
        <v>35231.8300644612</v>
      </c>
      <c r="F143" s="100" t="n">
        <f aca="false">SUM($AM$106:$AX$106)</f>
        <v>37975.6833206906</v>
      </c>
      <c r="G143" s="100" t="n">
        <f aca="false">SUM($AY$106:$BJ$106)</f>
        <v>37163.5052279774</v>
      </c>
      <c r="H143" s="100" t="n">
        <f aca="false">SUM($BK$106:$BV$106)</f>
        <v>35809.1486435736</v>
      </c>
      <c r="I143" s="100" t="n">
        <f aca="false">SUM($BW$106:$CH$106)</f>
        <v>34452.4173616377</v>
      </c>
    </row>
    <row r="144" customFormat="false" ht="13.5" hidden="false" customHeight="true" outlineLevel="0" collapsed="false">
      <c r="A144" s="22" t="s">
        <v>605</v>
      </c>
      <c r="C144" s="112" t="n">
        <f aca="false">IFERROR(C142/C143,0)</f>
        <v>-2.29381384742212</v>
      </c>
      <c r="D144" s="112" t="n">
        <f aca="false">IFERROR(D142/D143,0)</f>
        <v>31.4379119437086</v>
      </c>
      <c r="E144" s="112" t="n">
        <f aca="false">IFERROR(E142/E143,0)</f>
        <v>16.4602530012022</v>
      </c>
      <c r="F144" s="112" t="n">
        <f aca="false">IFERROR(F142/F143,0)</f>
        <v>19.9369025956501</v>
      </c>
      <c r="G144" s="112" t="n">
        <f aca="false">IFERROR(G142/G143,0)</f>
        <v>20.3562228614186</v>
      </c>
      <c r="H144" s="112" t="n">
        <f aca="false">IFERROR(H142/H143,0)</f>
        <v>20.3520830044309</v>
      </c>
      <c r="I144" s="112" t="n">
        <f aca="false">IFERROR(I142/I143,0)</f>
        <v>20.3455738405086</v>
      </c>
    </row>
    <row r="145" customFormat="false" ht="13.5" hidden="false" customHeight="true" outlineLevel="0" collapsed="false">
      <c r="A145" s="22" t="s">
        <v>606</v>
      </c>
      <c r="C145" s="16" t="n">
        <f aca="false">MIN(D144:I144)</f>
        <v>16.4602530012022</v>
      </c>
    </row>
    <row r="146" customFormat="false" ht="13.5" hidden="false" customHeight="true" outlineLevel="0" collapsed="false">
      <c r="A146" s="22" t="s">
        <v>607</v>
      </c>
      <c r="C146" s="14" t="n">
        <f aca="false">MIN($C$86:$CH$86)</f>
        <v>30000</v>
      </c>
    </row>
    <row r="147" customFormat="false" ht="13.5" hidden="false" customHeight="true" outlineLevel="0" collapsed="false">
      <c r="A147" s="22" t="s">
        <v>608</v>
      </c>
      <c r="C147" s="14" t="n">
        <f aca="false">SUM($C$36:$N$36)</f>
        <v>208092.290811055</v>
      </c>
    </row>
    <row r="148" customFormat="false" ht="13.5" hidden="false" customHeight="true" outlineLevel="0" collapsed="false">
      <c r="A148" s="22" t="s">
        <v>609</v>
      </c>
      <c r="C148" s="100" t="n">
        <f aca="false">-SUM($C$84:$N$84)</f>
        <v>-0</v>
      </c>
      <c r="D148" s="100" t="n">
        <f aca="false">-SUM($O$84:$Z$84)</f>
        <v>-0</v>
      </c>
      <c r="E148" s="100" t="n">
        <f aca="false">-SUM($AA$84:$AL$84)</f>
        <v>-0</v>
      </c>
      <c r="F148" s="100" t="n">
        <f aca="false">-SUM($AM$84:$AX$84)</f>
        <v>-0</v>
      </c>
      <c r="G148" s="100" t="n">
        <f aca="false">-SUM($AY$84:$BJ$84)</f>
        <v>-0</v>
      </c>
      <c r="H148" s="100" t="n">
        <f aca="false">-SUM($BK$84:$BV$84)</f>
        <v>-0</v>
      </c>
      <c r="I148" s="100" t="n">
        <f aca="false">-SUM($BW$84:$CH$84)</f>
        <v>-0</v>
      </c>
    </row>
    <row r="149" customFormat="false" ht="13.5" hidden="false" customHeight="true" outlineLevel="0" collapsed="false">
      <c r="A149" s="22" t="s">
        <v>610</v>
      </c>
      <c r="C149" s="14" t="n">
        <f aca="false">SUM($C$118:$N$118)/12</f>
        <v>1540</v>
      </c>
      <c r="D149" s="14" t="n">
        <f aca="false">SUM($O$118:$Z$118)/12</f>
        <v>2450</v>
      </c>
      <c r="E149" s="14" t="n">
        <f aca="false">SUM($AA$118:$AL$118)/12</f>
        <v>2800</v>
      </c>
      <c r="F149" s="14" t="n">
        <f aca="false">SUM($AM$118:$AX$118)/12</f>
        <v>3150</v>
      </c>
      <c r="G149" s="14" t="n">
        <f aca="false">SUM($AY$118:$BJ$118)/12</f>
        <v>3500</v>
      </c>
      <c r="H149" s="14" t="n">
        <f aca="false">SUM($BK$118:$BV$118)/12</f>
        <v>3850</v>
      </c>
      <c r="I149" s="14" t="n">
        <f aca="false">SUM($BW$118:$CH$118)/12</f>
        <v>4200</v>
      </c>
    </row>
    <row r="150" customFormat="false" ht="13.5" hidden="false" customHeight="true" outlineLevel="0" collapsed="false">
      <c r="A150" s="22" t="s">
        <v>611</v>
      </c>
      <c r="C150" s="14" t="n">
        <f aca="false">MAX($C$81:$CH$81)</f>
        <v>7280.38009217271</v>
      </c>
    </row>
    <row r="152" customFormat="false" ht="15" hidden="false" customHeight="false" outlineLevel="0" collapsed="false">
      <c r="A152" s="94" t="s">
        <v>612</v>
      </c>
    </row>
    <row r="153" customFormat="false" ht="15" hidden="false" customHeight="false" outlineLevel="0" collapsed="false">
      <c r="A153" s="1" t="s">
        <v>613</v>
      </c>
      <c r="C153" s="1" t="n">
        <f aca="false">SUMIFS($C$56:$CH$56,$C$3:$CH$3,"&gt;="&amp;Hipótesis!$D$124-11,$C$3:$CH$3,"&lt;="&amp;Hipótesis!$D$124)</f>
        <v>757117.499367862</v>
      </c>
    </row>
    <row r="154" customFormat="false" ht="15" hidden="false" customHeight="false" outlineLevel="0" collapsed="false">
      <c r="A154" s="1" t="s">
        <v>614</v>
      </c>
      <c r="C154" s="1" t="n">
        <f aca="false">$C$153*Hipótesis!$D$120</f>
        <v>4542704.99620717</v>
      </c>
    </row>
    <row r="155" customFormat="false" ht="15" hidden="false" customHeight="false" outlineLevel="0" collapsed="false">
      <c r="A155" s="1" t="s">
        <v>615</v>
      </c>
      <c r="C155" s="1" t="n">
        <f aca="false">SUMIFS($C$86:$CH$86,$C$3:$CH$3,"="&amp;Hipótesis!$D$124)</f>
        <v>1031188.79557907</v>
      </c>
    </row>
    <row r="156" customFormat="false" ht="15" hidden="false" customHeight="false" outlineLevel="0" collapsed="false">
      <c r="A156" s="1" t="s">
        <v>616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false" outlineLevel="0" collapsed="false">
      <c r="A157" s="94" t="s">
        <v>617</v>
      </c>
      <c r="C157" s="1" t="n">
        <f aca="false">MAX(0,$C$154+Hipótesis!$D$125*($C$155-$C$156))</f>
        <v>5512227.12511957</v>
      </c>
    </row>
    <row r="158" customFormat="false" ht="15" hidden="false" customHeight="false" outlineLevel="0" collapsed="false">
      <c r="A158" s="1" t="s">
        <v>618</v>
      </c>
      <c r="C158" s="1" t="n">
        <f aca="false">MIN($C$157,MAX($C$157*Hipótesis!$D$119,Hipótesis!$D$127*Hipótesis!$D$93))</f>
        <v>551222.712511957</v>
      </c>
    </row>
    <row r="159" customFormat="false" ht="15" hidden="false" customHeight="false" outlineLevel="0" collapsed="false">
      <c r="A159" s="1" t="s">
        <v>619</v>
      </c>
      <c r="C159" s="1" t="n">
        <f aca="false">MAX(0,$C$158-$C$157*Hipótesis!$D$119)</f>
        <v>0</v>
      </c>
    </row>
    <row r="160" customFormat="false" ht="15" hidden="false" customHeight="false" outlineLevel="0" collapsed="false">
      <c r="A160" s="94" t="s">
        <v>620</v>
      </c>
    </row>
    <row r="161" customFormat="false" ht="15" hidden="false" customHeight="false" outlineLevel="0" collapsed="false">
      <c r="A161" s="1" t="s">
        <v>621</v>
      </c>
      <c r="C161" s="113" t="n">
        <f aca="false">IF(Hipótesis!$D$94=5,Hipótesis!$D$93,0)</f>
        <v>100000</v>
      </c>
    </row>
    <row r="162" customFormat="false" ht="15" hidden="false" customHeight="false" outlineLevel="0" collapsed="false">
      <c r="A162" s="1" t="s">
        <v>622</v>
      </c>
      <c r="C162" s="1" t="n">
        <f aca="false">SUMIFS($C$63:$CH$63,$C$3:$CH$3,"&lt;="&amp;Hipótesis!$D$126)</f>
        <v>0</v>
      </c>
    </row>
    <row r="163" customFormat="false" ht="15" hidden="false" customHeight="false" outlineLevel="0" collapsed="false">
      <c r="A163" s="94" t="s">
        <v>623</v>
      </c>
      <c r="C163" s="1" t="n">
        <f aca="false">$C$161+$C$162</f>
        <v>100000</v>
      </c>
    </row>
    <row r="164" customFormat="false" ht="15" hidden="false" customHeight="false" outlineLevel="0" collapsed="false">
      <c r="A164" s="1" t="s">
        <v>624</v>
      </c>
      <c r="C164" s="113" t="n">
        <f aca="false">Hipótesis!$D$105</f>
        <v>100000</v>
      </c>
    </row>
    <row r="165" customFormat="false" ht="15" hidden="false" customHeight="false" outlineLevel="0" collapsed="false">
      <c r="A165" s="94" t="s">
        <v>625</v>
      </c>
      <c r="C165" s="1" t="str">
        <f aca="false">IF($C$163&gt;=$C$164,"SI CUMPLE","NO CUMPLE - faltan "&amp;TEXT($C$164-$C$163,"#,##0")&amp;" EUR")</f>
        <v>SI 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2026-07-19T00:15:34Z</dcterms:created>
  <dc:creator>openpyxl</dc:creator>
  <dc:description/>
  <dc:language>en-US</dc:language>
  <cp:lastModifiedBy/>
  <dcterms:modified xsi:type="dcterms:W3CDTF">2026-09-22T08:33:41Z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